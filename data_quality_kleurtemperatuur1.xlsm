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/>
  <workbookPr/>
  <mc:AlternateContent xmlns:mc="http://schemas.openxmlformats.org/markup-compatibility/2006">
    <mc:Choice Requires="x15">
      <x15ac:absPath xmlns:x15ac="http://schemas.microsoft.com/office/spreadsheetml/2010/11/ac" url="C:\Users\desmo\OneDrive\Desktop\HetLuxLab\"/>
    </mc:Choice>
  </mc:AlternateContent>
  <xr:revisionPtr revIDLastSave="0" documentId="13_ncr:1_{A840BC8F-F5EB-45B8-ADFF-A1B79F1BC613}" xr6:coauthVersionLast="47" xr6:coauthVersionMax="47" xr10:uidLastSave="{00000000-0000-0000-0000-000000000000}"/>
  <bookViews>
    <workbookView xWindow="-108" yWindow="-108" windowWidth="23256" windowHeight="12576" firstSheet="3" activeTab="2" xr2:uid="{00000000-000D-0000-FFFF-FFFF00000000}"/>
  </bookViews>
  <sheets>
    <sheet name="Data_quality" sheetId="3" r:id="rId1"/>
    <sheet name="Helper_table" sheetId="4" r:id="rId2"/>
    <sheet name="Main_data" sheetId="1" r:id="rId3"/>
    <sheet name="Cat_helper_table" sheetId="6" r:id="rId4"/>
    <sheet name="Ellens_additions" sheetId="2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3" l="1"/>
  <c r="C24" i="3"/>
  <c r="C34" i="3"/>
  <c r="D32" i="3"/>
  <c r="C28" i="3"/>
  <c r="C27" i="3"/>
  <c r="D19" i="3"/>
  <c r="C30" i="3"/>
  <c r="C16" i="3"/>
  <c r="D23" i="3"/>
  <c r="C13" i="3"/>
  <c r="C7" i="3"/>
  <c r="D25" i="3"/>
  <c r="C19" i="3"/>
  <c r="D20" i="3"/>
  <c r="C41" i="3"/>
  <c r="C40" i="3"/>
  <c r="C4" i="3"/>
  <c r="D10" i="3"/>
  <c r="C22" i="3"/>
  <c r="C29" i="3"/>
  <c r="D15" i="3"/>
  <c r="D38" i="3"/>
  <c r="D31" i="3"/>
  <c r="D14" i="3"/>
  <c r="C5" i="3"/>
  <c r="C32" i="3"/>
  <c r="C31" i="3"/>
  <c r="D21" i="3"/>
  <c r="D29" i="3"/>
  <c r="D39" i="3"/>
  <c r="D43" i="3"/>
  <c r="C20" i="3"/>
  <c r="C18" i="3"/>
  <c r="D9" i="3"/>
  <c r="D4" i="3"/>
  <c r="D18" i="3"/>
  <c r="D5" i="3"/>
  <c r="D30" i="3"/>
  <c r="C35" i="3"/>
  <c r="D40" i="3"/>
  <c r="C44" i="3"/>
  <c r="D28" i="3"/>
  <c r="C25" i="3"/>
  <c r="D44" i="3"/>
  <c r="C33" i="3"/>
  <c r="C37" i="3"/>
  <c r="C12" i="3"/>
  <c r="D11" i="3"/>
  <c r="D13" i="3"/>
  <c r="D3" i="3"/>
  <c r="D22" i="3"/>
  <c r="D24" i="3"/>
  <c r="C9" i="3"/>
  <c r="C38" i="3"/>
  <c r="D17" i="3"/>
  <c r="C39" i="3"/>
  <c r="C42" i="3"/>
  <c r="C6" i="3"/>
  <c r="D41" i="3"/>
  <c r="D42" i="3"/>
  <c r="C17" i="3"/>
  <c r="D8" i="3"/>
  <c r="D12" i="3"/>
  <c r="D16" i="3"/>
  <c r="C15" i="3"/>
  <c r="D6" i="3"/>
  <c r="D35" i="3"/>
  <c r="D2" i="3"/>
  <c r="C8" i="3"/>
  <c r="D26" i="3"/>
  <c r="D33" i="3"/>
  <c r="C43" i="3"/>
  <c r="D34" i="3"/>
  <c r="C14" i="3"/>
  <c r="D37" i="3"/>
  <c r="C10" i="3"/>
  <c r="C23" i="3"/>
  <c r="C11" i="3"/>
  <c r="D36" i="3"/>
  <c r="D7" i="3"/>
  <c r="C21" i="3"/>
  <c r="C36" i="3"/>
  <c r="C3" i="3"/>
  <c r="C26" i="3"/>
  <c r="D27" i="3"/>
  <c r="E26" i="3" l="1"/>
  <c r="E3" i="3"/>
  <c r="E36" i="3"/>
  <c r="E21" i="3"/>
  <c r="E11" i="3"/>
  <c r="E23" i="3"/>
  <c r="E10" i="3"/>
  <c r="E14" i="3"/>
  <c r="E43" i="3"/>
  <c r="E8" i="3"/>
  <c r="E15" i="3"/>
  <c r="E17" i="3"/>
  <c r="E6" i="3"/>
  <c r="E42" i="3"/>
  <c r="E39" i="3"/>
  <c r="E38" i="3"/>
  <c r="E9" i="3"/>
  <c r="E12" i="3"/>
  <c r="E37" i="3"/>
  <c r="E33" i="3"/>
  <c r="E25" i="3"/>
  <c r="E44" i="3"/>
  <c r="E35" i="3"/>
  <c r="E18" i="3"/>
  <c r="E20" i="3"/>
  <c r="E31" i="3"/>
  <c r="E32" i="3"/>
  <c r="E5" i="3"/>
  <c r="E29" i="3"/>
  <c r="E22" i="3"/>
  <c r="E4" i="3"/>
  <c r="E40" i="3"/>
  <c r="E41" i="3"/>
  <c r="E19" i="3"/>
  <c r="E7" i="3"/>
  <c r="E13" i="3"/>
  <c r="E16" i="3"/>
  <c r="E30" i="3"/>
  <c r="E27" i="3"/>
  <c r="E28" i="3"/>
  <c r="E34" i="3"/>
  <c r="E24" i="3"/>
  <c r="E2" i="3"/>
</calcChain>
</file>

<file path=xl/sharedStrings.xml><?xml version="1.0" encoding="utf-8"?>
<sst xmlns="http://schemas.openxmlformats.org/spreadsheetml/2006/main" count="552" uniqueCount="415">
  <si>
    <t>A (Column Name)</t>
  </si>
  <si>
    <t>B (Excel Column Letter)</t>
  </si>
  <si>
    <t>Missing Count</t>
  </si>
  <si>
    <t>Total Count</t>
  </si>
  <si>
    <t>Percent Missing</t>
  </si>
  <si>
    <t>Column1</t>
  </si>
  <si>
    <t>straatnaam+identificatie_mast    A</t>
  </si>
  <si>
    <t>A</t>
  </si>
  <si>
    <t>OBJECTID                         B</t>
  </si>
  <si>
    <t>B</t>
  </si>
  <si>
    <t>STADSDEEL                        C</t>
  </si>
  <si>
    <t>C</t>
  </si>
  <si>
    <t>WIJK                              D</t>
  </si>
  <si>
    <t>D</t>
  </si>
  <si>
    <t>BUURT                             E</t>
  </si>
  <si>
    <t>E</t>
  </si>
  <si>
    <t>STRAATNAAM                        F</t>
  </si>
  <si>
    <t>F</t>
  </si>
  <si>
    <t>WEGVAK                            G</t>
  </si>
  <si>
    <t>G</t>
  </si>
  <si>
    <t>IDENTIFICATIE                     H</t>
  </si>
  <si>
    <t>H</t>
  </si>
  <si>
    <t>LOKATIE                           I</t>
  </si>
  <si>
    <t>I</t>
  </si>
  <si>
    <t>EIGENAAR                          J</t>
  </si>
  <si>
    <t>J</t>
  </si>
  <si>
    <t>X                                 K</t>
  </si>
  <si>
    <t>K</t>
  </si>
  <si>
    <t>Y                                 L</t>
  </si>
  <si>
    <t>L</t>
  </si>
  <si>
    <t>IDENTIFICATIE_LAMP                M</t>
  </si>
  <si>
    <t>M</t>
  </si>
  <si>
    <t>TYPE_LAMP                         N</t>
  </si>
  <si>
    <t>N</t>
  </si>
  <si>
    <t>DATUM_PLAATSING_LAMP              O</t>
  </si>
  <si>
    <t>O</t>
  </si>
  <si>
    <t>DATUM_ONDERHOUD_LAMP              P</t>
  </si>
  <si>
    <t>P</t>
  </si>
  <si>
    <t>SOORT_LAMP                        Q</t>
  </si>
  <si>
    <t>Q</t>
  </si>
  <si>
    <t>KLEUR_LAMP                        R</t>
  </si>
  <si>
    <t>R</t>
  </si>
  <si>
    <t>WATTAGE_LAMP                      S</t>
  </si>
  <si>
    <t>S</t>
  </si>
  <si>
    <t>LUMEN_LAMP                        T</t>
  </si>
  <si>
    <t>T</t>
  </si>
  <si>
    <t>RA_WAARDE_LAMP                    U</t>
  </si>
  <si>
    <t>U</t>
  </si>
  <si>
    <t>FITTING_LAMP                      V</t>
  </si>
  <si>
    <t>V</t>
  </si>
  <si>
    <t>SCHAKELSCHEMA_LAMP                W</t>
  </si>
  <si>
    <t>W</t>
  </si>
  <si>
    <t>IDENTIFICATIE_ARMATUUR            X</t>
  </si>
  <si>
    <t>X</t>
  </si>
  <si>
    <t>TYPE_ARMATUUR                     Y</t>
  </si>
  <si>
    <t>Y</t>
  </si>
  <si>
    <t>DATUM_PLAATSING_ARMATUUR          Z</t>
  </si>
  <si>
    <t>Z</t>
  </si>
  <si>
    <t>DATUM_ONDERHOUD_ARMATUUR          AA</t>
  </si>
  <si>
    <t>AA</t>
  </si>
  <si>
    <t>LPH_ARMATUUR                      AB</t>
  </si>
  <si>
    <t>AB</t>
  </si>
  <si>
    <t>BRANDSTAND_ARMATUUR               AC</t>
  </si>
  <si>
    <t>AC</t>
  </si>
  <si>
    <t>IDENTIFICATIE_DRAGER_MAST         AD</t>
  </si>
  <si>
    <t>AD</t>
  </si>
  <si>
    <t>TYPE_DRAGER_MAST                  AE</t>
  </si>
  <si>
    <t>AE</t>
  </si>
  <si>
    <t>DATUM_PLAATSING_DRAGER_MAST       AF</t>
  </si>
  <si>
    <t>AF</t>
  </si>
  <si>
    <t>DATUM_ONDERHOUD_DRAGER_MAST       AG</t>
  </si>
  <si>
    <t>AG</t>
  </si>
  <si>
    <t>IDENTIFICATIE_DRAGER_UITHOUDER    AH</t>
  </si>
  <si>
    <t>AH</t>
  </si>
  <si>
    <t>TYPE_DRAGER_UITHOUDER             AI</t>
  </si>
  <si>
    <t>AI</t>
  </si>
  <si>
    <t>DATUM_PLAATSING_DRAGER_UITHOUD    AJ</t>
  </si>
  <si>
    <t>AJ</t>
  </si>
  <si>
    <t>DATUM_ONDERHOUD_DRAGER_UITHOUD    AK</t>
  </si>
  <si>
    <t>AK</t>
  </si>
  <si>
    <t>geo_shape                         AL</t>
  </si>
  <si>
    <t>AL</t>
  </si>
  <si>
    <t>geo_point_2d                      AM</t>
  </si>
  <si>
    <t>AM</t>
  </si>
  <si>
    <t>Locat                            AN</t>
  </si>
  <si>
    <t>AN</t>
  </si>
  <si>
    <t>TYPE_LAMP.1                       AO</t>
  </si>
  <si>
    <t>AO</t>
  </si>
  <si>
    <t>CK_IN_KELVIN                      AP</t>
  </si>
  <si>
    <t>AP</t>
  </si>
  <si>
    <t>Manufacturer                      AQ</t>
  </si>
  <si>
    <t>AQ</t>
  </si>
  <si>
    <t>straatnaam+identificatie_mast</t>
  </si>
  <si>
    <t>OBJECTID</t>
  </si>
  <si>
    <t>STADSDEEL</t>
  </si>
  <si>
    <t>WIJK</t>
  </si>
  <si>
    <t>BUURT</t>
  </si>
  <si>
    <t>STRAATNAAM</t>
  </si>
  <si>
    <t>WEGVAK</t>
  </si>
  <si>
    <t>IDENTIFICATIE</t>
  </si>
  <si>
    <t>LOKATIE</t>
  </si>
  <si>
    <t>EIGENAAR</t>
  </si>
  <si>
    <t>IDENTIFICATIE_LAMP</t>
  </si>
  <si>
    <t>TYPE_LAMP</t>
  </si>
  <si>
    <t>DATUM_PLAATSING_LAMP</t>
  </si>
  <si>
    <t>DATUM_ONDERHOUD_LAMP</t>
  </si>
  <si>
    <t>SOORT_LAMP</t>
  </si>
  <si>
    <t>KLEUR_LAMP</t>
  </si>
  <si>
    <t>WATTAGE_LAMP</t>
  </si>
  <si>
    <t>LUMEN_LAMP</t>
  </si>
  <si>
    <t>RA_WAARDE_LAMP</t>
  </si>
  <si>
    <t>FITTING_LAMP</t>
  </si>
  <si>
    <t>SCHAKELSCHEMA_LAMP</t>
  </si>
  <si>
    <t>IDENTIFICATIE_ARMATUUR</t>
  </si>
  <si>
    <t>TYPE_ARMATUUR</t>
  </si>
  <si>
    <t>DATUM_PLAATSING_ARMATUUR</t>
  </si>
  <si>
    <t>DATUM_ONDERHOUD_ARMATUUR</t>
  </si>
  <si>
    <t>LPH_ARMATUUR</t>
  </si>
  <si>
    <t>BRANDSTAND_ARMATUUR</t>
  </si>
  <si>
    <t>IDENTIFICATIE_DRAGER_MAST</t>
  </si>
  <si>
    <t>TYPE_DRAGER_MAST</t>
  </si>
  <si>
    <t>DATUM_PLAATSING_DRAGER_MAST</t>
  </si>
  <si>
    <t>DATUM_ONDERHOUD_DRAGER_MAST</t>
  </si>
  <si>
    <t>IDENTIFICATIE_DRAGER_UITHOUDER</t>
  </si>
  <si>
    <t>TYPE_DRAGER_UITHOUDER</t>
  </si>
  <si>
    <t>DATUM_PLAATSING_DRAGER_UITHOUD</t>
  </si>
  <si>
    <t>DATUM_ONDERHOUD_DRAGER_UITHOUD</t>
  </si>
  <si>
    <t>geo_shape</t>
  </si>
  <si>
    <t>geo_point_2d</t>
  </si>
  <si>
    <t>Locat</t>
  </si>
  <si>
    <t>TYPE_LAMP.1</t>
  </si>
  <si>
    <t>CK_IN_KELVIN</t>
  </si>
  <si>
    <t>Nature</t>
  </si>
  <si>
    <t>Human</t>
  </si>
  <si>
    <t>Efficiency</t>
  </si>
  <si>
    <t>Scherpenering 035</t>
  </si>
  <si>
    <t>6 Strijp</t>
  </si>
  <si>
    <t>63 Meerhoven</t>
  </si>
  <si>
    <t>638 Eindhoven Airport</t>
  </si>
  <si>
    <t>Scherpenering</t>
  </si>
  <si>
    <t>035</t>
  </si>
  <si>
    <t>Gemeente Eindhoven</t>
  </si>
  <si>
    <t>LED94/830 DM11</t>
  </si>
  <si>
    <t>2020-06-08</t>
  </si>
  <si>
    <t>2045-08-19</t>
  </si>
  <si>
    <t>led</t>
  </si>
  <si>
    <t>wit</t>
  </si>
  <si>
    <t>LED</t>
  </si>
  <si>
    <t>in30lux 100% - 19:00</t>
  </si>
  <si>
    <t>BGP761</t>
  </si>
  <si>
    <t>2040-06-08</t>
  </si>
  <si>
    <t>1</t>
  </si>
  <si>
    <t>ST 8 V-100.N.183 VZ CIL</t>
  </si>
  <si>
    <t>2020-03-18</t>
  </si>
  <si>
    <t>2060-03-18</t>
  </si>
  <si>
    <t>ST ENKEL 100 X 162 V</t>
  </si>
  <si>
    <t>{"coordinates":[5.359133139228652,51.45130801888537],"type":"Point"}</t>
  </si>
  <si>
    <t>51.45130801888537, 5.359133139228652</t>
  </si>
  <si>
    <t>51.451308255369554, 5.359134469772243</t>
  </si>
  <si>
    <t>SON-T PIA PLUS 50W</t>
  </si>
  <si>
    <t>SON PIA PLUS 100W</t>
  </si>
  <si>
    <t>SOX PSG 55W</t>
  </si>
  <si>
    <t>PLL 36 W xtra polar</t>
  </si>
  <si>
    <t>SON-T PIA PLUS 70W</t>
  </si>
  <si>
    <t>SON-T  70W</t>
  </si>
  <si>
    <t>16 LED 19W 350mA (Pi</t>
  </si>
  <si>
    <t>Unique-L Cool 36 Wat</t>
  </si>
  <si>
    <t>SON PIA PLUS 150W</t>
  </si>
  <si>
    <t>SON PIA PLUS 70W I</t>
  </si>
  <si>
    <t>96 LED type II short</t>
  </si>
  <si>
    <t>blauw</t>
  </si>
  <si>
    <t>SILL 153 LED Blauw 1</t>
  </si>
  <si>
    <t>120 LED type II shor</t>
  </si>
  <si>
    <t>LED upgrade KIT Blue</t>
  </si>
  <si>
    <t>HRIT 250BL</t>
  </si>
  <si>
    <t>CDO-TT Plus 150W</t>
  </si>
  <si>
    <t>CDM-T 150W</t>
  </si>
  <si>
    <t>SON-T PIA PLUS 150W</t>
  </si>
  <si>
    <t>CDM-T  35W</t>
  </si>
  <si>
    <t>SON-T 150W</t>
  </si>
  <si>
    <t>Saled Led PS-L 26W 4</t>
  </si>
  <si>
    <t>PLL 55 W</t>
  </si>
  <si>
    <t>CDO-ET Plus 100W</t>
  </si>
  <si>
    <t>SON-T PIA PLUS 100W</t>
  </si>
  <si>
    <t>CPO-TW 60W Xtra</t>
  </si>
  <si>
    <t>CPO-TW 140W</t>
  </si>
  <si>
    <t>PLL 55 W xtra polar</t>
  </si>
  <si>
    <t>Unique-L Cool 55 Wat</t>
  </si>
  <si>
    <t>28 LED 45W 5150 Lume</t>
  </si>
  <si>
    <t>CPO-T  60W</t>
  </si>
  <si>
    <t>CPO-TW 90W Xtra</t>
  </si>
  <si>
    <t>CPO-T 90W</t>
  </si>
  <si>
    <t>HCI-T 35 W</t>
  </si>
  <si>
    <t>24 LED LENSOFLEX2 27</t>
  </si>
  <si>
    <t>72 LED LENSOFLEX2 78</t>
  </si>
  <si>
    <t>Golden Green 24W 250</t>
  </si>
  <si>
    <t>56 LED 63W 350mA 780</t>
  </si>
  <si>
    <t>Fortimo LED LLM 4500</t>
  </si>
  <si>
    <t>SCHREDER TECEO 5118</t>
  </si>
  <si>
    <t>SON PIA PLUS 50W I</t>
  </si>
  <si>
    <t>CorePro LED Urban PL</t>
  </si>
  <si>
    <t>16 LED LENSOFLEX2 18</t>
  </si>
  <si>
    <t>80 LED 129W 9650Lume</t>
  </si>
  <si>
    <t>24 LED 31W 350mA</t>
  </si>
  <si>
    <t>Teceo S 20LED 280mA</t>
  </si>
  <si>
    <t>Teceo-S 10LED 280mA</t>
  </si>
  <si>
    <t>CPO-TW 45W</t>
  </si>
  <si>
    <t>CPO-TW Xtra 45W</t>
  </si>
  <si>
    <t>LED25/610 DN 10</t>
  </si>
  <si>
    <t>SON  50 W I</t>
  </si>
  <si>
    <t>Industria RetroLed m</t>
  </si>
  <si>
    <t>24 LED 28W 350mA Pia</t>
  </si>
  <si>
    <t>CDO-TT Plus 70W</t>
  </si>
  <si>
    <t>SON  70 W I</t>
  </si>
  <si>
    <t>SON 100 W</t>
  </si>
  <si>
    <t>Schreder 24 led 5112</t>
  </si>
  <si>
    <t>Schreder 16 led 5068</t>
  </si>
  <si>
    <t>Saled Led PS-L 18W 4</t>
  </si>
  <si>
    <t>SON 150 W</t>
  </si>
  <si>
    <t>SOX  35 W</t>
  </si>
  <si>
    <t>SOX PSG 35W</t>
  </si>
  <si>
    <t>TL-E Circular Super</t>
  </si>
  <si>
    <t>SOX  90 W</t>
  </si>
  <si>
    <t>CDM-TT150W</t>
  </si>
  <si>
    <t>SON-T PIA PLUS 250W</t>
  </si>
  <si>
    <t>Fortimo LED LLM 1800</t>
  </si>
  <si>
    <t>PLT-X32 W</t>
  </si>
  <si>
    <t>CPO-T  45W</t>
  </si>
  <si>
    <t>PLL 18 W</t>
  </si>
  <si>
    <t>CDO-TT Plus 100W</t>
  </si>
  <si>
    <t>CDO-TT150W</t>
  </si>
  <si>
    <t>LED Fortimo LLM 3000</t>
  </si>
  <si>
    <t>SOX/E 91W</t>
  </si>
  <si>
    <t>Siteco DL 50 mini</t>
  </si>
  <si>
    <t>SOX  55 W</t>
  </si>
  <si>
    <t>28 LED Retroled unit</t>
  </si>
  <si>
    <t>CDO-TT 70W</t>
  </si>
  <si>
    <t>20 LED Retroled unit</t>
  </si>
  <si>
    <t>CDO-ET Plus 70W</t>
  </si>
  <si>
    <t>CDM-TD150W</t>
  </si>
  <si>
    <t>Lightronics PRO LED3</t>
  </si>
  <si>
    <t>Lightronics LED CEDE</t>
  </si>
  <si>
    <t>12 LED DW10 DD  23,5</t>
  </si>
  <si>
    <t>PLL 24 W xtra polar</t>
  </si>
  <si>
    <t>LED32/3000K L2W PR01</t>
  </si>
  <si>
    <t>SOX/E 66W</t>
  </si>
  <si>
    <t>PLL 80 W</t>
  </si>
  <si>
    <t>TLLL 36 W</t>
  </si>
  <si>
    <t>64 LED 23W 3000Lm WW</t>
  </si>
  <si>
    <t>PLT-X42 W</t>
  </si>
  <si>
    <t>LED25W WW TB-IO</t>
  </si>
  <si>
    <t>TLD XP36 W</t>
  </si>
  <si>
    <t>TLM  40 W</t>
  </si>
  <si>
    <t>40 LED LXML 4420 Lum</t>
  </si>
  <si>
    <t>48 LED 54W 6096Lumen</t>
  </si>
  <si>
    <t>32 LED 37W 350mA Pia</t>
  </si>
  <si>
    <t>R LED module 22W 400</t>
  </si>
  <si>
    <t>CDM-TT 70W</t>
  </si>
  <si>
    <t>TL-D SUPER 80 18W/83</t>
  </si>
  <si>
    <t>24 LED 39W 500mA Pia</t>
  </si>
  <si>
    <t>HPI-T 250W/645</t>
  </si>
  <si>
    <t>ColorGraze MX4 Power</t>
  </si>
  <si>
    <t>PLL 36 OUT</t>
  </si>
  <si>
    <t>CDM-T  70W</t>
  </si>
  <si>
    <t>Lightronics Ceder A2</t>
  </si>
  <si>
    <t>Xeon 2 SC1 KNON 3K P</t>
  </si>
  <si>
    <t>Saled led PS-T 15W 3</t>
  </si>
  <si>
    <t>8 LED 17W WW 2000LM</t>
  </si>
  <si>
    <t>LW10 ECO 51550 PSD I</t>
  </si>
  <si>
    <t>22 LED 25W 2200Lm</t>
  </si>
  <si>
    <t>CDO-TT100W</t>
  </si>
  <si>
    <t>Saled led PS-T 18W 3</t>
  </si>
  <si>
    <t>CDO-ET100W</t>
  </si>
  <si>
    <t>30 LED, 350mA, WW 31</t>
  </si>
  <si>
    <t>23 LED 38,5W 4600lum</t>
  </si>
  <si>
    <t>LW10 GRN20/840 DRW P</t>
  </si>
  <si>
    <t>3x LED 1W (POLLUX WB</t>
  </si>
  <si>
    <t>30 LED 31W WW 4950lu</t>
  </si>
  <si>
    <t>Saled led PS-T 13W 3</t>
  </si>
  <si>
    <t>18 LED Retroled 18W</t>
  </si>
  <si>
    <t>24 LED Retroled unit</t>
  </si>
  <si>
    <t>12X 22W NW 2900L GRE</t>
  </si>
  <si>
    <t>PLL 36/840 Polar</t>
  </si>
  <si>
    <t>TL-M RS Super 80 40W</t>
  </si>
  <si>
    <t>60 LED RX70156</t>
  </si>
  <si>
    <t>HPL-N   80W</t>
  </si>
  <si>
    <t>12 LED Retroled unit</t>
  </si>
  <si>
    <t>Fortimo LED LLM 1100</t>
  </si>
  <si>
    <t>SON-T 100W</t>
  </si>
  <si>
    <t>GRN17 /WW PSU CLO SR</t>
  </si>
  <si>
    <t>GRN20 /WW PSU CLO SR</t>
  </si>
  <si>
    <t>19 LED-HB 30W 1170Lm</t>
  </si>
  <si>
    <t>SON PIA PLUS 250W</t>
  </si>
  <si>
    <t>HCI-T 20 W</t>
  </si>
  <si>
    <t>SL EXE 16W</t>
  </si>
  <si>
    <t>CDM-TD 70W</t>
  </si>
  <si>
    <t>10 LED Golden Green</t>
  </si>
  <si>
    <t>16 LED X-G3 LENS 18,</t>
  </si>
  <si>
    <t>LED17/WW PSD DM50 SL</t>
  </si>
  <si>
    <t>40 LED 9000 Lumen /</t>
  </si>
  <si>
    <t>48 LED 78W 500mA 300</t>
  </si>
  <si>
    <t>Saled Led PS-L 13W 4</t>
  </si>
  <si>
    <t>Unique-L Cool 24 Wat</t>
  </si>
  <si>
    <t>TLD XP18 W</t>
  </si>
  <si>
    <t>18 LED 22W 250mA Ste</t>
  </si>
  <si>
    <t>LED XR-E WW 32W</t>
  </si>
  <si>
    <t>TLLL 58 W</t>
  </si>
  <si>
    <t>TL-D SUPER 80 58W/83</t>
  </si>
  <si>
    <t>CDO-ET 70W</t>
  </si>
  <si>
    <t>PLL 36 W</t>
  </si>
  <si>
    <t>TLLL 18 W</t>
  </si>
  <si>
    <t>LED 3000K met diffus</t>
  </si>
  <si>
    <t>TLE  40 W</t>
  </si>
  <si>
    <t>HPL-N  125W/E40/HG</t>
  </si>
  <si>
    <t>LW10 12LED WW PSD CL</t>
  </si>
  <si>
    <t>16 LED Columba 2300L</t>
  </si>
  <si>
    <t>Lighttronics Columba</t>
  </si>
  <si>
    <t>HPI-T Plus 250W/645</t>
  </si>
  <si>
    <t>SCHREDER TECEO-S 10L</t>
  </si>
  <si>
    <t>Lightronics Columba</t>
  </si>
  <si>
    <t>SON-T PIA PLUS 400W</t>
  </si>
  <si>
    <t>LED Fortimo LLM 2200</t>
  </si>
  <si>
    <t>HPL-N   50W</t>
  </si>
  <si>
    <t>LW10 GRN25/840 DRW P</t>
  </si>
  <si>
    <t>LED2WELL 2150 lumen</t>
  </si>
  <si>
    <t>64 LED Economy line</t>
  </si>
  <si>
    <t>PLL 24 W</t>
  </si>
  <si>
    <t>SON-T  50W</t>
  </si>
  <si>
    <t>SOX/E 26W</t>
  </si>
  <si>
    <t>8 LED 22W WW 2500LM</t>
  </si>
  <si>
    <t>GRN23 /WW PSU CLO SR</t>
  </si>
  <si>
    <t>48 LED GRN24-S/WW/30</t>
  </si>
  <si>
    <t>SON-TC150W</t>
  </si>
  <si>
    <t>LED LXML/WW 31W I MS</t>
  </si>
  <si>
    <t>Mikana Cercle op vor</t>
  </si>
  <si>
    <t>LW10 GRN15/840 DRW P</t>
  </si>
  <si>
    <t>Aura Universal Therm</t>
  </si>
  <si>
    <t>RX210143-V-Angle Str</t>
  </si>
  <si>
    <t>Lightronics White Z3</t>
  </si>
  <si>
    <t>20 LED GRN22 20W 220</t>
  </si>
  <si>
    <t>Tritec LED module 26</t>
  </si>
  <si>
    <t>TLD X 58 W</t>
  </si>
  <si>
    <t>TL-D SUPER 80 36W/83</t>
  </si>
  <si>
    <t>TLD   18 W</t>
  </si>
  <si>
    <t>18 LED Retroled 16W</t>
  </si>
  <si>
    <t>Saled Led tube T8 Go</t>
  </si>
  <si>
    <t>PLT  26 W 4P</t>
  </si>
  <si>
    <t>20 LED Philips Rebel</t>
  </si>
  <si>
    <t>Mikana Cercle 2250 l</t>
  </si>
  <si>
    <t>BDP102 PCC LED 20 DR</t>
  </si>
  <si>
    <t>TLD 36/77</t>
  </si>
  <si>
    <t>Ventego 65</t>
  </si>
  <si>
    <t>RX200040-V-Angle Str</t>
  </si>
  <si>
    <t>Titan SMD LED 1540Lm</t>
  </si>
  <si>
    <t>Modernista Space A-S</t>
  </si>
  <si>
    <t>18 LED WRN 18 DS-WW</t>
  </si>
  <si>
    <t>LW10 BEGA 66453 K3</t>
  </si>
  <si>
    <t>288 SMD Led 4000K</t>
  </si>
  <si>
    <t>LEVO LED 25W 500mA 3</t>
  </si>
  <si>
    <t>Saled Led PS-L 9W 4-</t>
  </si>
  <si>
    <t>U LED module sym 34W</t>
  </si>
  <si>
    <t>LW10 GRN30/840 DRW P</t>
  </si>
  <si>
    <t>PLT  32 W</t>
  </si>
  <si>
    <t>PLT  42 W</t>
  </si>
  <si>
    <t>SDW-T 100W</t>
  </si>
  <si>
    <t>MHN-TD 70W</t>
  </si>
  <si>
    <t>TLD   36 W</t>
  </si>
  <si>
    <t>TLD   58 W</t>
  </si>
  <si>
    <t>SDW-T  50W</t>
  </si>
  <si>
    <t>12 LED DW10 DD  15W</t>
  </si>
  <si>
    <t>Saled Led PS-L 40W 4</t>
  </si>
  <si>
    <t>LED kit LA-Residenza</t>
  </si>
  <si>
    <t>CDM-T 20W</t>
  </si>
  <si>
    <t>12 LED Revoled 2550</t>
  </si>
  <si>
    <t>104 LED 8488 Lumen 2</t>
  </si>
  <si>
    <t>TL 58W/84/4000</t>
  </si>
  <si>
    <t>MASTER LEDtube VLE 1</t>
  </si>
  <si>
    <t>PLT  26 W 2P</t>
  </si>
  <si>
    <t>HCI-TS 250W Powerbal</t>
  </si>
  <si>
    <t>SILL 155 LED Blauw 1</t>
  </si>
  <si>
    <t>SILL 155 LED Blauw 2</t>
  </si>
  <si>
    <t>U LED module sym 22W</t>
  </si>
  <si>
    <t>! OMA 16 LED</t>
  </si>
  <si>
    <t>SOX/E 18W</t>
  </si>
  <si>
    <t>16 LED Columba 1200L</t>
  </si>
  <si>
    <t>BGP490 LLM2200</t>
  </si>
  <si>
    <t>LEVO Q LED 25W 500mA</t>
  </si>
  <si>
    <t>BGP761 LED69-4S/840</t>
  </si>
  <si>
    <t>12 LED Greenline 11W</t>
  </si>
  <si>
    <t>TLM  65 W</t>
  </si>
  <si>
    <t>CDM-T 250W</t>
  </si>
  <si>
    <t>U LED module sym 18W</t>
  </si>
  <si>
    <t>36 LED 73W 6350 Lume</t>
  </si>
  <si>
    <t>U LED module sym 11W</t>
  </si>
  <si>
    <t>BEGA 55830</t>
  </si>
  <si>
    <t>LEVO LED 20W 350ma 3</t>
  </si>
  <si>
    <t>CDO-ET150W</t>
  </si>
  <si>
    <t>MHN-TD150W</t>
  </si>
  <si>
    <t>BGP760 LW10 LED44/83</t>
  </si>
  <si>
    <t>Venture HIT 400W EUR</t>
  </si>
  <si>
    <t>144 LED LENSOFLEX2 2</t>
  </si>
  <si>
    <t>Obstivision LED unit</t>
  </si>
  <si>
    <t>20 Leds 23W WW 3000L</t>
  </si>
  <si>
    <t>SL   18 W</t>
  </si>
  <si>
    <t>SON-T 400W</t>
  </si>
  <si>
    <t>LLM 3100</t>
  </si>
  <si>
    <t>Classic LED bulb ND</t>
  </si>
  <si>
    <t>Luxeon K2 LED 15cd 5</t>
  </si>
  <si>
    <t>TLS  20 W</t>
  </si>
  <si>
    <t>TLD  36-1W</t>
  </si>
  <si>
    <t>TYPE_LAMP (Alles zonder kleur temperatuur of 1000 K?)</t>
  </si>
  <si>
    <t>Kleurtemperatuur</t>
  </si>
  <si>
    <t>hier moet zwaailicht op. Groenaandeel in kleurtemperatuur is te hoog</t>
  </si>
  <si>
    <t>Test</t>
  </si>
  <si>
    <t>Alpenlaan 035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</si>
</sst>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26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9" fontId="2" fillId="0" borderId="0" xfId="1" applyFont="1" applyAlignment="1">
      <alignment horizontal="center" vertical="center" wrapText="1"/>
    </xf>
    <xf numFmtId="9" fontId="0" fillId="0" borderId="0" xfId="1" applyFont="1"/>
    <xf numFmtId="0" fontId="0" fillId="3" borderId="6" xfId="0" applyFill="1" applyBorder="1"/>
    <xf numFmtId="0" fontId="0" fillId="4" borderId="6" xfId="0" applyFill="1" applyBorder="1"/>
    <xf numFmtId="0" fontId="5" fillId="2" borderId="2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9" fontId="5" fillId="2" borderId="4" xfId="1" applyFont="1" applyFill="1" applyBorder="1" applyAlignment="1">
      <alignment horizontal="center" vertical="center" wrapText="1"/>
    </xf>
    <xf numFmtId="0" fontId="0" fillId="3" borderId="5" xfId="0" applyFill="1" applyBorder="1" applyAlignment="1">
      <alignment vertical="center" wrapText="1"/>
    </xf>
    <xf numFmtId="0" fontId="0" fillId="3" borderId="6" xfId="0" applyFill="1" applyBorder="1" applyAlignment="1">
      <alignment vertical="center" wrapText="1"/>
    </xf>
    <xf numFmtId="9" fontId="0" fillId="3" borderId="7" xfId="1" applyFont="1" applyFill="1" applyBorder="1"/>
    <xf numFmtId="0" fontId="0" fillId="4" borderId="5" xfId="0" applyFill="1" applyBorder="1" applyAlignment="1">
      <alignment vertical="center" wrapText="1"/>
    </xf>
    <xf numFmtId="0" fontId="0" fillId="4" borderId="6" xfId="0" applyFill="1" applyBorder="1" applyAlignment="1">
      <alignment vertical="center" wrapText="1"/>
    </xf>
    <xf numFmtId="9" fontId="0" fillId="4" borderId="7" xfId="1" applyFont="1" applyFill="1" applyBorder="1"/>
    <xf numFmtId="0" fontId="0" fillId="4" borderId="8" xfId="0" applyFill="1" applyBorder="1" applyAlignment="1">
      <alignment vertical="center" wrapText="1"/>
    </xf>
    <xf numFmtId="0" fontId="0" fillId="4" borderId="9" xfId="0" applyFill="1" applyBorder="1" applyAlignment="1">
      <alignment vertical="center" wrapText="1"/>
    </xf>
    <xf numFmtId="0" fontId="0" fillId="4" borderId="9" xfId="0" applyFill="1" applyBorder="1"/>
    <xf numFmtId="9" fontId="0" fillId="4" borderId="10" xfId="1" applyFont="1" applyFill="1" applyBorder="1"/>
    <xf numFmtId="0" fontId="6" fillId="0" borderId="1" xfId="0" applyFont="1" applyBorder="1" applyAlignment="1">
      <alignment horizontal="center" vertical="top"/>
    </xf>
    <xf numFmtId="0" fontId="0" fillId="3" borderId="9" xfId="0" applyNumberFormat="1" applyFont="1" applyFill="1" applyBorder="1"/>
    <xf numFmtId="0" fontId="0" fillId="0" borderId="0" xfId="0" applyNumberFormat="1"/>
  </cellXfs>
  <cellStyles count="2">
    <cellStyle name="Normal" xfId="0" builtinId="0"/>
    <cellStyle name="Percent" xfId="1" builtinId="5"/>
  </cellStyles>
  <dxfs count="11">
    <dxf>
      <numFmt numFmtId="2" formatCode="0.0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Data_quality!$E$1</c:f>
              <c:strCache>
                <c:ptCount val="1"/>
                <c:pt idx="0">
                  <c:v>Percent Missing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Data_quality!$A$2:$A$44</c:f>
              <c:strCache>
                <c:ptCount val="43"/>
                <c:pt idx="0">
                  <c:v>straatnaam+identificatie_mast    A</c:v>
                </c:pt>
                <c:pt idx="1">
                  <c:v>OBJECTID                         B</c:v>
                </c:pt>
                <c:pt idx="2">
                  <c:v>STADSDEEL                        C</c:v>
                </c:pt>
                <c:pt idx="3">
                  <c:v>WIJK                              D</c:v>
                </c:pt>
                <c:pt idx="4">
                  <c:v>BUURT                             E</c:v>
                </c:pt>
                <c:pt idx="5">
                  <c:v>STRAATNAAM                        F</c:v>
                </c:pt>
                <c:pt idx="6">
                  <c:v>WEGVAK                            G</c:v>
                </c:pt>
                <c:pt idx="7">
                  <c:v>IDENTIFICATIE                     H</c:v>
                </c:pt>
                <c:pt idx="8">
                  <c:v>LOKATIE                           I</c:v>
                </c:pt>
                <c:pt idx="9">
                  <c:v>EIGENAAR                          J</c:v>
                </c:pt>
                <c:pt idx="10">
                  <c:v>X                                 K</c:v>
                </c:pt>
                <c:pt idx="11">
                  <c:v>Y                                 L</c:v>
                </c:pt>
                <c:pt idx="12">
                  <c:v>IDENTIFICATIE_LAMP                M</c:v>
                </c:pt>
                <c:pt idx="13">
                  <c:v>TYPE_LAMP                         N</c:v>
                </c:pt>
                <c:pt idx="14">
                  <c:v>DATUM_PLAATSING_LAMP              O</c:v>
                </c:pt>
                <c:pt idx="15">
                  <c:v>DATUM_ONDERHOUD_LAMP              P</c:v>
                </c:pt>
                <c:pt idx="16">
                  <c:v>SOORT_LAMP                        Q</c:v>
                </c:pt>
                <c:pt idx="17">
                  <c:v>KLEUR_LAMP                        R</c:v>
                </c:pt>
                <c:pt idx="18">
                  <c:v>WATTAGE_LAMP                      S</c:v>
                </c:pt>
                <c:pt idx="19">
                  <c:v>LUMEN_LAMP                        T</c:v>
                </c:pt>
                <c:pt idx="20">
                  <c:v>RA_WAARDE_LAMP                    U</c:v>
                </c:pt>
                <c:pt idx="21">
                  <c:v>FITTING_LAMP                      V</c:v>
                </c:pt>
                <c:pt idx="22">
                  <c:v>SCHAKELSCHEMA_LAMP                W</c:v>
                </c:pt>
                <c:pt idx="23">
                  <c:v>IDENTIFICATIE_ARMATUUR            X</c:v>
                </c:pt>
                <c:pt idx="24">
                  <c:v>TYPE_ARMATUUR                     Y</c:v>
                </c:pt>
                <c:pt idx="25">
                  <c:v>DATUM_PLAATSING_ARMATUUR          Z</c:v>
                </c:pt>
                <c:pt idx="26">
                  <c:v>DATUM_ONDERHOUD_ARMATUUR          AA</c:v>
                </c:pt>
                <c:pt idx="27">
                  <c:v>LPH_ARMATUUR                      AB</c:v>
                </c:pt>
                <c:pt idx="28">
                  <c:v>BRANDSTAND_ARMATUUR               AC</c:v>
                </c:pt>
                <c:pt idx="29">
                  <c:v>IDENTIFICATIE_DRAGER_MAST         AD</c:v>
                </c:pt>
                <c:pt idx="30">
                  <c:v>TYPE_DRAGER_MAST                  AE</c:v>
                </c:pt>
                <c:pt idx="31">
                  <c:v>DATUM_PLAATSING_DRAGER_MAST       AF</c:v>
                </c:pt>
                <c:pt idx="32">
                  <c:v>DATUM_ONDERHOUD_DRAGER_MAST       AG</c:v>
                </c:pt>
                <c:pt idx="33">
                  <c:v>IDENTIFICATIE_DRAGER_UITHOUDER    AH</c:v>
                </c:pt>
                <c:pt idx="34">
                  <c:v>TYPE_DRAGER_UITHOUDER             AI</c:v>
                </c:pt>
                <c:pt idx="35">
                  <c:v>DATUM_PLAATSING_DRAGER_UITHOUD    AJ</c:v>
                </c:pt>
                <c:pt idx="36">
                  <c:v>DATUM_ONDERHOUD_DRAGER_UITHOUD    AK</c:v>
                </c:pt>
                <c:pt idx="37">
                  <c:v>geo_shape                         AL</c:v>
                </c:pt>
                <c:pt idx="38">
                  <c:v>geo_point_2d                      AM</c:v>
                </c:pt>
                <c:pt idx="39">
                  <c:v>Locat                            AN</c:v>
                </c:pt>
                <c:pt idx="40">
                  <c:v>TYPE_LAMP.1                       AO</c:v>
                </c:pt>
                <c:pt idx="41">
                  <c:v>CK_IN_KELVIN                      AP</c:v>
                </c:pt>
                <c:pt idx="42">
                  <c:v>Manufacturer                      AQ</c:v>
                </c:pt>
              </c:strCache>
            </c:strRef>
          </c:cat>
          <c:val>
            <c:numRef>
              <c:f>Data_quality!$E$2:$E$44</c:f>
              <c:numCache>
                <c:formatCode>0%</c:formatCode>
                <c:ptCount val="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0.5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0.5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68-48F4-804B-0BEB1B5F2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82450272"/>
        <c:axId val="982450752"/>
      </c:barChart>
      <c:catAx>
        <c:axId val="98245027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82450752"/>
        <c:crosses val="autoZero"/>
        <c:auto val="1"/>
        <c:lblAlgn val="ctr"/>
        <c:lblOffset val="100"/>
        <c:noMultiLvlLbl val="0"/>
      </c:catAx>
      <c:valAx>
        <c:axId val="982450752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98245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Helper_table!$C$1</c:f>
              <c:strCache>
                <c:ptCount val="1"/>
                <c:pt idx="0">
                  <c:v>Missing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N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Helper_table!$A$2:$A$57</c:f>
              <c:strCache>
                <c:ptCount val="18"/>
                <c:pt idx="0">
                  <c:v>WEGVAK                            G</c:v>
                </c:pt>
                <c:pt idx="1">
                  <c:v>LOKATIE                           I</c:v>
                </c:pt>
                <c:pt idx="2">
                  <c:v>DATUM_ONDERHOUD_LAMP              P</c:v>
                </c:pt>
                <c:pt idx="3">
                  <c:v>SOORT_LAMP                        Q</c:v>
                </c:pt>
                <c:pt idx="4">
                  <c:v>KLEUR_LAMP                        R</c:v>
                </c:pt>
                <c:pt idx="5">
                  <c:v>RA_WAARDE_LAMP                    U</c:v>
                </c:pt>
                <c:pt idx="6">
                  <c:v>SCHAKELSCHEMA_LAMP                W</c:v>
                </c:pt>
                <c:pt idx="7">
                  <c:v>IDENTIFICATIE_ARMATUUR            X</c:v>
                </c:pt>
                <c:pt idx="8">
                  <c:v>BRANDSTAND_ARMATUUR               AC</c:v>
                </c:pt>
                <c:pt idx="9">
                  <c:v>IDENTIFICATIE_DRAGER_MAST         AD</c:v>
                </c:pt>
                <c:pt idx="10">
                  <c:v>TYPE_DRAGER_MAST                  AE</c:v>
                </c:pt>
                <c:pt idx="11">
                  <c:v>DATUM_PLAATSING_DRAGER_MAST       AF</c:v>
                </c:pt>
                <c:pt idx="12">
                  <c:v>DATUM_ONDERHOUD_DRAGER_MAST       AG</c:v>
                </c:pt>
                <c:pt idx="13">
                  <c:v>IDENTIFICATIE_DRAGER_UITHOUDER    AH</c:v>
                </c:pt>
                <c:pt idx="14">
                  <c:v>TYPE_DRAGER_UITHOUDER             AI</c:v>
                </c:pt>
                <c:pt idx="15">
                  <c:v>DATUM_PLAATSING_DRAGER_UITHOUD    AJ</c:v>
                </c:pt>
                <c:pt idx="16">
                  <c:v>DATUM_ONDERHOUD_DRAGER_UITHOUD    AK</c:v>
                </c:pt>
                <c:pt idx="17">
                  <c:v>CK_IN_KELVIN                      AP</c:v>
                </c:pt>
              </c:strCache>
            </c:strRef>
          </c:cat>
          <c:val>
            <c:numRef>
              <c:f>Helper_table!$C$2:$C$57</c:f>
              <c:numCache>
                <c:formatCode>General</c:formatCode>
                <c:ptCount val="56"/>
                <c:pt idx="0">
                  <c:v>1</c:v>
                </c:pt>
                <c:pt idx="1">
                  <c:v>54747</c:v>
                </c:pt>
                <c:pt idx="2">
                  <c:v>268</c:v>
                </c:pt>
                <c:pt idx="3">
                  <c:v>591</c:v>
                </c:pt>
                <c:pt idx="4">
                  <c:v>12686</c:v>
                </c:pt>
                <c:pt idx="5">
                  <c:v>1</c:v>
                </c:pt>
                <c:pt idx="6">
                  <c:v>188</c:v>
                </c:pt>
                <c:pt idx="7">
                  <c:v>964</c:v>
                </c:pt>
                <c:pt idx="8">
                  <c:v>15386</c:v>
                </c:pt>
                <c:pt idx="9">
                  <c:v>33947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42092</c:v>
                </c:pt>
                <c:pt idx="14">
                  <c:v>38505</c:v>
                </c:pt>
                <c:pt idx="15">
                  <c:v>38505</c:v>
                </c:pt>
                <c:pt idx="16">
                  <c:v>38505</c:v>
                </c:pt>
                <c:pt idx="17">
                  <c:v>45876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A2-44AC-BD46-F32D9CEABF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1049639904"/>
        <c:axId val="1049637024"/>
      </c:barChart>
      <c:catAx>
        <c:axId val="104963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049637024"/>
        <c:crosses val="autoZero"/>
        <c:auto val="1"/>
        <c:lblAlgn val="ctr"/>
        <c:lblOffset val="100"/>
        <c:noMultiLvlLbl val="0"/>
      </c:catAx>
      <c:valAx>
        <c:axId val="10496370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4963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Helper_table!$C$1</c:f>
              <c:strCache>
                <c:ptCount val="1"/>
                <c:pt idx="0">
                  <c:v>Missing Count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Helper_table!$A$2:$A$57</c:f>
              <c:strCache>
                <c:ptCount val="18"/>
                <c:pt idx="0">
                  <c:v>WEGVAK                            G</c:v>
                </c:pt>
                <c:pt idx="1">
                  <c:v>LOKATIE                           I</c:v>
                </c:pt>
                <c:pt idx="2">
                  <c:v>DATUM_ONDERHOUD_LAMP              P</c:v>
                </c:pt>
                <c:pt idx="3">
                  <c:v>SOORT_LAMP                        Q</c:v>
                </c:pt>
                <c:pt idx="4">
                  <c:v>KLEUR_LAMP                        R</c:v>
                </c:pt>
                <c:pt idx="5">
                  <c:v>RA_WAARDE_LAMP                    U</c:v>
                </c:pt>
                <c:pt idx="6">
                  <c:v>SCHAKELSCHEMA_LAMP                W</c:v>
                </c:pt>
                <c:pt idx="7">
                  <c:v>IDENTIFICATIE_ARMATUUR            X</c:v>
                </c:pt>
                <c:pt idx="8">
                  <c:v>BRANDSTAND_ARMATUUR               AC</c:v>
                </c:pt>
                <c:pt idx="9">
                  <c:v>IDENTIFICATIE_DRAGER_MAST         AD</c:v>
                </c:pt>
                <c:pt idx="10">
                  <c:v>TYPE_DRAGER_MAST                  AE</c:v>
                </c:pt>
                <c:pt idx="11">
                  <c:v>DATUM_PLAATSING_DRAGER_MAST       AF</c:v>
                </c:pt>
                <c:pt idx="12">
                  <c:v>DATUM_ONDERHOUD_DRAGER_MAST       AG</c:v>
                </c:pt>
                <c:pt idx="13">
                  <c:v>IDENTIFICATIE_DRAGER_UITHOUDER    AH</c:v>
                </c:pt>
                <c:pt idx="14">
                  <c:v>TYPE_DRAGER_UITHOUDER             AI</c:v>
                </c:pt>
                <c:pt idx="15">
                  <c:v>DATUM_PLAATSING_DRAGER_UITHOUD    AJ</c:v>
                </c:pt>
                <c:pt idx="16">
                  <c:v>DATUM_ONDERHOUD_DRAGER_UITHOUD    AK</c:v>
                </c:pt>
                <c:pt idx="17">
                  <c:v>CK_IN_KELVIN                      AP</c:v>
                </c:pt>
              </c:strCache>
            </c:strRef>
          </c:cat>
          <c:val>
            <c:numRef>
              <c:f>Helper_table!$C$2:$C$57</c:f>
              <c:numCache>
                <c:formatCode>General</c:formatCode>
                <c:ptCount val="56"/>
                <c:pt idx="0">
                  <c:v>1</c:v>
                </c:pt>
                <c:pt idx="1">
                  <c:v>54747</c:v>
                </c:pt>
                <c:pt idx="2">
                  <c:v>268</c:v>
                </c:pt>
                <c:pt idx="3">
                  <c:v>591</c:v>
                </c:pt>
                <c:pt idx="4">
                  <c:v>12686</c:v>
                </c:pt>
                <c:pt idx="5">
                  <c:v>1</c:v>
                </c:pt>
                <c:pt idx="6">
                  <c:v>188</c:v>
                </c:pt>
                <c:pt idx="7">
                  <c:v>964</c:v>
                </c:pt>
                <c:pt idx="8">
                  <c:v>15386</c:v>
                </c:pt>
                <c:pt idx="9">
                  <c:v>33947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42092</c:v>
                </c:pt>
                <c:pt idx="14">
                  <c:v>38505</c:v>
                </c:pt>
                <c:pt idx="15">
                  <c:v>38505</c:v>
                </c:pt>
                <c:pt idx="16">
                  <c:v>38505</c:v>
                </c:pt>
                <c:pt idx="17">
                  <c:v>45876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D-4D00-983C-0DD895245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9639904"/>
        <c:axId val="1049637024"/>
      </c:barChart>
      <c:catAx>
        <c:axId val="104963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049637024"/>
        <c:crosses val="autoZero"/>
        <c:auto val="1"/>
        <c:lblAlgn val="ctr"/>
        <c:lblOffset val="100"/>
        <c:noMultiLvlLbl val="0"/>
      </c:catAx>
      <c:valAx>
        <c:axId val="104963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1049639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</xdr:colOff>
      <xdr:row>0</xdr:row>
      <xdr:rowOff>1076324</xdr:rowOff>
    </xdr:from>
    <xdr:to>
      <xdr:col>14</xdr:col>
      <xdr:colOff>474345</xdr:colOff>
      <xdr:row>33</xdr:row>
      <xdr:rowOff>123824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7D1BDFF-E6D6-FCD8-A254-FCB7AC4D89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523874</xdr:colOff>
      <xdr:row>0</xdr:row>
      <xdr:rowOff>1038225</xdr:rowOff>
    </xdr:from>
    <xdr:to>
      <xdr:col>23</xdr:col>
      <xdr:colOff>188595</xdr:colOff>
      <xdr:row>20</xdr:row>
      <xdr:rowOff>169545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7AD5957-6550-4CA8-B2F0-556ED78DA0C1}"/>
            </a:ext>
            <a:ext uri="{147F2762-F138-4A5C-976F-8EAC2B608ADB}">
              <a16:predDERef xmlns:a16="http://schemas.microsoft.com/office/drawing/2014/main" pred="{D7D1BDFF-E6D6-FCD8-A254-FCB7AC4D8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395287</xdr:colOff>
      <xdr:row>3</xdr:row>
      <xdr:rowOff>900112</xdr:rowOff>
    </xdr:from>
    <xdr:to>
      <xdr:col>16</xdr:col>
      <xdr:colOff>90487</xdr:colOff>
      <xdr:row>8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BB21BF-EC67-4841-308C-12E70A44F8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40CD54-3087-46D3-A6A0-EB5E3F37CA7E}" name="Table2" displayName="Table2" ref="A1:F44" totalsRowShown="0" headerRowDxfId="10" dataDxfId="9">
  <autoFilter ref="A1:F44" xr:uid="{8A40CD54-3087-46D3-A6A0-EB5E3F37CA7E}"/>
  <tableColumns count="6">
    <tableColumn id="1" xr3:uid="{A7DA48A9-9F76-491A-B765-91B3F25039B7}" name="A (Column Name)" dataDxfId="8"/>
    <tableColumn id="2" xr3:uid="{2B68391F-2598-43C5-994B-0AE7DCE9E418}" name="B (Excel Column Letter)" dataDxfId="7"/>
    <tableColumn id="3" xr3:uid="{321B5030-D466-42D0-91F7-FB5D2BC0D001}" name="Missing Count" dataDxfId="6">
      <calculatedColumnFormula>COUNTBLANK(INDIRECT("'" &amp; "Main_data" &amp; "'!" &amp; B2 &amp; "2:" &amp; B2 &amp; MATCH("zzz", INDIRECT("'" &amp; "Main_data" &amp; "'!" &amp; B2 &amp; ":" &amp; B2), 1)))</calculatedColumnFormula>
    </tableColumn>
    <tableColumn id="4" xr3:uid="{A1E60118-958C-4FE3-B52E-D238F83D69C5}" name="Total Count">
      <calculatedColumnFormula>COUNTA(INDIRECT("'" &amp; "Sheet1" &amp; "'!" &amp; B2 &amp; "2:" &amp; B2 &amp; "60000"))</calculatedColumnFormula>
    </tableColumn>
    <tableColumn id="5" xr3:uid="{68EC5838-A958-4BA9-9E2D-A4229D5AEECF}" name="Percent Missing" dataDxfId="5">
      <calculatedColumnFormula>IFERROR(C2 / (C2 + D2), 0)</calculatedColumnFormula>
    </tableColumn>
    <tableColumn id="6" xr3:uid="{2D8934D4-67A3-400C-8457-49F1F322D12D}" name="Column1" dataDxf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75EB68-31B5-40AF-BE3D-09022C56C3E3}" name="Table1" displayName="Table1" ref="A1:AS2" totalsRowShown="0" headerRowDxfId="3" headerRowBorderDxfId="2" tableBorderDxfId="1">
  <autoFilter ref="A1:AS2" xr:uid="{F575EB68-31B5-40AF-BE3D-09022C56C3E3}"/>
  <tableColumns count="45">
    <tableColumn id="1" xr3:uid="{A1EC0668-1958-4B87-B788-29D99E220861}" name="straatnaam+identificatie_mast"/>
    <tableColumn id="2" xr3:uid="{7AF7E3D0-ACFA-48DD-889F-A6B40B9354C9}" name="OBJECTID"/>
    <tableColumn id="3" xr3:uid="{A0CD6556-EFA9-45BE-AE04-BC47D5820E90}" name="STADSDEEL"/>
    <tableColumn id="4" xr3:uid="{539BF95B-4946-430E-BDA5-00D99038DF9A}" name="WIJK"/>
    <tableColumn id="5" xr3:uid="{FF73AB2A-7477-4CE9-8900-CD242E64B23B}" name="BUURT"/>
    <tableColumn id="6" xr3:uid="{25545A2B-378C-4D69-887D-F6E408D228B8}" name="STRAATNAAM"/>
    <tableColumn id="7" xr3:uid="{4116AE82-E85C-4C6A-8798-B48F7B9AA92A}" name="WEGVAK"/>
    <tableColumn id="8" xr3:uid="{602FCBE6-A866-4EAB-9984-FE43429A24AE}" name="IDENTIFICATIE"/>
    <tableColumn id="9" xr3:uid="{1FF466F9-3DDF-4AF7-883F-90635B9453DD}" name="LOKATIE"/>
    <tableColumn id="10" xr3:uid="{6FFAB465-9F08-4068-A798-ABBF693ED3B6}" name="EIGENAAR"/>
    <tableColumn id="11" xr3:uid="{F548EFC5-7AF8-4B5C-9514-74B59D635626}" name="X"/>
    <tableColumn id="12" xr3:uid="{5BFE74EB-8300-423A-9440-AF037B8CED7C}" name="Y"/>
    <tableColumn id="13" xr3:uid="{F65EAC78-F805-40DF-B4B2-09518BC022AA}" name="IDENTIFICATIE_LAMP"/>
    <tableColumn id="14" xr3:uid="{DBC92D4A-6B2F-408A-A79B-6A1DD91A9388}" name="TYPE_LAMP"/>
    <tableColumn id="15" xr3:uid="{11F4DEEB-2FC7-4C5B-8A9A-98C11A267DD8}" name="DATUM_PLAATSING_LAMP"/>
    <tableColumn id="16" xr3:uid="{9D57EB8C-2135-4F24-A00A-9CDB53C1FD77}" name="DATUM_ONDERHOUD_LAMP"/>
    <tableColumn id="17" xr3:uid="{A3D52401-E57C-496D-B610-9A8BE8985677}" name="SOORT_LAMP"/>
    <tableColumn id="18" xr3:uid="{3D1F1BB8-EA7B-4EAB-9B2E-76C31AE84F06}" name="KLEUR_LAMP"/>
    <tableColumn id="19" xr3:uid="{20702B9D-8AEC-4FCF-A4BC-DF301CD6C31B}" name="WATTAGE_LAMP"/>
    <tableColumn id="20" xr3:uid="{33C9ACC9-D107-4140-8F7F-72EC5BC4A842}" name="LUMEN_LAMP"/>
    <tableColumn id="21" xr3:uid="{4D17D30A-05C7-4580-89FF-E9C148E24BFB}" name="RA_WAARDE_LAMP"/>
    <tableColumn id="22" xr3:uid="{D3262297-947F-4165-8445-29D3082DDD7A}" name="FITTING_LAMP"/>
    <tableColumn id="23" xr3:uid="{72FA19C7-616C-44BB-B643-DEC04A0F488F}" name="SCHAKELSCHEMA_LAMP"/>
    <tableColumn id="24" xr3:uid="{BFE4B8E0-C577-454F-B1E7-D9CA71BF096E}" name="IDENTIFICATIE_ARMATUUR"/>
    <tableColumn id="25" xr3:uid="{518DF394-C26A-4611-BCB0-7B13D094AFA8}" name="TYPE_ARMATUUR"/>
    <tableColumn id="26" xr3:uid="{80CA1470-6A88-4842-AAAB-A70485BB0FDD}" name="DATUM_PLAATSING_ARMATUUR"/>
    <tableColumn id="27" xr3:uid="{889C594E-2A36-409F-A6F9-A811227D697F}" name="DATUM_ONDERHOUD_ARMATUUR"/>
    <tableColumn id="28" xr3:uid="{8CEECAF9-2BF5-4AA3-B43E-42AAC46DF2CE}" name="LPH_ARMATUUR"/>
    <tableColumn id="29" xr3:uid="{03818081-6CE7-41C4-91F1-DBF682418D2D}" name="BRANDSTAND_ARMATUUR"/>
    <tableColumn id="30" xr3:uid="{7AC69B5E-6D44-4B7F-9A9C-DCF720C221E1}" name="IDENTIFICATIE_DRAGER_MAST"/>
    <tableColumn id="31" xr3:uid="{A93E1404-DC38-4BA2-B7D1-4DC35C53C815}" name="TYPE_DRAGER_MAST"/>
    <tableColumn id="32" xr3:uid="{C8774BF0-68B5-40D5-933A-4CD55C02FDAD}" name="DATUM_PLAATSING_DRAGER_MAST"/>
    <tableColumn id="33" xr3:uid="{BBAF217A-CA4E-4427-BDD1-BD1184BD226E}" name="DATUM_ONDERHOUD_DRAGER_MAST"/>
    <tableColumn id="34" xr3:uid="{B171ECB2-FA44-4CAA-B0B8-EAE1650F9573}" name="IDENTIFICATIE_DRAGER_UITHOUDER"/>
    <tableColumn id="35" xr3:uid="{AFBB4DDB-8487-4813-8E92-942B56129ED7}" name="TYPE_DRAGER_UITHOUDER"/>
    <tableColumn id="36" xr3:uid="{09291161-CD29-49E2-AF18-A15D26BA6813}" name="DATUM_PLAATSING_DRAGER_UITHOUD"/>
    <tableColumn id="37" xr3:uid="{C401A88A-6E1B-4896-8F19-D331411ADB34}" name="DATUM_ONDERHOUD_DRAGER_UITHOUD"/>
    <tableColumn id="38" xr3:uid="{B59946A1-6395-42F6-A08B-E1455D09CBAB}" name="geo_shape"/>
    <tableColumn id="39" xr3:uid="{0B6E577D-1F03-40CF-8921-6AFD7272718C}" name="geo_point_2d"/>
    <tableColumn id="40" xr3:uid="{EA383047-09E7-464C-8570-4624F1149FEF}" name="Locat"/>
    <tableColumn id="41" xr3:uid="{1FDECD28-F24D-4FEE-9035-FCA862A7724F}" name="TYPE_LAMP.1"/>
    <tableColumn id="43" xr3:uid="{30C3333D-84F5-4C70-BDEA-0E254E049FA0}" name="CK_IN_KELVIN" dataDxfId="0"/>
    <tableColumn id="42" xr3:uid="{BE5C8CB3-054C-4DFF-A6F5-95AB273EB9F5}" name="Nature"/>
    <tableColumn id="44" xr3:uid="{EF6E5EC7-565A-4934-AEC9-4CA10121B978}" name="Human"/>
    <tableColumn id="45" xr3:uid="{60DDAC26-B978-4CE9-A380-F737AA93A3DC}" name="Effici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A3389-D340-4D0F-9894-BC6EACCE991D}">
  <dimension ref="A1:F44"/>
  <sheetViews>
    <sheetView workbookViewId="0">
      <selection activeCell="C29" sqref="C29"/>
    </sheetView>
  </sheetViews>
  <sheetFormatPr defaultRowHeight="14.4" x14ac:dyDescent="0.3"/>
  <cols>
    <col min="1" max="1" width="19" customWidth="1"/>
    <col min="2" max="2" width="5.88671875" customWidth="1"/>
    <col min="3" max="3" width="15.109375" customWidth="1"/>
    <col min="4" max="4" width="12.77734375" customWidth="1"/>
    <col min="5" max="5" width="16.77734375" style="7" customWidth="1"/>
  </cols>
  <sheetData>
    <row r="1" spans="1:6" ht="84.6" customHeight="1" x14ac:dyDescent="0.3">
      <c r="A1" s="5" t="s">
        <v>0</v>
      </c>
      <c r="B1" s="5" t="s">
        <v>1</v>
      </c>
      <c r="C1" s="5" t="s">
        <v>2</v>
      </c>
      <c r="D1" s="5" t="s">
        <v>3</v>
      </c>
      <c r="E1" s="6" t="s">
        <v>4</v>
      </c>
      <c r="F1" s="5" t="s">
        <v>5</v>
      </c>
    </row>
    <row r="2" spans="1:6" ht="28.8" x14ac:dyDescent="0.3">
      <c r="A2" s="4" t="s">
        <v>6</v>
      </c>
      <c r="B2" s="4" t="s">
        <v>7</v>
      </c>
      <c r="C2" s="4">
        <f t="shared" ref="C2:C44" ca="1" si="0">COUNTBLANK(INDIRECT("'" &amp; "Main_data" &amp; "'!" &amp; B2 &amp; "2:" &amp; B2 &amp; MATCH("zzz", INDIRECT("'" &amp; "Main_data" &amp; "'!" &amp; B2 &amp; ":" &amp; B2), 1)))</f>
        <v>0</v>
      </c>
      <c r="D2">
        <f ca="1">COUNTA(INDIRECT("'" &amp; "Sheet1" &amp; "'!" &amp; B2 &amp; "2:" &amp; B2 &amp; "60000"))</f>
        <v>1</v>
      </c>
      <c r="E2" s="7">
        <f ca="1">IFERROR(C2 / (C2 + D2), 0)</f>
        <v>0</v>
      </c>
      <c r="F2" s="4"/>
    </row>
    <row r="3" spans="1:6" ht="28.8" x14ac:dyDescent="0.3">
      <c r="A3" s="4" t="s">
        <v>8</v>
      </c>
      <c r="B3" s="4" t="s">
        <v>9</v>
      </c>
      <c r="C3" s="4">
        <f t="shared" ca="1" si="0"/>
        <v>0</v>
      </c>
      <c r="D3">
        <f t="shared" ref="D3:D44" ca="1" si="1">COUNTA(INDIRECT("'" &amp; "Sheet1" &amp; "'!" &amp; B3 &amp; "2:" &amp; B3 &amp; "60000"))</f>
        <v>1</v>
      </c>
      <c r="E3" s="7">
        <f t="shared" ref="E3:E44" ca="1" si="2">IFERROR(C3 / (C3 + D3), 0)</f>
        <v>0</v>
      </c>
      <c r="F3" s="4"/>
    </row>
    <row r="4" spans="1:6" ht="28.8" x14ac:dyDescent="0.3">
      <c r="A4" s="4" t="s">
        <v>10</v>
      </c>
      <c r="B4" s="4" t="s">
        <v>11</v>
      </c>
      <c r="C4" s="4">
        <f t="shared" ca="1" si="0"/>
        <v>0</v>
      </c>
      <c r="D4">
        <f t="shared" ca="1" si="1"/>
        <v>1</v>
      </c>
      <c r="E4" s="7">
        <f t="shared" ca="1" si="2"/>
        <v>0</v>
      </c>
      <c r="F4" s="4"/>
    </row>
    <row r="5" spans="1:6" ht="28.8" x14ac:dyDescent="0.3">
      <c r="A5" s="4" t="s">
        <v>12</v>
      </c>
      <c r="B5" s="4" t="s">
        <v>13</v>
      </c>
      <c r="C5" s="4">
        <f t="shared" ca="1" si="0"/>
        <v>0</v>
      </c>
      <c r="D5">
        <f t="shared" ca="1" si="1"/>
        <v>1</v>
      </c>
      <c r="E5" s="7">
        <f t="shared" ca="1" si="2"/>
        <v>0</v>
      </c>
      <c r="F5" s="4"/>
    </row>
    <row r="6" spans="1:6" ht="28.8" x14ac:dyDescent="0.3">
      <c r="A6" s="4" t="s">
        <v>14</v>
      </c>
      <c r="B6" s="4" t="s">
        <v>15</v>
      </c>
      <c r="C6" s="4">
        <f t="shared" ca="1" si="0"/>
        <v>0</v>
      </c>
      <c r="D6">
        <f t="shared" ca="1" si="1"/>
        <v>1</v>
      </c>
      <c r="E6" s="7">
        <f t="shared" ca="1" si="2"/>
        <v>0</v>
      </c>
      <c r="F6" s="4"/>
    </row>
    <row r="7" spans="1:6" ht="28.8" x14ac:dyDescent="0.3">
      <c r="A7" s="4" t="s">
        <v>16</v>
      </c>
      <c r="B7" s="4" t="s">
        <v>17</v>
      </c>
      <c r="C7" s="4">
        <f t="shared" ca="1" si="0"/>
        <v>0</v>
      </c>
      <c r="D7">
        <f t="shared" ca="1" si="1"/>
        <v>1</v>
      </c>
      <c r="E7" s="7">
        <f t="shared" ca="1" si="2"/>
        <v>0</v>
      </c>
      <c r="F7" s="4"/>
    </row>
    <row r="8" spans="1:6" ht="28.8" x14ac:dyDescent="0.3">
      <c r="A8" s="4" t="s">
        <v>18</v>
      </c>
      <c r="B8" s="4" t="s">
        <v>19</v>
      </c>
      <c r="C8" s="4">
        <f t="shared" ca="1" si="0"/>
        <v>1</v>
      </c>
      <c r="D8">
        <f t="shared" ca="1" si="1"/>
        <v>1</v>
      </c>
      <c r="E8" s="7">
        <f t="shared" ca="1" si="2"/>
        <v>0.5</v>
      </c>
      <c r="F8" s="4"/>
    </row>
    <row r="9" spans="1:6" ht="28.8" x14ac:dyDescent="0.3">
      <c r="A9" s="4" t="s">
        <v>20</v>
      </c>
      <c r="B9" s="4" t="s">
        <v>21</v>
      </c>
      <c r="C9" s="4">
        <f t="shared" ca="1" si="0"/>
        <v>0</v>
      </c>
      <c r="D9">
        <f t="shared" ca="1" si="1"/>
        <v>1</v>
      </c>
      <c r="E9" s="7">
        <f t="shared" ca="1" si="2"/>
        <v>0</v>
      </c>
      <c r="F9" s="4"/>
    </row>
    <row r="10" spans="1:6" ht="28.8" x14ac:dyDescent="0.3">
      <c r="A10" s="4" t="s">
        <v>22</v>
      </c>
      <c r="B10" s="4" t="s">
        <v>23</v>
      </c>
      <c r="C10" s="4">
        <f t="shared" ca="1" si="0"/>
        <v>1</v>
      </c>
      <c r="D10">
        <f t="shared" ca="1" si="1"/>
        <v>1</v>
      </c>
      <c r="E10" s="7">
        <f t="shared" ca="1" si="2"/>
        <v>0.5</v>
      </c>
      <c r="F10" s="4"/>
    </row>
    <row r="11" spans="1:6" ht="28.8" x14ac:dyDescent="0.3">
      <c r="A11" s="4" t="s">
        <v>24</v>
      </c>
      <c r="B11" s="4" t="s">
        <v>25</v>
      </c>
      <c r="C11" s="4">
        <f t="shared" ca="1" si="0"/>
        <v>0</v>
      </c>
      <c r="D11">
        <f t="shared" ca="1" si="1"/>
        <v>1</v>
      </c>
      <c r="E11" s="7">
        <f t="shared" ca="1" si="2"/>
        <v>0</v>
      </c>
      <c r="F11" s="4"/>
    </row>
    <row r="12" spans="1:6" x14ac:dyDescent="0.3">
      <c r="A12" s="4" t="s">
        <v>26</v>
      </c>
      <c r="B12" s="4" t="s">
        <v>27</v>
      </c>
      <c r="C12" s="4">
        <f t="shared" ca="1" si="0"/>
        <v>0</v>
      </c>
      <c r="D12">
        <f t="shared" ca="1" si="1"/>
        <v>1</v>
      </c>
      <c r="E12" s="7">
        <f t="shared" ca="1" si="2"/>
        <v>0</v>
      </c>
      <c r="F12" s="4"/>
    </row>
    <row r="13" spans="1:6" x14ac:dyDescent="0.3">
      <c r="A13" s="4" t="s">
        <v>28</v>
      </c>
      <c r="B13" s="4" t="s">
        <v>29</v>
      </c>
      <c r="C13" s="4">
        <f t="shared" ca="1" si="0"/>
        <v>0</v>
      </c>
      <c r="D13">
        <f t="shared" ca="1" si="1"/>
        <v>1</v>
      </c>
      <c r="E13" s="7">
        <f t="shared" ca="1" si="2"/>
        <v>0</v>
      </c>
      <c r="F13" s="4"/>
    </row>
    <row r="14" spans="1:6" ht="28.8" x14ac:dyDescent="0.3">
      <c r="A14" s="4" t="s">
        <v>30</v>
      </c>
      <c r="B14" s="4" t="s">
        <v>31</v>
      </c>
      <c r="C14" s="4">
        <f t="shared" ca="1" si="0"/>
        <v>0</v>
      </c>
      <c r="D14">
        <f t="shared" ca="1" si="1"/>
        <v>1</v>
      </c>
      <c r="E14" s="7">
        <f t="shared" ca="1" si="2"/>
        <v>0</v>
      </c>
      <c r="F14" s="4"/>
    </row>
    <row r="15" spans="1:6" ht="28.8" x14ac:dyDescent="0.3">
      <c r="A15" s="4" t="s">
        <v>32</v>
      </c>
      <c r="B15" s="4" t="s">
        <v>33</v>
      </c>
      <c r="C15" s="4">
        <f t="shared" ca="1" si="0"/>
        <v>0</v>
      </c>
      <c r="D15">
        <f t="shared" ca="1" si="1"/>
        <v>1</v>
      </c>
      <c r="E15" s="7">
        <f t="shared" ca="1" si="2"/>
        <v>0</v>
      </c>
      <c r="F15" s="4"/>
    </row>
    <row r="16" spans="1:6" ht="28.8" x14ac:dyDescent="0.3">
      <c r="A16" s="4" t="s">
        <v>34</v>
      </c>
      <c r="B16" s="4" t="s">
        <v>35</v>
      </c>
      <c r="C16" s="4">
        <f t="shared" ca="1" si="0"/>
        <v>0</v>
      </c>
      <c r="D16">
        <f t="shared" ca="1" si="1"/>
        <v>1</v>
      </c>
      <c r="E16" s="7">
        <f t="shared" ca="1" si="2"/>
        <v>0</v>
      </c>
      <c r="F16" s="4"/>
    </row>
    <row r="17" spans="1:6" ht="28.8" x14ac:dyDescent="0.3">
      <c r="A17" s="4" t="s">
        <v>36</v>
      </c>
      <c r="B17" s="4" t="s">
        <v>37</v>
      </c>
      <c r="C17" s="4">
        <f t="shared" ca="1" si="0"/>
        <v>0</v>
      </c>
      <c r="D17">
        <f t="shared" ca="1" si="1"/>
        <v>1</v>
      </c>
      <c r="E17" s="7">
        <f t="shared" ca="1" si="2"/>
        <v>0</v>
      </c>
      <c r="F17" s="4"/>
    </row>
    <row r="18" spans="1:6" ht="28.8" x14ac:dyDescent="0.3">
      <c r="A18" s="4" t="s">
        <v>38</v>
      </c>
      <c r="B18" s="4" t="s">
        <v>39</v>
      </c>
      <c r="C18" s="4">
        <f t="shared" ca="1" si="0"/>
        <v>0</v>
      </c>
      <c r="D18">
        <f t="shared" ca="1" si="1"/>
        <v>1</v>
      </c>
      <c r="E18" s="7">
        <f t="shared" ca="1" si="2"/>
        <v>0</v>
      </c>
      <c r="F18" s="4"/>
    </row>
    <row r="19" spans="1:6" ht="28.8" x14ac:dyDescent="0.3">
      <c r="A19" s="4" t="s">
        <v>40</v>
      </c>
      <c r="B19" s="4" t="s">
        <v>41</v>
      </c>
      <c r="C19" s="4">
        <f t="shared" ca="1" si="0"/>
        <v>0</v>
      </c>
      <c r="D19">
        <f t="shared" ca="1" si="1"/>
        <v>1</v>
      </c>
      <c r="E19" s="7">
        <f t="shared" ca="1" si="2"/>
        <v>0</v>
      </c>
      <c r="F19" s="4"/>
    </row>
    <row r="20" spans="1:6" ht="28.8" x14ac:dyDescent="0.3">
      <c r="A20" s="4" t="s">
        <v>42</v>
      </c>
      <c r="B20" s="4" t="s">
        <v>43</v>
      </c>
      <c r="C20" s="4">
        <f t="shared" ca="1" si="0"/>
        <v>0</v>
      </c>
      <c r="D20">
        <f t="shared" ca="1" si="1"/>
        <v>1</v>
      </c>
      <c r="E20" s="7">
        <f t="shared" ca="1" si="2"/>
        <v>0</v>
      </c>
      <c r="F20" s="4"/>
    </row>
    <row r="21" spans="1:6" ht="28.8" x14ac:dyDescent="0.3">
      <c r="A21" s="4" t="s">
        <v>44</v>
      </c>
      <c r="B21" s="4" t="s">
        <v>45</v>
      </c>
      <c r="C21" s="4">
        <f t="shared" ca="1" si="0"/>
        <v>0</v>
      </c>
      <c r="D21">
        <f t="shared" ca="1" si="1"/>
        <v>1</v>
      </c>
      <c r="E21" s="7">
        <f t="shared" ca="1" si="2"/>
        <v>0</v>
      </c>
      <c r="F21" s="4"/>
    </row>
    <row r="22" spans="1:6" ht="28.8" x14ac:dyDescent="0.3">
      <c r="A22" s="4" t="s">
        <v>46</v>
      </c>
      <c r="B22" s="4" t="s">
        <v>47</v>
      </c>
      <c r="C22" s="4">
        <f t="shared" ca="1" si="0"/>
        <v>1</v>
      </c>
      <c r="D22">
        <f t="shared" ca="1" si="1"/>
        <v>1</v>
      </c>
      <c r="E22" s="7">
        <f t="shared" ca="1" si="2"/>
        <v>0.5</v>
      </c>
      <c r="F22" s="4"/>
    </row>
    <row r="23" spans="1:6" ht="28.8" x14ac:dyDescent="0.3">
      <c r="A23" s="4" t="s">
        <v>48</v>
      </c>
      <c r="B23" s="4" t="s">
        <v>49</v>
      </c>
      <c r="C23" s="4">
        <f t="shared" ca="1" si="0"/>
        <v>0</v>
      </c>
      <c r="D23">
        <f t="shared" ca="1" si="1"/>
        <v>1</v>
      </c>
      <c r="E23" s="7">
        <f t="shared" ca="1" si="2"/>
        <v>0</v>
      </c>
      <c r="F23" s="4"/>
    </row>
    <row r="24" spans="1:6" ht="28.8" x14ac:dyDescent="0.3">
      <c r="A24" s="4" t="s">
        <v>50</v>
      </c>
      <c r="B24" s="4" t="s">
        <v>51</v>
      </c>
      <c r="C24" s="4">
        <f t="shared" ca="1" si="0"/>
        <v>0</v>
      </c>
      <c r="D24">
        <f t="shared" ca="1" si="1"/>
        <v>1</v>
      </c>
      <c r="E24" s="7">
        <f t="shared" ca="1" si="2"/>
        <v>0</v>
      </c>
      <c r="F24" s="4"/>
    </row>
    <row r="25" spans="1:6" ht="28.8" x14ac:dyDescent="0.3">
      <c r="A25" s="4" t="s">
        <v>52</v>
      </c>
      <c r="B25" s="4" t="s">
        <v>53</v>
      </c>
      <c r="C25" s="4">
        <f t="shared" ca="1" si="0"/>
        <v>0</v>
      </c>
      <c r="D25">
        <f t="shared" ca="1" si="1"/>
        <v>1</v>
      </c>
      <c r="E25" s="7">
        <f t="shared" ca="1" si="2"/>
        <v>0</v>
      </c>
      <c r="F25" s="4"/>
    </row>
    <row r="26" spans="1:6" ht="28.8" x14ac:dyDescent="0.3">
      <c r="A26" s="4" t="s">
        <v>54</v>
      </c>
      <c r="B26" s="4" t="s">
        <v>55</v>
      </c>
      <c r="C26" s="4">
        <f t="shared" ca="1" si="0"/>
        <v>0</v>
      </c>
      <c r="D26">
        <f t="shared" ca="1" si="1"/>
        <v>1</v>
      </c>
      <c r="E26" s="7">
        <f t="shared" ca="1" si="2"/>
        <v>0</v>
      </c>
      <c r="F26" s="4"/>
    </row>
    <row r="27" spans="1:6" ht="28.8" x14ac:dyDescent="0.3">
      <c r="A27" s="4" t="s">
        <v>56</v>
      </c>
      <c r="B27" s="4" t="s">
        <v>57</v>
      </c>
      <c r="C27" s="4">
        <f t="shared" ca="1" si="0"/>
        <v>0</v>
      </c>
      <c r="D27">
        <f t="shared" ca="1" si="1"/>
        <v>1</v>
      </c>
      <c r="E27" s="7">
        <f t="shared" ca="1" si="2"/>
        <v>0</v>
      </c>
      <c r="F27" s="4"/>
    </row>
    <row r="28" spans="1:6" ht="43.2" x14ac:dyDescent="0.3">
      <c r="A28" s="4" t="s">
        <v>58</v>
      </c>
      <c r="B28" s="4" t="s">
        <v>59</v>
      </c>
      <c r="C28" s="4">
        <f t="shared" ca="1" si="0"/>
        <v>0</v>
      </c>
      <c r="D28">
        <f t="shared" ca="1" si="1"/>
        <v>1</v>
      </c>
      <c r="E28" s="7">
        <f t="shared" ca="1" si="2"/>
        <v>0</v>
      </c>
      <c r="F28" s="4"/>
    </row>
    <row r="29" spans="1:6" ht="28.8" x14ac:dyDescent="0.3">
      <c r="A29" s="4" t="s">
        <v>60</v>
      </c>
      <c r="B29" s="4" t="s">
        <v>61</v>
      </c>
      <c r="C29" s="4">
        <f t="shared" ca="1" si="0"/>
        <v>0</v>
      </c>
      <c r="D29">
        <f t="shared" ca="1" si="1"/>
        <v>1</v>
      </c>
      <c r="E29" s="7">
        <f t="shared" ca="1" si="2"/>
        <v>0</v>
      </c>
      <c r="F29" s="4"/>
    </row>
    <row r="30" spans="1:6" ht="28.8" x14ac:dyDescent="0.3">
      <c r="A30" s="4" t="s">
        <v>62</v>
      </c>
      <c r="B30" s="4" t="s">
        <v>63</v>
      </c>
      <c r="C30" s="4">
        <f t="shared" ca="1" si="0"/>
        <v>0</v>
      </c>
      <c r="D30">
        <f t="shared" ca="1" si="1"/>
        <v>1</v>
      </c>
      <c r="E30" s="7">
        <f t="shared" ca="1" si="2"/>
        <v>0</v>
      </c>
      <c r="F30" s="4"/>
    </row>
    <row r="31" spans="1:6" ht="28.8" x14ac:dyDescent="0.3">
      <c r="A31" s="4" t="s">
        <v>64</v>
      </c>
      <c r="B31" s="4" t="s">
        <v>65</v>
      </c>
      <c r="C31" s="4">
        <f t="shared" ca="1" si="0"/>
        <v>1</v>
      </c>
      <c r="D31">
        <f t="shared" ca="1" si="1"/>
        <v>1</v>
      </c>
      <c r="E31" s="7">
        <f t="shared" ca="1" si="2"/>
        <v>0.5</v>
      </c>
      <c r="F31" s="4"/>
    </row>
    <row r="32" spans="1:6" ht="28.8" x14ac:dyDescent="0.3">
      <c r="A32" s="4" t="s">
        <v>66</v>
      </c>
      <c r="B32" s="4" t="s">
        <v>67</v>
      </c>
      <c r="C32" s="4">
        <f t="shared" ca="1" si="0"/>
        <v>0</v>
      </c>
      <c r="D32">
        <f t="shared" ca="1" si="1"/>
        <v>1</v>
      </c>
      <c r="E32" s="7">
        <f t="shared" ca="1" si="2"/>
        <v>0</v>
      </c>
      <c r="F32" s="4"/>
    </row>
    <row r="33" spans="1:6" ht="28.8" x14ac:dyDescent="0.3">
      <c r="A33" s="4" t="s">
        <v>68</v>
      </c>
      <c r="B33" s="4" t="s">
        <v>69</v>
      </c>
      <c r="C33" s="4">
        <f t="shared" ca="1" si="0"/>
        <v>0</v>
      </c>
      <c r="D33">
        <f t="shared" ca="1" si="1"/>
        <v>1</v>
      </c>
      <c r="E33" s="7">
        <f t="shared" ca="1" si="2"/>
        <v>0</v>
      </c>
      <c r="F33" s="4"/>
    </row>
    <row r="34" spans="1:6" ht="43.2" x14ac:dyDescent="0.3">
      <c r="A34" s="4" t="s">
        <v>70</v>
      </c>
      <c r="B34" s="4" t="s">
        <v>71</v>
      </c>
      <c r="C34" s="4">
        <f t="shared" ca="1" si="0"/>
        <v>0</v>
      </c>
      <c r="D34">
        <f t="shared" ca="1" si="1"/>
        <v>1</v>
      </c>
      <c r="E34" s="7">
        <f t="shared" ca="1" si="2"/>
        <v>0</v>
      </c>
      <c r="F34" s="4"/>
    </row>
    <row r="35" spans="1:6" ht="28.8" x14ac:dyDescent="0.3">
      <c r="A35" s="4" t="s">
        <v>72</v>
      </c>
      <c r="B35" s="4" t="s">
        <v>73</v>
      </c>
      <c r="C35" s="4">
        <f t="shared" ca="1" si="0"/>
        <v>1</v>
      </c>
      <c r="D35">
        <f t="shared" ca="1" si="1"/>
        <v>1</v>
      </c>
      <c r="E35" s="7">
        <f t="shared" ca="1" si="2"/>
        <v>0.5</v>
      </c>
      <c r="F35" s="4"/>
    </row>
    <row r="36" spans="1:6" ht="28.8" x14ac:dyDescent="0.3">
      <c r="A36" s="4" t="s">
        <v>74</v>
      </c>
      <c r="B36" s="4" t="s">
        <v>75</v>
      </c>
      <c r="C36" s="4">
        <f t="shared" ca="1" si="0"/>
        <v>0</v>
      </c>
      <c r="D36">
        <f t="shared" ca="1" si="1"/>
        <v>1</v>
      </c>
      <c r="E36" s="7">
        <f t="shared" ca="1" si="2"/>
        <v>0</v>
      </c>
      <c r="F36" s="4"/>
    </row>
    <row r="37" spans="1:6" ht="43.2" x14ac:dyDescent="0.3">
      <c r="A37" s="4" t="s">
        <v>76</v>
      </c>
      <c r="B37" s="4" t="s">
        <v>77</v>
      </c>
      <c r="C37" s="4">
        <f t="shared" ca="1" si="0"/>
        <v>0</v>
      </c>
      <c r="D37">
        <f t="shared" ca="1" si="1"/>
        <v>1</v>
      </c>
      <c r="E37" s="7">
        <f t="shared" ca="1" si="2"/>
        <v>0</v>
      </c>
      <c r="F37" s="4"/>
    </row>
    <row r="38" spans="1:6" ht="43.2" x14ac:dyDescent="0.3">
      <c r="A38" s="4" t="s">
        <v>78</v>
      </c>
      <c r="B38" s="4" t="s">
        <v>79</v>
      </c>
      <c r="C38" s="4">
        <f t="shared" ca="1" si="0"/>
        <v>0</v>
      </c>
      <c r="D38">
        <f t="shared" ca="1" si="1"/>
        <v>1</v>
      </c>
      <c r="E38" s="7">
        <f t="shared" ca="1" si="2"/>
        <v>0</v>
      </c>
      <c r="F38" s="4"/>
    </row>
    <row r="39" spans="1:6" ht="28.8" x14ac:dyDescent="0.3">
      <c r="A39" s="4" t="s">
        <v>80</v>
      </c>
      <c r="B39" s="4" t="s">
        <v>81</v>
      </c>
      <c r="C39" s="4">
        <f t="shared" ca="1" si="0"/>
        <v>0</v>
      </c>
      <c r="D39">
        <f t="shared" ca="1" si="1"/>
        <v>1</v>
      </c>
      <c r="E39" s="7">
        <f t="shared" ca="1" si="2"/>
        <v>0</v>
      </c>
      <c r="F39" s="4"/>
    </row>
    <row r="40" spans="1:6" ht="28.8" x14ac:dyDescent="0.3">
      <c r="A40" s="4" t="s">
        <v>82</v>
      </c>
      <c r="B40" s="4" t="s">
        <v>83</v>
      </c>
      <c r="C40" s="4">
        <f t="shared" ca="1" si="0"/>
        <v>0</v>
      </c>
      <c r="D40">
        <f t="shared" ca="1" si="1"/>
        <v>1</v>
      </c>
      <c r="E40" s="7">
        <f t="shared" ca="1" si="2"/>
        <v>0</v>
      </c>
      <c r="F40" s="4"/>
    </row>
    <row r="41" spans="1:6" ht="28.8" x14ac:dyDescent="0.3">
      <c r="A41" s="4" t="s">
        <v>84</v>
      </c>
      <c r="B41" s="4" t="s">
        <v>85</v>
      </c>
      <c r="C41" s="4">
        <f t="shared" ca="1" si="0"/>
        <v>0</v>
      </c>
      <c r="D41">
        <f t="shared" ca="1" si="1"/>
        <v>1</v>
      </c>
      <c r="E41" s="7">
        <f t="shared" ca="1" si="2"/>
        <v>0</v>
      </c>
      <c r="F41" s="4"/>
    </row>
    <row r="42" spans="1:6" ht="28.8" x14ac:dyDescent="0.3">
      <c r="A42" s="4" t="s">
        <v>86</v>
      </c>
      <c r="B42" s="4" t="s">
        <v>87</v>
      </c>
      <c r="C42" s="4">
        <f t="shared" ca="1" si="0"/>
        <v>0</v>
      </c>
      <c r="D42">
        <f t="shared" ca="1" si="1"/>
        <v>1</v>
      </c>
      <c r="E42" s="7">
        <f t="shared" ca="1" si="2"/>
        <v>0</v>
      </c>
      <c r="F42" s="4"/>
    </row>
    <row r="43" spans="1:6" ht="28.8" x14ac:dyDescent="0.3">
      <c r="A43" s="4" t="s">
        <v>88</v>
      </c>
      <c r="B43" s="4" t="s">
        <v>89</v>
      </c>
      <c r="C43" s="4">
        <f t="shared" ca="1" si="0"/>
        <v>0</v>
      </c>
      <c r="D43">
        <f t="shared" ca="1" si="1"/>
        <v>1</v>
      </c>
      <c r="E43" s="7">
        <f t="shared" ca="1" si="2"/>
        <v>0</v>
      </c>
      <c r="F43" s="4"/>
    </row>
    <row r="44" spans="1:6" ht="28.8" x14ac:dyDescent="0.3">
      <c r="A44" s="4" t="s">
        <v>90</v>
      </c>
      <c r="B44" s="4" t="s">
        <v>91</v>
      </c>
      <c r="C44" s="4">
        <f t="shared" ca="1" si="0"/>
        <v>0</v>
      </c>
      <c r="D44">
        <f t="shared" ca="1" si="1"/>
        <v>1</v>
      </c>
      <c r="E44" s="7">
        <f t="shared" ca="1" si="2"/>
        <v>0</v>
      </c>
      <c r="F44" s="4"/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291F8-A051-4A39-97FB-9A9295662B82}">
  <dimension ref="A1:E57"/>
  <sheetViews>
    <sheetView workbookViewId="0">
      <selection activeCell="C1" sqref="C1"/>
    </sheetView>
  </sheetViews>
  <sheetFormatPr defaultRowHeight="14.4" x14ac:dyDescent="0.3"/>
  <sheetData>
    <row r="1" spans="1:5" ht="43.8" thickBot="1" x14ac:dyDescent="0.35">
      <c r="A1" s="10" t="s">
        <v>0</v>
      </c>
      <c r="B1" s="11" t="s">
        <v>1</v>
      </c>
      <c r="C1" s="11" t="s">
        <v>2</v>
      </c>
      <c r="D1" s="11" t="s">
        <v>3</v>
      </c>
      <c r="E1" s="12" t="s">
        <v>4</v>
      </c>
    </row>
    <row r="2" spans="1:5" ht="29.4" thickTop="1" x14ac:dyDescent="0.3">
      <c r="A2" s="13" t="s">
        <v>18</v>
      </c>
      <c r="B2" s="14" t="s">
        <v>19</v>
      </c>
      <c r="C2" s="14">
        <v>1</v>
      </c>
      <c r="D2" s="8">
        <v>0</v>
      </c>
      <c r="E2" s="15">
        <v>1</v>
      </c>
    </row>
    <row r="3" spans="1:5" ht="28.8" x14ac:dyDescent="0.3">
      <c r="A3" s="16" t="s">
        <v>22</v>
      </c>
      <c r="B3" s="17" t="s">
        <v>23</v>
      </c>
      <c r="C3" s="17">
        <v>54747</v>
      </c>
      <c r="D3" s="9">
        <v>2007</v>
      </c>
      <c r="E3" s="18">
        <v>0.96463685379004127</v>
      </c>
    </row>
    <row r="4" spans="1:5" ht="72" x14ac:dyDescent="0.3">
      <c r="A4" s="13" t="s">
        <v>36</v>
      </c>
      <c r="B4" s="14" t="s">
        <v>37</v>
      </c>
      <c r="C4" s="14">
        <v>268</v>
      </c>
      <c r="D4" s="8">
        <v>56596</v>
      </c>
      <c r="E4" s="15">
        <v>4.7129994372537981E-3</v>
      </c>
    </row>
    <row r="5" spans="1:5" ht="43.2" x14ac:dyDescent="0.3">
      <c r="A5" s="16" t="s">
        <v>38</v>
      </c>
      <c r="B5" s="17" t="s">
        <v>39</v>
      </c>
      <c r="C5" s="17">
        <v>591</v>
      </c>
      <c r="D5" s="9">
        <v>56273</v>
      </c>
      <c r="E5" s="18">
        <v>1.039321890827237E-2</v>
      </c>
    </row>
    <row r="6" spans="1:5" ht="43.2" x14ac:dyDescent="0.3">
      <c r="A6" s="13" t="s">
        <v>40</v>
      </c>
      <c r="B6" s="14" t="s">
        <v>41</v>
      </c>
      <c r="C6" s="14">
        <v>12686</v>
      </c>
      <c r="D6" s="8">
        <v>44178</v>
      </c>
      <c r="E6" s="15">
        <v>0.2230936972425436</v>
      </c>
    </row>
    <row r="7" spans="1:5" ht="57.6" x14ac:dyDescent="0.3">
      <c r="A7" s="16" t="s">
        <v>46</v>
      </c>
      <c r="B7" s="17" t="s">
        <v>47</v>
      </c>
      <c r="C7" s="17">
        <v>1</v>
      </c>
      <c r="D7" s="9">
        <v>5138</v>
      </c>
      <c r="E7" s="18">
        <v>1.945903872348706E-4</v>
      </c>
    </row>
    <row r="8" spans="1:5" ht="57.6" x14ac:dyDescent="0.3">
      <c r="A8" s="13" t="s">
        <v>50</v>
      </c>
      <c r="B8" s="14" t="s">
        <v>51</v>
      </c>
      <c r="C8" s="14">
        <v>188</v>
      </c>
      <c r="D8" s="8">
        <v>56676</v>
      </c>
      <c r="E8" s="15">
        <v>3.3061339335959481E-3</v>
      </c>
    </row>
    <row r="9" spans="1:5" ht="57.6" x14ac:dyDescent="0.3">
      <c r="A9" s="16" t="s">
        <v>52</v>
      </c>
      <c r="B9" s="17" t="s">
        <v>53</v>
      </c>
      <c r="C9" s="17">
        <v>964</v>
      </c>
      <c r="D9" s="9">
        <v>55900</v>
      </c>
      <c r="E9" s="18">
        <v>1.6952729319077098E-2</v>
      </c>
    </row>
    <row r="10" spans="1:5" ht="57.6" x14ac:dyDescent="0.3">
      <c r="A10" s="13" t="s">
        <v>62</v>
      </c>
      <c r="B10" s="14" t="s">
        <v>63</v>
      </c>
      <c r="C10" s="14">
        <v>15386</v>
      </c>
      <c r="D10" s="8">
        <v>41478</v>
      </c>
      <c r="E10" s="15">
        <v>0.27057540799099605</v>
      </c>
    </row>
    <row r="11" spans="1:5" ht="72" x14ac:dyDescent="0.3">
      <c r="A11" s="16" t="s">
        <v>64</v>
      </c>
      <c r="B11" s="17" t="s">
        <v>65</v>
      </c>
      <c r="C11" s="17">
        <v>33947</v>
      </c>
      <c r="D11" s="9">
        <v>3</v>
      </c>
      <c r="E11" s="18">
        <v>0.99991163475699563</v>
      </c>
    </row>
    <row r="12" spans="1:5" ht="57.6" x14ac:dyDescent="0.3">
      <c r="A12" s="13" t="s">
        <v>66</v>
      </c>
      <c r="B12" s="14" t="s">
        <v>67</v>
      </c>
      <c r="C12" s="14">
        <v>78</v>
      </c>
      <c r="D12" s="8">
        <v>56786</v>
      </c>
      <c r="E12" s="15">
        <v>1.3716938660664041E-3</v>
      </c>
    </row>
    <row r="13" spans="1:5" ht="72" x14ac:dyDescent="0.3">
      <c r="A13" s="16" t="s">
        <v>68</v>
      </c>
      <c r="B13" s="17" t="s">
        <v>69</v>
      </c>
      <c r="C13" s="17">
        <v>78</v>
      </c>
      <c r="D13" s="9">
        <v>56786</v>
      </c>
      <c r="E13" s="18">
        <v>1.3716938660664041E-3</v>
      </c>
    </row>
    <row r="14" spans="1:5" ht="86.4" x14ac:dyDescent="0.3">
      <c r="A14" s="13" t="s">
        <v>70</v>
      </c>
      <c r="B14" s="14" t="s">
        <v>71</v>
      </c>
      <c r="C14" s="14">
        <v>78</v>
      </c>
      <c r="D14" s="8">
        <v>56786</v>
      </c>
      <c r="E14" s="15">
        <v>1.3716938660664041E-3</v>
      </c>
    </row>
    <row r="15" spans="1:5" ht="72" x14ac:dyDescent="0.3">
      <c r="A15" s="16" t="s">
        <v>72</v>
      </c>
      <c r="B15" s="17" t="s">
        <v>73</v>
      </c>
      <c r="C15" s="17">
        <v>42092</v>
      </c>
      <c r="D15" s="9">
        <v>62</v>
      </c>
      <c r="E15" s="18">
        <v>0.99852920244816623</v>
      </c>
    </row>
    <row r="16" spans="1:5" ht="72" x14ac:dyDescent="0.3">
      <c r="A16" s="13" t="s">
        <v>74</v>
      </c>
      <c r="B16" s="14" t="s">
        <v>75</v>
      </c>
      <c r="C16" s="14">
        <v>38505</v>
      </c>
      <c r="D16" s="8">
        <v>18277</v>
      </c>
      <c r="E16" s="15">
        <v>0.67811982670564619</v>
      </c>
    </row>
    <row r="17" spans="1:5" ht="72" x14ac:dyDescent="0.3">
      <c r="A17" s="16" t="s">
        <v>76</v>
      </c>
      <c r="B17" s="17" t="s">
        <v>77</v>
      </c>
      <c r="C17" s="17">
        <v>38505</v>
      </c>
      <c r="D17" s="9">
        <v>18277</v>
      </c>
      <c r="E17" s="18">
        <v>0.67811982670564619</v>
      </c>
    </row>
    <row r="18" spans="1:5" ht="86.4" x14ac:dyDescent="0.3">
      <c r="A18" s="13" t="s">
        <v>78</v>
      </c>
      <c r="B18" s="14" t="s">
        <v>79</v>
      </c>
      <c r="C18" s="14">
        <v>38505</v>
      </c>
      <c r="D18" s="8">
        <v>18277</v>
      </c>
      <c r="E18" s="15">
        <v>0.67811982670564619</v>
      </c>
    </row>
    <row r="19" spans="1:5" ht="43.2" x14ac:dyDescent="0.3">
      <c r="A19" s="19" t="s">
        <v>88</v>
      </c>
      <c r="B19" s="20" t="s">
        <v>89</v>
      </c>
      <c r="C19" s="20">
        <v>45876</v>
      </c>
      <c r="D19" s="21">
        <v>10949</v>
      </c>
      <c r="E19" s="22">
        <v>0.80732072151341838</v>
      </c>
    </row>
    <row r="20" spans="1:5" x14ac:dyDescent="0.3">
      <c r="A20" s="4"/>
      <c r="B20" s="4"/>
    </row>
    <row r="21" spans="1:5" x14ac:dyDescent="0.3">
      <c r="A21" s="4"/>
      <c r="B21" s="4"/>
    </row>
    <row r="22" spans="1:5" x14ac:dyDescent="0.3">
      <c r="A22" s="4"/>
      <c r="B22" s="4"/>
    </row>
    <row r="23" spans="1:5" x14ac:dyDescent="0.3">
      <c r="A23" s="4"/>
      <c r="B23" s="4"/>
    </row>
    <row r="24" spans="1:5" x14ac:dyDescent="0.3">
      <c r="A24" s="4"/>
      <c r="B24" s="4"/>
    </row>
    <row r="25" spans="1:5" x14ac:dyDescent="0.3">
      <c r="A25" s="4"/>
      <c r="B25" s="4"/>
    </row>
    <row r="26" spans="1:5" x14ac:dyDescent="0.3">
      <c r="A26" s="4"/>
      <c r="B26" s="4"/>
    </row>
    <row r="27" spans="1:5" x14ac:dyDescent="0.3">
      <c r="A27" s="4"/>
      <c r="B27" s="4"/>
    </row>
    <row r="28" spans="1:5" x14ac:dyDescent="0.3">
      <c r="A28" s="4"/>
      <c r="B28" s="4"/>
    </row>
    <row r="29" spans="1:5" x14ac:dyDescent="0.3">
      <c r="A29" s="4"/>
      <c r="B29" s="4"/>
    </row>
    <row r="30" spans="1:5" x14ac:dyDescent="0.3">
      <c r="A30" s="4"/>
      <c r="B30" s="4"/>
    </row>
    <row r="31" spans="1:5" x14ac:dyDescent="0.3">
      <c r="A31" s="4"/>
      <c r="B31" s="4"/>
    </row>
    <row r="32" spans="1:5" x14ac:dyDescent="0.3">
      <c r="A32" s="4"/>
      <c r="B32" s="4"/>
    </row>
    <row r="33" spans="1:2" x14ac:dyDescent="0.3">
      <c r="A33" s="4"/>
      <c r="B33" s="4"/>
    </row>
    <row r="34" spans="1:2" x14ac:dyDescent="0.3">
      <c r="A34" s="4"/>
      <c r="B34" s="4"/>
    </row>
    <row r="35" spans="1:2" x14ac:dyDescent="0.3">
      <c r="A35" s="4"/>
      <c r="B35" s="4"/>
    </row>
    <row r="36" spans="1:2" x14ac:dyDescent="0.3">
      <c r="A36" s="4"/>
      <c r="B36" s="4"/>
    </row>
    <row r="37" spans="1:2" x14ac:dyDescent="0.3">
      <c r="A37" s="4"/>
      <c r="B37" s="4"/>
    </row>
    <row r="38" spans="1:2" x14ac:dyDescent="0.3">
      <c r="A38" s="4"/>
      <c r="B38" s="4"/>
    </row>
    <row r="39" spans="1:2" x14ac:dyDescent="0.3">
      <c r="A39" s="4"/>
      <c r="B39" s="4"/>
    </row>
    <row r="40" spans="1:2" x14ac:dyDescent="0.3">
      <c r="A40" s="4"/>
      <c r="B40" s="4"/>
    </row>
    <row r="41" spans="1:2" x14ac:dyDescent="0.3">
      <c r="A41" s="4"/>
      <c r="B41" s="4"/>
    </row>
    <row r="42" spans="1:2" x14ac:dyDescent="0.3">
      <c r="A42" s="4"/>
      <c r="B42" s="4"/>
    </row>
    <row r="43" spans="1:2" x14ac:dyDescent="0.3">
      <c r="A43" s="4"/>
      <c r="B43" s="4"/>
    </row>
    <row r="44" spans="1:2" x14ac:dyDescent="0.3">
      <c r="A44" s="4"/>
      <c r="B44" s="4"/>
    </row>
    <row r="45" spans="1:2" x14ac:dyDescent="0.3">
      <c r="A45" s="4"/>
      <c r="B45" s="4"/>
    </row>
    <row r="46" spans="1:2" x14ac:dyDescent="0.3">
      <c r="A46" s="4"/>
      <c r="B46" s="4"/>
    </row>
    <row r="47" spans="1:2" x14ac:dyDescent="0.3">
      <c r="A47" s="4"/>
      <c r="B47" s="4"/>
    </row>
    <row r="48" spans="1:2" x14ac:dyDescent="0.3">
      <c r="A48" s="4"/>
      <c r="B48" s="4"/>
    </row>
    <row r="49" spans="1:2" x14ac:dyDescent="0.3">
      <c r="A49" s="4"/>
      <c r="B49" s="4"/>
    </row>
    <row r="50" spans="1:2" x14ac:dyDescent="0.3">
      <c r="A50" s="4"/>
      <c r="B50" s="4"/>
    </row>
    <row r="51" spans="1:2" x14ac:dyDescent="0.3">
      <c r="A51" s="4"/>
      <c r="B51" s="4"/>
    </row>
    <row r="52" spans="1:2" x14ac:dyDescent="0.3">
      <c r="A52" s="4"/>
      <c r="B52" s="4"/>
    </row>
    <row r="53" spans="1:2" x14ac:dyDescent="0.3">
      <c r="A53" s="4"/>
      <c r="B53" s="4"/>
    </row>
    <row r="54" spans="1:2" x14ac:dyDescent="0.3">
      <c r="A54" s="4"/>
      <c r="B54" s="4"/>
    </row>
    <row r="55" spans="1:2" x14ac:dyDescent="0.3">
      <c r="A55" s="4"/>
      <c r="B55" s="4"/>
    </row>
    <row r="56" spans="1:2" x14ac:dyDescent="0.3">
      <c r="A56" s="4"/>
      <c r="B56" s="4"/>
    </row>
    <row r="57" spans="1:2" x14ac:dyDescent="0.3">
      <c r="A57" s="4"/>
      <c r="B57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S5"/>
  <sheetViews>
    <sheetView tabSelected="1" topLeftCell="AI1" workbookViewId="0">
      <selection activeCell="AP5" sqref="AP5"/>
    </sheetView>
  </sheetViews>
  <sheetFormatPr defaultColWidth="8.88671875" defaultRowHeight="14.4" x14ac:dyDescent="0.3"/>
  <cols>
    <col min="1" max="1" width="28.44140625" customWidth="1"/>
    <col min="2" max="2" width="10.88671875" customWidth="1"/>
    <col min="3" max="3" width="12.44140625" customWidth="1"/>
    <col min="4" max="4" width="26.44140625" customWidth="1"/>
    <col min="6" max="6" width="15" customWidth="1"/>
    <col min="7" max="7" width="10.44140625" customWidth="1"/>
    <col min="8" max="8" width="14.88671875" customWidth="1"/>
    <col min="9" max="9" width="10" customWidth="1"/>
    <col min="10" max="10" width="11.44140625" customWidth="1"/>
    <col min="13" max="13" width="20.88671875" customWidth="1"/>
    <col min="14" max="14" width="21.21875" customWidth="1"/>
    <col min="15" max="15" width="26" customWidth="1"/>
    <col min="16" max="16" width="27.44140625" customWidth="1"/>
    <col min="17" max="17" width="14.77734375" customWidth="1"/>
    <col min="18" max="18" width="14.21875" customWidth="1"/>
    <col min="19" max="19" width="17.21875" customWidth="1"/>
    <col min="20" max="20" width="21.5546875" customWidth="1"/>
    <col min="21" max="21" width="19.88671875" customWidth="1"/>
    <col min="22" max="22" width="15.44140625" customWidth="1"/>
    <col min="23" max="23" width="28.88671875" customWidth="1"/>
    <col min="24" max="24" width="26" customWidth="1"/>
    <col min="25" max="25" width="18.109375" customWidth="1"/>
    <col min="26" max="26" width="31.109375" customWidth="1"/>
    <col min="27" max="27" width="32.77734375" customWidth="1"/>
    <col min="28" max="28" width="25.109375" customWidth="1"/>
    <col min="29" max="29" width="25.88671875" customWidth="1"/>
    <col min="30" max="30" width="28.88671875" customWidth="1"/>
    <col min="31" max="31" width="20.88671875" customWidth="1"/>
    <col min="32" max="32" width="33.88671875" customWidth="1"/>
    <col min="33" max="33" width="35.44140625" customWidth="1"/>
    <col min="34" max="34" width="33.88671875" customWidth="1"/>
    <col min="35" max="35" width="26" customWidth="1"/>
    <col min="36" max="36" width="36.88671875" customWidth="1"/>
    <col min="37" max="37" width="38.44140625" customWidth="1"/>
    <col min="38" max="38" width="12" customWidth="1"/>
    <col min="39" max="39" width="14.44140625" customWidth="1"/>
    <col min="41" max="41" width="22" customWidth="1"/>
    <col min="42" max="42" width="26.109375" customWidth="1"/>
    <col min="43" max="43" width="11.77734375" customWidth="1"/>
    <col min="44" max="44" width="12.44140625" customWidth="1"/>
    <col min="45" max="45" width="11.77734375" customWidth="1"/>
  </cols>
  <sheetData>
    <row r="1" spans="1:45" x14ac:dyDescent="0.3">
      <c r="A1" s="1" t="s">
        <v>92</v>
      </c>
      <c r="B1" s="1" t="s">
        <v>93</v>
      </c>
      <c r="C1" s="1" t="s">
        <v>94</v>
      </c>
      <c r="D1" s="1" t="s">
        <v>95</v>
      </c>
      <c r="E1" s="1" t="s">
        <v>96</v>
      </c>
      <c r="F1" s="1" t="s">
        <v>97</v>
      </c>
      <c r="G1" s="1" t="s">
        <v>98</v>
      </c>
      <c r="H1" s="1" t="s">
        <v>99</v>
      </c>
      <c r="I1" s="1" t="s">
        <v>100</v>
      </c>
      <c r="J1" s="1" t="s">
        <v>101</v>
      </c>
      <c r="K1" s="1" t="s">
        <v>53</v>
      </c>
      <c r="L1" s="1" t="s">
        <v>55</v>
      </c>
      <c r="M1" s="1" t="s">
        <v>102</v>
      </c>
      <c r="N1" s="1" t="s">
        <v>103</v>
      </c>
      <c r="O1" s="1" t="s">
        <v>104</v>
      </c>
      <c r="P1" s="1" t="s">
        <v>105</v>
      </c>
      <c r="Q1" s="1" t="s">
        <v>106</v>
      </c>
      <c r="R1" s="1" t="s">
        <v>107</v>
      </c>
      <c r="S1" s="1" t="s">
        <v>108</v>
      </c>
      <c r="T1" s="1" t="s">
        <v>109</v>
      </c>
      <c r="U1" s="1" t="s">
        <v>110</v>
      </c>
      <c r="V1" s="1" t="s">
        <v>111</v>
      </c>
      <c r="W1" s="1" t="s">
        <v>112</v>
      </c>
      <c r="X1" s="1" t="s">
        <v>113</v>
      </c>
      <c r="Y1" s="1" t="s">
        <v>114</v>
      </c>
      <c r="Z1" s="1" t="s">
        <v>115</v>
      </c>
      <c r="AA1" s="1" t="s">
        <v>116</v>
      </c>
      <c r="AB1" s="1" t="s">
        <v>117</v>
      </c>
      <c r="AC1" s="1" t="s">
        <v>118</v>
      </c>
      <c r="AD1" s="1" t="s">
        <v>119</v>
      </c>
      <c r="AE1" s="1" t="s">
        <v>120</v>
      </c>
      <c r="AF1" s="1" t="s">
        <v>121</v>
      </c>
      <c r="AG1" s="1" t="s">
        <v>122</v>
      </c>
      <c r="AH1" s="1" t="s">
        <v>123</v>
      </c>
      <c r="AI1" s="1" t="s">
        <v>124</v>
      </c>
      <c r="AJ1" s="1" t="s">
        <v>125</v>
      </c>
      <c r="AK1" s="1" t="s">
        <v>126</v>
      </c>
      <c r="AL1" s="1" t="s">
        <v>127</v>
      </c>
      <c r="AM1" s="1" t="s">
        <v>128</v>
      </c>
      <c r="AN1" s="1" t="s">
        <v>129</v>
      </c>
      <c r="AO1" s="1" t="s">
        <v>130</v>
      </c>
      <c r="AP1" s="1" t="s">
        <v>131</v>
      </c>
      <c r="AQ1" s="23" t="s">
        <v>132</v>
      </c>
      <c r="AR1" s="23" t="s">
        <v>133</v>
      </c>
      <c r="AS1" s="23" t="s">
        <v>134</v>
      </c>
    </row>
    <row r="2" spans="1:45" ht="19.95" customHeight="1" x14ac:dyDescent="0.3">
      <c r="A2" t="s">
        <v>135</v>
      </c>
      <c r="B2">
        <v>4935381</v>
      </c>
      <c r="C2" t="s">
        <v>136</v>
      </c>
      <c r="D2" t="s">
        <v>137</v>
      </c>
      <c r="E2" t="s">
        <v>138</v>
      </c>
      <c r="F2" t="s">
        <v>139</v>
      </c>
      <c r="H2" t="s">
        <v>140</v>
      </c>
      <c r="J2" t="s">
        <v>141</v>
      </c>
      <c r="K2">
        <v>153049.07399999999</v>
      </c>
      <c r="L2">
        <v>384691.92700000003</v>
      </c>
      <c r="M2">
        <v>1</v>
      </c>
      <c r="N2" t="s">
        <v>142</v>
      </c>
      <c r="O2" t="s">
        <v>143</v>
      </c>
      <c r="P2" t="s">
        <v>144</v>
      </c>
      <c r="Q2" t="s">
        <v>145</v>
      </c>
      <c r="R2" t="s">
        <v>146</v>
      </c>
      <c r="S2">
        <v>69</v>
      </c>
      <c r="T2">
        <v>11900</v>
      </c>
      <c r="V2" t="s">
        <v>147</v>
      </c>
      <c r="W2" t="s">
        <v>148</v>
      </c>
      <c r="X2" t="s">
        <v>7</v>
      </c>
      <c r="Y2" t="s">
        <v>149</v>
      </c>
      <c r="Z2" t="s">
        <v>143</v>
      </c>
      <c r="AA2" t="s">
        <v>150</v>
      </c>
      <c r="AB2">
        <v>600</v>
      </c>
      <c r="AC2" t="s">
        <v>151</v>
      </c>
      <c r="AE2" t="s">
        <v>152</v>
      </c>
      <c r="AF2" t="s">
        <v>153</v>
      </c>
      <c r="AG2" t="s">
        <v>154</v>
      </c>
      <c r="AI2" t="s">
        <v>155</v>
      </c>
      <c r="AJ2" t="s">
        <v>153</v>
      </c>
      <c r="AK2" t="s">
        <v>154</v>
      </c>
      <c r="AL2" t="s">
        <v>156</v>
      </c>
      <c r="AM2" t="s">
        <v>157</v>
      </c>
      <c r="AN2" t="s">
        <v>158</v>
      </c>
      <c r="AO2" t="s">
        <v>142</v>
      </c>
      <c r="AP2" s="25">
        <v>3000</v>
      </c>
      <c r="AQ2">
        <v>1</v>
      </c>
      <c r="AR2">
        <v>5</v>
      </c>
      <c r="AS2">
        <v>3</v>
      </c>
    </row>
    <row r="3" spans="1:45" ht="19.95" customHeight="1" x14ac:dyDescent="0.3">
      <c r="A3" t="s">
        <v>135</v>
      </c>
      <c r="B3">
        <v>4935381</v>
      </c>
      <c r="C3" t="s">
        <v>136</v>
      </c>
      <c r="D3" t="s">
        <v>137</v>
      </c>
      <c r="E3" t="s">
        <v>138</v>
      </c>
      <c r="F3" t="s">
        <v>413</v>
      </c>
      <c r="H3" t="s">
        <v>140</v>
      </c>
      <c r="J3" t="s">
        <v>141</v>
      </c>
      <c r="K3">
        <v>153049.07399999999</v>
      </c>
      <c r="L3">
        <v>384691.92700000003</v>
      </c>
      <c r="M3">
        <v>1</v>
      </c>
      <c r="N3" t="s">
        <v>142</v>
      </c>
      <c r="O3" t="s">
        <v>143</v>
      </c>
      <c r="P3" t="s">
        <v>144</v>
      </c>
      <c r="Q3" t="s">
        <v>145</v>
      </c>
      <c r="R3" t="s">
        <v>146</v>
      </c>
      <c r="S3">
        <v>69</v>
      </c>
      <c r="T3">
        <v>11900</v>
      </c>
      <c r="V3" t="s">
        <v>147</v>
      </c>
      <c r="W3" t="s">
        <v>148</v>
      </c>
      <c r="X3" t="s">
        <v>7</v>
      </c>
      <c r="Y3" t="s">
        <v>149</v>
      </c>
      <c r="Z3" t="s">
        <v>143</v>
      </c>
      <c r="AA3" t="s">
        <v>150</v>
      </c>
      <c r="AB3">
        <v>600</v>
      </c>
      <c r="AC3" t="s">
        <v>151</v>
      </c>
      <c r="AE3" t="s">
        <v>152</v>
      </c>
      <c r="AF3" t="s">
        <v>153</v>
      </c>
      <c r="AG3" t="s">
        <v>154</v>
      </c>
      <c r="AI3" t="s">
        <v>155</v>
      </c>
      <c r="AJ3" t="s">
        <v>153</v>
      </c>
      <c r="AK3" t="s">
        <v>154</v>
      </c>
      <c r="AL3" t="s">
        <v>156</v>
      </c>
      <c r="AM3" t="s">
        <v>157</v>
      </c>
      <c r="AN3" t="s">
        <v>158</v>
      </c>
      <c r="AO3" t="s">
        <v>142</v>
      </c>
      <c r="AP3" s="24">
        <v>3000</v>
      </c>
      <c r="AQ3">
        <v>1</v>
      </c>
      <c r="AR3">
        <v>5</v>
      </c>
      <c r="AS3">
        <v>3</v>
      </c>
    </row>
    <row r="4" spans="1:45" ht="19.95" customHeight="1" x14ac:dyDescent="0.3">
      <c r="A4" t="s">
        <v>414</v>
      </c>
      <c r="B4">
        <v>4935381</v>
      </c>
      <c r="C4" t="s">
        <v>136</v>
      </c>
      <c r="D4" t="s">
        <v>137</v>
      </c>
      <c r="E4" t="s">
        <v>138</v>
      </c>
      <c r="F4" t="s">
        <v>413</v>
      </c>
      <c r="H4" t="s">
        <v>140</v>
      </c>
      <c r="J4" t="s">
        <v>141</v>
      </c>
      <c r="K4">
        <v>153049.07399999999</v>
      </c>
      <c r="L4">
        <v>384691.92700000003</v>
      </c>
      <c r="M4">
        <v>1</v>
      </c>
      <c r="N4" t="s">
        <v>142</v>
      </c>
      <c r="O4" t="s">
        <v>143</v>
      </c>
      <c r="P4" t="s">
        <v>144</v>
      </c>
      <c r="Q4" t="s">
        <v>145</v>
      </c>
      <c r="R4" t="s">
        <v>146</v>
      </c>
      <c r="S4">
        <v>69</v>
      </c>
      <c r="T4">
        <v>11900</v>
      </c>
      <c r="V4" t="s">
        <v>147</v>
      </c>
      <c r="W4" t="s">
        <v>148</v>
      </c>
      <c r="X4" t="s">
        <v>7</v>
      </c>
      <c r="Y4" t="s">
        <v>149</v>
      </c>
      <c r="Z4" t="s">
        <v>143</v>
      </c>
      <c r="AA4" t="s">
        <v>150</v>
      </c>
      <c r="AB4">
        <v>1000</v>
      </c>
      <c r="AC4" t="s">
        <v>151</v>
      </c>
      <c r="AE4" t="s">
        <v>152</v>
      </c>
      <c r="AF4" t="s">
        <v>153</v>
      </c>
      <c r="AG4" t="s">
        <v>154</v>
      </c>
      <c r="AI4" t="s">
        <v>155</v>
      </c>
      <c r="AJ4" t="s">
        <v>153</v>
      </c>
      <c r="AK4" t="s">
        <v>154</v>
      </c>
      <c r="AL4" t="s">
        <v>156</v>
      </c>
      <c r="AM4" t="s">
        <v>157</v>
      </c>
      <c r="AN4" t="s">
        <v>158</v>
      </c>
      <c r="AO4" t="s">
        <v>142</v>
      </c>
      <c r="AP4" s="25">
        <v>20000</v>
      </c>
      <c r="AQ4">
        <v>1</v>
      </c>
      <c r="AR4">
        <v>5</v>
      </c>
      <c r="AS4">
        <v>3</v>
      </c>
    </row>
    <row r="5" spans="1:45" ht="19.95" customHeight="1" x14ac:dyDescent="0.3">
      <c r="A5" t="s">
        <v>414</v>
      </c>
      <c r="B5">
        <v>4935381</v>
      </c>
      <c r="C5" t="s">
        <v>136</v>
      </c>
      <c r="D5" t="s">
        <v>137</v>
      </c>
      <c r="E5" t="s">
        <v>138</v>
      </c>
      <c r="F5" t="s">
        <v>413</v>
      </c>
      <c r="H5" t="s">
        <v>140</v>
      </c>
      <c r="J5" t="s">
        <v>141</v>
      </c>
      <c r="K5">
        <v>153049.07399999999</v>
      </c>
      <c r="L5">
        <v>384691.92700000003</v>
      </c>
      <c r="M5">
        <v>1</v>
      </c>
      <c r="N5" t="s">
        <v>142</v>
      </c>
      <c r="O5" t="s">
        <v>143</v>
      </c>
      <c r="P5" t="s">
        <v>144</v>
      </c>
      <c r="Q5" t="s">
        <v>145</v>
      </c>
      <c r="R5" t="s">
        <v>146</v>
      </c>
      <c r="S5">
        <v>69</v>
      </c>
      <c r="T5">
        <v>11900</v>
      </c>
      <c r="V5" t="s">
        <v>147</v>
      </c>
      <c r="W5" t="s">
        <v>148</v>
      </c>
      <c r="X5" t="s">
        <v>7</v>
      </c>
      <c r="Y5" t="s">
        <v>149</v>
      </c>
      <c r="Z5" t="s">
        <v>143</v>
      </c>
      <c r="AA5" t="s">
        <v>150</v>
      </c>
      <c r="AB5">
        <v>1000</v>
      </c>
      <c r="AC5" t="s">
        <v>151</v>
      </c>
      <c r="AE5" t="s">
        <v>152</v>
      </c>
      <c r="AF5" t="s">
        <v>153</v>
      </c>
      <c r="AG5" t="s">
        <v>154</v>
      </c>
      <c r="AI5" t="s">
        <v>155</v>
      </c>
      <c r="AJ5" t="s">
        <v>153</v>
      </c>
      <c r="AK5" t="s">
        <v>154</v>
      </c>
      <c r="AL5" t="s">
        <v>156</v>
      </c>
      <c r="AM5" t="s">
        <v>157</v>
      </c>
      <c r="AN5" t="s">
        <v>158</v>
      </c>
      <c r="AO5" t="s">
        <v>142</v>
      </c>
      <c r="AP5" s="25">
        <v>20000</v>
      </c>
      <c r="AQ5">
        <v>1</v>
      </c>
      <c r="AR5">
        <v>5</v>
      </c>
      <c r="AS5">
        <v>3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86957-3A0A-4ACD-AF5D-DE6BF41D184B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E0C3D-F391-4767-B5A6-AD824FC3717E}">
  <dimension ref="A1:C252"/>
  <sheetViews>
    <sheetView workbookViewId="0">
      <selection activeCell="B223" sqref="B223"/>
    </sheetView>
  </sheetViews>
  <sheetFormatPr defaultColWidth="8.88671875" defaultRowHeight="14.4" x14ac:dyDescent="0.3"/>
  <cols>
    <col min="1" max="1" width="26.109375" customWidth="1"/>
    <col min="2" max="2" width="14.88671875" bestFit="1" customWidth="1"/>
  </cols>
  <sheetData>
    <row r="1" spans="1:2" x14ac:dyDescent="0.3">
      <c r="A1" s="1" t="s">
        <v>410</v>
      </c>
      <c r="B1" s="2" t="s">
        <v>411</v>
      </c>
    </row>
    <row r="2" spans="1:2" x14ac:dyDescent="0.3">
      <c r="A2" t="s">
        <v>159</v>
      </c>
      <c r="B2">
        <v>2000</v>
      </c>
    </row>
    <row r="3" spans="1:2" x14ac:dyDescent="0.3">
      <c r="A3" t="s">
        <v>160</v>
      </c>
      <c r="B3">
        <v>2000</v>
      </c>
    </row>
    <row r="4" spans="1:2" x14ac:dyDescent="0.3">
      <c r="A4" t="s">
        <v>161</v>
      </c>
      <c r="B4">
        <v>1800</v>
      </c>
    </row>
    <row r="5" spans="1:2" x14ac:dyDescent="0.3">
      <c r="A5" t="s">
        <v>162</v>
      </c>
    </row>
    <row r="6" spans="1:2" x14ac:dyDescent="0.3">
      <c r="A6" t="s">
        <v>163</v>
      </c>
      <c r="B6">
        <v>2000</v>
      </c>
    </row>
    <row r="7" spans="1:2" x14ac:dyDescent="0.3">
      <c r="A7" t="s">
        <v>164</v>
      </c>
      <c r="B7">
        <v>2000</v>
      </c>
    </row>
    <row r="8" spans="1:2" x14ac:dyDescent="0.3">
      <c r="A8" t="s">
        <v>165</v>
      </c>
    </row>
    <row r="9" spans="1:2" x14ac:dyDescent="0.3">
      <c r="A9" t="s">
        <v>166</v>
      </c>
    </row>
    <row r="10" spans="1:2" x14ac:dyDescent="0.3">
      <c r="A10" t="s">
        <v>167</v>
      </c>
      <c r="B10">
        <v>2000</v>
      </c>
    </row>
    <row r="11" spans="1:2" x14ac:dyDescent="0.3">
      <c r="A11" t="s">
        <v>168</v>
      </c>
      <c r="B11">
        <v>2000</v>
      </c>
    </row>
    <row r="12" spans="1:2" x14ac:dyDescent="0.3">
      <c r="A12" t="s">
        <v>169</v>
      </c>
    </row>
    <row r="13" spans="1:2" x14ac:dyDescent="0.3">
      <c r="A13" t="s">
        <v>171</v>
      </c>
      <c r="B13" t="s">
        <v>170</v>
      </c>
    </row>
    <row r="14" spans="1:2" x14ac:dyDescent="0.3">
      <c r="A14" t="s">
        <v>172</v>
      </c>
    </row>
    <row r="15" spans="1:2" x14ac:dyDescent="0.3">
      <c r="A15" t="s">
        <v>173</v>
      </c>
      <c r="B15" t="s">
        <v>170</v>
      </c>
    </row>
    <row r="16" spans="1:2" x14ac:dyDescent="0.3">
      <c r="A16" t="s">
        <v>174</v>
      </c>
    </row>
    <row r="17" spans="1:2" x14ac:dyDescent="0.3">
      <c r="A17" t="s">
        <v>175</v>
      </c>
      <c r="B17">
        <v>2800</v>
      </c>
    </row>
    <row r="18" spans="1:2" x14ac:dyDescent="0.3">
      <c r="A18" t="s">
        <v>176</v>
      </c>
    </row>
    <row r="19" spans="1:2" x14ac:dyDescent="0.3">
      <c r="A19" t="s">
        <v>177</v>
      </c>
      <c r="B19">
        <v>2000</v>
      </c>
    </row>
    <row r="20" spans="1:2" x14ac:dyDescent="0.3">
      <c r="A20" t="s">
        <v>178</v>
      </c>
    </row>
    <row r="21" spans="1:2" x14ac:dyDescent="0.3">
      <c r="A21" t="s">
        <v>179</v>
      </c>
      <c r="B21">
        <v>2000</v>
      </c>
    </row>
    <row r="22" spans="1:2" x14ac:dyDescent="0.3">
      <c r="A22" t="s">
        <v>180</v>
      </c>
    </row>
    <row r="23" spans="1:2" x14ac:dyDescent="0.3">
      <c r="A23" t="s">
        <v>181</v>
      </c>
      <c r="B23">
        <v>3000</v>
      </c>
    </row>
    <row r="24" spans="1:2" x14ac:dyDescent="0.3">
      <c r="A24" t="s">
        <v>182</v>
      </c>
      <c r="B24">
        <v>2800</v>
      </c>
    </row>
    <row r="25" spans="1:2" x14ac:dyDescent="0.3">
      <c r="A25" t="s">
        <v>183</v>
      </c>
      <c r="B25">
        <v>2000</v>
      </c>
    </row>
    <row r="26" spans="1:2" x14ac:dyDescent="0.3">
      <c r="A26" t="s">
        <v>184</v>
      </c>
      <c r="B26">
        <v>2800</v>
      </c>
    </row>
    <row r="27" spans="1:2" x14ac:dyDescent="0.3">
      <c r="A27" t="s">
        <v>185</v>
      </c>
      <c r="B27">
        <v>2800</v>
      </c>
    </row>
    <row r="28" spans="1:2" x14ac:dyDescent="0.3">
      <c r="A28" t="s">
        <v>186</v>
      </c>
      <c r="B28">
        <v>3000</v>
      </c>
    </row>
    <row r="29" spans="1:2" x14ac:dyDescent="0.3">
      <c r="A29" t="s">
        <v>187</v>
      </c>
    </row>
    <row r="30" spans="1:2" x14ac:dyDescent="0.3">
      <c r="A30" t="s">
        <v>188</v>
      </c>
    </row>
    <row r="31" spans="1:2" x14ac:dyDescent="0.3">
      <c r="A31" t="s">
        <v>189</v>
      </c>
      <c r="B31">
        <v>2800</v>
      </c>
    </row>
    <row r="32" spans="1:2" x14ac:dyDescent="0.3">
      <c r="A32" t="s">
        <v>190</v>
      </c>
      <c r="B32">
        <v>2800</v>
      </c>
    </row>
    <row r="33" spans="1:3" x14ac:dyDescent="0.3">
      <c r="A33" t="s">
        <v>191</v>
      </c>
      <c r="B33">
        <v>2800</v>
      </c>
    </row>
    <row r="34" spans="1:3" x14ac:dyDescent="0.3">
      <c r="A34" t="s">
        <v>192</v>
      </c>
    </row>
    <row r="35" spans="1:3" x14ac:dyDescent="0.3">
      <c r="A35" t="s">
        <v>193</v>
      </c>
    </row>
    <row r="36" spans="1:3" x14ac:dyDescent="0.3">
      <c r="A36" t="s">
        <v>194</v>
      </c>
    </row>
    <row r="37" spans="1:3" x14ac:dyDescent="0.3">
      <c r="A37" t="s">
        <v>195</v>
      </c>
      <c r="B37">
        <v>3000</v>
      </c>
      <c r="C37" t="s">
        <v>412</v>
      </c>
    </row>
    <row r="38" spans="1:3" x14ac:dyDescent="0.3">
      <c r="A38" t="s">
        <v>196</v>
      </c>
    </row>
    <row r="39" spans="1:3" x14ac:dyDescent="0.3">
      <c r="A39" t="s">
        <v>197</v>
      </c>
      <c r="B39">
        <v>3000</v>
      </c>
    </row>
    <row r="40" spans="1:3" x14ac:dyDescent="0.3">
      <c r="A40" t="s">
        <v>198</v>
      </c>
    </row>
    <row r="41" spans="1:3" x14ac:dyDescent="0.3">
      <c r="A41" t="s">
        <v>199</v>
      </c>
      <c r="B41">
        <v>2000</v>
      </c>
    </row>
    <row r="42" spans="1:3" x14ac:dyDescent="0.3">
      <c r="A42" t="s">
        <v>200</v>
      </c>
    </row>
    <row r="43" spans="1:3" x14ac:dyDescent="0.3">
      <c r="A43" t="s">
        <v>201</v>
      </c>
    </row>
    <row r="44" spans="1:3" x14ac:dyDescent="0.3">
      <c r="A44" t="s">
        <v>202</v>
      </c>
    </row>
    <row r="45" spans="1:3" x14ac:dyDescent="0.3">
      <c r="A45" t="s">
        <v>203</v>
      </c>
    </row>
    <row r="46" spans="1:3" x14ac:dyDescent="0.3">
      <c r="A46" t="s">
        <v>204</v>
      </c>
    </row>
    <row r="47" spans="1:3" x14ac:dyDescent="0.3">
      <c r="A47" t="s">
        <v>205</v>
      </c>
    </row>
    <row r="48" spans="1:3" x14ac:dyDescent="0.3">
      <c r="A48" t="s">
        <v>206</v>
      </c>
      <c r="B48">
        <v>2800</v>
      </c>
    </row>
    <row r="49" spans="1:2" x14ac:dyDescent="0.3">
      <c r="A49" t="s">
        <v>207</v>
      </c>
      <c r="B49">
        <v>2800</v>
      </c>
    </row>
    <row r="50" spans="1:2" x14ac:dyDescent="0.3">
      <c r="A50" t="s">
        <v>208</v>
      </c>
    </row>
    <row r="51" spans="1:2" x14ac:dyDescent="0.3">
      <c r="A51" t="s">
        <v>209</v>
      </c>
      <c r="B51">
        <v>2000</v>
      </c>
    </row>
    <row r="52" spans="1:2" x14ac:dyDescent="0.3">
      <c r="A52" t="s">
        <v>210</v>
      </c>
    </row>
    <row r="53" spans="1:2" x14ac:dyDescent="0.3">
      <c r="A53" t="s">
        <v>211</v>
      </c>
    </row>
    <row r="54" spans="1:2" x14ac:dyDescent="0.3">
      <c r="A54" t="s">
        <v>212</v>
      </c>
      <c r="B54">
        <v>2800</v>
      </c>
    </row>
    <row r="55" spans="1:2" x14ac:dyDescent="0.3">
      <c r="A55" t="s">
        <v>213</v>
      </c>
      <c r="B55">
        <v>2000</v>
      </c>
    </row>
    <row r="56" spans="1:2" x14ac:dyDescent="0.3">
      <c r="A56" t="s">
        <v>214</v>
      </c>
      <c r="B56">
        <v>2000</v>
      </c>
    </row>
    <row r="57" spans="1:2" x14ac:dyDescent="0.3">
      <c r="A57" t="s">
        <v>215</v>
      </c>
    </row>
    <row r="58" spans="1:2" x14ac:dyDescent="0.3">
      <c r="A58" t="s">
        <v>216</v>
      </c>
    </row>
    <row r="59" spans="1:2" x14ac:dyDescent="0.3">
      <c r="A59" t="s">
        <v>217</v>
      </c>
    </row>
    <row r="60" spans="1:2" x14ac:dyDescent="0.3">
      <c r="A60" t="s">
        <v>218</v>
      </c>
      <c r="B60">
        <v>2000</v>
      </c>
    </row>
    <row r="61" spans="1:2" x14ac:dyDescent="0.3">
      <c r="A61" t="s">
        <v>219</v>
      </c>
      <c r="B61">
        <v>1800</v>
      </c>
    </row>
    <row r="62" spans="1:2" x14ac:dyDescent="0.3">
      <c r="A62" t="s">
        <v>220</v>
      </c>
      <c r="B62">
        <v>1800</v>
      </c>
    </row>
    <row r="63" spans="1:2" x14ac:dyDescent="0.3">
      <c r="A63" t="s">
        <v>221</v>
      </c>
    </row>
    <row r="64" spans="1:2" x14ac:dyDescent="0.3">
      <c r="A64" t="s">
        <v>222</v>
      </c>
      <c r="B64">
        <v>1800</v>
      </c>
    </row>
    <row r="65" spans="1:2" x14ac:dyDescent="0.3">
      <c r="A65" t="s">
        <v>223</v>
      </c>
    </row>
    <row r="66" spans="1:2" x14ac:dyDescent="0.3">
      <c r="A66" t="s">
        <v>224</v>
      </c>
      <c r="B66">
        <v>2000</v>
      </c>
    </row>
    <row r="67" spans="1:2" x14ac:dyDescent="0.3">
      <c r="A67" t="s">
        <v>225</v>
      </c>
      <c r="B67">
        <v>3000</v>
      </c>
    </row>
    <row r="68" spans="1:2" x14ac:dyDescent="0.3">
      <c r="A68" t="s">
        <v>226</v>
      </c>
      <c r="B68">
        <v>3000</v>
      </c>
    </row>
    <row r="69" spans="1:2" x14ac:dyDescent="0.3">
      <c r="A69" t="s">
        <v>227</v>
      </c>
      <c r="B69">
        <v>2800</v>
      </c>
    </row>
    <row r="70" spans="1:2" x14ac:dyDescent="0.3">
      <c r="A70" t="s">
        <v>228</v>
      </c>
      <c r="B70">
        <v>3000</v>
      </c>
    </row>
    <row r="71" spans="1:2" x14ac:dyDescent="0.3">
      <c r="A71" t="s">
        <v>229</v>
      </c>
      <c r="B71">
        <v>2800</v>
      </c>
    </row>
    <row r="72" spans="1:2" x14ac:dyDescent="0.3">
      <c r="A72" t="s">
        <v>230</v>
      </c>
      <c r="B72">
        <v>2800</v>
      </c>
    </row>
    <row r="73" spans="1:2" x14ac:dyDescent="0.3">
      <c r="A73" t="s">
        <v>231</v>
      </c>
      <c r="B73">
        <v>3000</v>
      </c>
    </row>
    <row r="74" spans="1:2" x14ac:dyDescent="0.3">
      <c r="A74" t="s">
        <v>232</v>
      </c>
      <c r="B74">
        <v>1800</v>
      </c>
    </row>
    <row r="75" spans="1:2" x14ac:dyDescent="0.3">
      <c r="A75" t="s">
        <v>233</v>
      </c>
    </row>
    <row r="76" spans="1:2" x14ac:dyDescent="0.3">
      <c r="A76" t="s">
        <v>234</v>
      </c>
      <c r="B76">
        <v>1800</v>
      </c>
    </row>
    <row r="77" spans="1:2" x14ac:dyDescent="0.3">
      <c r="A77" t="s">
        <v>235</v>
      </c>
    </row>
    <row r="78" spans="1:2" x14ac:dyDescent="0.3">
      <c r="A78" t="s">
        <v>236</v>
      </c>
      <c r="B78">
        <v>2800</v>
      </c>
    </row>
    <row r="79" spans="1:2" x14ac:dyDescent="0.3">
      <c r="A79" t="s">
        <v>237</v>
      </c>
    </row>
    <row r="80" spans="1:2" x14ac:dyDescent="0.3">
      <c r="A80" t="s">
        <v>238</v>
      </c>
      <c r="B80">
        <v>2800</v>
      </c>
    </row>
    <row r="81" spans="1:2" x14ac:dyDescent="0.3">
      <c r="A81" t="s">
        <v>239</v>
      </c>
    </row>
    <row r="82" spans="1:2" x14ac:dyDescent="0.3">
      <c r="A82" t="s">
        <v>240</v>
      </c>
    </row>
    <row r="83" spans="1:2" x14ac:dyDescent="0.3">
      <c r="A83" t="s">
        <v>241</v>
      </c>
    </row>
    <row r="84" spans="1:2" x14ac:dyDescent="0.3">
      <c r="A84" t="s">
        <v>242</v>
      </c>
    </row>
    <row r="85" spans="1:2" x14ac:dyDescent="0.3">
      <c r="A85" t="s">
        <v>243</v>
      </c>
      <c r="B85">
        <v>3000</v>
      </c>
    </row>
    <row r="86" spans="1:2" x14ac:dyDescent="0.3">
      <c r="A86" t="s">
        <v>244</v>
      </c>
      <c r="B86">
        <v>3000</v>
      </c>
    </row>
    <row r="87" spans="1:2" x14ac:dyDescent="0.3">
      <c r="A87" t="s">
        <v>245</v>
      </c>
      <c r="B87">
        <v>1800</v>
      </c>
    </row>
    <row r="88" spans="1:2" x14ac:dyDescent="0.3">
      <c r="A88" t="s">
        <v>246</v>
      </c>
      <c r="B88">
        <v>3000</v>
      </c>
    </row>
    <row r="89" spans="1:2" x14ac:dyDescent="0.3">
      <c r="A89" t="s">
        <v>247</v>
      </c>
    </row>
    <row r="90" spans="1:2" x14ac:dyDescent="0.3">
      <c r="A90" t="s">
        <v>248</v>
      </c>
      <c r="B90">
        <v>3000</v>
      </c>
    </row>
    <row r="91" spans="1:2" x14ac:dyDescent="0.3">
      <c r="A91" t="s">
        <v>249</v>
      </c>
      <c r="B91">
        <v>3000</v>
      </c>
    </row>
    <row r="92" spans="1:2" x14ac:dyDescent="0.3">
      <c r="A92" t="s">
        <v>250</v>
      </c>
    </row>
    <row r="93" spans="1:2" x14ac:dyDescent="0.3">
      <c r="A93" t="s">
        <v>251</v>
      </c>
    </row>
    <row r="94" spans="1:2" x14ac:dyDescent="0.3">
      <c r="A94" t="s">
        <v>252</v>
      </c>
    </row>
    <row r="95" spans="1:2" x14ac:dyDescent="0.3">
      <c r="A95" t="s">
        <v>253</v>
      </c>
    </row>
    <row r="96" spans="1:2" x14ac:dyDescent="0.3">
      <c r="A96" t="s">
        <v>254</v>
      </c>
    </row>
    <row r="97" spans="1:2" x14ac:dyDescent="0.3">
      <c r="A97" t="s">
        <v>255</v>
      </c>
    </row>
    <row r="98" spans="1:2" x14ac:dyDescent="0.3">
      <c r="A98" t="s">
        <v>256</v>
      </c>
    </row>
    <row r="99" spans="1:2" x14ac:dyDescent="0.3">
      <c r="A99" t="s">
        <v>257</v>
      </c>
    </row>
    <row r="100" spans="1:2" x14ac:dyDescent="0.3">
      <c r="A100" t="s">
        <v>258</v>
      </c>
      <c r="B100">
        <v>3000</v>
      </c>
    </row>
    <row r="101" spans="1:2" x14ac:dyDescent="0.3">
      <c r="A101" t="s">
        <v>259</v>
      </c>
    </row>
    <row r="102" spans="1:2" x14ac:dyDescent="0.3">
      <c r="A102" t="s">
        <v>262</v>
      </c>
      <c r="B102">
        <v>3000</v>
      </c>
    </row>
    <row r="103" spans="1:2" x14ac:dyDescent="0.3">
      <c r="A103" t="s">
        <v>263</v>
      </c>
    </row>
    <row r="104" spans="1:2" x14ac:dyDescent="0.3">
      <c r="A104" t="s">
        <v>264</v>
      </c>
    </row>
    <row r="105" spans="1:2" x14ac:dyDescent="0.3">
      <c r="A105" t="s">
        <v>260</v>
      </c>
      <c r="B105">
        <v>4200</v>
      </c>
    </row>
    <row r="106" spans="1:2" x14ac:dyDescent="0.3">
      <c r="A106" t="s">
        <v>265</v>
      </c>
    </row>
    <row r="107" spans="1:2" x14ac:dyDescent="0.3">
      <c r="A107" t="s">
        <v>266</v>
      </c>
    </row>
    <row r="108" spans="1:2" x14ac:dyDescent="0.3">
      <c r="A108" t="s">
        <v>267</v>
      </c>
      <c r="B108" s="3">
        <v>3000</v>
      </c>
    </row>
    <row r="109" spans="1:2" x14ac:dyDescent="0.3">
      <c r="A109" t="s">
        <v>268</v>
      </c>
    </row>
    <row r="110" spans="1:2" x14ac:dyDescent="0.3">
      <c r="A110" t="s">
        <v>269</v>
      </c>
    </row>
    <row r="111" spans="1:2" x14ac:dyDescent="0.3">
      <c r="A111" t="s">
        <v>270</v>
      </c>
      <c r="B111">
        <v>2800</v>
      </c>
    </row>
    <row r="112" spans="1:2" x14ac:dyDescent="0.3">
      <c r="A112" t="s">
        <v>271</v>
      </c>
    </row>
    <row r="113" spans="1:2" x14ac:dyDescent="0.3">
      <c r="A113" t="s">
        <v>272</v>
      </c>
      <c r="B113">
        <v>2800</v>
      </c>
    </row>
    <row r="114" spans="1:2" x14ac:dyDescent="0.3">
      <c r="A114" t="s">
        <v>273</v>
      </c>
      <c r="B114" s="3">
        <v>3000</v>
      </c>
    </row>
    <row r="115" spans="1:2" x14ac:dyDescent="0.3">
      <c r="A115" t="s">
        <v>274</v>
      </c>
    </row>
    <row r="116" spans="1:2" x14ac:dyDescent="0.3">
      <c r="A116" t="s">
        <v>275</v>
      </c>
      <c r="B116">
        <v>4000</v>
      </c>
    </row>
    <row r="117" spans="1:2" x14ac:dyDescent="0.3">
      <c r="A117" t="s">
        <v>276</v>
      </c>
    </row>
    <row r="118" spans="1:2" x14ac:dyDescent="0.3">
      <c r="A118" t="s">
        <v>277</v>
      </c>
    </row>
    <row r="119" spans="1:2" x14ac:dyDescent="0.3">
      <c r="A119" t="s">
        <v>278</v>
      </c>
    </row>
    <row r="120" spans="1:2" x14ac:dyDescent="0.3">
      <c r="A120" t="s">
        <v>279</v>
      </c>
    </row>
    <row r="121" spans="1:2" x14ac:dyDescent="0.3">
      <c r="A121" t="s">
        <v>280</v>
      </c>
    </row>
    <row r="122" spans="1:2" x14ac:dyDescent="0.3">
      <c r="A122" t="s">
        <v>281</v>
      </c>
      <c r="B122">
        <v>4000</v>
      </c>
    </row>
    <row r="123" spans="1:2" x14ac:dyDescent="0.3">
      <c r="A123" t="s">
        <v>282</v>
      </c>
      <c r="B123">
        <v>4000</v>
      </c>
    </row>
    <row r="124" spans="1:2" x14ac:dyDescent="0.3">
      <c r="A124" t="s">
        <v>147</v>
      </c>
    </row>
    <row r="125" spans="1:2" x14ac:dyDescent="0.3">
      <c r="A125" t="s">
        <v>283</v>
      </c>
    </row>
    <row r="126" spans="1:2" x14ac:dyDescent="0.3">
      <c r="A126" t="s">
        <v>284</v>
      </c>
    </row>
    <row r="127" spans="1:2" x14ac:dyDescent="0.3">
      <c r="A127" t="s">
        <v>285</v>
      </c>
      <c r="B127">
        <v>4200</v>
      </c>
    </row>
    <row r="128" spans="1:2" x14ac:dyDescent="0.3">
      <c r="A128" t="s">
        <v>286</v>
      </c>
    </row>
    <row r="129" spans="1:2" x14ac:dyDescent="0.3">
      <c r="A129" t="s">
        <v>287</v>
      </c>
      <c r="B129">
        <v>3000</v>
      </c>
    </row>
    <row r="130" spans="1:2" x14ac:dyDescent="0.3">
      <c r="A130" t="s">
        <v>288</v>
      </c>
      <c r="B130">
        <v>2000</v>
      </c>
    </row>
    <row r="131" spans="1:2" x14ac:dyDescent="0.3">
      <c r="A131" t="s">
        <v>289</v>
      </c>
    </row>
    <row r="132" spans="1:2" x14ac:dyDescent="0.3">
      <c r="A132" t="s">
        <v>290</v>
      </c>
    </row>
    <row r="133" spans="1:2" x14ac:dyDescent="0.3">
      <c r="A133" t="s">
        <v>292</v>
      </c>
      <c r="B133" s="3">
        <v>2000</v>
      </c>
    </row>
    <row r="134" spans="1:2" x14ac:dyDescent="0.3">
      <c r="A134" t="s">
        <v>293</v>
      </c>
    </row>
    <row r="135" spans="1:2" x14ac:dyDescent="0.3">
      <c r="A135" t="s">
        <v>294</v>
      </c>
    </row>
    <row r="136" spans="1:2" x14ac:dyDescent="0.3">
      <c r="A136" t="s">
        <v>295</v>
      </c>
    </row>
    <row r="137" spans="1:2" x14ac:dyDescent="0.3">
      <c r="A137" t="s">
        <v>296</v>
      </c>
      <c r="B137">
        <v>3000</v>
      </c>
    </row>
    <row r="138" spans="1:2" x14ac:dyDescent="0.3">
      <c r="A138" t="s">
        <v>297</v>
      </c>
    </row>
    <row r="139" spans="1:2" x14ac:dyDescent="0.3">
      <c r="A139" t="s">
        <v>298</v>
      </c>
    </row>
    <row r="140" spans="1:2" x14ac:dyDescent="0.3">
      <c r="A140" t="s">
        <v>291</v>
      </c>
    </row>
    <row r="141" spans="1:2" x14ac:dyDescent="0.3">
      <c r="A141" t="s">
        <v>299</v>
      </c>
    </row>
    <row r="142" spans="1:2" x14ac:dyDescent="0.3">
      <c r="A142" t="s">
        <v>346</v>
      </c>
      <c r="B142" s="3">
        <v>3000</v>
      </c>
    </row>
    <row r="143" spans="1:2" x14ac:dyDescent="0.3">
      <c r="A143" t="s">
        <v>300</v>
      </c>
    </row>
    <row r="144" spans="1:2" x14ac:dyDescent="0.3">
      <c r="A144" t="s">
        <v>301</v>
      </c>
    </row>
    <row r="145" spans="1:2" x14ac:dyDescent="0.3">
      <c r="A145" t="s">
        <v>302</v>
      </c>
    </row>
    <row r="146" spans="1:2" x14ac:dyDescent="0.3">
      <c r="A146" t="s">
        <v>303</v>
      </c>
    </row>
    <row r="147" spans="1:2" x14ac:dyDescent="0.3">
      <c r="A147" t="s">
        <v>304</v>
      </c>
    </row>
    <row r="148" spans="1:2" x14ac:dyDescent="0.3">
      <c r="A148" t="s">
        <v>305</v>
      </c>
      <c r="B148" s="3">
        <v>3000</v>
      </c>
    </row>
    <row r="149" spans="1:2" x14ac:dyDescent="0.3">
      <c r="A149" t="s">
        <v>306</v>
      </c>
    </row>
    <row r="150" spans="1:2" x14ac:dyDescent="0.3">
      <c r="A150" t="s">
        <v>307</v>
      </c>
      <c r="B150">
        <v>3000</v>
      </c>
    </row>
    <row r="151" spans="1:2" x14ac:dyDescent="0.3">
      <c r="A151" t="s">
        <v>308</v>
      </c>
      <c r="B151">
        <v>2800</v>
      </c>
    </row>
    <row r="152" spans="1:2" x14ac:dyDescent="0.3">
      <c r="A152" t="s">
        <v>309</v>
      </c>
      <c r="B152" s="3">
        <v>3000</v>
      </c>
    </row>
    <row r="153" spans="1:2" x14ac:dyDescent="0.3">
      <c r="A153" t="s">
        <v>310</v>
      </c>
    </row>
    <row r="154" spans="1:2" x14ac:dyDescent="0.3">
      <c r="A154" t="s">
        <v>311</v>
      </c>
      <c r="B154">
        <v>3000</v>
      </c>
    </row>
    <row r="155" spans="1:2" x14ac:dyDescent="0.3">
      <c r="A155" t="s">
        <v>313</v>
      </c>
      <c r="B155">
        <v>4200</v>
      </c>
    </row>
    <row r="156" spans="1:2" x14ac:dyDescent="0.3">
      <c r="A156" t="s">
        <v>314</v>
      </c>
      <c r="B156" s="3">
        <v>3000</v>
      </c>
    </row>
    <row r="157" spans="1:2" x14ac:dyDescent="0.3">
      <c r="A157" t="s">
        <v>315</v>
      </c>
    </row>
    <row r="158" spans="1:2" x14ac:dyDescent="0.3">
      <c r="A158" t="s">
        <v>316</v>
      </c>
    </row>
    <row r="159" spans="1:2" x14ac:dyDescent="0.3">
      <c r="A159" t="s">
        <v>317</v>
      </c>
      <c r="B159">
        <v>4500</v>
      </c>
    </row>
    <row r="160" spans="1:2" x14ac:dyDescent="0.3">
      <c r="A160" t="s">
        <v>312</v>
      </c>
    </row>
    <row r="161" spans="1:2" x14ac:dyDescent="0.3">
      <c r="A161" t="s">
        <v>318</v>
      </c>
    </row>
    <row r="162" spans="1:2" x14ac:dyDescent="0.3">
      <c r="A162" t="s">
        <v>319</v>
      </c>
    </row>
    <row r="163" spans="1:2" x14ac:dyDescent="0.3">
      <c r="A163" t="s">
        <v>320</v>
      </c>
      <c r="B163" s="3">
        <v>2000</v>
      </c>
    </row>
    <row r="164" spans="1:2" x14ac:dyDescent="0.3">
      <c r="A164" t="s">
        <v>321</v>
      </c>
      <c r="B164" s="3">
        <v>3000</v>
      </c>
    </row>
    <row r="165" spans="1:2" x14ac:dyDescent="0.3">
      <c r="A165" t="s">
        <v>322</v>
      </c>
      <c r="B165">
        <v>4200</v>
      </c>
    </row>
    <row r="166" spans="1:2" x14ac:dyDescent="0.3">
      <c r="A166" t="s">
        <v>323</v>
      </c>
      <c r="B166">
        <v>4000</v>
      </c>
    </row>
    <row r="167" spans="1:2" x14ac:dyDescent="0.3">
      <c r="A167" t="s">
        <v>324</v>
      </c>
    </row>
    <row r="168" spans="1:2" x14ac:dyDescent="0.3">
      <c r="A168" t="s">
        <v>325</v>
      </c>
    </row>
    <row r="169" spans="1:2" x14ac:dyDescent="0.3">
      <c r="A169" t="s">
        <v>326</v>
      </c>
      <c r="B169" s="3">
        <v>3000</v>
      </c>
    </row>
    <row r="170" spans="1:2" x14ac:dyDescent="0.3">
      <c r="A170" t="s">
        <v>327</v>
      </c>
      <c r="B170" s="3">
        <v>2000</v>
      </c>
    </row>
    <row r="171" spans="1:2" x14ac:dyDescent="0.3">
      <c r="A171" t="s">
        <v>328</v>
      </c>
      <c r="B171">
        <v>1800</v>
      </c>
    </row>
    <row r="172" spans="1:2" x14ac:dyDescent="0.3">
      <c r="A172" t="s">
        <v>329</v>
      </c>
      <c r="B172">
        <v>3000</v>
      </c>
    </row>
    <row r="173" spans="1:2" x14ac:dyDescent="0.3">
      <c r="A173" t="s">
        <v>330</v>
      </c>
    </row>
    <row r="174" spans="1:2" x14ac:dyDescent="0.3">
      <c r="A174" t="s">
        <v>331</v>
      </c>
      <c r="B174">
        <v>3000</v>
      </c>
    </row>
    <row r="175" spans="1:2" x14ac:dyDescent="0.3">
      <c r="A175" t="s">
        <v>332</v>
      </c>
      <c r="B175" s="3">
        <v>2000</v>
      </c>
    </row>
    <row r="176" spans="1:2" x14ac:dyDescent="0.3">
      <c r="A176" t="s">
        <v>333</v>
      </c>
      <c r="B176">
        <v>3000</v>
      </c>
    </row>
    <row r="177" spans="1:2" x14ac:dyDescent="0.3">
      <c r="A177" t="s">
        <v>334</v>
      </c>
    </row>
    <row r="178" spans="1:2" x14ac:dyDescent="0.3">
      <c r="A178" t="s">
        <v>335</v>
      </c>
      <c r="B178">
        <v>4000</v>
      </c>
    </row>
    <row r="179" spans="1:2" x14ac:dyDescent="0.3">
      <c r="A179" t="s">
        <v>408</v>
      </c>
    </row>
    <row r="180" spans="1:2" x14ac:dyDescent="0.3">
      <c r="A180" t="s">
        <v>336</v>
      </c>
    </row>
    <row r="181" spans="1:2" x14ac:dyDescent="0.3">
      <c r="A181" t="s">
        <v>337</v>
      </c>
    </row>
    <row r="182" spans="1:2" x14ac:dyDescent="0.3">
      <c r="A182" t="s">
        <v>338</v>
      </c>
    </row>
    <row r="183" spans="1:2" x14ac:dyDescent="0.3">
      <c r="A183" t="s">
        <v>339</v>
      </c>
    </row>
    <row r="184" spans="1:2" x14ac:dyDescent="0.3">
      <c r="A184" t="s">
        <v>340</v>
      </c>
    </row>
    <row r="185" spans="1:2" x14ac:dyDescent="0.3">
      <c r="A185" t="s">
        <v>341</v>
      </c>
    </row>
    <row r="186" spans="1:2" x14ac:dyDescent="0.3">
      <c r="A186" t="s">
        <v>342</v>
      </c>
    </row>
    <row r="187" spans="1:2" x14ac:dyDescent="0.3">
      <c r="A187" t="s">
        <v>344</v>
      </c>
    </row>
    <row r="188" spans="1:2" x14ac:dyDescent="0.3">
      <c r="A188" t="s">
        <v>345</v>
      </c>
    </row>
    <row r="189" spans="1:2" x14ac:dyDescent="0.3">
      <c r="A189" t="s">
        <v>348</v>
      </c>
    </row>
    <row r="190" spans="1:2" x14ac:dyDescent="0.3">
      <c r="A190" t="s">
        <v>347</v>
      </c>
    </row>
    <row r="191" spans="1:2" x14ac:dyDescent="0.3">
      <c r="A191" t="s">
        <v>261</v>
      </c>
    </row>
    <row r="192" spans="1:2" x14ac:dyDescent="0.3">
      <c r="A192" t="s">
        <v>349</v>
      </c>
    </row>
    <row r="193" spans="1:2" x14ac:dyDescent="0.3">
      <c r="A193" t="s">
        <v>350</v>
      </c>
    </row>
    <row r="194" spans="1:2" x14ac:dyDescent="0.3">
      <c r="A194" t="s">
        <v>351</v>
      </c>
    </row>
    <row r="195" spans="1:2" x14ac:dyDescent="0.3">
      <c r="A195" t="s">
        <v>352</v>
      </c>
    </row>
    <row r="196" spans="1:2" x14ac:dyDescent="0.3">
      <c r="A196" t="s">
        <v>353</v>
      </c>
    </row>
    <row r="197" spans="1:2" x14ac:dyDescent="0.3">
      <c r="A197" t="s">
        <v>354</v>
      </c>
    </row>
    <row r="198" spans="1:2" x14ac:dyDescent="0.3">
      <c r="A198" t="s">
        <v>355</v>
      </c>
      <c r="B198" s="3">
        <v>3000</v>
      </c>
    </row>
    <row r="199" spans="1:2" x14ac:dyDescent="0.3">
      <c r="A199" t="s">
        <v>356</v>
      </c>
    </row>
    <row r="200" spans="1:2" x14ac:dyDescent="0.3">
      <c r="A200" t="s">
        <v>357</v>
      </c>
      <c r="B200">
        <v>4000</v>
      </c>
    </row>
    <row r="201" spans="1:2" x14ac:dyDescent="0.3">
      <c r="A201" t="s">
        <v>358</v>
      </c>
    </row>
    <row r="202" spans="1:2" x14ac:dyDescent="0.3">
      <c r="A202" t="s">
        <v>359</v>
      </c>
    </row>
    <row r="203" spans="1:2" x14ac:dyDescent="0.3">
      <c r="A203" t="s">
        <v>360</v>
      </c>
    </row>
    <row r="204" spans="1:2" x14ac:dyDescent="0.3">
      <c r="A204" t="s">
        <v>361</v>
      </c>
      <c r="B204">
        <v>4000</v>
      </c>
    </row>
    <row r="205" spans="1:2" x14ac:dyDescent="0.3">
      <c r="A205" t="s">
        <v>362</v>
      </c>
      <c r="B205" s="3">
        <v>3000</v>
      </c>
    </row>
    <row r="206" spans="1:2" x14ac:dyDescent="0.3">
      <c r="A206" t="s">
        <v>363</v>
      </c>
      <c r="B206" s="3">
        <v>3000</v>
      </c>
    </row>
    <row r="207" spans="1:2" x14ac:dyDescent="0.3">
      <c r="A207" t="s">
        <v>364</v>
      </c>
      <c r="B207">
        <v>2500</v>
      </c>
    </row>
    <row r="208" spans="1:2" x14ac:dyDescent="0.3">
      <c r="A208" t="s">
        <v>365</v>
      </c>
    </row>
    <row r="209" spans="1:2" x14ac:dyDescent="0.3">
      <c r="A209" t="s">
        <v>368</v>
      </c>
      <c r="B209">
        <v>2500</v>
      </c>
    </row>
    <row r="210" spans="1:2" x14ac:dyDescent="0.3">
      <c r="A210" t="s">
        <v>370</v>
      </c>
    </row>
    <row r="211" spans="1:2" x14ac:dyDescent="0.3">
      <c r="A211" t="s">
        <v>371</v>
      </c>
    </row>
    <row r="212" spans="1:2" x14ac:dyDescent="0.3">
      <c r="A212" t="s">
        <v>369</v>
      </c>
    </row>
    <row r="213" spans="1:2" x14ac:dyDescent="0.3">
      <c r="A213" t="s">
        <v>366</v>
      </c>
    </row>
    <row r="214" spans="1:2" x14ac:dyDescent="0.3">
      <c r="A214" t="s">
        <v>409</v>
      </c>
    </row>
    <row r="215" spans="1:2" x14ac:dyDescent="0.3">
      <c r="A215" t="s">
        <v>372</v>
      </c>
    </row>
    <row r="216" spans="1:2" x14ac:dyDescent="0.3">
      <c r="A216" t="s">
        <v>373</v>
      </c>
    </row>
    <row r="217" spans="1:2" x14ac:dyDescent="0.3">
      <c r="A217" t="s">
        <v>374</v>
      </c>
    </row>
    <row r="218" spans="1:2" x14ac:dyDescent="0.3">
      <c r="A218" t="s">
        <v>375</v>
      </c>
      <c r="B218">
        <v>4000</v>
      </c>
    </row>
    <row r="219" spans="1:2" x14ac:dyDescent="0.3">
      <c r="A219" t="s">
        <v>376</v>
      </c>
    </row>
    <row r="220" spans="1:2" x14ac:dyDescent="0.3">
      <c r="A220" t="s">
        <v>367</v>
      </c>
    </row>
    <row r="221" spans="1:2" x14ac:dyDescent="0.3">
      <c r="A221" t="s">
        <v>377</v>
      </c>
      <c r="B221" s="3">
        <v>3000</v>
      </c>
    </row>
    <row r="222" spans="1:2" x14ac:dyDescent="0.3">
      <c r="A222" t="s">
        <v>378</v>
      </c>
    </row>
    <row r="223" spans="1:2" x14ac:dyDescent="0.3">
      <c r="A223" t="s">
        <v>379</v>
      </c>
      <c r="B223" t="s">
        <v>170</v>
      </c>
    </row>
    <row r="224" spans="1:2" x14ac:dyDescent="0.3">
      <c r="A224" t="s">
        <v>380</v>
      </c>
      <c r="B224" t="s">
        <v>170</v>
      </c>
    </row>
    <row r="225" spans="1:2" x14ac:dyDescent="0.3">
      <c r="A225" t="s">
        <v>381</v>
      </c>
    </row>
    <row r="226" spans="1:2" x14ac:dyDescent="0.3">
      <c r="A226" t="s">
        <v>382</v>
      </c>
    </row>
    <row r="227" spans="1:2" x14ac:dyDescent="0.3">
      <c r="A227" t="s">
        <v>383</v>
      </c>
      <c r="B227">
        <v>1800</v>
      </c>
    </row>
    <row r="228" spans="1:2" x14ac:dyDescent="0.3">
      <c r="A228" t="s">
        <v>384</v>
      </c>
    </row>
    <row r="229" spans="1:2" x14ac:dyDescent="0.3">
      <c r="A229" t="s">
        <v>385</v>
      </c>
    </row>
    <row r="230" spans="1:2" x14ac:dyDescent="0.3">
      <c r="A230" t="s">
        <v>386</v>
      </c>
    </row>
    <row r="231" spans="1:2" x14ac:dyDescent="0.3">
      <c r="A231" t="s">
        <v>387</v>
      </c>
      <c r="B231">
        <v>4000</v>
      </c>
    </row>
    <row r="232" spans="1:2" x14ac:dyDescent="0.3">
      <c r="A232" t="s">
        <v>388</v>
      </c>
    </row>
    <row r="233" spans="1:2" x14ac:dyDescent="0.3">
      <c r="A233" t="s">
        <v>390</v>
      </c>
    </row>
    <row r="234" spans="1:2" x14ac:dyDescent="0.3">
      <c r="A234" t="s">
        <v>389</v>
      </c>
    </row>
    <row r="235" spans="1:2" x14ac:dyDescent="0.3">
      <c r="A235" t="s">
        <v>392</v>
      </c>
    </row>
    <row r="236" spans="1:2" x14ac:dyDescent="0.3">
      <c r="A236" t="s">
        <v>391</v>
      </c>
    </row>
    <row r="237" spans="1:2" x14ac:dyDescent="0.3">
      <c r="A237" t="s">
        <v>393</v>
      </c>
    </row>
    <row r="238" spans="1:2" x14ac:dyDescent="0.3">
      <c r="A238" t="s">
        <v>395</v>
      </c>
    </row>
    <row r="239" spans="1:2" x14ac:dyDescent="0.3">
      <c r="A239" t="s">
        <v>394</v>
      </c>
    </row>
    <row r="240" spans="1:2" x14ac:dyDescent="0.3">
      <c r="A240" t="s">
        <v>396</v>
      </c>
      <c r="B240">
        <v>2800</v>
      </c>
    </row>
    <row r="241" spans="1:2" x14ac:dyDescent="0.3">
      <c r="A241" t="s">
        <v>397</v>
      </c>
    </row>
    <row r="242" spans="1:2" x14ac:dyDescent="0.3">
      <c r="A242" t="s">
        <v>398</v>
      </c>
      <c r="B242">
        <v>3000</v>
      </c>
    </row>
    <row r="243" spans="1:2" x14ac:dyDescent="0.3">
      <c r="A243" t="s">
        <v>399</v>
      </c>
    </row>
    <row r="244" spans="1:2" x14ac:dyDescent="0.3">
      <c r="A244" t="s">
        <v>400</v>
      </c>
    </row>
    <row r="245" spans="1:2" x14ac:dyDescent="0.3">
      <c r="A245" t="s">
        <v>401</v>
      </c>
    </row>
    <row r="246" spans="1:2" x14ac:dyDescent="0.3">
      <c r="A246" t="s">
        <v>402</v>
      </c>
      <c r="B246">
        <v>3000</v>
      </c>
    </row>
    <row r="247" spans="1:2" x14ac:dyDescent="0.3">
      <c r="A247" t="s">
        <v>403</v>
      </c>
    </row>
    <row r="248" spans="1:2" x14ac:dyDescent="0.3">
      <c r="A248" t="s">
        <v>404</v>
      </c>
      <c r="B248" s="3">
        <v>2000</v>
      </c>
    </row>
    <row r="249" spans="1:2" x14ac:dyDescent="0.3">
      <c r="A249" t="s">
        <v>343</v>
      </c>
    </row>
    <row r="250" spans="1:2" x14ac:dyDescent="0.3">
      <c r="A250" t="s">
        <v>405</v>
      </c>
    </row>
    <row r="251" spans="1:2" x14ac:dyDescent="0.3">
      <c r="A251" t="s">
        <v>406</v>
      </c>
    </row>
    <row r="252" spans="1:2" x14ac:dyDescent="0.3">
      <c r="A252" t="s">
        <v>407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038f357-a9a0-48c4-a86b-ec7fa2592930">
      <Terms xmlns="http://schemas.microsoft.com/office/infopath/2007/PartnerControls"/>
    </lcf76f155ced4ddcb4097134ff3c332f>
    <TaxCatchAll xmlns="b9b056c2-9eda-4bf8-b365-7f9a32771e3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E28A0F4284AA246B4D21665D03F6DE1" ma:contentTypeVersion="11" ma:contentTypeDescription="Een nieuw document maken." ma:contentTypeScope="" ma:versionID="b8dce97a52a0936a9a30e64a243459bc">
  <xsd:schema xmlns:xsd="http://www.w3.org/2001/XMLSchema" xmlns:xs="http://www.w3.org/2001/XMLSchema" xmlns:p="http://schemas.microsoft.com/office/2006/metadata/properties" xmlns:ns2="3038f357-a9a0-48c4-a86b-ec7fa2592930" xmlns:ns3="b9b056c2-9eda-4bf8-b365-7f9a32771e3d" targetNamespace="http://schemas.microsoft.com/office/2006/metadata/properties" ma:root="true" ma:fieldsID="1e49228577d2ab6aa6f7e0c94652c095" ns2:_="" ns3:_="">
    <xsd:import namespace="3038f357-a9a0-48c4-a86b-ec7fa2592930"/>
    <xsd:import namespace="b9b056c2-9eda-4bf8-b365-7f9a32771e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38f357-a9a0-48c4-a86b-ec7fa25929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Afbeeldingtags" ma:readOnly="false" ma:fieldId="{5cf76f15-5ced-4ddc-b409-7134ff3c332f}" ma:taxonomyMulti="true" ma:sspId="1cf77c6f-7d90-4f59-9429-7beb7326011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9b056c2-9eda-4bf8-b365-7f9a32771e3d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046f8086-8ef5-4f79-b496-d0cb86972512}" ma:internalName="TaxCatchAll" ma:showField="CatchAllData" ma:web="b9b056c2-9eda-4bf8-b365-7f9a32771e3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1C0BE60-1D7F-4D38-AA92-75D81FB75319}">
  <ds:schemaRefs>
    <ds:schemaRef ds:uri="http://schemas.microsoft.com/office/2006/metadata/properties"/>
    <ds:schemaRef ds:uri="http://schemas.microsoft.com/office/infopath/2007/PartnerControls"/>
    <ds:schemaRef ds:uri="3038f357-a9a0-48c4-a86b-ec7fa2592930"/>
    <ds:schemaRef ds:uri="b9b056c2-9eda-4bf8-b365-7f9a32771e3d"/>
  </ds:schemaRefs>
</ds:datastoreItem>
</file>

<file path=customXml/itemProps2.xml><?xml version="1.0" encoding="utf-8"?>
<ds:datastoreItem xmlns:ds="http://schemas.openxmlformats.org/officeDocument/2006/customXml" ds:itemID="{85C5519F-2A88-456C-99D0-8E4AE604CE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29A282E-46DB-48F0-BD16-EC26B81B10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038f357-a9a0-48c4-a86b-ec7fa2592930"/>
    <ds:schemaRef ds:uri="b9b056c2-9eda-4bf8-b365-7f9a32771e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Data_quality</vt:lpstr>
      <vt:lpstr>Helper_table</vt:lpstr>
      <vt:lpstr>Main_data</vt:lpstr>
      <vt:lpstr>Cat_helper_table</vt:lpstr>
      <vt:lpstr>Ellens_additions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Katona,Barnabás B.B.</dc:creator>
  <cp:keywords/>
  <dc:description/>
  <cp:lastModifiedBy>Veeke,Desmond D.W.L.P.</cp:lastModifiedBy>
  <cp:revision/>
  <dcterms:created xsi:type="dcterms:W3CDTF">2025-04-09T08:04:07Z</dcterms:created>
  <dcterms:modified xsi:type="dcterms:W3CDTF">2025-05-26T08:39:54Z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0x0101007E28A0F4284AA246B4D21665D03F6DE1</vt:lpwstr>
  </property>
</Properties>
</file>