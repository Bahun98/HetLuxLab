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updateLinks="always"/>
  <mc:AlternateContent xmlns:mc="http://schemas.openxmlformats.org/markup-compatibility/2006">
    <mc:Choice Requires="x15">
      <x15ac:absPath xmlns:x15ac="http://schemas.microsoft.com/office/spreadsheetml/2010/11/ac" url="C:\Users\desmo\OneDrive\Desktop\HetLuxLab\"/>
    </mc:Choice>
  </mc:AlternateContent>
  <xr:revisionPtr revIDLastSave="0" documentId="13_ncr:1_{57E4EBDD-55B6-4C9A-9BFD-CC24CF10DBA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a_quality" sheetId="3" r:id="rId1"/>
    <sheet name="Helper_table" sheetId="4" r:id="rId2"/>
    <sheet name="Main_data" sheetId="1" r:id="rId3"/>
    <sheet name="algoritme tabel " sheetId="7" r:id="rId4"/>
    <sheet name="Cat_helper_table" sheetId="6" r:id="rId5"/>
    <sheet name="Ellens_additions" sheetId="2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1" l="1"/>
  <c r="AQ3" i="1"/>
  <c r="AQ4" i="1"/>
  <c r="AQ5" i="1"/>
  <c r="AQ6" i="1"/>
  <c r="AQ7" i="1"/>
  <c r="AQ8" i="1"/>
  <c r="AQ9" i="1"/>
  <c r="AQ10" i="1"/>
  <c r="AQ471" i="1"/>
  <c r="AQ822" i="1"/>
  <c r="AQ824" i="1"/>
  <c r="AQ826" i="1"/>
  <c r="AQ832" i="1"/>
  <c r="AQ834" i="1"/>
  <c r="AQ886" i="1"/>
  <c r="AQ950" i="1"/>
  <c r="AQ952" i="1"/>
  <c r="AQ954" i="1"/>
  <c r="AQ1303" i="1"/>
  <c r="AQ1307" i="1"/>
  <c r="AQ1317" i="1"/>
  <c r="AQ1319" i="1"/>
  <c r="AQ1321" i="1"/>
  <c r="AQ1323" i="1"/>
  <c r="AQ2012" i="1"/>
  <c r="AQ2523" i="1"/>
  <c r="AQ2525" i="1"/>
  <c r="AQ2527" i="1"/>
  <c r="AQ2529" i="1"/>
  <c r="AQ2531" i="1"/>
  <c r="AQ2533" i="1"/>
  <c r="AQ2535" i="1"/>
  <c r="AQ2537" i="1"/>
  <c r="AQ2539" i="1"/>
  <c r="AQ2541" i="1"/>
  <c r="AQ2543" i="1"/>
  <c r="AQ2545" i="1"/>
  <c r="AQ2547" i="1"/>
  <c r="AQ2549" i="1"/>
  <c r="AQ2551" i="1"/>
  <c r="AQ2553" i="1"/>
  <c r="AQ2555" i="1"/>
  <c r="AQ2559" i="1"/>
  <c r="AQ2583" i="1"/>
  <c r="AQ3227" i="1"/>
  <c r="AQ3287" i="1"/>
  <c r="AQ3657" i="1"/>
  <c r="AQ3659" i="1"/>
  <c r="AQ3661" i="1"/>
  <c r="AQ3663" i="1"/>
  <c r="AQ3667" i="1"/>
  <c r="AQ3863" i="1"/>
  <c r="AQ3865" i="1"/>
  <c r="AQ3867" i="1"/>
  <c r="AQ3869" i="1"/>
  <c r="AQ3871" i="1"/>
  <c r="AQ3873" i="1"/>
  <c r="AQ3875" i="1"/>
  <c r="AQ3877" i="1"/>
  <c r="AQ3879" i="1"/>
  <c r="AQ3881" i="1"/>
  <c r="AQ3883" i="1"/>
  <c r="AQ3885" i="1"/>
  <c r="AQ3887" i="1"/>
  <c r="AQ3889" i="1"/>
  <c r="AQ3891" i="1"/>
  <c r="AQ4977" i="1"/>
  <c r="AQ4979" i="1"/>
  <c r="AQ4981" i="1"/>
  <c r="AQ4983" i="1"/>
  <c r="AQ4985" i="1"/>
  <c r="AQ5001" i="1"/>
  <c r="AQ5003" i="1"/>
  <c r="AQ5005" i="1"/>
  <c r="AQ5007" i="1"/>
  <c r="AQ5009" i="1"/>
  <c r="AQ5011" i="1"/>
  <c r="AQ5013" i="1"/>
  <c r="AQ5017" i="1"/>
  <c r="AQ5187" i="1"/>
  <c r="AQ5646" i="1"/>
  <c r="AQ5662" i="1"/>
  <c r="AQ5664" i="1"/>
  <c r="AQ5672" i="1"/>
  <c r="AQ5688" i="1"/>
  <c r="AQ5690" i="1"/>
  <c r="AQ5718" i="1"/>
  <c r="AQ5720" i="1"/>
  <c r="AQ5768" i="1"/>
  <c r="AQ5770" i="1"/>
  <c r="AQ5772" i="1"/>
  <c r="AQ5911" i="1"/>
  <c r="AQ5913" i="1"/>
  <c r="AQ5915" i="1"/>
  <c r="AQ5917" i="1"/>
  <c r="AQ5919" i="1"/>
  <c r="AQ5921" i="1"/>
  <c r="AQ5923" i="1"/>
  <c r="AQ5925" i="1"/>
  <c r="AQ5927" i="1"/>
  <c r="AQ5929" i="1"/>
  <c r="AQ5931" i="1"/>
  <c r="AQ6300" i="1"/>
  <c r="AQ8427" i="1"/>
  <c r="AQ8443" i="1"/>
  <c r="AQ8447" i="1"/>
  <c r="AQ8448" i="1"/>
  <c r="AQ8449" i="1"/>
  <c r="AQ8450" i="1"/>
  <c r="AQ8451" i="1"/>
  <c r="AQ8452" i="1"/>
  <c r="AQ8453" i="1"/>
  <c r="AQ8454" i="1"/>
  <c r="AQ8455" i="1"/>
  <c r="AQ8456" i="1"/>
  <c r="AQ8457" i="1"/>
  <c r="AQ8458" i="1"/>
  <c r="AQ8521" i="1"/>
  <c r="AQ8522" i="1"/>
  <c r="AQ8523" i="1"/>
  <c r="AQ8524" i="1"/>
  <c r="AQ8525" i="1"/>
  <c r="AQ8526" i="1"/>
  <c r="AQ8527" i="1"/>
  <c r="AQ8528" i="1"/>
  <c r="AQ8550" i="1"/>
  <c r="AQ8552" i="1"/>
  <c r="AQ8553" i="1"/>
  <c r="AQ8554" i="1"/>
  <c r="AQ8555" i="1"/>
  <c r="AQ8556" i="1"/>
  <c r="AQ8557" i="1"/>
  <c r="AQ8558" i="1"/>
  <c r="AQ8559" i="1"/>
  <c r="AQ8560" i="1"/>
  <c r="AQ8570" i="1"/>
  <c r="AQ8571" i="1"/>
  <c r="AQ8572" i="1"/>
  <c r="AQ8577" i="1"/>
  <c r="AQ8578" i="1"/>
  <c r="AQ8579" i="1"/>
  <c r="AQ8580" i="1"/>
  <c r="AQ8581" i="1"/>
  <c r="AQ8582" i="1"/>
  <c r="AQ8612" i="1"/>
  <c r="AQ8613" i="1"/>
  <c r="AQ10198" i="1"/>
  <c r="AQ10207" i="1"/>
  <c r="AQ10208" i="1"/>
  <c r="AQ10268" i="1"/>
  <c r="AQ10269" i="1"/>
  <c r="AQ10270" i="1"/>
  <c r="AQ10271" i="1"/>
  <c r="AQ10272" i="1"/>
  <c r="AQ10273" i="1"/>
  <c r="AQ10274" i="1"/>
  <c r="AQ10768" i="1"/>
  <c r="AQ12378" i="1"/>
  <c r="AQ12379" i="1"/>
  <c r="AQ12380" i="1"/>
  <c r="AQ12381" i="1"/>
  <c r="AQ12390" i="1"/>
  <c r="AQ12391" i="1"/>
  <c r="AQ12395" i="1"/>
  <c r="AQ12396" i="1"/>
  <c r="AQ12397" i="1"/>
  <c r="AQ12411" i="1"/>
  <c r="AQ12443" i="1"/>
  <c r="AQ14829" i="1"/>
  <c r="AQ14830" i="1"/>
  <c r="AQ14831" i="1"/>
  <c r="AQ14851" i="1"/>
  <c r="AQ15099" i="1"/>
  <c r="AQ15100" i="1"/>
  <c r="AQ15101" i="1"/>
  <c r="AQ15102" i="1"/>
  <c r="AQ15103" i="1"/>
  <c r="AQ15104" i="1"/>
  <c r="AQ15788" i="1"/>
  <c r="AQ16422" i="1"/>
  <c r="AQ17019" i="1"/>
  <c r="AQ17020" i="1"/>
  <c r="AQ17021" i="1"/>
  <c r="AQ17029" i="1"/>
  <c r="AQ17113" i="1"/>
  <c r="AQ17114" i="1"/>
  <c r="AQ17115" i="1"/>
  <c r="AQ17116" i="1"/>
  <c r="AQ17117" i="1"/>
  <c r="AQ17118" i="1"/>
  <c r="AQ17119" i="1"/>
  <c r="AQ17120" i="1"/>
  <c r="AQ17121" i="1"/>
  <c r="AQ17122" i="1"/>
  <c r="AQ17127" i="1"/>
  <c r="AQ17128" i="1"/>
  <c r="AQ17150" i="1"/>
  <c r="AQ17151" i="1"/>
  <c r="AQ17161" i="1"/>
  <c r="AQ17162" i="1"/>
  <c r="AQ17163" i="1"/>
  <c r="AQ17164" i="1"/>
  <c r="AQ17165" i="1"/>
  <c r="AQ17166" i="1"/>
  <c r="AQ17167" i="1"/>
  <c r="AQ17168" i="1"/>
  <c r="AQ17169" i="1"/>
  <c r="AQ17170" i="1"/>
  <c r="AQ17171" i="1"/>
  <c r="AQ17172" i="1"/>
  <c r="AQ17173" i="1"/>
  <c r="AQ17174" i="1"/>
  <c r="AQ17175" i="1"/>
  <c r="AQ17176" i="1"/>
  <c r="AQ17177" i="1"/>
  <c r="AQ17178" i="1"/>
  <c r="AQ17179" i="1"/>
  <c r="AQ17180" i="1"/>
  <c r="AQ17181" i="1"/>
  <c r="AQ17182" i="1"/>
  <c r="AQ17183" i="1"/>
  <c r="AQ17184" i="1"/>
  <c r="AQ17185" i="1"/>
  <c r="AQ17186" i="1"/>
  <c r="AQ17187" i="1"/>
  <c r="AQ17188" i="1"/>
  <c r="AQ17189" i="1"/>
  <c r="AQ17190" i="1"/>
  <c r="AQ17191" i="1"/>
  <c r="AQ17192" i="1"/>
  <c r="AQ17193" i="1"/>
  <c r="AQ17194" i="1"/>
  <c r="AQ17195" i="1"/>
  <c r="AQ17196" i="1"/>
  <c r="AQ17197" i="1"/>
  <c r="AQ17198" i="1"/>
  <c r="AQ17199" i="1"/>
  <c r="AQ17200" i="1"/>
  <c r="AQ17201" i="1"/>
  <c r="AQ17202" i="1"/>
  <c r="AQ17203" i="1"/>
  <c r="AQ17204" i="1"/>
  <c r="AQ17205" i="1"/>
  <c r="AQ17206" i="1"/>
  <c r="AQ17207" i="1"/>
  <c r="AQ17208" i="1"/>
  <c r="AQ17209" i="1"/>
  <c r="AQ17210" i="1"/>
  <c r="AQ17211" i="1"/>
  <c r="AQ17212" i="1"/>
  <c r="AQ17213" i="1"/>
  <c r="AQ17214" i="1"/>
  <c r="AQ17215" i="1"/>
  <c r="AQ17216" i="1"/>
  <c r="AQ17217" i="1"/>
  <c r="AQ17218" i="1"/>
  <c r="AQ17219" i="1"/>
  <c r="AQ17220" i="1"/>
  <c r="AQ17221" i="1"/>
  <c r="AQ17222" i="1"/>
  <c r="AQ17223" i="1"/>
  <c r="AQ17224" i="1"/>
  <c r="AQ17225" i="1"/>
  <c r="AQ17226" i="1"/>
  <c r="AQ17227" i="1"/>
  <c r="AQ17228" i="1"/>
  <c r="AQ17229" i="1"/>
  <c r="AQ17230" i="1"/>
  <c r="AQ17231" i="1"/>
  <c r="AQ17232" i="1"/>
  <c r="AQ17233" i="1"/>
  <c r="AQ17234" i="1"/>
  <c r="AQ17235" i="1"/>
  <c r="AQ17236" i="1"/>
  <c r="AQ17237" i="1"/>
  <c r="AQ17238" i="1"/>
  <c r="AQ17239" i="1"/>
  <c r="AQ17240" i="1"/>
  <c r="AQ17241" i="1"/>
  <c r="AQ17242" i="1"/>
  <c r="AQ17243" i="1"/>
  <c r="AQ17244" i="1"/>
  <c r="AQ17245" i="1"/>
  <c r="AQ17246" i="1"/>
  <c r="AQ17247" i="1"/>
  <c r="AQ17248" i="1"/>
  <c r="AQ17249" i="1"/>
  <c r="AQ17250" i="1"/>
  <c r="AQ17251" i="1"/>
  <c r="AQ17252" i="1"/>
  <c r="AQ17253" i="1"/>
  <c r="AQ17254" i="1"/>
  <c r="AQ17255" i="1"/>
  <c r="AQ17256" i="1"/>
  <c r="AQ17257" i="1"/>
  <c r="AQ17258" i="1"/>
  <c r="AQ17259" i="1"/>
  <c r="AQ17260" i="1"/>
  <c r="AQ17261" i="1"/>
  <c r="AQ17262" i="1"/>
  <c r="AQ17263" i="1"/>
  <c r="AQ17264" i="1"/>
  <c r="AQ17265" i="1"/>
  <c r="AQ17266" i="1"/>
  <c r="AQ17267" i="1"/>
  <c r="AQ17268" i="1"/>
  <c r="AQ17269" i="1"/>
  <c r="AQ17270" i="1"/>
  <c r="AQ17271" i="1"/>
  <c r="AQ17272" i="1"/>
  <c r="AQ17273" i="1"/>
  <c r="AQ17274" i="1"/>
  <c r="AQ17275" i="1"/>
  <c r="AQ17276" i="1"/>
  <c r="AQ17277" i="1"/>
  <c r="AQ17278" i="1"/>
  <c r="AQ17279" i="1"/>
  <c r="AQ17280" i="1"/>
  <c r="AQ17281" i="1"/>
  <c r="AQ17282" i="1"/>
  <c r="AQ17283" i="1"/>
  <c r="AQ17284" i="1"/>
  <c r="AQ17285" i="1"/>
  <c r="AQ17286" i="1"/>
  <c r="AQ17287" i="1"/>
  <c r="AQ17288" i="1"/>
  <c r="AQ17289" i="1"/>
  <c r="AQ17290" i="1"/>
  <c r="AQ17291" i="1"/>
  <c r="AQ17292" i="1"/>
  <c r="AQ17293" i="1"/>
  <c r="AQ17294" i="1"/>
  <c r="AQ17295" i="1"/>
  <c r="AQ17296" i="1"/>
  <c r="AQ17297" i="1"/>
  <c r="AQ17298" i="1"/>
  <c r="AQ17299" i="1"/>
  <c r="AQ17300" i="1"/>
  <c r="AQ17393" i="1"/>
  <c r="AQ17819" i="1"/>
  <c r="AQ17820" i="1"/>
  <c r="AQ17821" i="1"/>
  <c r="AQ17822" i="1"/>
  <c r="AQ18040" i="1"/>
  <c r="AQ18041" i="1"/>
  <c r="AQ18091" i="1"/>
  <c r="AQ18632" i="1"/>
  <c r="AQ18633" i="1"/>
  <c r="AQ18634" i="1"/>
  <c r="AQ18635" i="1"/>
  <c r="AQ18636" i="1"/>
  <c r="AQ18637" i="1"/>
  <c r="AQ18638" i="1"/>
  <c r="AQ18639" i="1"/>
  <c r="AQ18640" i="1"/>
  <c r="AQ18641" i="1"/>
  <c r="AQ18644" i="1"/>
  <c r="AQ18645" i="1"/>
  <c r="AQ18646" i="1"/>
  <c r="AQ18647" i="1"/>
  <c r="AQ18648" i="1"/>
  <c r="AQ18649" i="1"/>
  <c r="AQ18650" i="1"/>
  <c r="AQ18651" i="1"/>
  <c r="AQ18652" i="1"/>
  <c r="AQ18653" i="1"/>
  <c r="AQ19023" i="1"/>
  <c r="AQ19024" i="1"/>
  <c r="AQ19025" i="1"/>
  <c r="AQ19026" i="1"/>
  <c r="AQ19193" i="1"/>
  <c r="AQ19194" i="1"/>
  <c r="AQ19195" i="1"/>
  <c r="AQ19201" i="1"/>
  <c r="AQ19242" i="1"/>
  <c r="AQ19243" i="1"/>
  <c r="AQ19256" i="1"/>
  <c r="AQ19264" i="1"/>
  <c r="AQ19284" i="1"/>
  <c r="AQ19285" i="1"/>
  <c r="AQ19286" i="1"/>
  <c r="AQ19287" i="1"/>
  <c r="AQ19387" i="1"/>
  <c r="AQ20338" i="1"/>
  <c r="AQ20339" i="1"/>
  <c r="AQ20340" i="1"/>
  <c r="AQ20341" i="1"/>
  <c r="AQ20342" i="1"/>
  <c r="AQ20343" i="1"/>
  <c r="AQ20344" i="1"/>
  <c r="AQ20345" i="1"/>
  <c r="AQ20346" i="1"/>
  <c r="AQ20347" i="1"/>
  <c r="AQ20348" i="1"/>
  <c r="AQ20349" i="1"/>
  <c r="AQ20350" i="1"/>
  <c r="AQ20351" i="1"/>
  <c r="AQ20352" i="1"/>
  <c r="AQ20353" i="1"/>
  <c r="AQ20354" i="1"/>
  <c r="AQ20355" i="1"/>
  <c r="AQ20356" i="1"/>
  <c r="AQ20357" i="1"/>
  <c r="AQ20358" i="1"/>
  <c r="AQ20359" i="1"/>
  <c r="AQ20360" i="1"/>
  <c r="AQ20361" i="1"/>
  <c r="AQ20362" i="1"/>
  <c r="AQ20363" i="1"/>
  <c r="AQ20524" i="1"/>
  <c r="AQ20525" i="1"/>
  <c r="AQ20566" i="1"/>
  <c r="AQ20567" i="1"/>
  <c r="AQ20568" i="1"/>
  <c r="AQ20569" i="1"/>
  <c r="AQ20570" i="1"/>
  <c r="AQ20571" i="1"/>
  <c r="AQ20572" i="1"/>
  <c r="AQ20573" i="1"/>
  <c r="AQ20581" i="1"/>
  <c r="AQ20597" i="1"/>
  <c r="AQ20598" i="1"/>
  <c r="AQ20599" i="1"/>
  <c r="AQ20600" i="1"/>
  <c r="AQ20734" i="1"/>
  <c r="AQ20735" i="1"/>
  <c r="AQ20736" i="1"/>
  <c r="AQ20739" i="1"/>
  <c r="AQ20740" i="1"/>
  <c r="AQ20741" i="1"/>
  <c r="AQ20742" i="1"/>
  <c r="AQ21337" i="1"/>
  <c r="AQ21388" i="1"/>
  <c r="AQ21389" i="1"/>
  <c r="AQ21390" i="1"/>
  <c r="AQ21391" i="1"/>
  <c r="AQ21392" i="1"/>
  <c r="AQ21393" i="1"/>
  <c r="AQ21394" i="1"/>
  <c r="AQ21395" i="1"/>
  <c r="AQ21396" i="1"/>
  <c r="AQ21397" i="1"/>
  <c r="AQ21423" i="1"/>
  <c r="AQ21424" i="1"/>
  <c r="AQ21704" i="1"/>
  <c r="AQ21954" i="1"/>
  <c r="AQ21955" i="1"/>
  <c r="AQ21956" i="1"/>
  <c r="AQ21957" i="1"/>
  <c r="AQ21974" i="1"/>
  <c r="AQ21975" i="1"/>
  <c r="AQ21976" i="1"/>
  <c r="AQ22020" i="1"/>
  <c r="AQ22046" i="1"/>
  <c r="AQ22048" i="1"/>
  <c r="AQ22049" i="1"/>
  <c r="AQ22050" i="1"/>
  <c r="AQ23306" i="1"/>
  <c r="AQ23308" i="1"/>
  <c r="AQ23310" i="1"/>
  <c r="AQ23311" i="1"/>
  <c r="AQ23312" i="1"/>
  <c r="AQ23313" i="1"/>
  <c r="AQ23314" i="1"/>
  <c r="AQ23848" i="1"/>
  <c r="AQ23851" i="1"/>
  <c r="AQ23852" i="1"/>
  <c r="AQ23853" i="1"/>
  <c r="AQ23854" i="1"/>
  <c r="AQ23855" i="1"/>
  <c r="AQ23856" i="1"/>
  <c r="AQ23857" i="1"/>
  <c r="AQ23858" i="1"/>
  <c r="AQ23859" i="1"/>
  <c r="AQ23860" i="1"/>
  <c r="AQ23861" i="1"/>
  <c r="AQ24373" i="1"/>
  <c r="AQ24374" i="1"/>
  <c r="AQ24431" i="1"/>
  <c r="AQ24432" i="1"/>
  <c r="AQ24484" i="1"/>
  <c r="AQ24485" i="1"/>
  <c r="AQ24486" i="1"/>
  <c r="AQ24487" i="1"/>
  <c r="AQ24488" i="1"/>
  <c r="AQ24489" i="1"/>
  <c r="AQ24490" i="1"/>
  <c r="AQ24491" i="1"/>
  <c r="AQ24492" i="1"/>
  <c r="AQ24493" i="1"/>
  <c r="AQ24494" i="1"/>
  <c r="AQ25033" i="1"/>
  <c r="AQ25034" i="1"/>
  <c r="AQ25035" i="1"/>
  <c r="AQ25036" i="1"/>
  <c r="AQ25037" i="1"/>
  <c r="AQ25048" i="1"/>
  <c r="AQ25049" i="1"/>
  <c r="AQ25050" i="1"/>
  <c r="AQ25051" i="1"/>
  <c r="AQ25052" i="1"/>
  <c r="AQ25054" i="1"/>
  <c r="AQ25055" i="1"/>
  <c r="AQ25056" i="1"/>
  <c r="AQ25057" i="1"/>
  <c r="AQ25058" i="1"/>
  <c r="AQ25060" i="1"/>
  <c r="AQ25062" i="1"/>
  <c r="AQ25149" i="1"/>
  <c r="AQ25150" i="1"/>
  <c r="AQ25151" i="1"/>
  <c r="AQ25323" i="1"/>
  <c r="AQ25533" i="1"/>
  <c r="AQ25534" i="1"/>
  <c r="AQ25535" i="1"/>
  <c r="AQ25536" i="1"/>
  <c r="AQ25537" i="1"/>
  <c r="AQ25538" i="1"/>
  <c r="AQ25539" i="1"/>
  <c r="AQ25540" i="1"/>
  <c r="AQ25541" i="1"/>
  <c r="AQ25542" i="1"/>
  <c r="AQ25543" i="1"/>
  <c r="AQ25544" i="1"/>
  <c r="AQ25545" i="1"/>
  <c r="AQ25546" i="1"/>
  <c r="AQ25547" i="1"/>
  <c r="AQ25902" i="1"/>
  <c r="AQ25962" i="1"/>
  <c r="AQ25996" i="1"/>
  <c r="AQ25997" i="1"/>
  <c r="AQ25998" i="1"/>
  <c r="AQ26000" i="1"/>
  <c r="AQ26001" i="1"/>
  <c r="AQ26004" i="1"/>
  <c r="AQ26005" i="1"/>
  <c r="AQ26018" i="1"/>
  <c r="AQ26031" i="1"/>
  <c r="AQ26032" i="1"/>
  <c r="AQ26033" i="1"/>
  <c r="AQ26034" i="1"/>
  <c r="AQ26041" i="1"/>
  <c r="AQ26042" i="1"/>
  <c r="AQ26043" i="1"/>
  <c r="AQ26044" i="1"/>
  <c r="AQ26045" i="1"/>
  <c r="AQ26046" i="1"/>
  <c r="AQ26047" i="1"/>
  <c r="AQ26048" i="1"/>
  <c r="AQ26049" i="1"/>
  <c r="AQ26050" i="1"/>
  <c r="AQ26051" i="1"/>
  <c r="AQ26052" i="1"/>
  <c r="AQ26053" i="1"/>
  <c r="AQ26054" i="1"/>
  <c r="AQ26055" i="1"/>
  <c r="AQ26056" i="1"/>
  <c r="AQ26057" i="1"/>
  <c r="AQ26058" i="1"/>
  <c r="AQ26059" i="1"/>
  <c r="AQ26060" i="1"/>
  <c r="AQ26061" i="1"/>
  <c r="AQ26062" i="1"/>
  <c r="AQ26063" i="1"/>
  <c r="AQ26064" i="1"/>
  <c r="AQ26065" i="1"/>
  <c r="AQ26066" i="1"/>
  <c r="AQ26067" i="1"/>
  <c r="AQ26068" i="1"/>
  <c r="AQ26069" i="1"/>
  <c r="AQ26070" i="1"/>
  <c r="AQ26071" i="1"/>
  <c r="AQ26072" i="1"/>
  <c r="AQ26073" i="1"/>
  <c r="AQ26074" i="1"/>
  <c r="AQ26075" i="1"/>
  <c r="AQ26076" i="1"/>
  <c r="AQ26077" i="1"/>
  <c r="AQ26078" i="1"/>
  <c r="AQ26079" i="1"/>
  <c r="AQ26080" i="1"/>
  <c r="AQ26081" i="1"/>
  <c r="AQ26082" i="1"/>
  <c r="AQ26083" i="1"/>
  <c r="AQ26084" i="1"/>
  <c r="AQ26085" i="1"/>
  <c r="AQ26086" i="1"/>
  <c r="AQ26087" i="1"/>
  <c r="AQ26088" i="1"/>
  <c r="AQ26089" i="1"/>
  <c r="AQ26090" i="1"/>
  <c r="AQ26091" i="1"/>
  <c r="AQ26092" i="1"/>
  <c r="AQ26093" i="1"/>
  <c r="AQ26094" i="1"/>
  <c r="AQ26095" i="1"/>
  <c r="AQ26096" i="1"/>
  <c r="AQ26097" i="1"/>
  <c r="AQ26098" i="1"/>
  <c r="AQ26099" i="1"/>
  <c r="AQ26100" i="1"/>
  <c r="AQ26101" i="1"/>
  <c r="AQ26102" i="1"/>
  <c r="AQ26103" i="1"/>
  <c r="AQ26104" i="1"/>
  <c r="AQ26105" i="1"/>
  <c r="AQ26106" i="1"/>
  <c r="AQ26107" i="1"/>
  <c r="AQ26108" i="1"/>
  <c r="AQ26109" i="1"/>
  <c r="AQ26110" i="1"/>
  <c r="AQ26111" i="1"/>
  <c r="AQ26112" i="1"/>
  <c r="AQ26113" i="1"/>
  <c r="AQ26114" i="1"/>
  <c r="AQ26115" i="1"/>
  <c r="AQ26116" i="1"/>
  <c r="AQ26117" i="1"/>
  <c r="AQ26118" i="1"/>
  <c r="AQ26119" i="1"/>
  <c r="AQ26120" i="1"/>
  <c r="AQ26121" i="1"/>
  <c r="AQ26122" i="1"/>
  <c r="AQ26123" i="1"/>
  <c r="AQ26124" i="1"/>
  <c r="AQ26125" i="1"/>
  <c r="AQ26126" i="1"/>
  <c r="AQ26127" i="1"/>
  <c r="AQ26128" i="1"/>
  <c r="AQ26129" i="1"/>
  <c r="AQ26130" i="1"/>
  <c r="AQ26131" i="1"/>
  <c r="AQ26132" i="1"/>
  <c r="AQ26133" i="1"/>
  <c r="AQ26134" i="1"/>
  <c r="AQ26135" i="1"/>
  <c r="AQ26136" i="1"/>
  <c r="AQ26137" i="1"/>
  <c r="AQ26138" i="1"/>
  <c r="AQ26139" i="1"/>
  <c r="AQ26140" i="1"/>
  <c r="AQ26141" i="1"/>
  <c r="AQ26142" i="1"/>
  <c r="AQ26143" i="1"/>
  <c r="AQ26144" i="1"/>
  <c r="AQ26145" i="1"/>
  <c r="AQ26146" i="1"/>
  <c r="AQ26147" i="1"/>
  <c r="AQ26148" i="1"/>
  <c r="AQ26149" i="1"/>
  <c r="AQ26150" i="1"/>
  <c r="AQ26151" i="1"/>
  <c r="AQ26152" i="1"/>
  <c r="AQ26153" i="1"/>
  <c r="AQ26154" i="1"/>
  <c r="AQ26155" i="1"/>
  <c r="AQ26156" i="1"/>
  <c r="AQ26157" i="1"/>
  <c r="AQ26158" i="1"/>
  <c r="AQ26159" i="1"/>
  <c r="AQ26160" i="1"/>
  <c r="AQ26161" i="1"/>
  <c r="AQ26162" i="1"/>
  <c r="AQ26163" i="1"/>
  <c r="AQ26164" i="1"/>
  <c r="AQ26165" i="1"/>
  <c r="AQ26166" i="1"/>
  <c r="AQ26167" i="1"/>
  <c r="AQ26168" i="1"/>
  <c r="AQ26169" i="1"/>
  <c r="AQ26170" i="1"/>
  <c r="AQ26171" i="1"/>
  <c r="AQ26172" i="1"/>
  <c r="AQ26173" i="1"/>
  <c r="AQ26174" i="1"/>
  <c r="AQ26175" i="1"/>
  <c r="AQ26176" i="1"/>
  <c r="AQ26177" i="1"/>
  <c r="AQ26178" i="1"/>
  <c r="AQ26179" i="1"/>
  <c r="AQ26180" i="1"/>
  <c r="AQ26181" i="1"/>
  <c r="AQ26182" i="1"/>
  <c r="AQ26183" i="1"/>
  <c r="AQ26184" i="1"/>
  <c r="AQ26185" i="1"/>
  <c r="AQ26186" i="1"/>
  <c r="AQ26187" i="1"/>
  <c r="AQ26717" i="1"/>
  <c r="AQ26718" i="1"/>
  <c r="AQ26719" i="1"/>
  <c r="AQ26720" i="1"/>
  <c r="AQ26721" i="1"/>
  <c r="AQ27012" i="1"/>
  <c r="AQ27577" i="1"/>
  <c r="AQ27578" i="1"/>
  <c r="AQ27579" i="1"/>
  <c r="AQ27580" i="1"/>
  <c r="AQ27581" i="1"/>
  <c r="AQ27582" i="1"/>
  <c r="AQ27583" i="1"/>
  <c r="AQ27584" i="1"/>
  <c r="AQ27585" i="1"/>
  <c r="AQ27586" i="1"/>
  <c r="AQ27587" i="1"/>
  <c r="AQ27588" i="1"/>
  <c r="AQ27589" i="1"/>
  <c r="AQ27590" i="1"/>
  <c r="AQ27954" i="1"/>
  <c r="AQ27955" i="1"/>
  <c r="AQ28098" i="1"/>
  <c r="AQ28099" i="1"/>
  <c r="AQ28100" i="1"/>
  <c r="AQ28136" i="1"/>
  <c r="AQ28137" i="1"/>
  <c r="AQ28138" i="1"/>
  <c r="AQ28143" i="1"/>
  <c r="AQ28147" i="1"/>
  <c r="AQ28148" i="1"/>
  <c r="AQ28189" i="1"/>
  <c r="AQ28190" i="1"/>
  <c r="AQ28237" i="1"/>
  <c r="AQ28238" i="1"/>
  <c r="AQ30566" i="1"/>
  <c r="AQ30567" i="1"/>
  <c r="AQ30568" i="1"/>
  <c r="AQ30569" i="1"/>
  <c r="AQ30570" i="1"/>
  <c r="AQ30571" i="1"/>
  <c r="AQ30572" i="1"/>
  <c r="AQ30573" i="1"/>
  <c r="AQ30574" i="1"/>
  <c r="AQ30575" i="1"/>
  <c r="AQ30576" i="1"/>
  <c r="AQ30577" i="1"/>
  <c r="AQ30578" i="1"/>
  <c r="AQ30579" i="1"/>
  <c r="AQ30580" i="1"/>
  <c r="AQ30581" i="1"/>
  <c r="AQ30640" i="1"/>
  <c r="AQ30641" i="1"/>
  <c r="AQ30642" i="1"/>
  <c r="AQ30643" i="1"/>
  <c r="AQ30644" i="1"/>
  <c r="AQ30646" i="1"/>
  <c r="AQ30647" i="1"/>
  <c r="AQ30671" i="1"/>
  <c r="AQ30672" i="1"/>
  <c r="AQ30675" i="1"/>
  <c r="AQ30676" i="1"/>
  <c r="AQ30677" i="1"/>
  <c r="AQ30678" i="1"/>
  <c r="AQ30679" i="1"/>
  <c r="AQ30680" i="1"/>
  <c r="AQ30681" i="1"/>
  <c r="AQ30682" i="1"/>
  <c r="AQ30683" i="1"/>
  <c r="AQ30684" i="1"/>
  <c r="AQ30685" i="1"/>
  <c r="AQ30696" i="1"/>
  <c r="AQ30697" i="1"/>
  <c r="AQ30698" i="1"/>
  <c r="AQ30699" i="1"/>
  <c r="AQ30700" i="1"/>
  <c r="AQ30701" i="1"/>
  <c r="AQ30702" i="1"/>
  <c r="AQ30703" i="1"/>
  <c r="AQ30704" i="1"/>
  <c r="AQ30737" i="1"/>
  <c r="AQ30738" i="1"/>
  <c r="AQ30739" i="1"/>
  <c r="AQ33616" i="1"/>
  <c r="AQ33758" i="1"/>
  <c r="AQ33787" i="1"/>
  <c r="AQ33788" i="1"/>
  <c r="AQ33807" i="1"/>
  <c r="AQ34042" i="1"/>
  <c r="AQ34043" i="1"/>
  <c r="AQ34044" i="1"/>
  <c r="AQ34045" i="1"/>
  <c r="AQ34046" i="1"/>
  <c r="AQ34047" i="1"/>
  <c r="AQ34048" i="1"/>
  <c r="AQ34772" i="1"/>
  <c r="AQ35965" i="1"/>
  <c r="AQ35966" i="1"/>
  <c r="AQ35967" i="1"/>
  <c r="AQ35968" i="1"/>
  <c r="AQ35969" i="1"/>
  <c r="AQ35970" i="1"/>
  <c r="AQ35971" i="1"/>
  <c r="AQ35972" i="1"/>
  <c r="AQ35973" i="1"/>
  <c r="AQ35974" i="1"/>
  <c r="AQ35975" i="1"/>
  <c r="AQ35976" i="1"/>
  <c r="AQ35977" i="1"/>
  <c r="AQ35978" i="1"/>
  <c r="AQ35979" i="1"/>
  <c r="AQ35980" i="1"/>
  <c r="AQ35981" i="1"/>
  <c r="AQ35982" i="1"/>
  <c r="AQ35983" i="1"/>
  <c r="AQ35984" i="1"/>
  <c r="AQ35985" i="1"/>
  <c r="AQ35986" i="1"/>
  <c r="AQ35987" i="1"/>
  <c r="AQ35988" i="1"/>
  <c r="AQ36143" i="1"/>
  <c r="AQ36144" i="1"/>
  <c r="AQ36145" i="1"/>
  <c r="AQ36146" i="1"/>
  <c r="AQ36183" i="1"/>
  <c r="AQ36184" i="1"/>
  <c r="AQ36185" i="1"/>
  <c r="AQ36186" i="1"/>
  <c r="AQ36187" i="1"/>
  <c r="AQ36188" i="1"/>
  <c r="AQ36189" i="1"/>
  <c r="AQ36190" i="1"/>
  <c r="AQ36213" i="1"/>
  <c r="AQ36214" i="1"/>
  <c r="AQ36350" i="1"/>
  <c r="AQ36351" i="1"/>
  <c r="AQ36352" i="1"/>
  <c r="AQ36353" i="1"/>
  <c r="AQ36354" i="1"/>
  <c r="AQ36361" i="1"/>
  <c r="AQ36989" i="1"/>
  <c r="AQ37030" i="1"/>
  <c r="AQ37031" i="1"/>
  <c r="AQ37032" i="1"/>
  <c r="AQ37033" i="1"/>
  <c r="AQ37034" i="1"/>
  <c r="AQ37035" i="1"/>
  <c r="AQ37036" i="1"/>
  <c r="AQ37037" i="1"/>
  <c r="AQ37313" i="1"/>
  <c r="AQ37580" i="1"/>
  <c r="AQ37581" i="1"/>
  <c r="AQ37582" i="1"/>
  <c r="AQ37583" i="1"/>
  <c r="AQ37584" i="1"/>
  <c r="AQ37585" i="1"/>
  <c r="AQ37596" i="1"/>
  <c r="AQ37597" i="1"/>
  <c r="AQ37598" i="1"/>
  <c r="AQ37599" i="1"/>
  <c r="AQ37600" i="1"/>
  <c r="AQ37601" i="1"/>
  <c r="AQ37602" i="1"/>
  <c r="AQ37643" i="1"/>
  <c r="AQ37644" i="1"/>
  <c r="AQ37903" i="1"/>
  <c r="AQ37904" i="1"/>
  <c r="AQ37906" i="1"/>
  <c r="AQ37907" i="1"/>
  <c r="AQ37908" i="1"/>
  <c r="AQ37965" i="1"/>
  <c r="AQ37966" i="1"/>
  <c r="AQ37967" i="1"/>
  <c r="AQ39902" i="1"/>
  <c r="AQ40143" i="1"/>
  <c r="AQ40147" i="1"/>
  <c r="AQ40148" i="1"/>
  <c r="AQ40149" i="1"/>
  <c r="AQ40150" i="1"/>
  <c r="AQ40158" i="1"/>
  <c r="AQ40159" i="1"/>
  <c r="AQ40160" i="1"/>
  <c r="AQ40165" i="1"/>
  <c r="AQ40166" i="1"/>
  <c r="AQ40167" i="1"/>
  <c r="AQ40174" i="1"/>
  <c r="AQ40175" i="1"/>
  <c r="AQ40176" i="1"/>
  <c r="AQ40203" i="1"/>
  <c r="AQ40204" i="1"/>
  <c r="AQ40205" i="1"/>
  <c r="AQ40206" i="1"/>
  <c r="AQ40207" i="1"/>
  <c r="AQ41350" i="1"/>
  <c r="AQ42266" i="1"/>
  <c r="AQ42268" i="1"/>
  <c r="AQ42799" i="1"/>
  <c r="AQ42800" i="1"/>
  <c r="AQ42801" i="1"/>
  <c r="AQ42802" i="1"/>
  <c r="AQ42803" i="1"/>
  <c r="AQ42804" i="1"/>
  <c r="AQ42805" i="1"/>
  <c r="AQ42806" i="1"/>
  <c r="AQ42807" i="1"/>
  <c r="AQ42808" i="1"/>
  <c r="AQ42809" i="1"/>
  <c r="AQ42810" i="1"/>
  <c r="AQ42811" i="1"/>
  <c r="AQ42812" i="1"/>
  <c r="AQ42813" i="1"/>
  <c r="AQ42814" i="1"/>
  <c r="AQ42815" i="1"/>
  <c r="AQ42816" i="1"/>
  <c r="AQ42818" i="1"/>
  <c r="AQ43159" i="1"/>
  <c r="AQ43380" i="1"/>
  <c r="AQ43381" i="1"/>
  <c r="AQ43435" i="1"/>
  <c r="AQ43436" i="1"/>
  <c r="AQ43437" i="1"/>
  <c r="AQ43438" i="1"/>
  <c r="AQ43439" i="1"/>
  <c r="AQ43440" i="1"/>
  <c r="AQ43441" i="1"/>
  <c r="AQ43442" i="1"/>
  <c r="AQ43443" i="1"/>
  <c r="AQ43444" i="1"/>
  <c r="AQ43445" i="1"/>
  <c r="AQ44001" i="1"/>
  <c r="AQ44002" i="1"/>
  <c r="AQ44003" i="1"/>
  <c r="AQ44004" i="1"/>
  <c r="AQ44012" i="1"/>
  <c r="AQ44013" i="1"/>
  <c r="AQ44014" i="1"/>
  <c r="AQ44015" i="1"/>
  <c r="AQ44016" i="1"/>
  <c r="AQ44017" i="1"/>
  <c r="AQ44018" i="1"/>
  <c r="AQ44019" i="1"/>
  <c r="AQ44021" i="1"/>
  <c r="AQ44022" i="1"/>
  <c r="AQ44023" i="1"/>
  <c r="AQ44024" i="1"/>
  <c r="AQ44025" i="1"/>
  <c r="AQ44026" i="1"/>
  <c r="AQ44027" i="1"/>
  <c r="AQ44106" i="1"/>
  <c r="AQ44107" i="1"/>
  <c r="AQ44455" i="1"/>
  <c r="AQ44456" i="1"/>
  <c r="AQ44457" i="1"/>
  <c r="AQ44458" i="1"/>
  <c r="AQ44459" i="1"/>
  <c r="AQ44460" i="1"/>
  <c r="AQ44461" i="1"/>
  <c r="AQ44462" i="1"/>
  <c r="AQ46089" i="1"/>
  <c r="AQ46101" i="1"/>
  <c r="AQ46102" i="1"/>
  <c r="AQ46103" i="1"/>
  <c r="AQ46104" i="1"/>
  <c r="AQ46105" i="1"/>
  <c r="AQ46106" i="1"/>
  <c r="AQ46107" i="1"/>
  <c r="AQ46108" i="1"/>
  <c r="AQ46109" i="1"/>
  <c r="AQ46110" i="1"/>
  <c r="AQ46175" i="1"/>
  <c r="AQ46176" i="1"/>
  <c r="AQ46177" i="1"/>
  <c r="AQ46178" i="1"/>
  <c r="AQ46179" i="1"/>
  <c r="AQ46210" i="1"/>
  <c r="AQ46211" i="1"/>
  <c r="AQ46212" i="1"/>
  <c r="AQ46217" i="1"/>
  <c r="AQ46218" i="1"/>
  <c r="AQ46219" i="1"/>
  <c r="AQ46220" i="1"/>
  <c r="AQ46221" i="1"/>
  <c r="AQ46222" i="1"/>
  <c r="AQ46223" i="1"/>
  <c r="AQ46224" i="1"/>
  <c r="AQ46225" i="1"/>
  <c r="AQ46226" i="1"/>
  <c r="AQ46227" i="1"/>
  <c r="AQ46228" i="1"/>
  <c r="AQ46229" i="1"/>
  <c r="AQ46244" i="1"/>
  <c r="AQ46245" i="1"/>
  <c r="AQ46246" i="1"/>
  <c r="AQ46247" i="1"/>
  <c r="AQ46248" i="1"/>
  <c r="AQ46249" i="1"/>
  <c r="AQ46252" i="1"/>
  <c r="AQ46253" i="1"/>
  <c r="AQ46254" i="1"/>
  <c r="AQ46294" i="1"/>
  <c r="AQ46295" i="1"/>
  <c r="AQ46296" i="1"/>
  <c r="AQ46297" i="1"/>
  <c r="AQ49171" i="1"/>
  <c r="AQ49349" i="1"/>
  <c r="AQ49381" i="1"/>
  <c r="AQ49382" i="1"/>
  <c r="AQ49383" i="1"/>
  <c r="AQ49384" i="1"/>
  <c r="AQ49385" i="1"/>
  <c r="AQ49390" i="1"/>
  <c r="AQ49625" i="1"/>
  <c r="AQ49626" i="1"/>
  <c r="AQ49627" i="1"/>
  <c r="AQ49628" i="1"/>
  <c r="AQ49629" i="1"/>
  <c r="AQ49630" i="1"/>
  <c r="AQ49631" i="1"/>
  <c r="AQ50372" i="1"/>
  <c r="AQ51553" i="1"/>
  <c r="AQ51652" i="1"/>
  <c r="AQ51654" i="1"/>
  <c r="AQ51655" i="1"/>
  <c r="AQ51656" i="1"/>
  <c r="AQ51657" i="1"/>
  <c r="AQ51658" i="1"/>
  <c r="AQ51672" i="1"/>
  <c r="AQ51685" i="1"/>
  <c r="AQ51696" i="1"/>
  <c r="AQ51697" i="1"/>
  <c r="AQ51698" i="1"/>
  <c r="AQ51699" i="1"/>
  <c r="AQ51700" i="1"/>
  <c r="AQ51701" i="1"/>
  <c r="AQ51702" i="1"/>
  <c r="AQ51703" i="1"/>
  <c r="AQ51704" i="1"/>
  <c r="AQ51705" i="1"/>
  <c r="AQ51706" i="1"/>
  <c r="AQ51707" i="1"/>
  <c r="AQ51708" i="1"/>
  <c r="AQ51709" i="1"/>
  <c r="AQ51710" i="1"/>
  <c r="AQ51711" i="1"/>
  <c r="AQ51712" i="1"/>
  <c r="AQ51713" i="1"/>
  <c r="AQ51714" i="1"/>
  <c r="AQ51715" i="1"/>
  <c r="AQ51716" i="1"/>
  <c r="AQ51717" i="1"/>
  <c r="AQ51718" i="1"/>
  <c r="AQ51719" i="1"/>
  <c r="AQ51720" i="1"/>
  <c r="AQ51721" i="1"/>
  <c r="AQ51722" i="1"/>
  <c r="AQ51723" i="1"/>
  <c r="AQ51724" i="1"/>
  <c r="AQ51725" i="1"/>
  <c r="AQ51726" i="1"/>
  <c r="AQ51727" i="1"/>
  <c r="AQ51728" i="1"/>
  <c r="AQ51729" i="1"/>
  <c r="AQ51730" i="1"/>
  <c r="AQ51731" i="1"/>
  <c r="AQ51732" i="1"/>
  <c r="AQ51733" i="1"/>
  <c r="AQ51734" i="1"/>
  <c r="AQ51735" i="1"/>
  <c r="AQ51736" i="1"/>
  <c r="AQ51737" i="1"/>
  <c r="AQ51738" i="1"/>
  <c r="AQ51739" i="1"/>
  <c r="AQ51740" i="1"/>
  <c r="AQ51741" i="1"/>
  <c r="AQ51742" i="1"/>
  <c r="AQ51743" i="1"/>
  <c r="AQ51744" i="1"/>
  <c r="AQ51745" i="1"/>
  <c r="AQ51746" i="1"/>
  <c r="AQ51747" i="1"/>
  <c r="AQ51748" i="1"/>
  <c r="AQ51749" i="1"/>
  <c r="AQ51750" i="1"/>
  <c r="AQ51751" i="1"/>
  <c r="AQ51752" i="1"/>
  <c r="AQ51753" i="1"/>
  <c r="AQ51754" i="1"/>
  <c r="AQ51755" i="1"/>
  <c r="AQ51756" i="1"/>
  <c r="AQ51757" i="1"/>
  <c r="AQ51758" i="1"/>
  <c r="AQ51759" i="1"/>
  <c r="AQ51760" i="1"/>
  <c r="AQ51761" i="1"/>
  <c r="AQ51762" i="1"/>
  <c r="AQ51763" i="1"/>
  <c r="AQ51764" i="1"/>
  <c r="AQ51765" i="1"/>
  <c r="AQ51766" i="1"/>
  <c r="AQ51767" i="1"/>
  <c r="AQ51768" i="1"/>
  <c r="AQ51769" i="1"/>
  <c r="AQ51770" i="1"/>
  <c r="AQ51771" i="1"/>
  <c r="AQ51772" i="1"/>
  <c r="AQ51773" i="1"/>
  <c r="AQ51774" i="1"/>
  <c r="AQ51775" i="1"/>
  <c r="AQ51776" i="1"/>
  <c r="AQ51777" i="1"/>
  <c r="AQ51778" i="1"/>
  <c r="AQ51779" i="1"/>
  <c r="AQ51780" i="1"/>
  <c r="AQ51781" i="1"/>
  <c r="AQ51782" i="1"/>
  <c r="AQ51783" i="1"/>
  <c r="AQ51784" i="1"/>
  <c r="AQ51785" i="1"/>
  <c r="AQ51786" i="1"/>
  <c r="AQ51787" i="1"/>
  <c r="AQ51788" i="1"/>
  <c r="AQ51789" i="1"/>
  <c r="AQ51790" i="1"/>
  <c r="AQ51791" i="1"/>
  <c r="AQ51792" i="1"/>
  <c r="AQ51793" i="1"/>
  <c r="AQ51794" i="1"/>
  <c r="AQ51795" i="1"/>
  <c r="AQ51796" i="1"/>
  <c r="AQ51797" i="1"/>
  <c r="AQ51798" i="1"/>
  <c r="AQ51799" i="1"/>
  <c r="AQ51800" i="1"/>
  <c r="AQ51801" i="1"/>
  <c r="AQ51802" i="1"/>
  <c r="AQ51803" i="1"/>
  <c r="AQ51804" i="1"/>
  <c r="AQ51805" i="1"/>
  <c r="AQ51806" i="1"/>
  <c r="AQ51807" i="1"/>
  <c r="AQ51808" i="1"/>
  <c r="AQ51809" i="1"/>
  <c r="AQ51810" i="1"/>
  <c r="AQ51811" i="1"/>
  <c r="AQ51812" i="1"/>
  <c r="AQ52371" i="1"/>
  <c r="AQ52372" i="1"/>
  <c r="AQ52373" i="1"/>
  <c r="AQ52857" i="1"/>
  <c r="AQ53140" i="1"/>
  <c r="AQ53141" i="1"/>
  <c r="AQ53145" i="1"/>
  <c r="AQ53146" i="1"/>
  <c r="AQ53147" i="1"/>
  <c r="AQ53148" i="1"/>
  <c r="AQ53149" i="1"/>
  <c r="AQ53150" i="1"/>
  <c r="AQ53151" i="1"/>
  <c r="AQ53152" i="1"/>
  <c r="AQ53478" i="1"/>
  <c r="AQ53482" i="1"/>
  <c r="AQ53631" i="1"/>
  <c r="AQ53632" i="1"/>
  <c r="AQ53633" i="1"/>
  <c r="AQ53634" i="1"/>
  <c r="AQ53659" i="1"/>
  <c r="AQ53660" i="1"/>
  <c r="AQ53661" i="1"/>
  <c r="AQ53662" i="1"/>
  <c r="AQ53663" i="1"/>
  <c r="AQ53664" i="1"/>
  <c r="AQ53665" i="1"/>
  <c r="AQ53666" i="1"/>
  <c r="AQ53672" i="1"/>
  <c r="AQ53673" i="1"/>
  <c r="AQ53674" i="1"/>
  <c r="AQ53675" i="1"/>
  <c r="AQ53725" i="1"/>
  <c r="AQ53727" i="1"/>
  <c r="AQ53728" i="1"/>
  <c r="AQ53729" i="1"/>
  <c r="AQ53730" i="1"/>
  <c r="AQ53731" i="1"/>
  <c r="AQ53742" i="1"/>
  <c r="AQ53743" i="1"/>
  <c r="AQ53744" i="1"/>
  <c r="AQ53745" i="1"/>
  <c r="AQ53774" i="1"/>
  <c r="AQ53775" i="1"/>
  <c r="AQ54925" i="1"/>
  <c r="AQ54926" i="1"/>
  <c r="AQ54927" i="1"/>
  <c r="AQ54928" i="1"/>
  <c r="AQ54929" i="1"/>
  <c r="AQ54930" i="1"/>
  <c r="AQ54931" i="1"/>
  <c r="AQ54932" i="1"/>
  <c r="AQ54933" i="1"/>
  <c r="AQ54934" i="1"/>
  <c r="AQ54935" i="1"/>
  <c r="AQ54936" i="1"/>
  <c r="AQ54937" i="1"/>
  <c r="AQ54938" i="1"/>
  <c r="AQ54939" i="1"/>
  <c r="AQ54940" i="1"/>
  <c r="AQ54941" i="1"/>
  <c r="AQ54942" i="1"/>
  <c r="AQ54943" i="1"/>
  <c r="AQ54944" i="1"/>
  <c r="AQ54945" i="1"/>
  <c r="AQ54946" i="1"/>
  <c r="AQ54947" i="1"/>
  <c r="AQ54948" i="1"/>
  <c r="AQ54949" i="1"/>
  <c r="AQ54950" i="1"/>
  <c r="AQ54951" i="1"/>
  <c r="AQ54952" i="1"/>
  <c r="AQ55111" i="1"/>
  <c r="AQ55112" i="1"/>
  <c r="AQ55136" i="1"/>
  <c r="AQ55137" i="1"/>
  <c r="AQ55138" i="1"/>
  <c r="AQ55139" i="1"/>
  <c r="AQ55140" i="1"/>
  <c r="AQ55141" i="1"/>
  <c r="AQ55142" i="1"/>
  <c r="AQ55143" i="1"/>
  <c r="AQ55169" i="1"/>
  <c r="AQ55275" i="1"/>
  <c r="AQ55322" i="1"/>
  <c r="AQ55323" i="1"/>
  <c r="AQ55324" i="1"/>
  <c r="AQ55328" i="1"/>
  <c r="AQ55329" i="1"/>
  <c r="AQ55330" i="1"/>
  <c r="AQ55339" i="1"/>
  <c r="AQ55962" i="1"/>
  <c r="AQ55963" i="1"/>
  <c r="AQ55964" i="1"/>
  <c r="AQ55965" i="1"/>
  <c r="AQ55966" i="1"/>
  <c r="AQ55967" i="1"/>
  <c r="AQ55968" i="1"/>
  <c r="AQ55994" i="1"/>
  <c r="AQ55995" i="1"/>
  <c r="AQ55996" i="1"/>
  <c r="AQ55997" i="1"/>
  <c r="AQ55998" i="1"/>
  <c r="AQ55999" i="1"/>
  <c r="AQ56000" i="1"/>
  <c r="AQ56001" i="1"/>
  <c r="AQ56002" i="1"/>
  <c r="AQ56003" i="1"/>
  <c r="AQ56004" i="1"/>
  <c r="AQ56005" i="1"/>
  <c r="AQ56006" i="1"/>
  <c r="AQ56007" i="1"/>
  <c r="AQ56008" i="1"/>
  <c r="AQ56028" i="1"/>
  <c r="AQ56285" i="1"/>
  <c r="AQ56286" i="1"/>
  <c r="AQ56538" i="1"/>
  <c r="AQ56539" i="1"/>
  <c r="AQ56540" i="1"/>
  <c r="AQ56541" i="1"/>
  <c r="AQ56542" i="1"/>
  <c r="AQ56556" i="1"/>
  <c r="AQ56557" i="1"/>
  <c r="AQ56558" i="1"/>
  <c r="AQ56559" i="1"/>
  <c r="AQ56560" i="1"/>
  <c r="AQ56561" i="1"/>
  <c r="AQ56562" i="1"/>
  <c r="AQ56563" i="1"/>
  <c r="AQ56564" i="1"/>
  <c r="AQ56566" i="1"/>
  <c r="AQ56605" i="1"/>
  <c r="AQ56606" i="1"/>
  <c r="AQ56607" i="1"/>
  <c r="AQ56608" i="1"/>
  <c r="AQ56609" i="1"/>
  <c r="AQ56610" i="1"/>
  <c r="C8" i="3"/>
  <c r="D15" i="3"/>
  <c r="D17" i="3"/>
  <c r="D7" i="3"/>
  <c r="C34" i="3"/>
  <c r="D42" i="3"/>
  <c r="D45" i="3"/>
  <c r="D25" i="3"/>
  <c r="C7" i="3"/>
  <c r="C39" i="3"/>
  <c r="C2" i="3"/>
  <c r="C35" i="3"/>
  <c r="C30" i="3"/>
  <c r="C18" i="3"/>
  <c r="E7" i="3" l="1"/>
  <c r="D22" i="3"/>
  <c r="D24" i="3"/>
  <c r="C10" i="3"/>
  <c r="D6" i="3"/>
  <c r="D27" i="3"/>
  <c r="D30" i="3"/>
  <c r="D31" i="3"/>
  <c r="D16" i="3"/>
  <c r="D11" i="3"/>
  <c r="D40" i="3"/>
  <c r="C19" i="3"/>
  <c r="E30" i="3" l="1"/>
  <c r="C36" i="3"/>
  <c r="D28" i="3"/>
  <c r="C33" i="3"/>
  <c r="C45" i="3"/>
  <c r="C3" i="3"/>
  <c r="E45" i="3" l="1"/>
  <c r="C40" i="3"/>
  <c r="D10" i="3"/>
  <c r="C20" i="3"/>
  <c r="D35" i="3"/>
  <c r="D37" i="3"/>
  <c r="C43" i="3"/>
  <c r="C26" i="3"/>
  <c r="D29" i="3"/>
  <c r="C32" i="3"/>
  <c r="C6" i="3"/>
  <c r="D4" i="3"/>
  <c r="C37" i="3"/>
  <c r="C22" i="3"/>
  <c r="C14" i="3"/>
  <c r="D13" i="3"/>
  <c r="E35" i="3" l="1"/>
  <c r="E37" i="3"/>
  <c r="E10" i="3"/>
  <c r="E40" i="3"/>
  <c r="E6" i="3"/>
  <c r="E22" i="3"/>
  <c r="D19" i="3"/>
  <c r="C27" i="3"/>
  <c r="D12" i="3"/>
  <c r="D5" i="3"/>
  <c r="C28" i="3"/>
  <c r="D33" i="3"/>
  <c r="D3" i="3"/>
  <c r="D32" i="3"/>
  <c r="D41" i="3"/>
  <c r="C11" i="3"/>
  <c r="C41" i="3"/>
  <c r="D18" i="3"/>
  <c r="C16" i="3"/>
  <c r="C15" i="3"/>
  <c r="D21" i="3"/>
  <c r="D26" i="3"/>
  <c r="D34" i="3"/>
  <c r="D8" i="3"/>
  <c r="C25" i="3"/>
  <c r="D38" i="3"/>
  <c r="D23" i="3"/>
  <c r="D20" i="3"/>
  <c r="D44" i="3"/>
  <c r="D36" i="3"/>
  <c r="D43" i="3"/>
  <c r="C12" i="3"/>
  <c r="C17" i="3"/>
  <c r="C4" i="3"/>
  <c r="C5" i="3"/>
  <c r="C29" i="3"/>
  <c r="D14" i="3"/>
  <c r="C9" i="3"/>
  <c r="C38" i="3"/>
  <c r="C24" i="3"/>
  <c r="C44" i="3"/>
  <c r="D39" i="3"/>
  <c r="C21" i="3"/>
  <c r="C42" i="3"/>
  <c r="D9" i="3"/>
  <c r="C31" i="3"/>
  <c r="C13" i="3"/>
  <c r="C23" i="3"/>
  <c r="D2" i="3"/>
  <c r="E42" i="3" l="1"/>
  <c r="E8" i="3"/>
  <c r="E17" i="3"/>
  <c r="E29" i="3"/>
  <c r="E20" i="3"/>
  <c r="E28" i="3"/>
  <c r="E43" i="3"/>
  <c r="E12" i="3"/>
  <c r="E27" i="3"/>
  <c r="E21" i="3"/>
  <c r="E23" i="3"/>
  <c r="E38" i="3"/>
  <c r="E13" i="3"/>
  <c r="E31" i="3"/>
  <c r="E41" i="3"/>
  <c r="E15" i="3"/>
  <c r="E24" i="3"/>
  <c r="E32" i="3"/>
  <c r="E25" i="3"/>
  <c r="E2" i="3"/>
  <c r="E36" i="3"/>
  <c r="E19" i="3"/>
  <c r="E4" i="3"/>
  <c r="E9" i="3"/>
  <c r="E11" i="3"/>
  <c r="E44" i="3"/>
  <c r="E5" i="3"/>
  <c r="E39" i="3"/>
  <c r="E34" i="3"/>
  <c r="E16" i="3"/>
  <c r="E26" i="3"/>
  <c r="E33" i="3"/>
  <c r="E18" i="3"/>
  <c r="E14" i="3"/>
  <c r="E3" i="3"/>
</calcChain>
</file>

<file path=xl/sharedStrings.xml><?xml version="1.0" encoding="utf-8"?>
<sst xmlns="http://schemas.openxmlformats.org/spreadsheetml/2006/main" count="31938" uniqueCount="7098">
  <si>
    <t>A (Column Name)</t>
  </si>
  <si>
    <t>B (Excel Column Letter)</t>
  </si>
  <si>
    <t>Missing Count</t>
  </si>
  <si>
    <t>Total Count</t>
  </si>
  <si>
    <t>Percent Missing</t>
  </si>
  <si>
    <t>Column1</t>
  </si>
  <si>
    <t>straatnaam+identificatie_mast    A</t>
  </si>
  <si>
    <t>A</t>
  </si>
  <si>
    <t>OBJECTID                         B</t>
  </si>
  <si>
    <t>B</t>
  </si>
  <si>
    <t>STADSDEEL                        C</t>
  </si>
  <si>
    <t>C</t>
  </si>
  <si>
    <t>WIJK                              D</t>
  </si>
  <si>
    <t>D</t>
  </si>
  <si>
    <t>BUURT                             E</t>
  </si>
  <si>
    <t>E</t>
  </si>
  <si>
    <t>STRAATNAAM                        F</t>
  </si>
  <si>
    <t>F</t>
  </si>
  <si>
    <t>WEGVAK                            G</t>
  </si>
  <si>
    <t>G</t>
  </si>
  <si>
    <t>IDENTIFICATIE                     H</t>
  </si>
  <si>
    <t>H</t>
  </si>
  <si>
    <t>LOKATIE                           I</t>
  </si>
  <si>
    <t>I</t>
  </si>
  <si>
    <t>EIGENAAR                          J</t>
  </si>
  <si>
    <t>J</t>
  </si>
  <si>
    <t>X                                 K</t>
  </si>
  <si>
    <t>K</t>
  </si>
  <si>
    <t>Y                                 L</t>
  </si>
  <si>
    <t>L</t>
  </si>
  <si>
    <t>IDENTIFICATIE_LAMP                M</t>
  </si>
  <si>
    <t>M</t>
  </si>
  <si>
    <t>TYPE_LAMP                         N</t>
  </si>
  <si>
    <t>N</t>
  </si>
  <si>
    <t>DATUM_PLAATSING_LAMP              O</t>
  </si>
  <si>
    <t>O</t>
  </si>
  <si>
    <t>DATUM_ONDERHOUD_LAMP              P</t>
  </si>
  <si>
    <t>P</t>
  </si>
  <si>
    <t>SOORT_LAMP                        Q</t>
  </si>
  <si>
    <t>Q</t>
  </si>
  <si>
    <t>KLEUR_LAMP                        R</t>
  </si>
  <si>
    <t>R</t>
  </si>
  <si>
    <t>WATTAGE_LAMP                      S</t>
  </si>
  <si>
    <t>S</t>
  </si>
  <si>
    <t>LUMEN_LAMP                        T</t>
  </si>
  <si>
    <t>T</t>
  </si>
  <si>
    <t>RA_WAARDE_LAMP                    U</t>
  </si>
  <si>
    <t>U</t>
  </si>
  <si>
    <t>FITTING_LAMP                      V</t>
  </si>
  <si>
    <t>V</t>
  </si>
  <si>
    <t>SCHAKELSCHEMA_LAMP                W</t>
  </si>
  <si>
    <t>W</t>
  </si>
  <si>
    <t>IDENTIFICATIE_ARMATUUR            X</t>
  </si>
  <si>
    <t>X</t>
  </si>
  <si>
    <t>TYPE_ARMATUUR                     Y</t>
  </si>
  <si>
    <t>Y</t>
  </si>
  <si>
    <t>DATUM_PLAATSING_ARMATUUR          Z</t>
  </si>
  <si>
    <t>Z</t>
  </si>
  <si>
    <t>DATUM_ONDERHOUD_ARMATUUR          AA</t>
  </si>
  <si>
    <t>AA</t>
  </si>
  <si>
    <t>LPH_ARMATUUR                      AB</t>
  </si>
  <si>
    <t>AB</t>
  </si>
  <si>
    <t>BRANDSTAND_ARMATUUR               AC</t>
  </si>
  <si>
    <t>AC</t>
  </si>
  <si>
    <t>IDENTIFICATIE_DRAGER_MAST         AD</t>
  </si>
  <si>
    <t>AD</t>
  </si>
  <si>
    <t>TYPE_DRAGER_MAST                  AE</t>
  </si>
  <si>
    <t>AE</t>
  </si>
  <si>
    <t>DATUM_PLAATSING_DRAGER_MAST       AF</t>
  </si>
  <si>
    <t>AF</t>
  </si>
  <si>
    <t>DATUM_ONDERHOUD_DRAGER_MAST       AG</t>
  </si>
  <si>
    <t>AG</t>
  </si>
  <si>
    <t>IDENTIFICATIE_DRAGER_UITHOUDER    AH</t>
  </si>
  <si>
    <t>AH</t>
  </si>
  <si>
    <t>TYPE_DRAGER_UITHOUDER             AI</t>
  </si>
  <si>
    <t>AI</t>
  </si>
  <si>
    <t>DATUM_PLAATSING_DRAGER_UITHOUD    AJ</t>
  </si>
  <si>
    <t>AJ</t>
  </si>
  <si>
    <t>DATUM_ONDERHOUD_DRAGER_UITHOUD    AK</t>
  </si>
  <si>
    <t>AK</t>
  </si>
  <si>
    <t>geo_shape                         AL</t>
  </si>
  <si>
    <t>AL</t>
  </si>
  <si>
    <t>geo_point_2d                      AM</t>
  </si>
  <si>
    <t>AM</t>
  </si>
  <si>
    <t>Locat                            AN</t>
  </si>
  <si>
    <t>AN</t>
  </si>
  <si>
    <t>TYPE_LAMP.1                       AO</t>
  </si>
  <si>
    <t>AO</t>
  </si>
  <si>
    <t>CK_IN_KELVIN                      AP</t>
  </si>
  <si>
    <t>AP</t>
  </si>
  <si>
    <t>Manufacturer                      AQ</t>
  </si>
  <si>
    <t>AQ</t>
  </si>
  <si>
    <t>NEW CK_IN_KELVIN                      AU</t>
  </si>
  <si>
    <t>AU</t>
  </si>
  <si>
    <t>straatnaam+identificatie_mast</t>
  </si>
  <si>
    <t>OBJECTID</t>
  </si>
  <si>
    <t>STADSDEEL</t>
  </si>
  <si>
    <t>WIJK</t>
  </si>
  <si>
    <t>BUURT</t>
  </si>
  <si>
    <t>STRAATNAAM</t>
  </si>
  <si>
    <t>WEGVAK</t>
  </si>
  <si>
    <t>IDENTIFICATIE</t>
  </si>
  <si>
    <t>LOKATIE</t>
  </si>
  <si>
    <t>EIGENAAR</t>
  </si>
  <si>
    <t>IDENTIFICATIE_LAMP</t>
  </si>
  <si>
    <t>TYPE_LAMP</t>
  </si>
  <si>
    <t>DATUM_PLAATSING_LAMP</t>
  </si>
  <si>
    <t>DATUM_ONDERHOUD_LAMP</t>
  </si>
  <si>
    <t>SOORT_LAMP</t>
  </si>
  <si>
    <t>KLEUR_LAMP</t>
  </si>
  <si>
    <t>WATTAGE_LAMP</t>
  </si>
  <si>
    <t>LUMEN_LAMP</t>
  </si>
  <si>
    <t>RA_WAARDE_LAMP</t>
  </si>
  <si>
    <t>FITTING_LAMP</t>
  </si>
  <si>
    <t>SCHAKELSCHEMA_LAMP</t>
  </si>
  <si>
    <t>IDENTIFICATIE_ARMATUUR</t>
  </si>
  <si>
    <t>TYPE_ARMATUUR</t>
  </si>
  <si>
    <t>DATUM_PLAATSING_ARMATUUR</t>
  </si>
  <si>
    <t>DATUM_ONDERHOUD_ARMATUUR</t>
  </si>
  <si>
    <t>LPH_ARMATUUR</t>
  </si>
  <si>
    <t>BRANDSTAND_ARMATUUR</t>
  </si>
  <si>
    <t>IDENTIFICATIE_DRAGER_MAST</t>
  </si>
  <si>
    <t>TYPE_DRAGER_MAST</t>
  </si>
  <si>
    <t>DATUM_PLAATSING_DRAGER_MAST</t>
  </si>
  <si>
    <t>DATUM_ONDERHOUD_DRAGER_MAST</t>
  </si>
  <si>
    <t>IDENTIFICATIE_DRAGER_UITHOUDER</t>
  </si>
  <si>
    <t>TYPE_DRAGER_UITHOUDER</t>
  </si>
  <si>
    <t>DATUM_PLAATSING_DRAGER_UITHOUD</t>
  </si>
  <si>
    <t>DATUM_ONDERHOUD_DRAGER_UITHOUD</t>
  </si>
  <si>
    <t>geo_shape</t>
  </si>
  <si>
    <t>geo_point_2d</t>
  </si>
  <si>
    <t>Locat</t>
  </si>
  <si>
    <t>TYPE_LAMP.1</t>
  </si>
  <si>
    <t>CK_IN_KELVIN</t>
  </si>
  <si>
    <t>Scherpenering 035</t>
  </si>
  <si>
    <t>6 Strijp</t>
  </si>
  <si>
    <t>63 Meerhoven</t>
  </si>
  <si>
    <t>638 Eindhoven Airport</t>
  </si>
  <si>
    <t>Scherpenering</t>
  </si>
  <si>
    <t>035</t>
  </si>
  <si>
    <t>Gemeente Eindhoven</t>
  </si>
  <si>
    <t>LED94/830 DM11</t>
  </si>
  <si>
    <t>2020-06-08</t>
  </si>
  <si>
    <t>2045-08-19</t>
  </si>
  <si>
    <t>led</t>
  </si>
  <si>
    <t>wit</t>
  </si>
  <si>
    <t>LED</t>
  </si>
  <si>
    <t>in30lux 100% - 19:00</t>
  </si>
  <si>
    <t>BGP761</t>
  </si>
  <si>
    <t>2040-06-08</t>
  </si>
  <si>
    <t>1</t>
  </si>
  <si>
    <t>ST 8 V-100.N.183 VZ CIL</t>
  </si>
  <si>
    <t>2020-03-18</t>
  </si>
  <si>
    <t>2060-03-18</t>
  </si>
  <si>
    <t>ST ENKEL 100 X 162 V</t>
  </si>
  <si>
    <t>{"coordinates":[5.359133139228652,51.45130801888537],"type":"Point"}</t>
  </si>
  <si>
    <t>51.45130801888537, 5.359133139228652</t>
  </si>
  <si>
    <t>51.451308255369554, 5.359134469772243</t>
  </si>
  <si>
    <t>3000</t>
  </si>
  <si>
    <t>Scherpenering 037</t>
  </si>
  <si>
    <t>037</t>
  </si>
  <si>
    <t>{"coordinates":[5.35777338415337,51.45273546677744],"type":"Point"}</t>
  </si>
  <si>
    <t>51.45273546677744, 5.35777338415337</t>
  </si>
  <si>
    <t>51.452735700544046, 5.357774715472167</t>
  </si>
  <si>
    <t>Scherpenering 038</t>
  </si>
  <si>
    <t>038</t>
  </si>
  <si>
    <t>LED94/830 DM50</t>
  </si>
  <si>
    <t>2045-05-12</t>
  </si>
  <si>
    <t>BGP761 LED94/830 I D</t>
  </si>
  <si>
    <t>2040-03-18</t>
  </si>
  <si>
    <t>{"coordinates":[5.357093014185985,51.45347167426457],"type":"Point"}</t>
  </si>
  <si>
    <t>51.45347167426457, 5.357093014185985</t>
  </si>
  <si>
    <t>51.45347190666831, 5.357094345581023</t>
  </si>
  <si>
    <t>Mispelhoefstraat 026</t>
  </si>
  <si>
    <t>62 Halve Maan</t>
  </si>
  <si>
    <t>628 Mispelhoef</t>
  </si>
  <si>
    <t>Mispelhoefstraat</t>
  </si>
  <si>
    <t>026</t>
  </si>
  <si>
    <t>SON-T PIA PLUS 50W</t>
  </si>
  <si>
    <t>2023-12-01</t>
  </si>
  <si>
    <t>2027-05-17</t>
  </si>
  <si>
    <t>sont</t>
  </si>
  <si>
    <t>geel</t>
  </si>
  <si>
    <t>E27</t>
  </si>
  <si>
    <t>in30lux 100% - uit30</t>
  </si>
  <si>
    <t>SGS203 SON/T 50 W</t>
  </si>
  <si>
    <t>2010-08-31</t>
  </si>
  <si>
    <t>2040-08-31</t>
  </si>
  <si>
    <t>ST 9 STANDAARD VZ</t>
  </si>
  <si>
    <t>2001-01-29</t>
  </si>
  <si>
    <t>2041-01-29</t>
  </si>
  <si>
    <t>ST ENKEL 1 M LOS VZ</t>
  </si>
  <si>
    <t>{"coordinates":[5.4117541990350055,51.47239033866345],"type":"Point"}</t>
  </si>
  <si>
    <t>51.47239033866345, 5.4117541990350055</t>
  </si>
  <si>
    <t>51.472390652893424, 5.4117557166604575</t>
  </si>
  <si>
    <t>De Schakel 117</t>
  </si>
  <si>
    <t>De Schakel</t>
  </si>
  <si>
    <t>117</t>
  </si>
  <si>
    <t>SON PIA PLUS 100W</t>
  </si>
  <si>
    <t>2023-11-28</t>
  </si>
  <si>
    <t>2028-12-03</t>
  </si>
  <si>
    <t>son</t>
  </si>
  <si>
    <t>E40</t>
  </si>
  <si>
    <t>SGS203 SON 100 W DIM</t>
  </si>
  <si>
    <t>2031-01-29</t>
  </si>
  <si>
    <t>{"coordinates":[5.411020106609674,51.47222938016331],"type":"Point"}</t>
  </si>
  <si>
    <t>51.47222938016331, 5.411020106609674</t>
  </si>
  <si>
    <t>51.472229693352865, 5.411021622995992</t>
  </si>
  <si>
    <t>Botenlaan 023</t>
  </si>
  <si>
    <t>61 Oud-Strijp</t>
  </si>
  <si>
    <t>614 Schouwbroek</t>
  </si>
  <si>
    <t>Botenlaan</t>
  </si>
  <si>
    <t>023</t>
  </si>
  <si>
    <t>LED90/740 I DX50 DGR</t>
  </si>
  <si>
    <t>2017-10-09</t>
  </si>
  <si>
    <t>2042-11-16</t>
  </si>
  <si>
    <t>2017-10-16</t>
  </si>
  <si>
    <t>2037-10-16</t>
  </si>
  <si>
    <t>ST 11 STANDAARD VZ</t>
  </si>
  <si>
    <t>2001-06-15</t>
  </si>
  <si>
    <t>2041-06-15</t>
  </si>
  <si>
    <t>ST DUBBEL 1,50 M L.</t>
  </si>
  <si>
    <t>{"coordinates":[5.4501972468318565,51.43956443418023],"type":"Point"}</t>
  </si>
  <si>
    <t>51.43956443418023, 5.4501972468318565</t>
  </si>
  <si>
    <t>51.43956475176129, 5.450198523867777</t>
  </si>
  <si>
    <t>4000</t>
  </si>
  <si>
    <t>Lodewijkstraat 002</t>
  </si>
  <si>
    <t>621 Hurk</t>
  </si>
  <si>
    <t>Lodewijkstraat</t>
  </si>
  <si>
    <t>002</t>
  </si>
  <si>
    <t>LED239/740 DM70</t>
  </si>
  <si>
    <t>2020-01-15</t>
  </si>
  <si>
    <t>2045-02-20</t>
  </si>
  <si>
    <t>in30lux 90% - 19:00</t>
  </si>
  <si>
    <t>BGP762</t>
  </si>
  <si>
    <t>2040-01-15</t>
  </si>
  <si>
    <t>ST 13 V-100.T.114</t>
  </si>
  <si>
    <t>2001-09-17</t>
  </si>
  <si>
    <t>2041-09-17</t>
  </si>
  <si>
    <t>ST ENKEL 1,50 M LOS</t>
  </si>
  <si>
    <t>{"coordinates":[5.451496743335362,51.431144957595926],"type":"Point"}</t>
  </si>
  <si>
    <t>51.431144957595926, 5.451496743335362</t>
  </si>
  <si>
    <t>51.431145269255, 5.451497969286229</t>
  </si>
  <si>
    <t>Lodewijkstraat 005</t>
  </si>
  <si>
    <t>005</t>
  </si>
  <si>
    <t>2001-10-03</t>
  </si>
  <si>
    <t>2041-10-03</t>
  </si>
  <si>
    <t>{"coordinates":[5.450550348425426,51.43239120899901],"type":"Point"}</t>
  </si>
  <si>
    <t>51.43239120899901, 5.450550348425426</t>
  </si>
  <si>
    <t>51.43239152099905, 5.450551583565537</t>
  </si>
  <si>
    <t>Lodewijkstraat 007</t>
  </si>
  <si>
    <t>007</t>
  </si>
  <si>
    <t>{"coordinates":[5.449931070233582,51.43324584638235],"type":"Point"}</t>
  </si>
  <si>
    <t>51.43324584638235, 5.449931070233582</t>
  </si>
  <si>
    <t>51.433246158898505, 5.449932312086022</t>
  </si>
  <si>
    <t>009</t>
  </si>
  <si>
    <t>011</t>
  </si>
  <si>
    <t>041</t>
  </si>
  <si>
    <t>SOX PSG 55W</t>
  </si>
  <si>
    <t>oranje</t>
  </si>
  <si>
    <t>BY22d</t>
  </si>
  <si>
    <t>625 Zwaanstraat</t>
  </si>
  <si>
    <t>027</t>
  </si>
  <si>
    <t>PLL 36 W xtra polar</t>
  </si>
  <si>
    <t>pl</t>
  </si>
  <si>
    <t>2G11</t>
  </si>
  <si>
    <t>2016-09-16</t>
  </si>
  <si>
    <t>2046-09-16</t>
  </si>
  <si>
    <t>045</t>
  </si>
  <si>
    <t>047</t>
  </si>
  <si>
    <t>049</t>
  </si>
  <si>
    <t>052</t>
  </si>
  <si>
    <t>065</t>
  </si>
  <si>
    <t>in40lux 100% - 19:00</t>
  </si>
  <si>
    <t>004</t>
  </si>
  <si>
    <t>006</t>
  </si>
  <si>
    <t>013</t>
  </si>
  <si>
    <t>015</t>
  </si>
  <si>
    <t>012</t>
  </si>
  <si>
    <t>017</t>
  </si>
  <si>
    <t>018</t>
  </si>
  <si>
    <t>022</t>
  </si>
  <si>
    <t>155</t>
  </si>
  <si>
    <t>BGP760</t>
  </si>
  <si>
    <t>165</t>
  </si>
  <si>
    <t>167</t>
  </si>
  <si>
    <t>173</t>
  </si>
  <si>
    <t>161</t>
  </si>
  <si>
    <t>Beukenlaan</t>
  </si>
  <si>
    <t>106</t>
  </si>
  <si>
    <t>107</t>
  </si>
  <si>
    <t>145</t>
  </si>
  <si>
    <t>146</t>
  </si>
  <si>
    <t>143</t>
  </si>
  <si>
    <t>144</t>
  </si>
  <si>
    <t>014</t>
  </si>
  <si>
    <t>003</t>
  </si>
  <si>
    <t>SON-T PIA PLUS 70W</t>
  </si>
  <si>
    <t>SON-T  70W</t>
  </si>
  <si>
    <t>019</t>
  </si>
  <si>
    <t>029</t>
  </si>
  <si>
    <t>031</t>
  </si>
  <si>
    <t>033</t>
  </si>
  <si>
    <t>008</t>
  </si>
  <si>
    <t>ST ENKEL 100x070</t>
  </si>
  <si>
    <t>147</t>
  </si>
  <si>
    <t>149</t>
  </si>
  <si>
    <t>Unique-L Cool 36 Wat</t>
  </si>
  <si>
    <t>118</t>
  </si>
  <si>
    <t>SON PIA PLUS 150W</t>
  </si>
  <si>
    <t>134</t>
  </si>
  <si>
    <t>138</t>
  </si>
  <si>
    <t>2039-01-01</t>
  </si>
  <si>
    <t>2049-01-01</t>
  </si>
  <si>
    <t>2024-05-01</t>
  </si>
  <si>
    <t>ST 9 V-100.Q.143/G VZ CIL</t>
  </si>
  <si>
    <t>622 Het Ven</t>
  </si>
  <si>
    <t>SON PIA PLUS 70W I</t>
  </si>
  <si>
    <t>637 Flight Forum</t>
  </si>
  <si>
    <t>Flight Forum</t>
  </si>
  <si>
    <t>205</t>
  </si>
  <si>
    <t>96 LED type II short</t>
  </si>
  <si>
    <t>blauw</t>
  </si>
  <si>
    <t>8Times1 M-Concept ML</t>
  </si>
  <si>
    <t>FF-EHV (KOSTEN 100%FF)</t>
  </si>
  <si>
    <t>2013-12-16</t>
  </si>
  <si>
    <t>2026-07-19</t>
  </si>
  <si>
    <t>2033-12-16</t>
  </si>
  <si>
    <t>226</t>
  </si>
  <si>
    <t>232</t>
  </si>
  <si>
    <t>234</t>
  </si>
  <si>
    <t>237</t>
  </si>
  <si>
    <t>SILL 153 LED Blauw 1</t>
  </si>
  <si>
    <t>ST 10 V-100.S.210 VZ CIL</t>
  </si>
  <si>
    <t>302</t>
  </si>
  <si>
    <t>120 LED type II shor</t>
  </si>
  <si>
    <t>ST 16 CON PT108 PJ.7100627753 VZ</t>
  </si>
  <si>
    <t>ST HULPSTUK SILL VZ</t>
  </si>
  <si>
    <t>303</t>
  </si>
  <si>
    <t>301</t>
  </si>
  <si>
    <t>311</t>
  </si>
  <si>
    <t>LED upgrade KIT Blue</t>
  </si>
  <si>
    <t>148</t>
  </si>
  <si>
    <t>HRIT 250BL</t>
  </si>
  <si>
    <t>634 Zandrijk</t>
  </si>
  <si>
    <t>042</t>
  </si>
  <si>
    <t>044</t>
  </si>
  <si>
    <t>057</t>
  </si>
  <si>
    <t>059</t>
  </si>
  <si>
    <t>067</t>
  </si>
  <si>
    <t>068</t>
  </si>
  <si>
    <t>071</t>
  </si>
  <si>
    <t>079</t>
  </si>
  <si>
    <t>089</t>
  </si>
  <si>
    <t>CDO-TT Plus 150W</t>
  </si>
  <si>
    <t>137</t>
  </si>
  <si>
    <t>141</t>
  </si>
  <si>
    <t>CDM-T 150W</t>
  </si>
  <si>
    <t>cdm-t</t>
  </si>
  <si>
    <t>G12</t>
  </si>
  <si>
    <t>142</t>
  </si>
  <si>
    <t>2048-04-17</t>
  </si>
  <si>
    <t>162</t>
  </si>
  <si>
    <t>163</t>
  </si>
  <si>
    <t>2020-10-15</t>
  </si>
  <si>
    <t>170</t>
  </si>
  <si>
    <t>174</t>
  </si>
  <si>
    <t>177</t>
  </si>
  <si>
    <t>206</t>
  </si>
  <si>
    <t>633 Grasrijk</t>
  </si>
  <si>
    <t>Grasdreef</t>
  </si>
  <si>
    <t>2003-07-01</t>
  </si>
  <si>
    <t>2033-07-01</t>
  </si>
  <si>
    <t>2043-07-01</t>
  </si>
  <si>
    <t>136</t>
  </si>
  <si>
    <t>152</t>
  </si>
  <si>
    <t>157</t>
  </si>
  <si>
    <t>001</t>
  </si>
  <si>
    <t>SON-T PIA PLUS 150W</t>
  </si>
  <si>
    <t>2039-04-12</t>
  </si>
  <si>
    <t>024</t>
  </si>
  <si>
    <t>036</t>
  </si>
  <si>
    <t>CDM-T  35W</t>
  </si>
  <si>
    <t>2021-09-20</t>
  </si>
  <si>
    <t>SON-T 150W</t>
  </si>
  <si>
    <t>2004-01-01</t>
  </si>
  <si>
    <t>2034-01-01</t>
  </si>
  <si>
    <t>2044-01-01</t>
  </si>
  <si>
    <t>115</t>
  </si>
  <si>
    <t>Saled Led PS-L 26W 4</t>
  </si>
  <si>
    <t>100%</t>
  </si>
  <si>
    <t>1990-01-01</t>
  </si>
  <si>
    <t>2030-01-01</t>
  </si>
  <si>
    <t>PLL 55 W</t>
  </si>
  <si>
    <t>Achtseweg Noord</t>
  </si>
  <si>
    <t>2026-10-03</t>
  </si>
  <si>
    <t>BGP501</t>
  </si>
  <si>
    <t>2022-11-16</t>
  </si>
  <si>
    <t>BGP502</t>
  </si>
  <si>
    <t>CDO-ET Plus 100W</t>
  </si>
  <si>
    <t>202</t>
  </si>
  <si>
    <t>608</t>
  </si>
  <si>
    <t>601</t>
  </si>
  <si>
    <t>602</t>
  </si>
  <si>
    <t>2042-01-01</t>
  </si>
  <si>
    <t>SON-T PIA PLUS 100W</t>
  </si>
  <si>
    <t>010</t>
  </si>
  <si>
    <t>016</t>
  </si>
  <si>
    <t>025</t>
  </si>
  <si>
    <t>074</t>
  </si>
  <si>
    <t>2020-01-01</t>
  </si>
  <si>
    <t>PARK MEERLAND</t>
  </si>
  <si>
    <t>211</t>
  </si>
  <si>
    <t>213</t>
  </si>
  <si>
    <t>216</t>
  </si>
  <si>
    <t>in40lux 100% - uit40</t>
  </si>
  <si>
    <t>CPO-TW 60W Xtra</t>
  </si>
  <si>
    <t>081</t>
  </si>
  <si>
    <t>082</t>
  </si>
  <si>
    <t>084</t>
  </si>
  <si>
    <t>085</t>
  </si>
  <si>
    <t>2035-01-01</t>
  </si>
  <si>
    <t>075</t>
  </si>
  <si>
    <t>091</t>
  </si>
  <si>
    <t>5 Woensel-Noord</t>
  </si>
  <si>
    <t>51 Ontginning</t>
  </si>
  <si>
    <t>SON PIA PLUS 50W I</t>
  </si>
  <si>
    <t>2023-02-15</t>
  </si>
  <si>
    <t>54 Dommelbeemd</t>
  </si>
  <si>
    <t>543 Vaartbroek</t>
  </si>
  <si>
    <t>PLL 55 W xtra polar</t>
  </si>
  <si>
    <t>064</t>
  </si>
  <si>
    <t>CorePro LED Urban PL</t>
  </si>
  <si>
    <t>53 Aanschot</t>
  </si>
  <si>
    <t>039</t>
  </si>
  <si>
    <t>2012-01-01</t>
  </si>
  <si>
    <t>511 Driehoeksbos</t>
  </si>
  <si>
    <t>Marathonloop</t>
  </si>
  <si>
    <t>2020-10-07</t>
  </si>
  <si>
    <t>52 Achtse Molen</t>
  </si>
  <si>
    <t>521 Kerkdorp Acht</t>
  </si>
  <si>
    <t>2024-06-20</t>
  </si>
  <si>
    <t>AL 6 Nedal V061PT06.6E.000</t>
  </si>
  <si>
    <t>AU.6.6.200.00.0</t>
  </si>
  <si>
    <t>AL 6 NEDAL V.061PT03.6E.000</t>
  </si>
  <si>
    <t>4 Woensel-Zuid</t>
  </si>
  <si>
    <t>42 Erp</t>
  </si>
  <si>
    <t>2025-01-23</t>
  </si>
  <si>
    <t>2011-01-01</t>
  </si>
  <si>
    <t>Elburglaan</t>
  </si>
  <si>
    <t>054</t>
  </si>
  <si>
    <t>43 Begijnenbroek</t>
  </si>
  <si>
    <t>435 Oude Gracht-Oost</t>
  </si>
  <si>
    <t>043</t>
  </si>
  <si>
    <t>046</t>
  </si>
  <si>
    <t>2022-11-23</t>
  </si>
  <si>
    <t>2031-01-01</t>
  </si>
  <si>
    <t>021</t>
  </si>
  <si>
    <t>2023-09-14</t>
  </si>
  <si>
    <t>Nuenenseweg</t>
  </si>
  <si>
    <t>SON  50 W I</t>
  </si>
  <si>
    <t>2020-12-02</t>
  </si>
  <si>
    <t>1995-01-01</t>
  </si>
  <si>
    <t>2023-01-25</t>
  </si>
  <si>
    <t>032</t>
  </si>
  <si>
    <t>2024-10-14</t>
  </si>
  <si>
    <t>221</t>
  </si>
  <si>
    <t>219</t>
  </si>
  <si>
    <t>Industria RetroLed m</t>
  </si>
  <si>
    <t>2013-04-26</t>
  </si>
  <si>
    <t>2053-04-26</t>
  </si>
  <si>
    <t>ST DUBBEL 100x163/a</t>
  </si>
  <si>
    <t>215</t>
  </si>
  <si>
    <t>CDO-TT Plus 70W</t>
  </si>
  <si>
    <t>cdo-tt</t>
  </si>
  <si>
    <t>2037-01-01</t>
  </si>
  <si>
    <t>2023-11-16</t>
  </si>
  <si>
    <t>ST DUBBEL 100x071</t>
  </si>
  <si>
    <t>422 Kronehoef</t>
  </si>
  <si>
    <t>2008-01-01</t>
  </si>
  <si>
    <t>SON  70 W I</t>
  </si>
  <si>
    <t>076</t>
  </si>
  <si>
    <t>028</t>
  </si>
  <si>
    <t>034</t>
  </si>
  <si>
    <t>2024-03-14</t>
  </si>
  <si>
    <t>1970-01-01</t>
  </si>
  <si>
    <t>2010-01-01</t>
  </si>
  <si>
    <t>020</t>
  </si>
  <si>
    <t>2026-12-15</t>
  </si>
  <si>
    <t>2030-10-01</t>
  </si>
  <si>
    <t>2023-12-14</t>
  </si>
  <si>
    <t>2022-09-02</t>
  </si>
  <si>
    <t>Ketelhuisplein 001</t>
  </si>
  <si>
    <t>616 Strijp-S</t>
  </si>
  <si>
    <t>Ketelhuisplein</t>
  </si>
  <si>
    <t>Park Strijp beheer</t>
  </si>
  <si>
    <t>24 LED LENSOFLEX2 27</t>
  </si>
  <si>
    <t>2014-05-01</t>
  </si>
  <si>
    <t>2039-01-31</t>
  </si>
  <si>
    <t>SCHREDER TECEO-1 AKZ</t>
  </si>
  <si>
    <t>2034-05-01</t>
  </si>
  <si>
    <t>ST 6 CONISCH VZ</t>
  </si>
  <si>
    <t>2054-05-01</t>
  </si>
  <si>
    <t>ST ENKEL 0,3 M VZ</t>
  </si>
  <si>
    <t>{"coordinates":[5.456888237015818,51.44810958797561],"type":"Point"}</t>
  </si>
  <si>
    <t>51.44810958797561, 5.456888237015818</t>
  </si>
  <si>
    <t>51.44810991489546, 5.456889547046488</t>
  </si>
  <si>
    <t>2011-03-01</t>
  </si>
  <si>
    <t>2023-08-11</t>
  </si>
  <si>
    <t>2040-01-01</t>
  </si>
  <si>
    <t>2020-01-08</t>
  </si>
  <si>
    <t>2025-01-10</t>
  </si>
  <si>
    <t>055</t>
  </si>
  <si>
    <t>070</t>
  </si>
  <si>
    <t>431 Generalenbuurt</t>
  </si>
  <si>
    <t>077</t>
  </si>
  <si>
    <t>083</t>
  </si>
  <si>
    <t>087</t>
  </si>
  <si>
    <t>SON 100 W</t>
  </si>
  <si>
    <t>2028-01-01</t>
  </si>
  <si>
    <t>2024-03-22</t>
  </si>
  <si>
    <t>2024-05-15</t>
  </si>
  <si>
    <t>2023-02-23</t>
  </si>
  <si>
    <t>2024-03-04</t>
  </si>
  <si>
    <t>1989-01-01</t>
  </si>
  <si>
    <t>2022-04-13</t>
  </si>
  <si>
    <t>2022-05-09</t>
  </si>
  <si>
    <t>2025-01-01</t>
  </si>
  <si>
    <t>2019-01-01</t>
  </si>
  <si>
    <t>1999-01-01</t>
  </si>
  <si>
    <t>2022-12-01</t>
  </si>
  <si>
    <t>in30lux 80% - 19:00</t>
  </si>
  <si>
    <t>2019-04-30</t>
  </si>
  <si>
    <t>in30lux 70% - 19:00</t>
  </si>
  <si>
    <t>048</t>
  </si>
  <si>
    <t>051</t>
  </si>
  <si>
    <t>2048-01-25</t>
  </si>
  <si>
    <t>Luchthavenweg</t>
  </si>
  <si>
    <t>3 Tongelre</t>
  </si>
  <si>
    <t>33 Oud-Tongelre</t>
  </si>
  <si>
    <t>2024-01-15</t>
  </si>
  <si>
    <t>2028-01-20</t>
  </si>
  <si>
    <t>2020-05-13</t>
  </si>
  <si>
    <t>053</t>
  </si>
  <si>
    <t>056</t>
  </si>
  <si>
    <t>063</t>
  </si>
  <si>
    <t>421 Groenewoud</t>
  </si>
  <si>
    <t>Saled Led PS-L 18W 4</t>
  </si>
  <si>
    <t>2024-03-01</t>
  </si>
  <si>
    <t>HPS100 PL-L36W HFR G</t>
  </si>
  <si>
    <t>BB IN/OP/AAN WAND/GEVEL</t>
  </si>
  <si>
    <t>2023-09-28</t>
  </si>
  <si>
    <t>2022-01-01</t>
  </si>
  <si>
    <t>2023-02-22</t>
  </si>
  <si>
    <t>058</t>
  </si>
  <si>
    <t>061</t>
  </si>
  <si>
    <t>2021-10-05</t>
  </si>
  <si>
    <t>066</t>
  </si>
  <si>
    <t>072</t>
  </si>
  <si>
    <t>2049-01-31</t>
  </si>
  <si>
    <t>2041-01-01</t>
  </si>
  <si>
    <t>062</t>
  </si>
  <si>
    <t>Celsiusplein</t>
  </si>
  <si>
    <t>32 Doornakkers</t>
  </si>
  <si>
    <t>31 De Laak</t>
  </si>
  <si>
    <t>311 Villapark</t>
  </si>
  <si>
    <t>2014-01-01</t>
  </si>
  <si>
    <t>2022-05-11</t>
  </si>
  <si>
    <t>2024-02-21</t>
  </si>
  <si>
    <t>Unique-L Cool 55 Wat</t>
  </si>
  <si>
    <t>2048-05-09</t>
  </si>
  <si>
    <t>335 't Hofke</t>
  </si>
  <si>
    <t>Winston Churchilllaan</t>
  </si>
  <si>
    <t>SON 150 W</t>
  </si>
  <si>
    <t>'t Hofke</t>
  </si>
  <si>
    <t>2006-08-01</t>
  </si>
  <si>
    <t>2023-12-12</t>
  </si>
  <si>
    <t>073</t>
  </si>
  <si>
    <t>086</t>
  </si>
  <si>
    <t>088</t>
  </si>
  <si>
    <t>2049-06-10</t>
  </si>
  <si>
    <t>092</t>
  </si>
  <si>
    <t>093</t>
  </si>
  <si>
    <t>Wolvendijk</t>
  </si>
  <si>
    <t>41 Oud-Woensel</t>
  </si>
  <si>
    <t>2020-09-02</t>
  </si>
  <si>
    <t>Marathonloop 004</t>
  </si>
  <si>
    <t>LED140-4S/830 DW50</t>
  </si>
  <si>
    <t>2023-11-01</t>
  </si>
  <si>
    <t>2048-12-06</t>
  </si>
  <si>
    <t>2043-11-01</t>
  </si>
  <si>
    <t>2063-11-01</t>
  </si>
  <si>
    <t>2053-11-01</t>
  </si>
  <si>
    <t>{"coordinates":[5.443279150581846,51.47412851117845],"type":"Point"}</t>
  </si>
  <si>
    <t>51.47412851117845, 5.443279150581846</t>
  </si>
  <si>
    <t>51.47412885823664, 5.443280652721446</t>
  </si>
  <si>
    <t>Marathonloop 014</t>
  </si>
  <si>
    <t>{"coordinates":[5.44531997698898,51.474909008501484],"type":"Point"}</t>
  </si>
  <si>
    <t>51.474909008501484, 5.44531997698898</t>
  </si>
  <si>
    <t>51.474909357877586, 5.4453214770018254</t>
  </si>
  <si>
    <t>069</t>
  </si>
  <si>
    <t>Marathonloop 016</t>
  </si>
  <si>
    <t>{"coordinates":[5.4457453082619995,51.47505184037506],"type":"Point"}</t>
  </si>
  <si>
    <t>51.47505184037506, 5.4457453082619995</t>
  </si>
  <si>
    <t>51.4750521902145, 5.445746807763235</t>
  </si>
  <si>
    <t>Marathonloop 086</t>
  </si>
  <si>
    <t>LED75-4S/830 DX50</t>
  </si>
  <si>
    <t>{"coordinates":[5.454384470403611,51.4782325045135],"type":"Point"}</t>
  </si>
  <si>
    <t>51.4782325045135, 5.454384470403611</t>
  </si>
  <si>
    <t>51.478232862572284, 5.454385958435121</t>
  </si>
  <si>
    <t>078</t>
  </si>
  <si>
    <t>412 Hemelrijken</t>
  </si>
  <si>
    <t>2023-10-18</t>
  </si>
  <si>
    <t>2023-07-10</t>
  </si>
  <si>
    <t>2023-10-19</t>
  </si>
  <si>
    <t>AL 3,5 CONISCH NIEUW</t>
  </si>
  <si>
    <t>2024-03-08</t>
  </si>
  <si>
    <t>410 Limbeek-Zuid</t>
  </si>
  <si>
    <t>Eindhovenseweg 202</t>
  </si>
  <si>
    <t>545 Esp</t>
  </si>
  <si>
    <t>Eindhovenseweg</t>
  </si>
  <si>
    <t>LED34/730 DM10</t>
  </si>
  <si>
    <t>2025-01-27</t>
  </si>
  <si>
    <t>2050-03-06</t>
  </si>
  <si>
    <t>2050-01-27</t>
  </si>
  <si>
    <t>2055-01-27</t>
  </si>
  <si>
    <t>AL 0,20 Nedal AU.6.6</t>
  </si>
  <si>
    <t>{"coordinates":[5.49747965256178,51.49566200913625],"type":"Point"}</t>
  </si>
  <si>
    <t>51.49566200913625, 5.49747965256178</t>
  </si>
  <si>
    <t>51.49566239873169, 5.497481027879047</t>
  </si>
  <si>
    <t>2021-03-02</t>
  </si>
  <si>
    <t>2017-01-01</t>
  </si>
  <si>
    <t>2021-01-27</t>
  </si>
  <si>
    <t>SOX  35 W</t>
  </si>
  <si>
    <t>Damocleslaan 006</t>
  </si>
  <si>
    <t>Damocleslaan</t>
  </si>
  <si>
    <t>LED35/830 DM70</t>
  </si>
  <si>
    <t>2049-11-09</t>
  </si>
  <si>
    <t>2048-12-01</t>
  </si>
  <si>
    <t>2053-12-01</t>
  </si>
  <si>
    <t>{"coordinates":[5.498549192393212,51.465476917692456],"type":"Point"}</t>
  </si>
  <si>
    <t>51.465476917692456, 5.498549192393212</t>
  </si>
  <si>
    <t>51.46547727909817, 5.498550447301647</t>
  </si>
  <si>
    <t>Damocleslaan 008</t>
  </si>
  <si>
    <t>{"coordinates":[5.499104259437313,51.46524846042459],"type":"Point"}</t>
  </si>
  <si>
    <t>51.46524846042459, 5.499104259437313</t>
  </si>
  <si>
    <t>51.465248821738825, 5.499105510728663</t>
  </si>
  <si>
    <t>Damocleslaan 011</t>
  </si>
  <si>
    <t>{"coordinates":[5.4996210042828135,51.46503978557335],"type":"Point"}</t>
  </si>
  <si>
    <t>51.46503978557335, 5.4996210042828135</t>
  </si>
  <si>
    <t>51.465040146813465, 5.499622252228409</t>
  </si>
  <si>
    <t>SOX PSG 35W</t>
  </si>
  <si>
    <t>2022-07-27</t>
  </si>
  <si>
    <t>Boschdijk</t>
  </si>
  <si>
    <t>in40lux 70% - 19:00</t>
  </si>
  <si>
    <t>2048-04-21</t>
  </si>
  <si>
    <t>2028-10-21</t>
  </si>
  <si>
    <t>113</t>
  </si>
  <si>
    <t>2023-08-25</t>
  </si>
  <si>
    <t>2049-03-19</t>
  </si>
  <si>
    <t>312 Lakerlopen</t>
  </si>
  <si>
    <t>Onze Lieve Vrouwestraat</t>
  </si>
  <si>
    <t>Pieter Zeemanstraat</t>
  </si>
  <si>
    <t>2025-01-12</t>
  </si>
  <si>
    <t>2020-09-01</t>
  </si>
  <si>
    <t>2051-01-01</t>
  </si>
  <si>
    <t>314</t>
  </si>
  <si>
    <t>122</t>
  </si>
  <si>
    <t>313</t>
  </si>
  <si>
    <t>154</t>
  </si>
  <si>
    <t>156</t>
  </si>
  <si>
    <t>176</t>
  </si>
  <si>
    <t>178</t>
  </si>
  <si>
    <t>208</t>
  </si>
  <si>
    <t>212</t>
  </si>
  <si>
    <t>217</t>
  </si>
  <si>
    <t>223</t>
  </si>
  <si>
    <t>233</t>
  </si>
  <si>
    <t>236</t>
  </si>
  <si>
    <t>LED64/830 DM70</t>
  </si>
  <si>
    <t>715</t>
  </si>
  <si>
    <t>SOX  90 W</t>
  </si>
  <si>
    <t>Rembrandtplein</t>
  </si>
  <si>
    <t>2024-06-28</t>
  </si>
  <si>
    <t>2024-04-18</t>
  </si>
  <si>
    <t>2040-01-08</t>
  </si>
  <si>
    <t>222</t>
  </si>
  <si>
    <t>225</t>
  </si>
  <si>
    <t>228</t>
  </si>
  <si>
    <t>209</t>
  </si>
  <si>
    <t>229</t>
  </si>
  <si>
    <t>2040-10-11</t>
  </si>
  <si>
    <t>2023-11-06</t>
  </si>
  <si>
    <t>2023-06-29</t>
  </si>
  <si>
    <t>Pixelhof 023</t>
  </si>
  <si>
    <t>Pixelhof</t>
  </si>
  <si>
    <t>GRN10/830 PSDD I DW</t>
  </si>
  <si>
    <t>2031-08-19</t>
  </si>
  <si>
    <t>BDS491</t>
  </si>
  <si>
    <t>ZRP450 MBW (Wall Mou</t>
  </si>
  <si>
    <t>{"coordinates":[5.445373758794369,51.45062246935221],"type":"Point"}</t>
  </si>
  <si>
    <t>51.45062246935221, 5.445373758794369</t>
  </si>
  <si>
    <t>51.45062279462024, 5.445375118566319</t>
  </si>
  <si>
    <t>Pixelhof 021</t>
  </si>
  <si>
    <t>{"coordinates":[5.445683615329678,51.450719840875855],"type":"Point"}</t>
  </si>
  <si>
    <t>51.450719840875855, 5.445683615329678</t>
  </si>
  <si>
    <t>51.450720166376556, 5.445684974925803</t>
  </si>
  <si>
    <t>Achtseweg Noord 225</t>
  </si>
  <si>
    <t>LED6-4S/830 DM11</t>
  </si>
  <si>
    <t>2049-04-18</t>
  </si>
  <si>
    <t>2044-03-01</t>
  </si>
  <si>
    <t>2054-03-01</t>
  </si>
  <si>
    <t>{"coordinates":[5.418950983069389,51.47165850753126],"type":"Point"}</t>
  </si>
  <si>
    <t>51.47165850753126, 5.418950983069389</t>
  </si>
  <si>
    <t>51.47165883012373, 5.418952500402805</t>
  </si>
  <si>
    <t>Achtseweg Noord 228</t>
  </si>
  <si>
    <t>{"coordinates":[5.418143305439656,51.4723093430723],"type":"Point"}</t>
  </si>
  <si>
    <t>51.4723093430723, 5.418143305439656</t>
  </si>
  <si>
    <t>51.47230966521785, 5.418144825830935</t>
  </si>
  <si>
    <t>Achtseweg Noord 229</t>
  </si>
  <si>
    <t>{"coordinates":[5.417809980588557,51.47252317296097],"type":"Point"}</t>
  </si>
  <si>
    <t>51.47252317296097, 5.417809980588557</t>
  </si>
  <si>
    <t>51.47252349486888, 5.417811501981995</t>
  </si>
  <si>
    <t>2020-08-28</t>
  </si>
  <si>
    <t>Achtseweg Noord 231</t>
  </si>
  <si>
    <t>231</t>
  </si>
  <si>
    <t>{"coordinates":[5.417519476357645,51.47274384002374],"type":"Point"}</t>
  </si>
  <si>
    <t>51.47274384002374, 5.417519476357645</t>
  </si>
  <si>
    <t>51.47274416174568, 5.417520998770554</t>
  </si>
  <si>
    <t>CDM-TT150W</t>
  </si>
  <si>
    <t>2059-01-01</t>
  </si>
  <si>
    <t>SON-T PIA PLUS 250W</t>
  </si>
  <si>
    <t>2049-07-29</t>
  </si>
  <si>
    <t>201</t>
  </si>
  <si>
    <t>203</t>
  </si>
  <si>
    <t>207</t>
  </si>
  <si>
    <t>1998-01-01</t>
  </si>
  <si>
    <t>2038-01-01</t>
  </si>
  <si>
    <t>CPO-TW 45W</t>
  </si>
  <si>
    <t>PLT-X32 W</t>
  </si>
  <si>
    <t>G24q-3</t>
  </si>
  <si>
    <t>CPO-T  45W</t>
  </si>
  <si>
    <t>2010-10-11</t>
  </si>
  <si>
    <t>2023-01-04</t>
  </si>
  <si>
    <t>LED50/830 DM70</t>
  </si>
  <si>
    <t>2048-05-19</t>
  </si>
  <si>
    <t>2023-05-26</t>
  </si>
  <si>
    <t>2043-05-26</t>
  </si>
  <si>
    <t>2053-05-26</t>
  </si>
  <si>
    <t>AL ENKEL 1M UE6.1000</t>
  </si>
  <si>
    <t>544 Heesterakker</t>
  </si>
  <si>
    <t>2020-02-25</t>
  </si>
  <si>
    <t>2038-03-13</t>
  </si>
  <si>
    <t>030</t>
  </si>
  <si>
    <t>534 Blixembosch-Oost</t>
  </si>
  <si>
    <t>546 Bokt</t>
  </si>
  <si>
    <t>2019-06-04</t>
  </si>
  <si>
    <t>2033-01-01</t>
  </si>
  <si>
    <t>2022-03-14</t>
  </si>
  <si>
    <t>524 Achtse Barrier-Hoeven</t>
  </si>
  <si>
    <t>TL-E Circular Super</t>
  </si>
  <si>
    <t>tl</t>
  </si>
  <si>
    <t>CPS PLL 36 W HFR</t>
  </si>
  <si>
    <t>ST 3,5 V-100.B.034 CON</t>
  </si>
  <si>
    <t>2022-10-27</t>
  </si>
  <si>
    <t>Lekstraat</t>
  </si>
  <si>
    <t>Kruidenhof</t>
  </si>
  <si>
    <t>2006-02-13</t>
  </si>
  <si>
    <t>2036-02-13</t>
  </si>
  <si>
    <t>Verzetsheldenlaan</t>
  </si>
  <si>
    <t>2017-02-06</t>
  </si>
  <si>
    <t>2024-10-30</t>
  </si>
  <si>
    <t>2021-09-12</t>
  </si>
  <si>
    <t>2011-04-26</t>
  </si>
  <si>
    <t>2041-04-26</t>
  </si>
  <si>
    <t>Vijfkamplaan</t>
  </si>
  <si>
    <t>Oude Bossche Baan</t>
  </si>
  <si>
    <t>2023-03-21</t>
  </si>
  <si>
    <t>2035-01-23</t>
  </si>
  <si>
    <t>CDO-TT 70W</t>
  </si>
  <si>
    <t>20 LED Retroled unit</t>
  </si>
  <si>
    <t>BDS150</t>
  </si>
  <si>
    <t>HPS100</t>
  </si>
  <si>
    <t>CDO-ET Plus 70W</t>
  </si>
  <si>
    <t>CDO-TT150W</t>
  </si>
  <si>
    <t>2021-01-11</t>
  </si>
  <si>
    <t>2023-12-31</t>
  </si>
  <si>
    <t>2045-02-11</t>
  </si>
  <si>
    <t>in30lux 60% - 19:00</t>
  </si>
  <si>
    <t>2024-08-22</t>
  </si>
  <si>
    <t>2023-10-02</t>
  </si>
  <si>
    <t>2029-12-17</t>
  </si>
  <si>
    <t>Tempellaan</t>
  </si>
  <si>
    <t>080</t>
  </si>
  <si>
    <t>523 Achtse Barrier-Spaaihoef</t>
  </si>
  <si>
    <t>2044-06-06</t>
  </si>
  <si>
    <t>2023-04-21</t>
  </si>
  <si>
    <t>CDM-TD150W</t>
  </si>
  <si>
    <t>cdm-td</t>
  </si>
  <si>
    <t>RX7s</t>
  </si>
  <si>
    <t>2021-09-16</t>
  </si>
  <si>
    <t>2023-04-29</t>
  </si>
  <si>
    <t>2022-11-14</t>
  </si>
  <si>
    <t>531 Woenselse Heide</t>
  </si>
  <si>
    <t>20 LEDS LED22/830 I</t>
  </si>
  <si>
    <t>Ouverture</t>
  </si>
  <si>
    <t>2024-08-06</t>
  </si>
  <si>
    <t>2006-12-12</t>
  </si>
  <si>
    <t>2036-12-12</t>
  </si>
  <si>
    <t>Nuenenseweg 001</t>
  </si>
  <si>
    <t>436 Eckartdal</t>
  </si>
  <si>
    <t>{"coordinates":[5.501125088344949,51.465000598910564],"type":"Point"}</t>
  </si>
  <si>
    <t>51.465000598910564, 5.501125088344949</t>
  </si>
  <si>
    <t>51.4650009606955, 5.501126329724579</t>
  </si>
  <si>
    <t>Lightronics PRO LED3</t>
  </si>
  <si>
    <t>Ceder A2</t>
  </si>
  <si>
    <t>AL 3,5 NEDAL   K035PT01.6T.004</t>
  </si>
  <si>
    <t>116</t>
  </si>
  <si>
    <t>123</t>
  </si>
  <si>
    <t>158</t>
  </si>
  <si>
    <t>159</t>
  </si>
  <si>
    <t>168</t>
  </si>
  <si>
    <t>204</t>
  </si>
  <si>
    <t>Lightronics LED CEDE</t>
  </si>
  <si>
    <t>12 LED DW10 DD  23,5</t>
  </si>
  <si>
    <t>2013-12-31</t>
  </si>
  <si>
    <t>2016-07-22</t>
  </si>
  <si>
    <t>164</t>
  </si>
  <si>
    <t>171</t>
  </si>
  <si>
    <t>2029-12-31</t>
  </si>
  <si>
    <t>PLL 24 W xtra polar</t>
  </si>
  <si>
    <t>AL 3,5 CONISCH OUD STANDAARD</t>
  </si>
  <si>
    <t>2017-10-18</t>
  </si>
  <si>
    <t>2023-04-14</t>
  </si>
  <si>
    <t>LED32/3000K L2W PR01</t>
  </si>
  <si>
    <t>214</t>
  </si>
  <si>
    <t>2023-02-09</t>
  </si>
  <si>
    <t>169</t>
  </si>
  <si>
    <t>SOX/E 66W</t>
  </si>
  <si>
    <t>sox-e</t>
  </si>
  <si>
    <t>PLL 80 W</t>
  </si>
  <si>
    <t>2049-06-01</t>
  </si>
  <si>
    <t>1 Centrum</t>
  </si>
  <si>
    <t>11 Centrum</t>
  </si>
  <si>
    <t>111 Binnenstad</t>
  </si>
  <si>
    <t>2021-01-26</t>
  </si>
  <si>
    <t>114 Fellenoord</t>
  </si>
  <si>
    <t>TLLL 36 W</t>
  </si>
  <si>
    <t>G13</t>
  </si>
  <si>
    <t>in200lux 100% - uit2</t>
  </si>
  <si>
    <t>64 LED 23W 3000Lm WW</t>
  </si>
  <si>
    <t>2022-12-05</t>
  </si>
  <si>
    <t>BDS570</t>
  </si>
  <si>
    <t>AL 4 NEDAL K040PT01.6F.005 VOETPLAAT</t>
  </si>
  <si>
    <t>2001-10-23</t>
  </si>
  <si>
    <t>2031-10-23</t>
  </si>
  <si>
    <t>2047-01-01</t>
  </si>
  <si>
    <t>PLT-X42 W</t>
  </si>
  <si>
    <t>GX24q-4</t>
  </si>
  <si>
    <t>CDS560 PLT 42 W DD T</t>
  </si>
  <si>
    <t>2021-08-24</t>
  </si>
  <si>
    <t>2030-04-05</t>
  </si>
  <si>
    <t>2022-12-23</t>
  </si>
  <si>
    <t>BDP102</t>
  </si>
  <si>
    <t>113 Witte Dame</t>
  </si>
  <si>
    <t>Lichtstraat</t>
  </si>
  <si>
    <t>2028-01-30</t>
  </si>
  <si>
    <t>GGP 144 LOUVRE POSTT</t>
  </si>
  <si>
    <t>AL 1,2 VERONA HGP 142</t>
  </si>
  <si>
    <t>PLL 18 W</t>
  </si>
  <si>
    <t>LED25W WW TB-IO</t>
  </si>
  <si>
    <t>TLD XP36 W</t>
  </si>
  <si>
    <t>TLM  40 W</t>
  </si>
  <si>
    <t>2023-07-04</t>
  </si>
  <si>
    <t>2043-07-04</t>
  </si>
  <si>
    <t>GV 65 SON 50 W</t>
  </si>
  <si>
    <t>Rode Kruislaan</t>
  </si>
  <si>
    <t>2008-11-11</t>
  </si>
  <si>
    <t>'t Hofke 014</t>
  </si>
  <si>
    <t>2048-08-02</t>
  </si>
  <si>
    <t>{"coordinates":[5.518161822875493,51.44936051020596],"type":"Point"}</t>
  </si>
  <si>
    <t>51.44936051020596, 5.518161822875493</t>
  </si>
  <si>
    <t>51.44936085823947, 5.518162908468947</t>
  </si>
  <si>
    <t>'t Hofke 017</t>
  </si>
  <si>
    <t>{"coordinates":[5.519078492956425,51.44959650993298],"type":"Point"}</t>
  </si>
  <si>
    <t>51.44959650993298, 5.519078492956425</t>
  </si>
  <si>
    <t>51.44959685866539, 5.519079576194202</t>
  </si>
  <si>
    <t>'t Hofke 019</t>
  </si>
  <si>
    <t>{"coordinates":[5.519908664002442,51.449685510463304],"type":"Point"}</t>
  </si>
  <si>
    <t>51.449685510463304, 5.519908664002442</t>
  </si>
  <si>
    <t>51.44968585965822, 5.5199097444402385</t>
  </si>
  <si>
    <t>'t Hofke 021</t>
  </si>
  <si>
    <t>{"coordinates":[5.5203826633835975,51.44963101053202],"type":"Point"}</t>
  </si>
  <si>
    <t>51.44963101053202, 5.5203826633835975</t>
  </si>
  <si>
    <t>51.44963135985511, 5.5203837416609</t>
  </si>
  <si>
    <t>Loostraat 002</t>
  </si>
  <si>
    <t>Loostraat</t>
  </si>
  <si>
    <t>Siteco SL 21 iQ mini</t>
  </si>
  <si>
    <t>2023-07-27</t>
  </si>
  <si>
    <t>In 30lux 10% - bij b</t>
  </si>
  <si>
    <t>Siteco Streetlight S</t>
  </si>
  <si>
    <t>2048-07-27</t>
  </si>
  <si>
    <t>ST 5 VDL CCOL 5.0 PTU60-GST133-60-DCC</t>
  </si>
  <si>
    <t>2063-07-27</t>
  </si>
  <si>
    <t>SL21 mast flange ops</t>
  </si>
  <si>
    <t>{"coordinates":[5.522011899939438,51.4499685199002],"type":"Point"}</t>
  </si>
  <si>
    <t>51.4499685199002, 5.522011899939438</t>
  </si>
  <si>
    <t>51.44996887032349, 5.522012973587275</t>
  </si>
  <si>
    <t>Loostraat 003</t>
  </si>
  <si>
    <t>{"coordinates":[5.522275279229896,51.45006985959181],"type":"Point"}</t>
  </si>
  <si>
    <t>51.45006985959181, 5.522275279229896</t>
  </si>
  <si>
    <t>51.45007021024766, 5.522276352378084</t>
  </si>
  <si>
    <t>Loostraat 004</t>
  </si>
  <si>
    <t>{"coordinates":[5.522653049607383,51.45006326911672],"type":"Point"}</t>
  </si>
  <si>
    <t>51.45006326911672, 5.522653049607383</t>
  </si>
  <si>
    <t>51.450063619919284, 5.522654121229628</t>
  </si>
  <si>
    <t>Loostraat 033</t>
  </si>
  <si>
    <t>2023-07-07</t>
  </si>
  <si>
    <t>2049-05-19</t>
  </si>
  <si>
    <t>2048-07-07</t>
  </si>
  <si>
    <t>2063-07-07</t>
  </si>
  <si>
    <t>{"coordinates":[5.5310196447370945,51.44954421034897],"type":"Point"}</t>
  </si>
  <si>
    <t>51.44954421034897, 5.5310196447370945</t>
  </si>
  <si>
    <t>51.44954456357334, 5.531020682201073</t>
  </si>
  <si>
    <t>Loostraat 034</t>
  </si>
  <si>
    <t>{"coordinates":[5.53140470469562,51.449369019801765],"type":"Point"}</t>
  </si>
  <si>
    <t>51.449369019801765, 5.53140470469562</t>
  </si>
  <si>
    <t>51.449369372938364, 5.53140573984706</t>
  </si>
  <si>
    <t>Loostraat 035</t>
  </si>
  <si>
    <t>{"coordinates":[5.531692865029015,51.44920220967948],"type":"Point"}</t>
  </si>
  <si>
    <t>51.44920220967948, 5.531692865029015</t>
  </si>
  <si>
    <t>51.44920256270343, 5.531693898272117</t>
  </si>
  <si>
    <t>Loostraat 012</t>
  </si>
  <si>
    <t>{"coordinates":[5.5237554697858835,51.450283279573995],"type":"Point"}</t>
  </si>
  <si>
    <t>51.450283279573995, 5.5237554697858835</t>
  </si>
  <si>
    <t>51.450283631089654, 5.5237565382279294</t>
  </si>
  <si>
    <t>2023-07-01</t>
  </si>
  <si>
    <t>Loostraat 019</t>
  </si>
  <si>
    <t>2063-04-21</t>
  </si>
  <si>
    <t>{"coordinates":[5.526374670487558,51.4505583291657],"type":"Point"}</t>
  </si>
  <si>
    <t>51.4505583291657, 5.526374670487558</t>
  </si>
  <si>
    <t>51.45055868198091, 5.526375730447872</t>
  </si>
  <si>
    <t>Loostraat 036</t>
  </si>
  <si>
    <t>{"coordinates":[5.531971585252434,51.44903914984683],"type":"Point"}</t>
  </si>
  <si>
    <t>51.44903914984683, 5.531971585252434</t>
  </si>
  <si>
    <t>51.44903950277223, 5.53197261666351</t>
  </si>
  <si>
    <t>Loostraat 026</t>
  </si>
  <si>
    <t>2023-07-11</t>
  </si>
  <si>
    <t>2049-05-23</t>
  </si>
  <si>
    <t>2048-07-11</t>
  </si>
  <si>
    <t>2063-07-11</t>
  </si>
  <si>
    <t>{"coordinates":[5.529143710320135,51.4502546698412],"type":"Point"}</t>
  </si>
  <si>
    <t>51.4502546698412, 5.529143710320135</t>
  </si>
  <si>
    <t>51.45025502328755, 5.529144758380783</t>
  </si>
  <si>
    <t>HPI-T 250W/645</t>
  </si>
  <si>
    <t>Loostraat 027</t>
  </si>
  <si>
    <t>{"coordinates":[5.529480070217448,51.450172659517676],"type":"Point"}</t>
  </si>
  <si>
    <t>51.450172659517676, 5.529480070217448</t>
  </si>
  <si>
    <t>51.450173012983456, 5.529481116604535</t>
  </si>
  <si>
    <t>Clausplein</t>
  </si>
  <si>
    <t>Loostraat 029</t>
  </si>
  <si>
    <t>2023-07-25</t>
  </si>
  <si>
    <t>2049-06-07</t>
  </si>
  <si>
    <t>2048-07-25</t>
  </si>
  <si>
    <t>2063-07-25</t>
  </si>
  <si>
    <t>{"coordinates":[5.530126999771202,51.44989949929153],"type":"Point"}</t>
  </si>
  <si>
    <t>51.44989949929153, 5.530126999771202</t>
  </si>
  <si>
    <t>51.449899852647974, 5.530128042354014</t>
  </si>
  <si>
    <t>2 Stratum</t>
  </si>
  <si>
    <t>21 Oud-Stratum</t>
  </si>
  <si>
    <t>Willem van Konijnenburglaan 007</t>
  </si>
  <si>
    <t>Willem van Konijnenburglaan</t>
  </si>
  <si>
    <t>LED84/730 DM70</t>
  </si>
  <si>
    <t>2024-06-06</t>
  </si>
  <si>
    <t>2049-02-20</t>
  </si>
  <si>
    <t>1993-12-07</t>
  </si>
  <si>
    <t>2033-12-07</t>
  </si>
  <si>
    <t>{"coordinates":[5.49607147750637,51.43780716762257],"type":"Point"}</t>
  </si>
  <si>
    <t>51.43780716762257, 5.49607147750637</t>
  </si>
  <si>
    <t>51.43780749500934, 5.496072581642581</t>
  </si>
  <si>
    <t>Willem van Konijnenburglaan 008</t>
  </si>
  <si>
    <t>2024-02-14</t>
  </si>
  <si>
    <t>2048-12-08</t>
  </si>
  <si>
    <t>2044-02-14</t>
  </si>
  <si>
    <t>2064-02-14</t>
  </si>
  <si>
    <t>2054-02-14</t>
  </si>
  <si>
    <t>{"coordinates":[5.496394989201941,51.43771194433464],"type":"Point"}</t>
  </si>
  <si>
    <t>51.43771194433464, 5.496394989201941</t>
  </si>
  <si>
    <t>51.437712271679636, 5.49639609151349</t>
  </si>
  <si>
    <t>Saled led PS-T 15W 3</t>
  </si>
  <si>
    <t>23 Putten</t>
  </si>
  <si>
    <t>237 Kruidenbuurt</t>
  </si>
  <si>
    <t>Laurierplein</t>
  </si>
  <si>
    <t>Ruysdaelbaan 010</t>
  </si>
  <si>
    <t>Ruysdaelbaan</t>
  </si>
  <si>
    <t>LED20/730 DM70</t>
  </si>
  <si>
    <t>2024-07-01</t>
  </si>
  <si>
    <t>2049-09-05</t>
  </si>
  <si>
    <t>2049-07-01</t>
  </si>
  <si>
    <t>2054-07-01</t>
  </si>
  <si>
    <t>AL ENKEL UE6.1000.05</t>
  </si>
  <si>
    <t>2044-07-01</t>
  </si>
  <si>
    <t>{"coordinates":[5.497263486278669,51.4376359311022],"type":"Point"}</t>
  </si>
  <si>
    <t>51.4376359311022, 5.497263486278669</t>
  </si>
  <si>
    <t>51.437636258543876, 5.497264584687268</t>
  </si>
  <si>
    <t>119</t>
  </si>
  <si>
    <t>BDS490</t>
  </si>
  <si>
    <t>8 LED 17W WW 2000LM</t>
  </si>
  <si>
    <t>215 Joriskwartier</t>
  </si>
  <si>
    <t>AL 4 (MEERHOVEN)</t>
  </si>
  <si>
    <t>CDO-TT Plus 100W</t>
  </si>
  <si>
    <t>CDO-TT100W</t>
  </si>
  <si>
    <t>2049-10-01</t>
  </si>
  <si>
    <t>121</t>
  </si>
  <si>
    <t>2050-01-29</t>
  </si>
  <si>
    <t>LED49/830 DM70</t>
  </si>
  <si>
    <t>CPO-TW 140W</t>
  </si>
  <si>
    <t>ST 12 V-100.T.609 VZ</t>
  </si>
  <si>
    <t>2018-01-01</t>
  </si>
  <si>
    <t>153</t>
  </si>
  <si>
    <t>2019-10-01</t>
  </si>
  <si>
    <t>139</t>
  </si>
  <si>
    <t>172</t>
  </si>
  <si>
    <t>2020-01-30</t>
  </si>
  <si>
    <t>Fortimo LED LLM 1800</t>
  </si>
  <si>
    <t>2053-02-22</t>
  </si>
  <si>
    <t>2044-01-15</t>
  </si>
  <si>
    <t>2038-12-12</t>
  </si>
  <si>
    <t>2022-07-01</t>
  </si>
  <si>
    <t>2047-09-05</t>
  </si>
  <si>
    <t>2042-07-01</t>
  </si>
  <si>
    <t>135</t>
  </si>
  <si>
    <t>151</t>
  </si>
  <si>
    <t>12X 22W NW 2900L GRE</t>
  </si>
  <si>
    <t>in30lux 100% - 21:30</t>
  </si>
  <si>
    <t>2049-04-28</t>
  </si>
  <si>
    <t>2044-03-08</t>
  </si>
  <si>
    <t>2054-03-08</t>
  </si>
  <si>
    <t>2021-04-13</t>
  </si>
  <si>
    <t>2010-05-28</t>
  </si>
  <si>
    <t>2040-05-28</t>
  </si>
  <si>
    <t>2022-07-07</t>
  </si>
  <si>
    <t>2052-07-07</t>
  </si>
  <si>
    <t>2049-04-03</t>
  </si>
  <si>
    <t>SRS420 SON/T 50 W</t>
  </si>
  <si>
    <t>7 Gestel</t>
  </si>
  <si>
    <t>72 Oud-Gestel</t>
  </si>
  <si>
    <t>2021-07-08</t>
  </si>
  <si>
    <t>722 Blaarthem</t>
  </si>
  <si>
    <t>TL-M RS Super 80 40W</t>
  </si>
  <si>
    <t>Genneperweg</t>
  </si>
  <si>
    <t>Haydnstraat</t>
  </si>
  <si>
    <t>Winston Churchilllaan 106</t>
  </si>
  <si>
    <t>GRN107-2S/740 CLO DW</t>
  </si>
  <si>
    <t>BGP353</t>
  </si>
  <si>
    <t>2033-04-26</t>
  </si>
  <si>
    <t>{"coordinates":[5.47938064691379,51.46753342512609],"type":"Point"}</t>
  </si>
  <si>
    <t>51.46753342512609, 5.47938064691379</t>
  </si>
  <si>
    <t>51.46753378247164, 5.479381992979183</t>
  </si>
  <si>
    <t>73 Oud Kasteel</t>
  </si>
  <si>
    <t>732 Hanevoet</t>
  </si>
  <si>
    <t>1978-05-01</t>
  </si>
  <si>
    <t>71 Rozenknopje</t>
  </si>
  <si>
    <t>711 Schrijversbuurt</t>
  </si>
  <si>
    <t>733 Ooievaarsnest</t>
  </si>
  <si>
    <t>115 TU-terrein</t>
  </si>
  <si>
    <t>Damocleslaan 017</t>
  </si>
  <si>
    <t>{"coordinates":[5.500885361131142,51.46495121571638],"type":"Point"}</t>
  </si>
  <si>
    <t>51.46495121571638, 5.500885361131142</t>
  </si>
  <si>
    <t>51.46495157734911, 5.500886603244974</t>
  </si>
  <si>
    <t>2042-01-26</t>
  </si>
  <si>
    <t>SON PIA PLUS 250W</t>
  </si>
  <si>
    <t>2028-03-11</t>
  </si>
  <si>
    <t>2018-09-18</t>
  </si>
  <si>
    <t>2017-07-14</t>
  </si>
  <si>
    <t>2031-05-01</t>
  </si>
  <si>
    <t>2019-04-08</t>
  </si>
  <si>
    <t>2019-04-12</t>
  </si>
  <si>
    <t>22 Kortonjo</t>
  </si>
  <si>
    <t>SL EXE 16W</t>
  </si>
  <si>
    <t>1996-07-01</t>
  </si>
  <si>
    <t>2036-07-01</t>
  </si>
  <si>
    <t>2062-12-05</t>
  </si>
  <si>
    <t>CDM-TD 70W</t>
  </si>
  <si>
    <t>Lichtplein</t>
  </si>
  <si>
    <t>MVF 606 CDM-T 150 W</t>
  </si>
  <si>
    <t>2008-05-01</t>
  </si>
  <si>
    <t>10 LED Golden Green</t>
  </si>
  <si>
    <t>2053-10-18</t>
  </si>
  <si>
    <t>2022-11-21</t>
  </si>
  <si>
    <t>2033-03-13</t>
  </si>
  <si>
    <t>2043-01-25</t>
  </si>
  <si>
    <t>Ulenpas</t>
  </si>
  <si>
    <t>2023-07-24</t>
  </si>
  <si>
    <t>Lichtstraat 011</t>
  </si>
  <si>
    <t>PL-C 18W 830 2P (MAS</t>
  </si>
  <si>
    <t>2018-09-12</t>
  </si>
  <si>
    <t>GX24d-2</t>
  </si>
  <si>
    <t>Thorn CHARTOR 18W TC</t>
  </si>
  <si>
    <t>2048-09-12</t>
  </si>
  <si>
    <t>AL 0,81 Bolder</t>
  </si>
  <si>
    <t>{"coordinates":[5.471804329471632,51.43869954707897],"type":"Point"}</t>
  </si>
  <si>
    <t>51.43869954707897, 5.471804329471632</t>
  </si>
  <si>
    <t>51.438699869333554, 5.47180552970363</t>
  </si>
  <si>
    <t>Lichtstraat 012</t>
  </si>
  <si>
    <t>Thorn D-CO bolder 30</t>
  </si>
  <si>
    <t>2023-03-14</t>
  </si>
  <si>
    <t>2035-09-11</t>
  </si>
  <si>
    <t>Thorn D-CO LED Bolla</t>
  </si>
  <si>
    <t>2053-03-14</t>
  </si>
  <si>
    <t>AL 1 mtr Bolder</t>
  </si>
  <si>
    <t>{"coordinates":[5.471855835346976,51.43878632222696],"type":"Point"}</t>
  </si>
  <si>
    <t>51.43878632222696, 5.471855835346976</t>
  </si>
  <si>
    <t>51.438786644576545, 5.471857035891221</t>
  </si>
  <si>
    <t>Lichtstraat 015</t>
  </si>
  <si>
    <t>{"coordinates":[5.472004308681709,51.43907498423169],"type":"Point"}</t>
  </si>
  <si>
    <t>51.43907498423169, 5.472004308681709</t>
  </si>
  <si>
    <t>51.43907530689114, 5.472005510346897</t>
  </si>
  <si>
    <t>Lichtstraat 017</t>
  </si>
  <si>
    <t>2017-07-18</t>
  </si>
  <si>
    <t>2022-06-19</t>
  </si>
  <si>
    <t>{"coordinates":[5.472101263380303,51.43925420160663],"type":"Point"}</t>
  </si>
  <si>
    <t>51.43925420160663, 5.472101263380303</t>
  </si>
  <si>
    <t>51.4392545244598, 5.47210246572319</t>
  </si>
  <si>
    <t>2022-10-26</t>
  </si>
  <si>
    <t>Lichtstraat 019</t>
  </si>
  <si>
    <t>2023-08-16</t>
  </si>
  <si>
    <t>2053-08-16</t>
  </si>
  <si>
    <t>{"coordinates":[5.472192735162802,51.439423589295856],"type":"Point"}</t>
  </si>
  <si>
    <t>51.439423589295856, 5.472192735162802</t>
  </si>
  <si>
    <t>51.439423912332146, 5.472193938146195</t>
  </si>
  <si>
    <t>2049-05-07</t>
  </si>
  <si>
    <t>2023-07-19</t>
  </si>
  <si>
    <t>2063-07-19</t>
  </si>
  <si>
    <t>CDM-T  70W</t>
  </si>
  <si>
    <t>2031-04-26</t>
  </si>
  <si>
    <t>2048-03-06</t>
  </si>
  <si>
    <t>Clausplein 4-36</t>
  </si>
  <si>
    <t>4-36</t>
  </si>
  <si>
    <t>ColorGraze MX4 Power</t>
  </si>
  <si>
    <t>Philips ColorGraze M</t>
  </si>
  <si>
    <t>2039-10-01</t>
  </si>
  <si>
    <t>Graze Inground Enclosure</t>
  </si>
  <si>
    <t>{"coordinates":[5.47342851145891,51.438776691418326],"type":"Point"}</t>
  </si>
  <si>
    <t>51.438776691418326, 5.47342851145891</t>
  </si>
  <si>
    <t>51.43877701419458, 5.4734297062134765</t>
  </si>
  <si>
    <t>Clausplein 4-34</t>
  </si>
  <si>
    <t>4-34</t>
  </si>
  <si>
    <t>{"coordinates":[5.473488853118579,51.43889484774487],"type":"Point"}</t>
  </si>
  <si>
    <t>51.43889484774487, 5.473488853118579</t>
  </si>
  <si>
    <t>51.438895170648095, 5.473490048330117</t>
  </si>
  <si>
    <t>Clausplein 4-30</t>
  </si>
  <si>
    <t>4-30</t>
  </si>
  <si>
    <t>{"coordinates":[5.473820476261517,51.43895248847622],"type":"Point"}</t>
  </si>
  <si>
    <t>51.43895248847622, 5.473820476261517</t>
  </si>
  <si>
    <t>51.438952811525525, 5.473821670593097</t>
  </si>
  <si>
    <t>Clausplein 4-28</t>
  </si>
  <si>
    <t>4-28</t>
  </si>
  <si>
    <t>2051-09-20</t>
  </si>
  <si>
    <t>{"coordinates":[5.474018589544809,51.43891252105365],"type":"Point"}</t>
  </si>
  <si>
    <t>51.43891252105365, 5.474018589544809</t>
  </si>
  <si>
    <t>51.438912844120864, 5.474019782924737</t>
  </si>
  <si>
    <t>Clausplein 3-26</t>
  </si>
  <si>
    <t>3-26</t>
  </si>
  <si>
    <t>{"coordinates":[5.474210236425344,51.43887570416376],"type":"Point"}</t>
  </si>
  <si>
    <t>51.43887570416376, 5.474210236425344</t>
  </si>
  <si>
    <t>51.438876027250146, 5.474211428895568</t>
  </si>
  <si>
    <t>Clausplein 3-24</t>
  </si>
  <si>
    <t>3-24</t>
  </si>
  <si>
    <t>{"coordinates":[5.474413089702944,51.43883285615193],"type":"Point"}</t>
  </si>
  <si>
    <t>51.43883285615193, 5.474413089702944</t>
  </si>
  <si>
    <t>51.4388331792549, 5.474414281188345</t>
  </si>
  <si>
    <t>Emmasingel 3-22</t>
  </si>
  <si>
    <t>Emmasingel</t>
  </si>
  <si>
    <t>3-22</t>
  </si>
  <si>
    <t>{"coordinates":[5.4744975155440665,51.43883360184382],"type":"Point"}</t>
  </si>
  <si>
    <t>51.43883360184382, 5.4744975155440665</t>
  </si>
  <si>
    <t>51.43883392497101, 5.474498706725839</t>
  </si>
  <si>
    <t>Emmasingel 3-20</t>
  </si>
  <si>
    <t>3-20</t>
  </si>
  <si>
    <t>{"coordinates":[5.4745844658876965,51.438950928664696],"type":"Point"}</t>
  </si>
  <si>
    <t>51.438950928664696, 5.4745844658876965</t>
  </si>
  <si>
    <t>51.43895125192559, 5.474585657422979</t>
  </si>
  <si>
    <t>Emmasingel 2-16</t>
  </si>
  <si>
    <t>2-16</t>
  </si>
  <si>
    <t>{"coordinates":[5.474670940412444,51.439194906174905],"type":"Point"}</t>
  </si>
  <si>
    <t>51.439194906174905, 5.474670940412444</t>
  </si>
  <si>
    <t>51.43919522968723, 5.474672133026732</t>
  </si>
  <si>
    <t>Emmasingel 2-12</t>
  </si>
  <si>
    <t>2-12</t>
  </si>
  <si>
    <t>{"coordinates":[5.474803010881391,51.43944010772515],"type":"Point"}</t>
  </si>
  <si>
    <t>51.43944010772515, 5.474803010881391</t>
  </si>
  <si>
    <t>51.439440431502504, 5.474804204415419</t>
  </si>
  <si>
    <t>Emmasingel 1-08</t>
  </si>
  <si>
    <t>1-08</t>
  </si>
  <si>
    <t>{"coordinates":[5.474929332325946,51.43968666175672],"type":"Point"}</t>
  </si>
  <si>
    <t>51.43968666175672, 5.474929332325946</t>
  </si>
  <si>
    <t>51.439686985798915, 5.4749305268073405</t>
  </si>
  <si>
    <t>Emmasingel 1-05</t>
  </si>
  <si>
    <t>1-05</t>
  </si>
  <si>
    <t>2021-06-01</t>
  </si>
  <si>
    <t>2051-06-01</t>
  </si>
  <si>
    <t>{"coordinates":[5.475024325658034,51.43987139722488],"type":"Point"}</t>
  </si>
  <si>
    <t>51.43987139722488, 5.475024325658034</t>
  </si>
  <si>
    <t>51.439871721465515, 5.475025520847369</t>
  </si>
  <si>
    <t>726 Gennep</t>
  </si>
  <si>
    <t>Emmasingel 1-04</t>
  </si>
  <si>
    <t>1-04</t>
  </si>
  <si>
    <t>2044-10-30</t>
  </si>
  <si>
    <t>2054-10-30</t>
  </si>
  <si>
    <t>{"coordinates":[5.475056663311795,51.43993393398023],"type":"Point"}</t>
  </si>
  <si>
    <t>51.43993393398023, 5.475056663311795</t>
  </si>
  <si>
    <t>51.439934258288126, 5.475057858740038</t>
  </si>
  <si>
    <t>Emmasingel 1-02</t>
  </si>
  <si>
    <t>1-02</t>
  </si>
  <si>
    <t>{"coordinates":[5.47509064532755,51.44002873881788],"type":"Point"}</t>
  </si>
  <si>
    <t>51.44002873881788, 5.47509064532755</t>
  </si>
  <si>
    <t>51.4400290632236, 5.475091841172581</t>
  </si>
  <si>
    <t>Emmasingel 1-01</t>
  </si>
  <si>
    <t>1-01</t>
  </si>
  <si>
    <t>{"coordinates":[5.4751408290330374,51.44009710471003],"type":"Point"}</t>
  </si>
  <si>
    <t>51.44009710471003, 5.4751408290330374</t>
  </si>
  <si>
    <t>51.4400974291933, 5.475142025085028</t>
  </si>
  <si>
    <t>712 Oude Spoorbaan</t>
  </si>
  <si>
    <t>LED17/WW PSD DM50 SL</t>
  </si>
  <si>
    <t>1 Anders (type niet</t>
  </si>
  <si>
    <t>2023-05-09</t>
  </si>
  <si>
    <t>175</t>
  </si>
  <si>
    <t>224</t>
  </si>
  <si>
    <t>2062-10-27</t>
  </si>
  <si>
    <t>013A</t>
  </si>
  <si>
    <t>2048-11-18</t>
  </si>
  <si>
    <t>2027-04-25</t>
  </si>
  <si>
    <t>SOX  55 W</t>
  </si>
  <si>
    <t>210</t>
  </si>
  <si>
    <t>2025-04-29</t>
  </si>
  <si>
    <t>011A</t>
  </si>
  <si>
    <t>160</t>
  </si>
  <si>
    <t>227</t>
  </si>
  <si>
    <t>Kruisstraat</t>
  </si>
  <si>
    <t>2053-03-21</t>
  </si>
  <si>
    <t>226 Sportpark Aalsterweg</t>
  </si>
  <si>
    <t>Saled Led PS-L 13W 4</t>
  </si>
  <si>
    <t>Unique-L Cool 24 Wat</t>
  </si>
  <si>
    <t>2012-06-01</t>
  </si>
  <si>
    <t>2025-03-21</t>
  </si>
  <si>
    <t>TLD XP18 W</t>
  </si>
  <si>
    <t>236 Nieuwe Erven</t>
  </si>
  <si>
    <t>308</t>
  </si>
  <si>
    <t>BB IN/OP/AAN PIJLER/KOLOM</t>
  </si>
  <si>
    <t>315</t>
  </si>
  <si>
    <t>669</t>
  </si>
  <si>
    <t>TLLL 58 W</t>
  </si>
  <si>
    <t>706</t>
  </si>
  <si>
    <t>707</t>
  </si>
  <si>
    <t>709</t>
  </si>
  <si>
    <t>TL-D SUPER 80 58W/83</t>
  </si>
  <si>
    <t>807</t>
  </si>
  <si>
    <t>808</t>
  </si>
  <si>
    <t>2020-07-23</t>
  </si>
  <si>
    <t>CDO-ET 70W</t>
  </si>
  <si>
    <t>TL-D Xtreme 58W/830</t>
  </si>
  <si>
    <t>604</t>
  </si>
  <si>
    <t>609</t>
  </si>
  <si>
    <t>612</t>
  </si>
  <si>
    <t>716</t>
  </si>
  <si>
    <t>PLL 36 W</t>
  </si>
  <si>
    <t>PLL 36/840 Polar</t>
  </si>
  <si>
    <t>2017-03-14</t>
  </si>
  <si>
    <t>Begijnenhof Kerk-005</t>
  </si>
  <si>
    <t>Begijnenhof</t>
  </si>
  <si>
    <t>Kerk-005</t>
  </si>
  <si>
    <t>2010-03-07</t>
  </si>
  <si>
    <t>MVF 606 WB-L</t>
  </si>
  <si>
    <t>{"coordinates":[5.478765456153272,51.436761685636114],"type":"Point"}</t>
  </si>
  <si>
    <t>51.436761685636114, 5.478765456153272</t>
  </si>
  <si>
    <t>51.4367620080058, 5.47876662017049</t>
  </si>
  <si>
    <t>Kerkstraat Kerk-008</t>
  </si>
  <si>
    <t>Kerkstraat</t>
  </si>
  <si>
    <t>Kerk-008</t>
  </si>
  <si>
    <t>{"coordinates":[5.478910878830021,51.4369873540691],"type":"Point"}</t>
  </si>
  <si>
    <t>51.4369873540691, 5.478910878830021</t>
  </si>
  <si>
    <t>51.43698767669016, 5.478912043598302</t>
  </si>
  <si>
    <t>Kerkstraat Kerk-009</t>
  </si>
  <si>
    <t>Kerk-009</t>
  </si>
  <si>
    <t>{"coordinates":[5.478965956463655,51.43701583352419],"type":"Point"}</t>
  </si>
  <si>
    <t>51.43701583352419, 5.478965956463655</t>
  </si>
  <si>
    <t>51.43701615618723, 5.478967121194574</t>
  </si>
  <si>
    <t>Kerkstraat Kerk-011</t>
  </si>
  <si>
    <t>Kerk-011</t>
  </si>
  <si>
    <t>{"coordinates":[5.479095577813065,51.43707641740377],"type":"Point"}</t>
  </si>
  <si>
    <t>51.43707641740377, 5.479095577813065</t>
  </si>
  <si>
    <t>51.43707674015954, 5.479096742419536</t>
  </si>
  <si>
    <t>Kerkstraat Kerk-012</t>
  </si>
  <si>
    <t>Kerk-012</t>
  </si>
  <si>
    <t>{"coordinates":[5.4791696550939095,51.43710898688962],"type":"Point"}</t>
  </si>
  <si>
    <t>51.43710898688962, 5.4791696550939095</t>
  </si>
  <si>
    <t>51.437109309696524, 5.47917081961761</t>
  </si>
  <si>
    <t>Catharinaplein Kerk-052</t>
  </si>
  <si>
    <t>Catharinaplein</t>
  </si>
  <si>
    <t>Kerk-052</t>
  </si>
  <si>
    <t>LEDline BCS 716 NB A</t>
  </si>
  <si>
    <t>{"coordinates":[5.479557116289592,51.43713711849268],"type":"Point"}</t>
  </si>
  <si>
    <t>51.43713711849268, 5.479557116289592</t>
  </si>
  <si>
    <t>51.437137441434075, 5.479558279577751</t>
  </si>
  <si>
    <t>Catharinaplein Kerk-061</t>
  </si>
  <si>
    <t>Kerk-061</t>
  </si>
  <si>
    <t>{"coordinates":[5.479699352366907,51.437016498895666],"type":"Point"}</t>
  </si>
  <si>
    <t>51.437016498895666, 5.479699352366907</t>
  </si>
  <si>
    <t>51.4370168217641, 5.479700514463998</t>
  </si>
  <si>
    <t>Catharinaplein Kerk-063</t>
  </si>
  <si>
    <t>Kerk-063</t>
  </si>
  <si>
    <t>{"coordinates":[5.479698569555796,51.437026209982534],"type":"Point"}</t>
  </si>
  <si>
    <t>51.437026209982534, 5.479698569555796</t>
  </si>
  <si>
    <t>51.43702653285988, 5.47969973171042</t>
  </si>
  <si>
    <t>TLLL 18 W</t>
  </si>
  <si>
    <t>Catharinaplein Kerk-064</t>
  </si>
  <si>
    <t>Kerk-064</t>
  </si>
  <si>
    <t>{"coordinates":[5.479708852219377,51.43701754661692],"type":"Point"}</t>
  </si>
  <si>
    <t>51.43701754661692, 5.479708852219377</t>
  </si>
  <si>
    <t>51.43701786948905, 5.4797100142882105</t>
  </si>
  <si>
    <t>Catharinaplein Kerk-056</t>
  </si>
  <si>
    <t>Kerk-056</t>
  </si>
  <si>
    <t>LEDline BCS 722 WB A</t>
  </si>
  <si>
    <t>{"coordinates":[5.479572652520475,51.43713760773337],"type":"Point"}</t>
  </si>
  <si>
    <t>51.43713760773337, 5.479572652520475</t>
  </si>
  <si>
    <t>51.43713793067959, 5.479573815755466</t>
  </si>
  <si>
    <t>Catharinaplein Kerk-062</t>
  </si>
  <si>
    <t>Kerk-062</t>
  </si>
  <si>
    <t>{"coordinates":[5.479699464560495,51.43702998181795],"type":"Point"}</t>
  </si>
  <si>
    <t>51.43702998181795, 5.479699464560495</t>
  </si>
  <si>
    <t>51.437030304699064, 5.479700626733117</t>
  </si>
  <si>
    <t>Catharinaplein Kerk-058</t>
  </si>
  <si>
    <t>Kerk-058</t>
  </si>
  <si>
    <t>LEDflood BCP 730 AWB</t>
  </si>
  <si>
    <t>BB OP DAK</t>
  </si>
  <si>
    <t>{"coordinates":[5.479629818634498,51.43708074045248],"type":"Point"}</t>
  </si>
  <si>
    <t>51.43708074045248, 5.479629818634498</t>
  </si>
  <si>
    <t>51.437081063361546, 5.479630981343529</t>
  </si>
  <si>
    <t>Catharinaplein Kerk-075</t>
  </si>
  <si>
    <t>Kerk-075</t>
  </si>
  <si>
    <t>2010-07-01</t>
  </si>
  <si>
    <t>MVF 616 CDM-T 70 W</t>
  </si>
  <si>
    <t>{"coordinates":[5.480005292476392,51.43720775550118],"type":"Point"}</t>
  </si>
  <si>
    <t>51.43720775550118, 5.480005292476392</t>
  </si>
  <si>
    <t>51.43720807863397, 5.480006454549372</t>
  </si>
  <si>
    <t>LED20/830 PSD</t>
  </si>
  <si>
    <t>2047-07-07</t>
  </si>
  <si>
    <t>LED 3000K met diffus</t>
  </si>
  <si>
    <t>A2 Easy Light LED 20</t>
  </si>
  <si>
    <t>Hondsruglaan</t>
  </si>
  <si>
    <t>150</t>
  </si>
  <si>
    <t>166</t>
  </si>
  <si>
    <t>TLE  40 W</t>
  </si>
  <si>
    <t>6304 TRAPVERLICHTING KASTELENP 202</t>
  </si>
  <si>
    <t>6304 TRAPVERLICHTING KASTELENP</t>
  </si>
  <si>
    <t>TL    8 W</t>
  </si>
  <si>
    <t>2010-01-16</t>
  </si>
  <si>
    <t>G5</t>
  </si>
  <si>
    <t>TCH TL 8 W</t>
  </si>
  <si>
    <t>1998-05-01</t>
  </si>
  <si>
    <t>{"coordinates":[5.440025243316962,51.41922440684389],"type":"Point"}</t>
  </si>
  <si>
    <t>51.41922440684389, 5.440025243316962</t>
  </si>
  <si>
    <t>51.419224712363935, 5.440026445276944</t>
  </si>
  <si>
    <t>2051-09-16</t>
  </si>
  <si>
    <t>Azincourthof</t>
  </si>
  <si>
    <t>AL 3,5 NEDAL K035PT01.6E.000</t>
  </si>
  <si>
    <t>2051-07-08</t>
  </si>
  <si>
    <t>2035-11-03</t>
  </si>
  <si>
    <t>12 LED Retroled unit</t>
  </si>
  <si>
    <t>SON-T PIA PLUS 400W</t>
  </si>
  <si>
    <t>2024-03-28</t>
  </si>
  <si>
    <t>2054-03-28</t>
  </si>
  <si>
    <t>2042-10-26</t>
  </si>
  <si>
    <t>003A</t>
  </si>
  <si>
    <t>2044-03-22</t>
  </si>
  <si>
    <t>AGMI F2 TLD 36 W</t>
  </si>
  <si>
    <t>LED Fortimo LLM 2200</t>
  </si>
  <si>
    <t>2030-12-29</t>
  </si>
  <si>
    <t>2053-01-25</t>
  </si>
  <si>
    <t>2030-11-21</t>
  </si>
  <si>
    <t>2024-01-25</t>
  </si>
  <si>
    <t>2044-01-25</t>
  </si>
  <si>
    <t>2041-08-24</t>
  </si>
  <si>
    <t>HPL-N   50W</t>
  </si>
  <si>
    <t>2024-05-14</t>
  </si>
  <si>
    <t>Robbenstraat 007</t>
  </si>
  <si>
    <t>Robbenstraat</t>
  </si>
  <si>
    <t>2048-10-10</t>
  </si>
  <si>
    <t>2048-08-25</t>
  </si>
  <si>
    <t>2053-08-25</t>
  </si>
  <si>
    <t>{"coordinates":[5.468008918736721,51.454347512043256],"type":"Point"}</t>
  </si>
  <si>
    <t>51.454347512043256, 5.468008918736721</t>
  </si>
  <si>
    <t>51.454347850652596, 5.46801023141409</t>
  </si>
  <si>
    <t>Loofhout 003</t>
  </si>
  <si>
    <t>Loofhout</t>
  </si>
  <si>
    <t>LW10 GRN30/830 PSD-S</t>
  </si>
  <si>
    <t>2047-02-04</t>
  </si>
  <si>
    <t>AL 4 HYDRO 1204011401</t>
  </si>
  <si>
    <t>2052-01-01</t>
  </si>
  <si>
    <t>{"coordinates":[5.452519827440681,51.45966519435047],"type":"Point"}</t>
  </si>
  <si>
    <t>51.45966519435047, 5.452519827440681</t>
  </si>
  <si>
    <t>51.45966553279081, 5.452521225004093</t>
  </si>
  <si>
    <t>Loofhout 011</t>
  </si>
  <si>
    <t>{"coordinates":[5.453371347978003,51.45882115452014],"type":"Point"}</t>
  </si>
  <si>
    <t>51.45882115452014, 5.453371347978003</t>
  </si>
  <si>
    <t>51.45882149237274, 5.453372737918925</t>
  </si>
  <si>
    <t>AL 4 NEDAL K040PT01.6E.000</t>
  </si>
  <si>
    <t>Robbenstraat 004</t>
  </si>
  <si>
    <t>2049-03-01</t>
  </si>
  <si>
    <t>{"coordinates":[5.4669250999853265,51.45466133448314],"type":"Point"}</t>
  </si>
  <si>
    <t>51.45466133448314, 5.4669250999853265</t>
  </si>
  <si>
    <t>51.45466167314683, 5.466926418701809</t>
  </si>
  <si>
    <t>FIETSPAD BOSCHD./ELISABETHTUN. 119</t>
  </si>
  <si>
    <t>FIETSPAD BOSCHD./ELISABETHTUN.</t>
  </si>
  <si>
    <t>2054-01-25</t>
  </si>
  <si>
    <t>{"coordinates":[5.471710153625058,51.4440028858735],"type":"Point"}</t>
  </si>
  <si>
    <t>51.4440028858735, 5.471710153625058</t>
  </si>
  <si>
    <t>51.44400321365213, 5.471711386569058</t>
  </si>
  <si>
    <t>FIETSPAD BOSCHD./ELISABETHTUN. 121</t>
  </si>
  <si>
    <t>2044-05-01</t>
  </si>
  <si>
    <t>{"coordinates":[5.471624672528575,51.44421436137669],"type":"Point"}</t>
  </si>
  <si>
    <t>51.44421436137669, 5.471624672528575</t>
  </si>
  <si>
    <t>51.444214689363854, 5.471625907124838</t>
  </si>
  <si>
    <t>2024-04-04</t>
  </si>
  <si>
    <t>Celsiusplein 006</t>
  </si>
  <si>
    <t>LED20/730 DRW</t>
  </si>
  <si>
    <t>2044-03-14</t>
  </si>
  <si>
    <t>2054-03-14</t>
  </si>
  <si>
    <t>{"coordinates":[5.453463993930835,51.45501193294542],"type":"Point"}</t>
  </si>
  <si>
    <t>51.45501193294542, 5.453463993930835</t>
  </si>
  <si>
    <t>51.455012266515254, 5.4534653594761435</t>
  </si>
  <si>
    <t>Newtonstraat 012</t>
  </si>
  <si>
    <t>Newtonstraat</t>
  </si>
  <si>
    <t>{"coordinates":[5.456029980076588,51.45642289312844],"type":"Point"}</t>
  </si>
  <si>
    <t>51.45642289312844, 5.456029980076588</t>
  </si>
  <si>
    <t>51.456423229238226, 5.456031347114828</t>
  </si>
  <si>
    <t>2047-12-01</t>
  </si>
  <si>
    <t>LW10 GRN25/840 DRW P</t>
  </si>
  <si>
    <t>Celsiusplein 003</t>
  </si>
  <si>
    <t>19 LED-HB 30W 1170Lm</t>
  </si>
  <si>
    <t>2053-07-06</t>
  </si>
  <si>
    <t>BCP463</t>
  </si>
  <si>
    <t>2043-04-14</t>
  </si>
  <si>
    <t>ST 10 M CCOL 10.0 PT(U) 76-GST168</t>
  </si>
  <si>
    <t>2063-04-14</t>
  </si>
  <si>
    <t>{"coordinates":[5.454453640483914,51.4550968921106],"type":"Point"}</t>
  </si>
  <si>
    <t>51.4550968921106, 5.454453640483914</t>
  </si>
  <si>
    <t>51.4550972261264, 5.45445500358377</t>
  </si>
  <si>
    <t>60 LED RX70156</t>
  </si>
  <si>
    <t>050</t>
  </si>
  <si>
    <t>LED2WELL 2150 lumen</t>
  </si>
  <si>
    <t>2026-10-07</t>
  </si>
  <si>
    <t>2038-07-02</t>
  </si>
  <si>
    <t>St Trudoplein 034</t>
  </si>
  <si>
    <t>St Trudoplein</t>
  </si>
  <si>
    <t>9 LED 9W LED Module</t>
  </si>
  <si>
    <t>2017-09-11</t>
  </si>
  <si>
    <t>RX70045-E-Knidos rvs</t>
  </si>
  <si>
    <t>2032-09-11</t>
  </si>
  <si>
    <t>RVS Tegel</t>
  </si>
  <si>
    <t>{"coordinates":[5.45541719025963,51.441155271732676],"type":"Point"}</t>
  </si>
  <si>
    <t>51.441155271732676, 5.45541719025963</t>
  </si>
  <si>
    <t>51.44115559142947, 5.455418461191147</t>
  </si>
  <si>
    <t>St Trudoplein 032</t>
  </si>
  <si>
    <t>{"coordinates":[5.455320558893471,51.44117060908619],"type":"Point"}</t>
  </si>
  <si>
    <t>51.44117060908619, 5.455320558893471</t>
  </si>
  <si>
    <t>51.44117092878205, 5.455321830207017</t>
  </si>
  <si>
    <t>St Trudoplein 031</t>
  </si>
  <si>
    <t>{"coordinates":[5.455258286650837,51.4411749600899],"type":"Point"}</t>
  </si>
  <si>
    <t>51.4411749600899, 5.455258286650837</t>
  </si>
  <si>
    <t>51.441175279779756, 5.455259558175815</t>
  </si>
  <si>
    <t>St Trudoplein 028</t>
  </si>
  <si>
    <t>{"coordinates":[5.45501684783539,51.441113888229374],"type":"Point"}</t>
  </si>
  <si>
    <t>51.441113888229374, 5.45501684783539</t>
  </si>
  <si>
    <t>51.44111420782109, 5.45501811969059</t>
  </si>
  <si>
    <t>St Trudoplein 025</t>
  </si>
  <si>
    <t>{"coordinates":[5.454785695349019,51.44110260712276],"type":"Point"}</t>
  </si>
  <si>
    <t>51.44110260712276, 5.454785695349019</t>
  </si>
  <si>
    <t>51.44110292666627, 5.454786967816547</t>
  </si>
  <si>
    <t>St Trudoplein 024</t>
  </si>
  <si>
    <t>{"coordinates":[5.454745865621259,51.44111027062178],"type":"Point"}</t>
  </si>
  <si>
    <t>51.44111027062178, 5.454745865621259</t>
  </si>
  <si>
    <t>51.44111059016622, 5.4547471382546995</t>
  </si>
  <si>
    <t>St Trudoplein 023</t>
  </si>
  <si>
    <t>{"coordinates":[5.454707013049449,51.441097888807235],"type":"Point"}</t>
  </si>
  <si>
    <t>51.441097888807235, 5.454707013049449</t>
  </si>
  <si>
    <t>51.44109820833361, 5.454708285719844</t>
  </si>
  <si>
    <t>St Trudoplein 022</t>
  </si>
  <si>
    <t>{"coordinates":[5.454695467938017,51.441071738477056],"type":"Point"}</t>
  </si>
  <si>
    <t>51.441071738477056, 5.454695467938017</t>
  </si>
  <si>
    <t>51.44107205797663, 5.454696740478064</t>
  </si>
  <si>
    <t>Beukenlaan LED 008</t>
  </si>
  <si>
    <t>LED 008</t>
  </si>
  <si>
    <t>LED rotonde</t>
  </si>
  <si>
    <t>2023-08-19</t>
  </si>
  <si>
    <t>BB IN BESTRATING</t>
  </si>
  <si>
    <t>{"coordinates":[5.4499796161418095,51.44153495835179],"type":"Point"}</t>
  </si>
  <si>
    <t>51.44153495835179, 5.4499796161418095</t>
  </si>
  <si>
    <t>51.44153527749707, 5.4499809055732715</t>
  </si>
  <si>
    <t>Beukenlaan LED 006</t>
  </si>
  <si>
    <t>LED 006</t>
  </si>
  <si>
    <t>{"coordinates":[5.449883870056511,51.44156844783841],"type":"Point"}</t>
  </si>
  <si>
    <t>51.44156844783841, 5.449883870056511</t>
  </si>
  <si>
    <t>51.44156876699587, 5.449885159985483</t>
  </si>
  <si>
    <t>Beukenlaan LED 030</t>
  </si>
  <si>
    <t>LED 030</t>
  </si>
  <si>
    <t>{"coordinates":[5.449824716966053,51.44091149780123],"type":"Point"}</t>
  </si>
  <si>
    <t>51.44091149780123, 5.449824716966053</t>
  </si>
  <si>
    <t>51.4409118163995, 5.449826002876179</t>
  </si>
  <si>
    <t>2028-11-21</t>
  </si>
  <si>
    <t>1999-12-01</t>
  </si>
  <si>
    <t>2008-09-23</t>
  </si>
  <si>
    <t>2046-10-28</t>
  </si>
  <si>
    <t>22 LED 25W 2200Lm</t>
  </si>
  <si>
    <t>2014-04-18</t>
  </si>
  <si>
    <t>2044-04-18</t>
  </si>
  <si>
    <t>2042-03-14</t>
  </si>
  <si>
    <t>2020-02-13</t>
  </si>
  <si>
    <t>SON-T 100W</t>
  </si>
  <si>
    <t>2023-04-17</t>
  </si>
  <si>
    <t>2063-04-17</t>
  </si>
  <si>
    <t>Marnestraat</t>
  </si>
  <si>
    <t>2048-01-01</t>
  </si>
  <si>
    <t>Onze Lieve Vrouwestraat 019</t>
  </si>
  <si>
    <t>LED159/740 I DM11 DG</t>
  </si>
  <si>
    <t>2044-01-21</t>
  </si>
  <si>
    <t>2059-04-12</t>
  </si>
  <si>
    <t>{"coordinates":[5.482373572729906,51.452893705332855],"type":"Point"}</t>
  </si>
  <si>
    <t>51.452893705332855, 5.482373572729906</t>
  </si>
  <si>
    <t>51.45289404655317, 5.482374821599088</t>
  </si>
  <si>
    <t>607</t>
  </si>
  <si>
    <t>613</t>
  </si>
  <si>
    <t>2048-03-21</t>
  </si>
  <si>
    <t>2018-07-31</t>
  </si>
  <si>
    <t>2016-12-15</t>
  </si>
  <si>
    <t>2029-10-08</t>
  </si>
  <si>
    <t>2017-03-01</t>
  </si>
  <si>
    <t>711</t>
  </si>
  <si>
    <t>2050-01-01</t>
  </si>
  <si>
    <t>CPO-TW Xtra 45W</t>
  </si>
  <si>
    <t>2028-09-23</t>
  </si>
  <si>
    <t>2025-03-26</t>
  </si>
  <si>
    <t>2021-12-30</t>
  </si>
  <si>
    <t>2018-03-13</t>
  </si>
  <si>
    <t>2013-12-17</t>
  </si>
  <si>
    <t>305</t>
  </si>
  <si>
    <t>306</t>
  </si>
  <si>
    <t>2019-08-16</t>
  </si>
  <si>
    <t>2006-03-01</t>
  </si>
  <si>
    <t>SON-T  50W</t>
  </si>
  <si>
    <t>SOX/E 26W</t>
  </si>
  <si>
    <t>2026-03-07</t>
  </si>
  <si>
    <t>2041-09-16</t>
  </si>
  <si>
    <t>2055-01-12</t>
  </si>
  <si>
    <t>2035-01-12</t>
  </si>
  <si>
    <t>Rode Kruislaan 118</t>
  </si>
  <si>
    <t>2008-07-02</t>
  </si>
  <si>
    <t>{"coordinates":[5.4698922066616795,51.48075602372924],"type":"Point"}</t>
  </si>
  <si>
    <t>51.48075602372924, 5.4698922066616795</t>
  </si>
  <si>
    <t>51.480756391841894, 5.469893651854179</t>
  </si>
  <si>
    <t>Tempellaan 107</t>
  </si>
  <si>
    <t>LED25/830 DRW</t>
  </si>
  <si>
    <t>{"coordinates":[5.470991797432893,51.484225574598206],"type":"Point"}</t>
  </si>
  <si>
    <t>51.484225574598206, 5.470991797432893</t>
  </si>
  <si>
    <t>51.48422594610927, 5.470993250012328</t>
  </si>
  <si>
    <t>Eindhovenseweg 03.2</t>
  </si>
  <si>
    <t>03.2</t>
  </si>
  <si>
    <t>2008-07-01</t>
  </si>
  <si>
    <t>Paleco LED groen</t>
  </si>
  <si>
    <t>2038-07-01</t>
  </si>
  <si>
    <t>{"coordinates":[5.4952038362833795,51.48656893878918],"type":"Point"}</t>
  </si>
  <si>
    <t>51.48656893878918, 5.4952038362833795</t>
  </si>
  <si>
    <t>51.486569320056326, 5.4952051971166</t>
  </si>
  <si>
    <t>Eindhovenseweg 03.9</t>
  </si>
  <si>
    <t>03.9</t>
  </si>
  <si>
    <t>{"coordinates":[5.495033027245753,51.48678859976174],"type":"Point"}</t>
  </si>
  <si>
    <t>51.48678859976174, 5.495033027245753</t>
  </si>
  <si>
    <t>51.486788981150575, 5.495034389506409</t>
  </si>
  <si>
    <t>Eindhovenseweg 01.5</t>
  </si>
  <si>
    <t>01.5</t>
  </si>
  <si>
    <t>{"coordinates":[5.495710902175246,51.48680522870941],"type":"Point"}</t>
  </si>
  <si>
    <t>51.48680522870941, 5.495710902175246</t>
  </si>
  <si>
    <t>51.48680561031446, 5.495712261611383</t>
  </si>
  <si>
    <t>Eindhovenseweg 01.1</t>
  </si>
  <si>
    <t>01.1</t>
  </si>
  <si>
    <t>{"coordinates":[5.4956963519888244,51.486680839368155],"type":"Point"}</t>
  </si>
  <si>
    <t>51.486680839368155, 5.4956963519888244</t>
  </si>
  <si>
    <t>51.486681220870985, 5.495697711088458</t>
  </si>
  <si>
    <t>Eindhovenseweg 01.2</t>
  </si>
  <si>
    <t>01.2</t>
  </si>
  <si>
    <t>{"coordinates":[5.495712984740287,51.48671255380871],"type":"Point"}</t>
  </si>
  <si>
    <t>51.48671255380871, 5.495712984740287</t>
  </si>
  <si>
    <t>51.48671293534146, 5.495714343870857</t>
  </si>
  <si>
    <t>Eindhovenseweg 01.4</t>
  </si>
  <si>
    <t>01.4</t>
  </si>
  <si>
    <t>{"coordinates":[5.495719752080205,51.486773130994685],"type":"Point"}</t>
  </si>
  <si>
    <t>51.486773130994685, 5.495719752080205</t>
  </si>
  <si>
    <t>51.48677351257718, 5.4957211113759845</t>
  </si>
  <si>
    <t>Eindhovenseweg 04.9</t>
  </si>
  <si>
    <t>04.9</t>
  </si>
  <si>
    <t>{"coordinates":[5.495434858407837,51.48696862939006],"type":"Point"}</t>
  </si>
  <si>
    <t>51.48696862939006, 5.495434858407837</t>
  </si>
  <si>
    <t>51.486969011040905, 5.495436219538589</t>
  </si>
  <si>
    <t>Eindhovenseweg 01.8</t>
  </si>
  <si>
    <t>01.8</t>
  </si>
  <si>
    <t>{"coordinates":[5.495636109538601,51.48689689265403],"type":"Point"}</t>
  </si>
  <si>
    <t>51.48689689265403, 5.495636109538601</t>
  </si>
  <si>
    <t>51.48689727430873, 5.4956374695856285</t>
  </si>
  <si>
    <t>Eindhovenseweg 01.10</t>
  </si>
  <si>
    <t>01.10</t>
  </si>
  <si>
    <t>{"coordinates":[5.495548393606825,51.48694272646219],"type":"Point"}</t>
  </si>
  <si>
    <t>51.48694272646219, 5.495548393606825</t>
  </si>
  <si>
    <t>51.486943108126674, 5.495549754172854</t>
  </si>
  <si>
    <t>Eindhovenseweg 04.3</t>
  </si>
  <si>
    <t>04.3</t>
  </si>
  <si>
    <t>{"coordinates":[5.495132945746547,51.48690985400396],"type":"Point"}</t>
  </si>
  <si>
    <t>51.48690985400396, 5.495132945746547</t>
  </si>
  <si>
    <t>51.48691023551809, 5.495134307970607</t>
  </si>
  <si>
    <t>Eindhovenseweg 04.4</t>
  </si>
  <si>
    <t>04.4</t>
  </si>
  <si>
    <t>{"coordinates":[5.495171580396343,51.486930581989654],"type":"Point"}</t>
  </si>
  <si>
    <t>51.486930581989654, 5.495171580396343</t>
  </si>
  <si>
    <t>51.486930963531655, 5.495172942522701</t>
  </si>
  <si>
    <t>Eindhovenseweg 04.7</t>
  </si>
  <si>
    <t>04.7</t>
  </si>
  <si>
    <t>{"coordinates":[5.49530945621155,51.486968925571034],"type":"Point"}</t>
  </si>
  <si>
    <t>51.486968925571034, 5.49530945621155</t>
  </si>
  <si>
    <t>51.48696930718451, 5.4953108178753824</t>
  </si>
  <si>
    <t>Vijfkamplaan ZW003</t>
  </si>
  <si>
    <t>ZW003</t>
  </si>
  <si>
    <t>Lightronics Ceder A2</t>
  </si>
  <si>
    <t>2064-03-01</t>
  </si>
  <si>
    <t>{"coordinates":[5.457892417173489,51.47590206029802],"type":"Point"}</t>
  </si>
  <si>
    <t>51.47590206029802, 5.457892417173489</t>
  </si>
  <si>
    <t>51.47590241807069, 5.457893885708632</t>
  </si>
  <si>
    <t>Vijfkamplaan ZW004</t>
  </si>
  <si>
    <t>ZW004</t>
  </si>
  <si>
    <t>{"coordinates":[5.457796927127542,51.47586499515061],"type":"Point"}</t>
  </si>
  <si>
    <t>51.47586499515061, 5.457796927127542</t>
  </si>
  <si>
    <t>51.47586535284086, 5.457798395804945</t>
  </si>
  <si>
    <t>Vijfkamplaan ZW006</t>
  </si>
  <si>
    <t>ZW006</t>
  </si>
  <si>
    <t>{"coordinates":[5.457533164950986,51.47582398686902],"type":"Point"}</t>
  </si>
  <si>
    <t>51.47582398686902, 5.457533164950986</t>
  </si>
  <si>
    <t>51.47582434438836, 5.4575346342519815</t>
  </si>
  <si>
    <t>Vijfkamplaan ZW007</t>
  </si>
  <si>
    <t>ZW007</t>
  </si>
  <si>
    <t>9024-03-01</t>
  </si>
  <si>
    <t>9049-04-18</t>
  </si>
  <si>
    <t>9044-03-01</t>
  </si>
  <si>
    <t>9064-03-01</t>
  </si>
  <si>
    <t>{"coordinates":[5.457551558269672,51.475897053470746],"type":"Point"}</t>
  </si>
  <si>
    <t>51.475897053470746, 5.457551558269672</t>
  </si>
  <si>
    <t>51.47589741106661, 5.457553027805118</t>
  </si>
  <si>
    <t>Vijfkamplaan ZW008</t>
  </si>
  <si>
    <t>ZW008</t>
  </si>
  <si>
    <t>{"coordinates":[5.457467584767315,51.47595391247831],"type":"Point"}</t>
  </si>
  <si>
    <t>51.47595391247831, 5.457467584767315</t>
  </si>
  <si>
    <t>51.475954270083996, 5.457469054777887</t>
  </si>
  <si>
    <t>Vijfkamplaan ZW011</t>
  </si>
  <si>
    <t>ZW011</t>
  </si>
  <si>
    <t>{"coordinates":[5.457182201243308,51.475612425900245],"type":"Point"}</t>
  </si>
  <si>
    <t>51.475612425900245, 5.457182201243308</t>
  </si>
  <si>
    <t>51.47561278304894, 5.457183670754789</t>
  </si>
  <si>
    <t>Vijfkamplaan ZW013</t>
  </si>
  <si>
    <t>ZW013</t>
  </si>
  <si>
    <t>{"coordinates":[5.457221534756485,51.47601149828058],"type":"Point"}</t>
  </si>
  <si>
    <t>51.47601149828058, 5.457221534756485</t>
  </si>
  <si>
    <t>51.47601185581458, 5.45722300572718</t>
  </si>
  <si>
    <t>Vijfkamplaan ZW016</t>
  </si>
  <si>
    <t>ZW016</t>
  </si>
  <si>
    <t>{"coordinates":[5.457069178560016,51.476155588033485],"type":"Point"}</t>
  </si>
  <si>
    <t>51.476155588033485, 5.457069178560016</t>
  </si>
  <si>
    <t>51.47615594562213, 5.457070650552809</t>
  </si>
  <si>
    <t>Panorama 037</t>
  </si>
  <si>
    <t>Panorama</t>
  </si>
  <si>
    <t>Lightronics Columba</t>
  </si>
  <si>
    <t>2048-11-03</t>
  </si>
  <si>
    <t>LIGHTRONICS Columba</t>
  </si>
  <si>
    <t>2048-09-28</t>
  </si>
  <si>
    <t>2053-09-28</t>
  </si>
  <si>
    <t>{"coordinates":[5.476044168663291,51.49652602525929],"type":"Point"}</t>
  </si>
  <si>
    <t>51.49652602525929, 5.476044168663291</t>
  </si>
  <si>
    <t>51.496526407494024, 5.4760456256088235</t>
  </si>
  <si>
    <t>Panorama 046</t>
  </si>
  <si>
    <t>2048-01-04</t>
  </si>
  <si>
    <t>2052-12-01</t>
  </si>
  <si>
    <t>{"coordinates":[5.478038913920703,51.496225704247074],"type":"Point"}</t>
  </si>
  <si>
    <t>51.496225704247074, 5.478038913920703</t>
  </si>
  <si>
    <t>51.49622608721477, 5.478040363340479</t>
  </si>
  <si>
    <t>Panorama 059</t>
  </si>
  <si>
    <t>{"coordinates":[5.4789088717215035,51.49530997889964],"type":"Point"}</t>
  </si>
  <si>
    <t>51.49530997889964, 5.4789088717215035</t>
  </si>
  <si>
    <t>51.4953103616174, 5.478910316801782</t>
  </si>
  <si>
    <t>Panorama 065</t>
  </si>
  <si>
    <t>{"coordinates":[5.4783706905254395,51.49485665475592],"type":"Point"}</t>
  </si>
  <si>
    <t>51.49485665475592, 5.4783706905254395</t>
  </si>
  <si>
    <t>51.4948570369057, 5.47837213696606</t>
  </si>
  <si>
    <t>Panorama 073</t>
  </si>
  <si>
    <t>{"coordinates":[5.477475814941323,51.49519101012173],"type":"Point"}</t>
  </si>
  <si>
    <t>51.49519101012173, 5.477475814941323</t>
  </si>
  <si>
    <t>51.49519139210387, 5.477477265069248</t>
  </si>
  <si>
    <t>Panorama 074</t>
  </si>
  <si>
    <t>{"coordinates":[5.477203251167864,51.49520686128715],"type":"Point"}</t>
  </si>
  <si>
    <t>51.49520686128715, 5.477203251167864</t>
  </si>
  <si>
    <t>51.49520724315699, 5.477204702305822</t>
  </si>
  <si>
    <t>Hoogte 002</t>
  </si>
  <si>
    <t>Hoogte</t>
  </si>
  <si>
    <t>{"coordinates":[5.477628272222262,51.49546010167004],"type":"Point"}</t>
  </si>
  <si>
    <t>51.49546010167004, 5.477628272222262</t>
  </si>
  <si>
    <t>51.495460483909405, 5.477629722139663</t>
  </si>
  <si>
    <t>Glooiing 002</t>
  </si>
  <si>
    <t>Glooiing</t>
  </si>
  <si>
    <t>2048-05-15</t>
  </si>
  <si>
    <t>{"coordinates":[5.476942694724221,51.496271497209285],"type":"Point"}</t>
  </si>
  <si>
    <t>51.496271497209285, 5.476942694724221</t>
  </si>
  <si>
    <t>51.496271879693886, 5.476944148137019</t>
  </si>
  <si>
    <t>Glooiing 003</t>
  </si>
  <si>
    <t>{"coordinates":[5.476851175180576,51.49608685111802],"type":"Point"}</t>
  </si>
  <si>
    <t>51.49608685111802, 5.476851175180576</t>
  </si>
  <si>
    <t>51.496087233432924, 5.47685262869208</t>
  </si>
  <si>
    <t>Glooiing 004</t>
  </si>
  <si>
    <t>{"coordinates":[5.476851187051197,51.495946897969574],"type":"Point"}</t>
  </si>
  <si>
    <t>51.495946897969574, 5.476851187051197</t>
  </si>
  <si>
    <t>51.49594728018836, 5.476852640388532</t>
  </si>
  <si>
    <t>Panorama 086</t>
  </si>
  <si>
    <t>2048-11-01</t>
  </si>
  <si>
    <t>{"coordinates":[5.476098606986448,51.49520330518982],"type":"Point"}</t>
  </si>
  <si>
    <t>51.49520330518982, 5.476098606986448</t>
  </si>
  <si>
    <t>51.49520368655812, 5.4761000621320015</t>
  </si>
  <si>
    <t>Panorama 079</t>
  </si>
  <si>
    <t>{"coordinates":[5.476829449530513,51.49514746494744],"type":"Point"}</t>
  </si>
  <si>
    <t>51.49514746494744, 5.476829449530513</t>
  </si>
  <si>
    <t>51.495147846607416, 5.4768309019522095</t>
  </si>
  <si>
    <t>Panorama 083</t>
  </si>
  <si>
    <t>{"coordinates":[5.476178031548348,51.49524396308845],"type":"Point"}</t>
  </si>
  <si>
    <t>51.49524396308845, 5.476178031548348</t>
  </si>
  <si>
    <t>51.49524434452008, 5.476179486454879</t>
  </si>
  <si>
    <t>Vijfkamplaan 054</t>
  </si>
  <si>
    <t>LED15/830 DRW PCCGR</t>
  </si>
  <si>
    <t>2024-05-24</t>
  </si>
  <si>
    <t>2049-08-07</t>
  </si>
  <si>
    <t>2044-05-24</t>
  </si>
  <si>
    <t>2054-05-24</t>
  </si>
  <si>
    <t>{"coordinates":[5.455062951155945,51.476656364645805],"type":"Point"}</t>
  </si>
  <si>
    <t>51.476656364645805, 5.455062951155945</t>
  </si>
  <si>
    <t>51.47665672166343, 5.455064431063496</t>
  </si>
  <si>
    <t>Vijfkamplaan 056</t>
  </si>
  <si>
    <t>{"coordinates":[5.45531508846758,51.47633388433705],"type":"Point"}</t>
  </si>
  <si>
    <t>51.47633388433705, 5.45531508846758</t>
  </si>
  <si>
    <t>51.47633424119593, 5.455316566370098</t>
  </si>
  <si>
    <t>Vijfkamplaan 057</t>
  </si>
  <si>
    <t>{"coordinates":[5.455446125261849,51.47617497811074],"type":"Point"}</t>
  </si>
  <si>
    <t>51.47617497811074, 5.455446125261849</t>
  </si>
  <si>
    <t>51.47617533489406, 5.455447602154732</t>
  </si>
  <si>
    <t>Vijfkamplaan 059</t>
  </si>
  <si>
    <t>{"coordinates":[5.455724715415926,51.475834683861166],"type":"Point"}</t>
  </si>
  <si>
    <t>51.475834683861166, 5.455724715415926</t>
  </si>
  <si>
    <t>51.475835040480135, 5.455726190149147</t>
  </si>
  <si>
    <t>Vijfkamplaan 061</t>
  </si>
  <si>
    <t>{"coordinates":[5.455860199276939,51.47566768476094],"type":"Point"}</t>
  </si>
  <si>
    <t>51.47566768476094, 5.455860199276939</t>
  </si>
  <si>
    <t>51.47566804129777, 5.455861672952277</t>
  </si>
  <si>
    <t>Vijfkamplaan 062</t>
  </si>
  <si>
    <t>{"coordinates":[5.455994700241534,51.475517674631135],"type":"Point"}</t>
  </si>
  <si>
    <t>51.475517674631135, 5.455994700241534</t>
  </si>
  <si>
    <t>51.47551803110008, 5.4559961729274</t>
  </si>
  <si>
    <t>24 LED Retroled unit</t>
  </si>
  <si>
    <t>Boschdijk 669</t>
  </si>
  <si>
    <t>2050-02-15</t>
  </si>
  <si>
    <t>2045-01-10</t>
  </si>
  <si>
    <t>2055-01-10</t>
  </si>
  <si>
    <t>{"coordinates":[5.434553892255702,51.48154997172657],"type":"Point"}</t>
  </si>
  <si>
    <t>51.48154997172657, 5.434553892255702</t>
  </si>
  <si>
    <t>51.48155031846311, 5.434555435360387</t>
  </si>
  <si>
    <t>Boschdijk 673</t>
  </si>
  <si>
    <t>673</t>
  </si>
  <si>
    <t>{"coordinates":[5.434094703853553,51.482005882413375],"type":"Point"}</t>
  </si>
  <si>
    <t>51.482005882413375, 5.434094703853553</t>
  </si>
  <si>
    <t>51.48200622916635, 5.434096249098951</t>
  </si>
  <si>
    <t>2025-11-03</t>
  </si>
  <si>
    <t>SON-TC150W</t>
  </si>
  <si>
    <t>Saled led PS-T 18W 3</t>
  </si>
  <si>
    <t>Zanddreef</t>
  </si>
  <si>
    <t>Zandgolf</t>
  </si>
  <si>
    <t>LW10 GRN20/840 DRW P</t>
  </si>
  <si>
    <t>2022-01-05</t>
  </si>
  <si>
    <t>316</t>
  </si>
  <si>
    <t>318</t>
  </si>
  <si>
    <t>304</t>
  </si>
  <si>
    <t>704</t>
  </si>
  <si>
    <t>801</t>
  </si>
  <si>
    <t>802</t>
  </si>
  <si>
    <t>805</t>
  </si>
  <si>
    <t>712</t>
  </si>
  <si>
    <t>2054-01-15</t>
  </si>
  <si>
    <t>2030-02-25</t>
  </si>
  <si>
    <t>2011-08-19</t>
  </si>
  <si>
    <t>Zandkasteel</t>
  </si>
  <si>
    <t>005A</t>
  </si>
  <si>
    <t>LW10 GRN15/840 DRW P</t>
  </si>
  <si>
    <t>2012-11-01</t>
  </si>
  <si>
    <t>2043-07-10</t>
  </si>
  <si>
    <t>Aura Universal Therm</t>
  </si>
  <si>
    <t>603</t>
  </si>
  <si>
    <t>2025-07-03</t>
  </si>
  <si>
    <t>Heraultlaan</t>
  </si>
  <si>
    <t>Marathonloop 024</t>
  </si>
  <si>
    <t>ST 10 COMBINATIEMAST VRI</t>
  </si>
  <si>
    <t>{"coordinates":[5.446869480697597,51.47549433715084],"type":"Point"}</t>
  </si>
  <si>
    <t>51.47549433715084, 5.446869480697597</t>
  </si>
  <si>
    <t>51.47549468826584, 5.446870979096269</t>
  </si>
  <si>
    <t>Marathonloop 010</t>
  </si>
  <si>
    <t>{"coordinates":[5.444489313299671,51.47458751047755],"type":"Point"}</t>
  </si>
  <si>
    <t>51.47458751047755, 5.444489313299671</t>
  </si>
  <si>
    <t>51.47458785890963, 5.444490814159071</t>
  </si>
  <si>
    <t>Marathonloop 012</t>
  </si>
  <si>
    <t>{"coordinates":[5.444888642897484,51.474740839054576],"type":"Point"}</t>
  </si>
  <si>
    <t>51.474740839054576, 5.444888642897484</t>
  </si>
  <si>
    <t>51.474741187939884, 5.444890143344505</t>
  </si>
  <si>
    <t>2052-07-01</t>
  </si>
  <si>
    <t>18 LED Retroled 18W</t>
  </si>
  <si>
    <t>Damocleslaan 001</t>
  </si>
  <si>
    <t>{"coordinates":[5.497113811137011,51.46594755170316],"type":"Point"}</t>
  </si>
  <si>
    <t>51.46594755170316, 5.497113811137011</t>
  </si>
  <si>
    <t>51.46594791318297, 5.497115074593538</t>
  </si>
  <si>
    <t>Damocleslaan 002</t>
  </si>
  <si>
    <t>{"coordinates":[5.4974881850925605,51.465909373601626],"type":"Point"}</t>
  </si>
  <si>
    <t>51.465909373601626, 5.4974881850925605</t>
  </si>
  <si>
    <t>51.46590973515828, 5.497489446787504</t>
  </si>
  <si>
    <t>Damocleslaan 003</t>
  </si>
  <si>
    <t>{"coordinates":[5.497685770007573,51.46574224001682],"type":"Point"}</t>
  </si>
  <si>
    <t>51.46574224001682, 5.497685770007573</t>
  </si>
  <si>
    <t>51.465742601461315, 5.497687030036216</t>
  </si>
  <si>
    <t>Damocleslaan 004</t>
  </si>
  <si>
    <t>{"coordinates":[5.4980187351187135,51.46569049065354],"type":"Point"}</t>
  </si>
  <si>
    <t>51.46569049065354, 5.4980187351187135</t>
  </si>
  <si>
    <t>51.46569085214151, 5.498019993457768</t>
  </si>
  <si>
    <t>Damocleslaan 005</t>
  </si>
  <si>
    <t>{"coordinates":[5.498214257370008,51.46552254018395],"type":"Point"}</t>
  </si>
  <si>
    <t>51.46552254018395, 5.498214257370008</t>
  </si>
  <si>
    <t>51.465522901538286, 5.498215513941451</t>
  </si>
  <si>
    <t>Damocleslaan 007</t>
  </si>
  <si>
    <t>{"coordinates":[5.498747796374361,51.46530512522194],"type":"Point"}</t>
  </si>
  <si>
    <t>51.46530512522194, 5.498747796374361</t>
  </si>
  <si>
    <t>51.46530548649061, 5.498749049481022</t>
  </si>
  <si>
    <t>Damocleslaan 009</t>
  </si>
  <si>
    <t>{"coordinates":[5.499282159322387,51.46508542390201],"type":"Point"}</t>
  </si>
  <si>
    <t>51.46508542390201, 5.499282159322387</t>
  </si>
  <si>
    <t>51.46508578508299, 5.499283408948693</t>
  </si>
  <si>
    <t>2046-03-01</t>
  </si>
  <si>
    <t>2029-03-09</t>
  </si>
  <si>
    <t>Vrijstraat</t>
  </si>
  <si>
    <t>Tritec LED module 26</t>
  </si>
  <si>
    <t>ST 4 VDL CVL PT60-GST114</t>
  </si>
  <si>
    <t>TLD X 58 W</t>
  </si>
  <si>
    <t>2036-03-01</t>
  </si>
  <si>
    <t>TL-D SUPER 80 36W/83</t>
  </si>
  <si>
    <t>2013-11-11</t>
  </si>
  <si>
    <t>Damocleslaan 014</t>
  </si>
  <si>
    <t>{"coordinates":[5.5002483308519,51.46485224133161],"type":"Point"}</t>
  </si>
  <si>
    <t>51.46485224133161, 5.5002483308519</t>
  </si>
  <si>
    <t>51.46485260259915, 5.500249575096234</t>
  </si>
  <si>
    <t>803</t>
  </si>
  <si>
    <t>804</t>
  </si>
  <si>
    <t>ST 9 M.V.U. 0,44 ENKEL VZ</t>
  </si>
  <si>
    <t>Saled Led tube T8 Go</t>
  </si>
  <si>
    <t>Zandoever</t>
  </si>
  <si>
    <t>BOBEK 2150 PLT 32 W</t>
  </si>
  <si>
    <t>AL 3,5 NEDAL KO35PT01.6F.011</t>
  </si>
  <si>
    <t>2019-11-06</t>
  </si>
  <si>
    <t>2031-04-12</t>
  </si>
  <si>
    <t>2016-03-17</t>
  </si>
  <si>
    <t>Mimosalaan</t>
  </si>
  <si>
    <t>2031-08-07</t>
  </si>
  <si>
    <t>2019-02-01</t>
  </si>
  <si>
    <t>2043-08-11</t>
  </si>
  <si>
    <t>2015-10-20</t>
  </si>
  <si>
    <t>2045-10-20</t>
  </si>
  <si>
    <t>20 LED Philips Rebel</t>
  </si>
  <si>
    <t>2020-03-01</t>
  </si>
  <si>
    <t>2029-03-02</t>
  </si>
  <si>
    <t>140</t>
  </si>
  <si>
    <t>Spoorstraat</t>
  </si>
  <si>
    <t>2042-02-04</t>
  </si>
  <si>
    <t>TL-D SUPER 80 18W/83</t>
  </si>
  <si>
    <t>2048-03-02</t>
  </si>
  <si>
    <t>Ventego 65</t>
  </si>
  <si>
    <t>RX200040-V-Angle Str</t>
  </si>
  <si>
    <t>317</t>
  </si>
  <si>
    <t>TCW060 1xTL-D36W HF</t>
  </si>
  <si>
    <t>Titan SMD LED 1540Lm</t>
  </si>
  <si>
    <t>Loofhout 002</t>
  </si>
  <si>
    <t>{"coordinates":[5.4523590043727825,51.459737032012136],"type":"Point"}</t>
  </si>
  <si>
    <t>51.459737032012136, 5.4523590043727825</t>
  </si>
  <si>
    <t>51.45973737046724, 5.452360402854433</t>
  </si>
  <si>
    <t>Loofhout 004</t>
  </si>
  <si>
    <t>{"coordinates":[5.452671332640097,51.45954786112697],"type":"Point"}</t>
  </si>
  <si>
    <t>51.45954786112697, 5.452671332640097</t>
  </si>
  <si>
    <t>51.459548199499665, 5.452672729041944</t>
  </si>
  <si>
    <t>Loofhout 006</t>
  </si>
  <si>
    <t>{"coordinates":[5.452967164325459,51.459245864111494],"type":"Point"}</t>
  </si>
  <si>
    <t>51.459245864111494, 5.452967164325459</t>
  </si>
  <si>
    <t>51.459246202271856, 5.452968558025466</t>
  </si>
  <si>
    <t>Loofhout 007</t>
  </si>
  <si>
    <t>{"coordinates":[5.453121497460803,51.45908586853212],"type":"Point"}</t>
  </si>
  <si>
    <t>51.45908586853212, 5.453121497460803</t>
  </si>
  <si>
    <t>51.45908620657798, 5.453122889737803</t>
  </si>
  <si>
    <t>Robbenstraat 002</t>
  </si>
  <si>
    <t>{"coordinates":[5.466314688273472,51.45468646980713],"type":"Point"}</t>
  </si>
  <si>
    <t>51.45468646980713, 5.466314688273472</t>
  </si>
  <si>
    <t>51.454686808311635, 5.466316009414991</t>
  </si>
  <si>
    <t>Robbenstraat 006</t>
  </si>
  <si>
    <t>{"coordinates":[5.467705368867968,51.45452255183016],"type":"Point"}</t>
  </si>
  <si>
    <t>51.45452255183016, 5.467705368867968</t>
  </si>
  <si>
    <t>51.45452289056377, 5.467706683797879</t>
  </si>
  <si>
    <t>Pieter Zeemanstraat 053</t>
  </si>
  <si>
    <t>LW10 GRN40/830 PSD-S</t>
  </si>
  <si>
    <t>{"coordinates":[5.456875587587654,51.45843374685012],"type":"Point"}</t>
  </si>
  <si>
    <t>51.45843374685012, 5.456875587587654</t>
  </si>
  <si>
    <t>51.45843408557459, 5.456876964641089</t>
  </si>
  <si>
    <t>Pieter Zeemanstraat 054</t>
  </si>
  <si>
    <t>{"coordinates":[5.457061872601838,51.45850673989831],"type":"Point"}</t>
  </si>
  <si>
    <t>51.45850673989831, 5.457061872601838</t>
  </si>
  <si>
    <t>51.45850707877558, 5.457063249524393</t>
  </si>
  <si>
    <t>Pieter Zeemanstraat 055</t>
  </si>
  <si>
    <t>{"coordinates":[5.457262147902359,51.4585823309356],"type":"Point"}</t>
  </si>
  <si>
    <t>51.4585823309356, 5.457262147902359</t>
  </si>
  <si>
    <t>51.45858266997435, 5.457263524666654</t>
  </si>
  <si>
    <t>Newtonstraat 013</t>
  </si>
  <si>
    <t>{"coordinates":[5.456044511905486,51.45655644701306],"type":"Point"}</t>
  </si>
  <si>
    <t>51.45655644701306, 5.456044511905486</t>
  </si>
  <si>
    <t>51.45655678328286, 5.456045879778114</t>
  </si>
  <si>
    <t>Celsiusplein 005</t>
  </si>
  <si>
    <t>{"coordinates":[5.454034640785458,51.455268547324344],"type":"Point"}</t>
  </si>
  <si>
    <t>51.455268547324344, 5.454034640785458</t>
  </si>
  <si>
    <t>51.45526888139204, 5.454036006280208</t>
  </si>
  <si>
    <t>2026-07-01</t>
  </si>
  <si>
    <t>2036-08-01</t>
  </si>
  <si>
    <t>218</t>
  </si>
  <si>
    <t>U LED module sym 34W</t>
  </si>
  <si>
    <t>R LED module 22W 400</t>
  </si>
  <si>
    <t>703</t>
  </si>
  <si>
    <t>714</t>
  </si>
  <si>
    <t>Saled Led PS-L 9W 4-</t>
  </si>
  <si>
    <t>LW10 GRN30/840 DRW P</t>
  </si>
  <si>
    <t>2019-12-01</t>
  </si>
  <si>
    <t>AGMI A2 TLD 36 W</t>
  </si>
  <si>
    <t>2054-01-01</t>
  </si>
  <si>
    <t>2048-09-14</t>
  </si>
  <si>
    <t>2052-11-23</t>
  </si>
  <si>
    <t>20 LED GRN22 20W 220</t>
  </si>
  <si>
    <t>2041-03-01</t>
  </si>
  <si>
    <t>426</t>
  </si>
  <si>
    <t>18 LED Retroled 16W</t>
  </si>
  <si>
    <t>025A</t>
  </si>
  <si>
    <t>Bosuil</t>
  </si>
  <si>
    <t>2008-12-12</t>
  </si>
  <si>
    <t>Vestdijk</t>
  </si>
  <si>
    <t>BB SPECIALE CONSTRUCTIE</t>
  </si>
  <si>
    <t>2036-09-16</t>
  </si>
  <si>
    <t>Stadhuisplein</t>
  </si>
  <si>
    <t>HPI-T Plus 250W/645</t>
  </si>
  <si>
    <t>SDW-T 100W</t>
  </si>
  <si>
    <t>MHN-TD 70W</t>
  </si>
  <si>
    <t>Palingstraat 003</t>
  </si>
  <si>
    <t>Palingstraat</t>
  </si>
  <si>
    <t>2044-02-21</t>
  </si>
  <si>
    <t>2054-02-21</t>
  </si>
  <si>
    <t>{"coordinates":[5.469362081566053,51.43248495452739],"type":"Point"}</t>
  </si>
  <si>
    <t>51.43248495452739, 5.469362081566053</t>
  </si>
  <si>
    <t>51.4324852703345, 5.469363254594253</t>
  </si>
  <si>
    <t>Palingstraat 007</t>
  </si>
  <si>
    <t>{"coordinates":[5.468392589659955,51.433068191054375],"type":"Point"}</t>
  </si>
  <si>
    <t>51.433068191054375, 5.468392589659955</t>
  </si>
  <si>
    <t>51.43306850714553, 5.4683937695037415</t>
  </si>
  <si>
    <t>Palingstraat 008</t>
  </si>
  <si>
    <t>{"coordinates":[5.46810280822482,51.43314156069667],"type":"Point"}</t>
  </si>
  <si>
    <t>51.43314156069667, 5.46810280822482</t>
  </si>
  <si>
    <t>51.433141876778876, 5.46810398952108</t>
  </si>
  <si>
    <t>Spoorstraat 001A</t>
  </si>
  <si>
    <t>001A</t>
  </si>
  <si>
    <t>{"coordinates":[5.467057071730794,51.4291265008474],"type":"Point"}</t>
  </si>
  <si>
    <t>51.4291265008474, 5.467057071730794</t>
  </si>
  <si>
    <t>51.42912681406558, 5.467058236084538</t>
  </si>
  <si>
    <t>2030-09-09</t>
  </si>
  <si>
    <t>SDW-T  50W</t>
  </si>
  <si>
    <t>12 LED DW10 DD  15W</t>
  </si>
  <si>
    <t>BDS670</t>
  </si>
  <si>
    <t>5414 SCHIMMELT OOST (VESTDIJK) 001</t>
  </si>
  <si>
    <t>5414 SCHIMMELT OOST (VESTDIJK)</t>
  </si>
  <si>
    <t>1996-03-07</t>
  </si>
  <si>
    <t>{"coordinates":[5.477357390874465,51.44369621617334],"type":"Point"}</t>
  </si>
  <si>
    <t>51.44369621617334, 5.477357390874465</t>
  </si>
  <si>
    <t>51.443696545301805, 5.47735860110846</t>
  </si>
  <si>
    <t>5414 SCHIMMELT OOST (VESTDIJK) 008</t>
  </si>
  <si>
    <t>{"coordinates":[5.477023636285143,51.44379585288863],"type":"Point"}</t>
  </si>
  <si>
    <t>51.44379585288863, 5.477023636285143</t>
  </si>
  <si>
    <t>51.443796182040636, 5.477024848369401</t>
  </si>
  <si>
    <t>5419 RABOTUNNEL 007</t>
  </si>
  <si>
    <t>5419 RABOTUNNEL</t>
  </si>
  <si>
    <t>TLD   18 W</t>
  </si>
  <si>
    <t>2021-04-15</t>
  </si>
  <si>
    <t>AGMI TLD 18 W</t>
  </si>
  <si>
    <t>{"coordinates":[5.477297471341908,51.44445560725891],"type":"Point"}</t>
  </si>
  <si>
    <t>51.44445560725891, 5.477297471341908</t>
  </si>
  <si>
    <t>51.44445593725398, 5.477298686580632</t>
  </si>
  <si>
    <t>5419 RABOTUNNEL 008</t>
  </si>
  <si>
    <t>{"coordinates":[5.477423631793523,51.444476039668466],"type":"Point"}</t>
  </si>
  <si>
    <t>51.444476039668466, 5.477423631793523</t>
  </si>
  <si>
    <t>51.444476369722146, 5.4774248466986</t>
  </si>
  <si>
    <t>5419 RABOTUNNEL 010</t>
  </si>
  <si>
    <t>{"coordinates":[5.477403399795293,51.444522967203866],"type":"Point"}</t>
  </si>
  <si>
    <t>51.444522967203866, 5.477403399795293</t>
  </si>
  <si>
    <t>51.444523297306574, 5.477404615070248</t>
  </si>
  <si>
    <t>5419 RABOTUNNEL 012</t>
  </si>
  <si>
    <t>2031-09-03</t>
  </si>
  <si>
    <t>{"coordinates":[5.477385940678889,51.4445682656387],"type":"Point"}</t>
  </si>
  <si>
    <t>51.4445682656387, 5.477385940678889</t>
  </si>
  <si>
    <t>51.44456859578925, 5.47738715630325</t>
  </si>
  <si>
    <t>5404 SCHIMMELT WEST (BOSCHD.)</t>
  </si>
  <si>
    <t>2023-05-16</t>
  </si>
  <si>
    <t>PLT  26 W 4P</t>
  </si>
  <si>
    <t>2006-11-29</t>
  </si>
  <si>
    <t>2036-11-29</t>
  </si>
  <si>
    <t>TLD   58 W</t>
  </si>
  <si>
    <t>Ten Hagestraat</t>
  </si>
  <si>
    <t>PLT  26 W 2P</t>
  </si>
  <si>
    <t>DOMMELTUINEN</t>
  </si>
  <si>
    <t>CDM-TT 70W</t>
  </si>
  <si>
    <t>Luchthavenweg 069</t>
  </si>
  <si>
    <t>LED70/830 DW50</t>
  </si>
  <si>
    <t>BRP435</t>
  </si>
  <si>
    <t>2052-12-23</t>
  </si>
  <si>
    <t>ST 8 M.V.U. 200.N.044B</t>
  </si>
  <si>
    <t>2062-12-23</t>
  </si>
  <si>
    <t>{"coordinates":[5.392768621632806,51.456730805385504],"type":"Point"}</t>
  </si>
  <si>
    <t>51.456730805385504, 5.392768621632806</t>
  </si>
  <si>
    <t>51.4567310873997, 5.3927700491747785</t>
  </si>
  <si>
    <t>2046-10-24</t>
  </si>
  <si>
    <t>SILL 155 LED Blauw 1</t>
  </si>
  <si>
    <t>SILL 155 LED Blauw 2</t>
  </si>
  <si>
    <t>605</t>
  </si>
  <si>
    <t>2025-05-21</t>
  </si>
  <si>
    <t>Zanddreef 058</t>
  </si>
  <si>
    <t>{"coordinates":[5.407089149074935,51.446847012278546],"type":"Point"}</t>
  </si>
  <si>
    <t>51.446847012278546, 5.407089149074935</t>
  </si>
  <si>
    <t>51.44684730791933, 5.407090537480439</t>
  </si>
  <si>
    <t>TLD   36 W</t>
  </si>
  <si>
    <t>Heggeranklaan 003</t>
  </si>
  <si>
    <t>Heggeranklaan</t>
  </si>
  <si>
    <t>{"coordinates":[5.493961654155225,51.42418030595611],"type":"Point"}</t>
  </si>
  <si>
    <t>51.42418030595611, 5.493961654155225</t>
  </si>
  <si>
    <t>51.42418061985926, 5.493962699313772</t>
  </si>
  <si>
    <t>Mimosalaan 003</t>
  </si>
  <si>
    <t>{"coordinates":[5.494164130367947,51.424257692437806],"type":"Point"}</t>
  </si>
  <si>
    <t>51.424257692437806, 5.494164130367947</t>
  </si>
  <si>
    <t>51.424258006466374, 5.494165175149532</t>
  </si>
  <si>
    <t>Heggeranklaan 002</t>
  </si>
  <si>
    <t>{"coordinates":[5.493751251907382,51.42434094672153],"type":"Point"}</t>
  </si>
  <si>
    <t>51.42434094672153, 5.493751251907382</t>
  </si>
  <si>
    <t>51.42434126070069, 5.493752298557204</t>
  </si>
  <si>
    <t>Tulpstraat 002</t>
  </si>
  <si>
    <t>Tulpstraat</t>
  </si>
  <si>
    <t>Derden</t>
  </si>
  <si>
    <t>2044-10-14</t>
  </si>
  <si>
    <t>ST 4 V-100.C.073/F CON</t>
  </si>
  <si>
    <t>2064-10-14</t>
  </si>
  <si>
    <t>{"coordinates":[5.48916231055744,51.42846402940034],"type":"Point"}</t>
  </si>
  <si>
    <t>51.42846402940034, 5.48916231055744</t>
  </si>
  <si>
    <t>51.428464346277956, 5.4891633932844925</t>
  </si>
  <si>
    <t>Mimosalaan 004</t>
  </si>
  <si>
    <t>{"coordinates":[5.494423386839303,51.424207386976065],"type":"Point"}</t>
  </si>
  <si>
    <t>51.424207386976065, 5.494423386839303</t>
  </si>
  <si>
    <t>51.42420770103836, 5.494424430458406</t>
  </si>
  <si>
    <t>Heggeranklaan 006</t>
  </si>
  <si>
    <t>{"coordinates":[5.494251181161228,51.4235508319757],"type":"Point"}</t>
  </si>
  <si>
    <t>51.4235508319757, 5.494251181161228</t>
  </si>
  <si>
    <t>51.4235511456552, 5.494252223119738</t>
  </si>
  <si>
    <t>Heggeranklaan 007</t>
  </si>
  <si>
    <t>{"coordinates":[5.494410018972116,51.42335302455862],"type":"Point"}</t>
  </si>
  <si>
    <t>51.42335302455862, 5.494410018972116</t>
  </si>
  <si>
    <t>51.423353338199, 5.494411059723897</t>
  </si>
  <si>
    <t>Heggeranklaan 013</t>
  </si>
  <si>
    <t>{"coordinates":[5.49541464900177,51.42296117699189],"type":"Point"}</t>
  </si>
  <si>
    <t>51.42296117699189, 5.49541464900177</t>
  </si>
  <si>
    <t>51.42296149076092, 5.495415684954328</t>
  </si>
  <si>
    <t>Mimosalaan 006</t>
  </si>
  <si>
    <t>{"coordinates":[5.4948605700675754,51.4238235261263],"type":"Point"}</t>
  </si>
  <si>
    <t>51.4238235261263, 5.4948605700675754</t>
  </si>
  <si>
    <t>51.42382384010669, 5.494861610735339</t>
  </si>
  <si>
    <t>Mimosalaan 011</t>
  </si>
  <si>
    <t>{"coordinates":[5.495323722456047,51.423238202962054],"type":"Point"}</t>
  </si>
  <si>
    <t>51.423238202962054, 5.495323722456047</t>
  </si>
  <si>
    <t>51.423238516825, 5.495324759607985</t>
  </si>
  <si>
    <t>Mimosalaan 012</t>
  </si>
  <si>
    <t>{"coordinates":[5.495627354213219,51.42304861879048],"type":"Point"}</t>
  </si>
  <si>
    <t>51.42304861879048, 5.495627354213219</t>
  </si>
  <si>
    <t>51.423048932661395, 5.4956283896947165</t>
  </si>
  <si>
    <t>Mimosalaan 014</t>
  </si>
  <si>
    <t>{"coordinates":[5.495994148864948,51.42281933469866],"type":"Point"}</t>
  </si>
  <si>
    <t>51.42281933469866, 5.495994148864948</t>
  </si>
  <si>
    <t>51.422819648579285, 5.495995182339136</t>
  </si>
  <si>
    <t>Mimosalaan 015</t>
  </si>
  <si>
    <t>{"coordinates":[5.495906718535222,51.42263164266738],"type":"Point"}</t>
  </si>
  <si>
    <t>51.42263164266738, 5.495906718535222</t>
  </si>
  <si>
    <t>51.42263195643971, 5.495907751727355</t>
  </si>
  <si>
    <t>Mimosalaan 016</t>
  </si>
  <si>
    <t>{"coordinates":[5.496201411599681,51.42261473804594],"type":"Point"}</t>
  </si>
  <si>
    <t>51.42261473804594, 5.496201411599681</t>
  </si>
  <si>
    <t>51.42261505189927, 5.496202443711712</t>
  </si>
  <si>
    <t>Hoplaan 003</t>
  </si>
  <si>
    <t>Hoplaan</t>
  </si>
  <si>
    <t>{"coordinates":[5.495629805066807,51.42383710422934],"type":"Point"}</t>
  </si>
  <si>
    <t>51.42383710422934, 5.495629805066807</t>
  </si>
  <si>
    <t>51.42383741844568, 5.495630843026814</t>
  </si>
  <si>
    <t>Hoplaan 006</t>
  </si>
  <si>
    <t>{"coordinates":[5.4962895169018395,51.423324222586665],"type":"Point"}</t>
  </si>
  <si>
    <t>51.423324222586665, 5.4962895169018395</t>
  </si>
  <si>
    <t>51.42332453677669, 5.496290550909721</t>
  </si>
  <si>
    <t>Laurierplein 009A</t>
  </si>
  <si>
    <t>009A</t>
  </si>
  <si>
    <t>15 LED-HB/WW I WB</t>
  </si>
  <si>
    <t>BBP621</t>
  </si>
  <si>
    <t>{"coordinates":[5.498993582510423,51.42037417627112],"type":"Point"}</t>
  </si>
  <si>
    <t>51.42037417627112, 5.498993582510423</t>
  </si>
  <si>
    <t>51.42037448998705, 5.4989945983868695</t>
  </si>
  <si>
    <t>Laurierplein 009B</t>
  </si>
  <si>
    <t>009B</t>
  </si>
  <si>
    <t>{"coordinates":[5.49890288885033,51.42038325201666],"type":"Point"}</t>
  </si>
  <si>
    <t>51.42038325201666, 5.49890288885033</t>
  </si>
  <si>
    <t>51.420383565708995, 5.498903905054087</t>
  </si>
  <si>
    <t>Beukenlaan LED 026</t>
  </si>
  <si>
    <t>LED 026</t>
  </si>
  <si>
    <t>{"coordinates":[5.450010058603921,51.44097593652614],"type":"Point"}</t>
  </si>
  <si>
    <t>51.44097593652614, 5.450010058603921</t>
  </si>
  <si>
    <t>51.44097625520656, 5.450011344378126</t>
  </si>
  <si>
    <t>Beukenlaan LED 025</t>
  </si>
  <si>
    <t>LED 025</t>
  </si>
  <si>
    <t>{"coordinates":[5.450067640135561,51.441011860101725],"type":"Point"}</t>
  </si>
  <si>
    <t>51.441011860101725, 5.450067640135561</t>
  </si>
  <si>
    <t>51.44101217882116, 5.450068925968904</t>
  </si>
  <si>
    <t>Beukenlaan LED 023</t>
  </si>
  <si>
    <t>LED 023</t>
  </si>
  <si>
    <t>{"coordinates":[5.4501252465353325,51.44106576097562],"type":"Point"}</t>
  </si>
  <si>
    <t>51.44106576097562, 5.4501252465353325</t>
  </si>
  <si>
    <t>51.44106607974936, 5.450126532542325</t>
  </si>
  <si>
    <t>Beukenlaan LED 021</t>
  </si>
  <si>
    <t>LED 021</t>
  </si>
  <si>
    <t>{"coordinates":[5.450176544863046,51.44113440665503],"type":"Point"}</t>
  </si>
  <si>
    <t>51.44113440665503, 5.450176544863046</t>
  </si>
  <si>
    <t>51.4411347254947, 5.450177831156268</t>
  </si>
  <si>
    <t>Beukenlaan LED 017</t>
  </si>
  <si>
    <t>LED 017</t>
  </si>
  <si>
    <t>{"coordinates":[5.450210939793153,51.44125267892758],"type":"Point"}</t>
  </si>
  <si>
    <t>51.44125267892758, 5.450210939793153</t>
  </si>
  <si>
    <t>51.44125299787259, 5.45021222673887</t>
  </si>
  <si>
    <t>Beukenlaan LED 062</t>
  </si>
  <si>
    <t>LED 062</t>
  </si>
  <si>
    <t>{"coordinates":[5.449550612579989,51.4415694359273],"type":"Point"}</t>
  </si>
  <si>
    <t>51.4415694359273, 5.449550612579989</t>
  </si>
  <si>
    <t>51.441569755030024, 5.449551903502962</t>
  </si>
  <si>
    <t>Beukenlaan LED 058</t>
  </si>
  <si>
    <t>LED 058</t>
  </si>
  <si>
    <t>{"coordinates":[5.449363533212222,51.44149762672973],"type":"Point"}</t>
  </si>
  <si>
    <t>51.44149762672973, 5.449363533212222</t>
  </si>
  <si>
    <t>51.44149794570776, 5.4493648241777</t>
  </si>
  <si>
    <t>Beukenlaan LED 056</t>
  </si>
  <si>
    <t>LED 056</t>
  </si>
  <si>
    <t>{"coordinates":[5.449291568482261,51.44146171049973],"type":"Point"}</t>
  </si>
  <si>
    <t>51.44146171049973, 5.449291568482261</t>
  </si>
  <si>
    <t>51.44146202942291, 5.449292859411187</t>
  </si>
  <si>
    <t>Beukenlaan LED 046</t>
  </si>
  <si>
    <t>LED 046</t>
  </si>
  <si>
    <t>{"coordinates":[5.449153248355775,51.44117756252989],"type":"Point"}</t>
  </si>
  <si>
    <t>51.44117756252989, 5.449153248355775</t>
  </si>
  <si>
    <t>51.44117788116966, 5.449154537840844</t>
  </si>
  <si>
    <t>Beukenlaan LED 045</t>
  </si>
  <si>
    <t>LED 045</t>
  </si>
  <si>
    <t>{"coordinates":[5.4491616809350205,51.44113818766133],"type":"Point"}</t>
  </si>
  <si>
    <t>51.44113818766133, 5.4491616809350205</t>
  </si>
  <si>
    <t>51.4411385062714, 5.449162970146019</t>
  </si>
  <si>
    <t>Beukenlaan LED 043</t>
  </si>
  <si>
    <t>LED 043</t>
  </si>
  <si>
    <t>{"coordinates":[5.4492047202318,51.441057266687146],"type":"Point"}</t>
  </si>
  <si>
    <t>51.441057266687146, 5.4492047202318</t>
  </si>
  <si>
    <t>51.4410575852451, 5.449206008810517</t>
  </si>
  <si>
    <t>Beukenlaan LED 041</t>
  </si>
  <si>
    <t>LED 041</t>
  </si>
  <si>
    <t>{"coordinates":[5.449276121998316,51.44099700450039],"type":"Point"}</t>
  </si>
  <si>
    <t>51.44099700450039, 5.449276121998316</t>
  </si>
  <si>
    <t>51.44099732303312, 5.449277410000514</t>
  </si>
  <si>
    <t>Beukenlaan LED 040</t>
  </si>
  <si>
    <t>LED 040</t>
  </si>
  <si>
    <t>{"coordinates":[5.449305279157544,51.44096732631923],"type":"Point"}</t>
  </si>
  <si>
    <t>51.44096732631923, 5.449305279157544</t>
  </si>
  <si>
    <t>51.44096764483746, 5.449306566891888</t>
  </si>
  <si>
    <t>Beukenlaan LED 039</t>
  </si>
  <si>
    <t>LED 039</t>
  </si>
  <si>
    <t>{"coordinates":[5.449362774440313,51.440940329585835],"type":"Point"}</t>
  </si>
  <si>
    <t>51.440940329585835, 5.449362774440313</t>
  </si>
  <si>
    <t>51.44094064810159, 5.449364061847843</t>
  </si>
  <si>
    <t>Beukenlaan LED 035</t>
  </si>
  <si>
    <t>LED 035</t>
  </si>
  <si>
    <t>{"coordinates":[5.449564074924551,51.440895278448906],"type":"Point"}</t>
  </si>
  <si>
    <t>51.440895278448906, 5.449564074924551</t>
  </si>
  <si>
    <t>51.44089559699448, 5.449565361500435</t>
  </si>
  <si>
    <t>Beukenlaan LED 034</t>
  </si>
  <si>
    <t>LED 034</t>
  </si>
  <si>
    <t>{"coordinates":[5.44960377059879,51.44089426840662],"type":"Point"}</t>
  </si>
  <si>
    <t>51.44089426840662, 5.44960377059879</t>
  </si>
  <si>
    <t>51.4408945869573, 5.449605057051034</t>
  </si>
  <si>
    <t>Beukenlaan LED 032</t>
  </si>
  <si>
    <t>LED 032</t>
  </si>
  <si>
    <t>{"coordinates":[5.449707760651415,51.440895021553644],"type":"Point"}</t>
  </si>
  <si>
    <t>51.440895021553644, 5.449707760651415</t>
  </si>
  <si>
    <t>51.44089534012058, 5.44970904680159</t>
  </si>
  <si>
    <t>Beukenlaan LED 101</t>
  </si>
  <si>
    <t>LED 101</t>
  </si>
  <si>
    <t>{"coordinates":[5.450287450022182,51.441142885797255],"type":"Point"}</t>
  </si>
  <si>
    <t>51.441142885797255, 5.450287450022182</t>
  </si>
  <si>
    <t>51.44114320466143, 5.4502887360415935</t>
  </si>
  <si>
    <t>Beukenlaan LED 098</t>
  </si>
  <si>
    <t>LED 098</t>
  </si>
  <si>
    <t>{"coordinates":[5.45026943121605,51.44111395205026],"type":"Point"}</t>
  </si>
  <si>
    <t>51.44111395205026, 5.45026943121605</t>
  </si>
  <si>
    <t>51.44111427088713, 5.4502707171042575</t>
  </si>
  <si>
    <t>Beukenlaan LED 097</t>
  </si>
  <si>
    <t>LED 097</t>
  </si>
  <si>
    <t>{"coordinates":[5.45026323210244,51.44110352855375],"type":"Point"}</t>
  </si>
  <si>
    <t>51.44110352855375, 5.45026323210244</t>
  </si>
  <si>
    <t>51.4411038473808, 5.450264517942512</t>
  </si>
  <si>
    <t>Beukenlaan LED 095</t>
  </si>
  <si>
    <t>LED 095</t>
  </si>
  <si>
    <t>{"coordinates":[5.450251700962578,51.441085647350874],"type":"Point"}</t>
  </si>
  <si>
    <t>51.441085647350874, 5.450251700962578</t>
  </si>
  <si>
    <t>51.441085966161005, 5.450252986722727</t>
  </si>
  <si>
    <t>Beukenlaan LED 094</t>
  </si>
  <si>
    <t>LED 094</t>
  </si>
  <si>
    <t>{"coordinates":[5.450246655975406,51.44107774005553],"type":"Point"}</t>
  </si>
  <si>
    <t>51.44107774005553, 5.450246655975406</t>
  </si>
  <si>
    <t>51.44107805885821, 5.450247941700014</t>
  </si>
  <si>
    <t>Beukenlaan LED 102</t>
  </si>
  <si>
    <t>LED 102</t>
  </si>
  <si>
    <t>{"coordinates":[5.450293214797861,51.44115124213389],"type":"Point"}</t>
  </si>
  <si>
    <t>51.44115124213389, 5.450293214797861</t>
  </si>
  <si>
    <t>51.441151561006045, 5.450294500853473</t>
  </si>
  <si>
    <t>Beukenlaan LED 104</t>
  </si>
  <si>
    <t>LED 104</t>
  </si>
  <si>
    <t>{"coordinates":[5.450300139786536,51.44116651911686],"type":"Point"}</t>
  </si>
  <si>
    <t>51.44116651911686, 5.450300139786536</t>
  </si>
  <si>
    <t>51.44116683800312, 5.450301425919114</t>
  </si>
  <si>
    <t>Beukenlaan LED 105</t>
  </si>
  <si>
    <t>LED 105</t>
  </si>
  <si>
    <t>{"coordinates":[5.450303029941659,51.44117631519947],"type":"Point"}</t>
  </si>
  <si>
    <t>51.44117631519947, 5.450303029941659</t>
  </si>
  <si>
    <t>51.441176634094475, 5.450304316128099</t>
  </si>
  <si>
    <t>Beukenlaan LED 106</t>
  </si>
  <si>
    <t>LED 106</t>
  </si>
  <si>
    <t>{"coordinates":[5.450305919849486,51.44118593150877],"type":"Point"}</t>
  </si>
  <si>
    <t>51.44118593150877, 5.450305919849486</t>
  </si>
  <si>
    <t>51.441186250412365, 5.450307206088696</t>
  </si>
  <si>
    <t>Beukenlaan LED 108</t>
  </si>
  <si>
    <t>LED 108</t>
  </si>
  <si>
    <t>{"coordinates":[5.450310550016609,51.441205883844425],"type":"Point"}</t>
  </si>
  <si>
    <t>51.441205883844425, 5.450310550016609</t>
  </si>
  <si>
    <t>51.44120620276564, 5.450311836369317</t>
  </si>
  <si>
    <t>Beukenlaan LED 110</t>
  </si>
  <si>
    <t>LED 110</t>
  </si>
  <si>
    <t>{"coordinates":[5.450312441934417,51.44122188265067],"type":"Point"}</t>
  </si>
  <si>
    <t>51.44122188265067, 5.450312441934417</t>
  </si>
  <si>
    <t>51.44122220158579, 5.450313728383537</t>
  </si>
  <si>
    <t>Beukenlaan LED 111</t>
  </si>
  <si>
    <t>LED 111</t>
  </si>
  <si>
    <t>{"coordinates":[5.450312741649018,51.44123060149806],"type":"Point"}</t>
  </si>
  <si>
    <t>51.44123060149806, 5.450312741649018</t>
  </si>
  <si>
    <t>51.441230920440546, 5.450314028152838</t>
  </si>
  <si>
    <t>Beukenlaan LED 112</t>
  </si>
  <si>
    <t>LED 112</t>
  </si>
  <si>
    <t>{"coordinates":[5.45031304248205,51.441240129325074],"type":"Point"}</t>
  </si>
  <si>
    <t>51.441240129325074, 5.45031304248205</t>
  </si>
  <si>
    <t>51.44124044827572, 5.450314329045728</t>
  </si>
  <si>
    <t>Beukenlaan LED 117</t>
  </si>
  <si>
    <t>LED 117</t>
  </si>
  <si>
    <t>{"coordinates":[5.450309645459661,51.44127986108959],"type":"Point"}</t>
  </si>
  <si>
    <t>51.44127986108959, 5.450309645459661</t>
  </si>
  <si>
    <t>51.441280180073406, 5.4503109322866505</t>
  </si>
  <si>
    <t>Beukenlaan LED 118</t>
  </si>
  <si>
    <t>LED 118</t>
  </si>
  <si>
    <t>{"coordinates":[5.4503080754948,51.44128867083795],"type":"Point"}</t>
  </si>
  <si>
    <t>51.44128867083795, 5.4503080754948</t>
  </si>
  <si>
    <t>51.441288989828955, 5.450309362382591</t>
  </si>
  <si>
    <t>Beukenlaan LED 119</t>
  </si>
  <si>
    <t>LED 119</t>
  </si>
  <si>
    <t>{"coordinates":[5.450305786870936,51.44129784052293],"type":"Point"}</t>
  </si>
  <si>
    <t>51.44129784052293, 5.450305786870936</t>
  </si>
  <si>
    <t>51.44129815952137, 5.450307073823957</t>
  </si>
  <si>
    <t>Beukenlaan LED 121</t>
  </si>
  <si>
    <t>LED 121</t>
  </si>
  <si>
    <t>{"coordinates":[5.450301350966846,51.441314382082105],"type":"Point"}</t>
  </si>
  <si>
    <t>51.441314382082105, 5.450301350966846</t>
  </si>
  <si>
    <t>51.4413147010938, 5.450302638038485</t>
  </si>
  <si>
    <t>Beukenlaan LED 129</t>
  </si>
  <si>
    <t>LED 129</t>
  </si>
  <si>
    <t>{"coordinates":[5.450274979549446,51.441382081069285],"type":"Point"}</t>
  </si>
  <si>
    <t>51.441382081069285, 5.450274979549446</t>
  </si>
  <si>
    <t>51.44138240013414, 5.450276267130758</t>
  </si>
  <si>
    <t>Beukenlaan LED 130</t>
  </si>
  <si>
    <t>LED 130</t>
  </si>
  <si>
    <t>{"coordinates":[5.450271537531426,51.44138927387157],"type":"Point"}</t>
  </si>
  <si>
    <t>51.44138927387157, 5.450271537531426</t>
  </si>
  <si>
    <t>51.44138959294194, 5.450272825168765</t>
  </si>
  <si>
    <t>Beukenlaan LED 132</t>
  </si>
  <si>
    <t>LED 132</t>
  </si>
  <si>
    <t>{"coordinates":[5.450262354672707,51.44140545845606],"type":"Point"}</t>
  </si>
  <si>
    <t>51.44140545845606, 5.450262354672707</t>
  </si>
  <si>
    <t>51.44140577753861, 5.450263642440437</t>
  </si>
  <si>
    <t>Beukenlaan LED 133</t>
  </si>
  <si>
    <t>LED 133</t>
  </si>
  <si>
    <t>{"coordinates":[5.450257331374122,51.44141328132206],"type":"Point"}</t>
  </si>
  <si>
    <t>51.44141328132206, 5.450257331374122</t>
  </si>
  <si>
    <t>51.44141360041038, 5.45025861920663</t>
  </si>
  <si>
    <t>Beukenlaan LED 135</t>
  </si>
  <si>
    <t>LED 135</t>
  </si>
  <si>
    <t>{"coordinates":[5.450245703246096,51.44142937734399],"type":"Point"}</t>
  </si>
  <si>
    <t>51.44142937734399, 5.450245703246096</t>
  </si>
  <si>
    <t>51.44142969644408, 5.450246991215655</t>
  </si>
  <si>
    <t>Beukenlaan LED 142</t>
  </si>
  <si>
    <t>LED 142</t>
  </si>
  <si>
    <t>{"coordinates":[5.45019788615718,51.44148650826998],"type":"Point"}</t>
  </si>
  <si>
    <t>51.44148650826998, 5.45019788615718</t>
  </si>
  <si>
    <t>51.44148682741054, 5.450199174632677</t>
  </si>
  <si>
    <t>Beukenlaan LED 146</t>
  </si>
  <si>
    <t>LED 146</t>
  </si>
  <si>
    <t>{"coordinates":[5.450160821058461,51.4415180516027],"type":"Point"}</t>
  </si>
  <si>
    <t>51.4415180516027, 5.450160821058461</t>
  </si>
  <si>
    <t>51.44151837076378, 5.450162109844989</t>
  </si>
  <si>
    <t>Beukenlaan LED 151</t>
  </si>
  <si>
    <t>LED 151</t>
  </si>
  <si>
    <t>{"coordinates":[5.450101328205063,51.44155691484198],"type":"Point"}</t>
  </si>
  <si>
    <t>51.44155691484198, 5.450101328205063</t>
  </si>
  <si>
    <t>51.44155723402598, 5.450102617415827</t>
  </si>
  <si>
    <t>Beukenlaan LED 154</t>
  </si>
  <si>
    <t>LED 154</t>
  </si>
  <si>
    <t>{"coordinates":[5.450062235509864,51.441578418895475],"type":"Point"}</t>
  </si>
  <si>
    <t>51.441578418895475, 5.450062235509864</t>
  </si>
  <si>
    <t>51.44157873809103, 5.450063524973689</t>
  </si>
  <si>
    <t>Beukenlaan LED 163</t>
  </si>
  <si>
    <t>LED 163</t>
  </si>
  <si>
    <t>{"coordinates":[5.44992379498038,51.44162918972548],"type":"Point"}</t>
  </si>
  <si>
    <t>51.44162918972548, 5.44992379498038</t>
  </si>
  <si>
    <t>51.44162950894054, 5.449925085178681</t>
  </si>
  <si>
    <t>Beukenlaan LED 164</t>
  </si>
  <si>
    <t>LED 164</t>
  </si>
  <si>
    <t>{"coordinates":[5.449905967204654,51.44163459253911],"type":"Point"}</t>
  </si>
  <si>
    <t>51.44163459253911, 5.449905967204654</t>
  </si>
  <si>
    <t>51.441634911755735, 5.449907257490345</t>
  </si>
  <si>
    <t>Beukenlaan LED 168</t>
  </si>
  <si>
    <t>LED 168</t>
  </si>
  <si>
    <t>{"coordinates":[5.449846153385768,51.44164945607273],"type":"Point"}</t>
  </si>
  <si>
    <t>51.44164945607273, 5.449846153385768</t>
  </si>
  <si>
    <t>51.4416497752917, 5.44984744394375</t>
  </si>
  <si>
    <t>Beukenlaan LED 172</t>
  </si>
  <si>
    <t>LED 172</t>
  </si>
  <si>
    <t>{"coordinates":[5.449791805275912,51.44166440652141],"type":"Point"}</t>
  </si>
  <si>
    <t>51.44166440652141, 5.449791805275912</t>
  </si>
  <si>
    <t>51.44166472574377, 5.449793096090523</t>
  </si>
  <si>
    <t>Beukenlaan LED 176</t>
  </si>
  <si>
    <t>LED 176</t>
  </si>
  <si>
    <t>{"coordinates":[5.449732002829979,51.44168762945338],"type":"Point"}</t>
  </si>
  <si>
    <t>51.44168762945338, 5.449732002829979</t>
  </si>
  <si>
    <t>51.441687948684994, 5.449733293970301</t>
  </si>
  <si>
    <t>Beukenlaan LED 177</t>
  </si>
  <si>
    <t>LED 177</t>
  </si>
  <si>
    <t>{"coordinates":[5.449719209263017,51.441693119418815],"type":"Point"}</t>
  </si>
  <si>
    <t>51.441693119418815, 5.449719209263017</t>
  </si>
  <si>
    <t>51.44169343865286, 5.449720500476366</t>
  </si>
  <si>
    <t>Beukenlaan LED 178</t>
  </si>
  <si>
    <t>LED 178</t>
  </si>
  <si>
    <t>{"coordinates":[5.449712886056034,51.44169707783192],"type":"Point"}</t>
  </si>
  <si>
    <t>51.44169707783192, 5.449712886056034</t>
  </si>
  <si>
    <t>51.44169739706814, 5.449714177313445</t>
  </si>
  <si>
    <t>Beukenlaan LED 183</t>
  </si>
  <si>
    <t>LED 183</t>
  </si>
  <si>
    <t>{"coordinates":[5.449680149113884,51.44173862307525],"type":"Point"}</t>
  </si>
  <si>
    <t>51.44173862307525, 5.449680149113884</t>
  </si>
  <si>
    <t>51.44173894234062, 5.449681440733806</t>
  </si>
  <si>
    <t>Beukenlaan LED 185</t>
  </si>
  <si>
    <t>LED 185</t>
  </si>
  <si>
    <t>{"coordinates":[5.449671256099408,51.44175660519135],"type":"Point"}</t>
  </si>
  <si>
    <t>51.44175660519135, 5.449671256099408</t>
  </si>
  <si>
    <t>51.44175692447013, 5.449672547860544</t>
  </si>
  <si>
    <t>Beukenlaan LED 188</t>
  </si>
  <si>
    <t>LED 188</t>
  </si>
  <si>
    <t>{"coordinates":[5.449661080021057,51.441782947458705],"type":"Point"}</t>
  </si>
  <si>
    <t>51.441782947458705, 5.449661080021057</t>
  </si>
  <si>
    <t>51.441783266757604, 5.449662371980676</t>
  </si>
  <si>
    <t>Beukenlaan LED 189</t>
  </si>
  <si>
    <t>LED 189</t>
  </si>
  <si>
    <t>{"coordinates":[5.4496580680209705,51.44178915125816],"type":"Point"}</t>
  </si>
  <si>
    <t>51.44178915125816, 5.4496580680209705</t>
  </si>
  <si>
    <t>51.44178947056175, 5.449659360029172</t>
  </si>
  <si>
    <t>Beukenlaan LED 193</t>
  </si>
  <si>
    <t>LED 193</t>
  </si>
  <si>
    <t>{"coordinates":[5.4496445882012665,51.441818731218966],"type":"Point"}</t>
  </si>
  <si>
    <t>51.441818731218966, 5.4496445882012665</t>
  </si>
  <si>
    <t>51.44181905054491, 5.449645880438409</t>
  </si>
  <si>
    <t>Beukenlaan LED 194</t>
  </si>
  <si>
    <t>LED 194</t>
  </si>
  <si>
    <t>{"coordinates":[5.449641004184807,51.44182736226595],"type":"Point"}</t>
  </si>
  <si>
    <t>51.44182736226595, 5.449641004184807</t>
  </si>
  <si>
    <t>51.44182768159841, 5.4496422964877285</t>
  </si>
  <si>
    <t>Beukenlaan LED 196</t>
  </si>
  <si>
    <t>LED 196</t>
  </si>
  <si>
    <t>{"coordinates":[5.449634983491339,51.44184219680288],"type":"Point"}</t>
  </si>
  <si>
    <t>51.44184219680288, 5.449634983491339</t>
  </si>
  <si>
    <t>51.44184251614664, 5.449636275906929</t>
  </si>
  <si>
    <t>Beukenlaan LED 199</t>
  </si>
  <si>
    <t>LED 199</t>
  </si>
  <si>
    <t>{"coordinates":[5.449623081009694,51.44186827033329],"type":"Point"}</t>
  </si>
  <si>
    <t>51.44186827033329, 5.449623081009694</t>
  </si>
  <si>
    <t>51.44186858969666, 5.449624373627177</t>
  </si>
  <si>
    <t>Beukenlaan LED 200</t>
  </si>
  <si>
    <t>LED 200</t>
  </si>
  <si>
    <t>{"coordinates":[5.4496202136919,51.44187510326101],"type":"Point"}</t>
  </si>
  <si>
    <t>51.44187510326101, 5.4496202136919</t>
  </si>
  <si>
    <t>51.44187542262954, 5.449621506361593</t>
  </si>
  <si>
    <t>Beukenlaan LED 206</t>
  </si>
  <si>
    <t>LED 206</t>
  </si>
  <si>
    <t>{"coordinates":[5.449411035503071,51.44184204715605],"type":"Point"}</t>
  </si>
  <si>
    <t>51.44184204715605, 5.449411035503071</t>
  </si>
  <si>
    <t>51.44184236643614, 5.449412328541568</t>
  </si>
  <si>
    <t>Beukenlaan LED 207</t>
  </si>
  <si>
    <t>LED 207</t>
  </si>
  <si>
    <t>{"coordinates":[5.449412460480081,51.44183224874357],"type":"Point"}</t>
  </si>
  <si>
    <t>51.44183224874357, 5.449412460480081</t>
  </si>
  <si>
    <t>51.44183256801602, 5.449413753452146</t>
  </si>
  <si>
    <t>Beukenlaan LED 208</t>
  </si>
  <si>
    <t>LED 208</t>
  </si>
  <si>
    <t>{"coordinates":[5.44941532500823,51.44182334842786],"type":"Point"}</t>
  </si>
  <si>
    <t>51.44182334842786, 5.44941532500823</t>
  </si>
  <si>
    <t>51.441823667693974, 5.449416617915777</t>
  </si>
  <si>
    <t>Beukenlaan LED 210</t>
  </si>
  <si>
    <t>LED 210</t>
  </si>
  <si>
    <t>{"coordinates":[5.449418172508712,51.44180195387012],"type":"Point"}</t>
  </si>
  <si>
    <t>51.44180195387012, 5.449418172508712</t>
  </si>
  <si>
    <t>51.44180227311944, 5.449419465271967</t>
  </si>
  <si>
    <t>Beukenlaan LED 212</t>
  </si>
  <si>
    <t>LED 212</t>
  </si>
  <si>
    <t>{"coordinates":[5.4494237576028155,51.441784063428635],"type":"Point"}</t>
  </si>
  <si>
    <t>51.441784063428635, 5.4494237576028155</t>
  </si>
  <si>
    <t>51.44178438266509, 5.449425050236816</t>
  </si>
  <si>
    <t>Beukenlaan LED 214</t>
  </si>
  <si>
    <t>LED 214</t>
  </si>
  <si>
    <t>{"coordinates":[5.44942804464706,51.44176356696725],"type":"Point"}</t>
  </si>
  <si>
    <t>51.44176356696725, 5.44942804464706</t>
  </si>
  <si>
    <t>51.44176388618823, 5.4494293371386275</t>
  </si>
  <si>
    <t>Beukenlaan LED 216</t>
  </si>
  <si>
    <t>LED 216</t>
  </si>
  <si>
    <t>{"coordinates":[5.449432331687452,51.44174307050569],"type":"Point"}</t>
  </si>
  <si>
    <t>51.44174307050569, 5.449432331687452</t>
  </si>
  <si>
    <t>51.44174338971119, 5.4494336240365895</t>
  </si>
  <si>
    <t>Beukenlaan LED 217</t>
  </si>
  <si>
    <t>LED 217</t>
  </si>
  <si>
    <t>{"coordinates":[5.4494351962061245,51.44173417018944],"type":"Point"}</t>
  </si>
  <si>
    <t>51.44173417018944, 5.4494351962061245</t>
  </si>
  <si>
    <t>51.44173448938852, 5.44943648849074</t>
  </si>
  <si>
    <t>Beukenlaan LED 218</t>
  </si>
  <si>
    <t>LED 218</t>
  </si>
  <si>
    <t>{"coordinates":[5.449437916891271,51.44172526995009],"type":"Point"}</t>
  </si>
  <si>
    <t>51.44172526995009, 5.449437916891271</t>
  </si>
  <si>
    <t>51.441725589142756, 5.449439209111773</t>
  </si>
  <si>
    <t>Beukenlaan LED 220</t>
  </si>
  <si>
    <t>LED 220</t>
  </si>
  <si>
    <t>{"coordinates":[5.449443641021414,51.44170387385189],"type":"Point"}</t>
  </si>
  <si>
    <t>51.44170387385189, 5.449443641021414</t>
  </si>
  <si>
    <t>51.44170419302883, 5.449444933089864</t>
  </si>
  <si>
    <t>Beukenlaan LED 221</t>
  </si>
  <si>
    <t>LED 221</t>
  </si>
  <si>
    <t>{"coordinates":[5.449445068315425,51.441695783284985],"type":"Point"}</t>
  </si>
  <si>
    <t>51.441695783284985, 5.449445068315425</t>
  </si>
  <si>
    <t>51.44169610245569, 5.449446360328396</t>
  </si>
  <si>
    <t>Beukenlaan LED 222</t>
  </si>
  <si>
    <t>LED 222</t>
  </si>
  <si>
    <t>{"coordinates":[5.449447930377668,51.441685085235704],"type":"Point"}</t>
  </si>
  <si>
    <t>51.441685085235704, 5.449447930377668</t>
  </si>
  <si>
    <t>51.44168540439854, 5.449449222314582</t>
  </si>
  <si>
    <t>Beukenlaan LED 227</t>
  </si>
  <si>
    <t>LED 227</t>
  </si>
  <si>
    <t>{"coordinates":[5.449351091261582,51.441867067713105],"type":"Point"}</t>
  </si>
  <si>
    <t>51.441867067713105, 5.449351091261582</t>
  </si>
  <si>
    <t>51.44186738699299, 5.449352384620334</t>
  </si>
  <si>
    <t>Beukenlaan LED 234</t>
  </si>
  <si>
    <t>LED 234</t>
  </si>
  <si>
    <t>{"coordinates":[5.449366674308998,51.44179748707875],"type":"Point"}</t>
  </si>
  <si>
    <t>51.44179748707875, 5.449366674308998</t>
  </si>
  <si>
    <t>51.44179780630639, 5.449367967181559</t>
  </si>
  <si>
    <t>Beukenlaan LED 237</t>
  </si>
  <si>
    <t>LED 237</t>
  </si>
  <si>
    <t>{"coordinates":[5.449372676476807,51.44176898978631],"type":"Point"}</t>
  </si>
  <si>
    <t>51.44176898978631, 5.449372676476807</t>
  </si>
  <si>
    <t>51.44176930899246, 5.449373969151282</t>
  </si>
  <si>
    <t>Beukenlaan LED 239</t>
  </si>
  <si>
    <t>LED 239</t>
  </si>
  <si>
    <t>{"coordinates":[5.449378116528106,51.44175020055753],"type":"Point"}</t>
  </si>
  <si>
    <t>51.44175020055753, 5.449378116528106</t>
  </si>
  <si>
    <t>51.441750519750016, 5.449379409068001</t>
  </si>
  <si>
    <t>Beukenlaan LED 244</t>
  </si>
  <si>
    <t>LED 244</t>
  </si>
  <si>
    <t>{"coordinates":[5.449386396493976,51.44170444380014],"type":"Point"}</t>
  </si>
  <si>
    <t>51.44170444380014, 5.449386396493976</t>
  </si>
  <si>
    <t>51.44170476295756, 5.449387688719372</t>
  </si>
  <si>
    <t>Beukenlaan LED 245</t>
  </si>
  <si>
    <t>LED 245</t>
  </si>
  <si>
    <t>{"coordinates":[5.449386100259279,51.441698151889625],"type":"Point"}</t>
  </si>
  <si>
    <t>51.441698151889625, 5.449386100259279</t>
  </si>
  <si>
    <t>51.44169847104173, 5.449387392445265</t>
  </si>
  <si>
    <t>Beukenlaan LED 246</t>
  </si>
  <si>
    <t>LED 246</t>
  </si>
  <si>
    <t>{"coordinates":[5.44938393347045,51.44169132165927],"type":"Point"}</t>
  </si>
  <si>
    <t>51.44169132165927, 5.44938393347045</t>
  </si>
  <si>
    <t>51.44169164080494, 5.449385225618639</t>
  </si>
  <si>
    <t>Beukenlaan LED 247</t>
  </si>
  <si>
    <t>LED 247</t>
  </si>
  <si>
    <t>{"coordinates":[5.449379610300264,51.44168530156227],"type":"Point"}</t>
  </si>
  <si>
    <t>51.44168530156227, 5.449379610300264</t>
  </si>
  <si>
    <t>51.44168562070145, 5.449380902421532</t>
  </si>
  <si>
    <t>Beukenlaan LED 248</t>
  </si>
  <si>
    <t>LED 248</t>
  </si>
  <si>
    <t>{"coordinates":[5.449375000078732,51.441679731052105],"type":"Point"}</t>
  </si>
  <si>
    <t>51.441679731052105, 5.449375000078732</t>
  </si>
  <si>
    <t>51.44168005018507, 5.449376292176766</t>
  </si>
  <si>
    <t>Beukenlaan LED 251</t>
  </si>
  <si>
    <t>LED 251</t>
  </si>
  <si>
    <t>{"coordinates":[5.449351806379476,51.44165277744168],"type":"Point"}</t>
  </si>
  <si>
    <t>51.44165277744168, 5.449351806379476</t>
  </si>
  <si>
    <t>51.441653096544194, 5.44935309836744</t>
  </si>
  <si>
    <t>Beukenlaan LED 253</t>
  </si>
  <si>
    <t>LED 253</t>
  </si>
  <si>
    <t>{"coordinates":[5.4493319345453415,51.44163588936195],"type":"Point"}</t>
  </si>
  <si>
    <t>51.44163588936195, 5.4493319345453415</t>
  </si>
  <si>
    <t>51.44163620844358, 5.449333226478694</t>
  </si>
  <si>
    <t>Beukenlaan LED 255</t>
  </si>
  <si>
    <t>LED 255</t>
  </si>
  <si>
    <t>{"coordinates":[5.449311347234185,51.44162169826204],"type":"Point"}</t>
  </si>
  <si>
    <t>51.44162169826204, 5.449311347234185</t>
  </si>
  <si>
    <t>51.4416220173247, 5.449312639132033</t>
  </si>
  <si>
    <t>Beukenlaan LED 260</t>
  </si>
  <si>
    <t>LED 260</t>
  </si>
  <si>
    <t>{"coordinates":[5.449242394758635,51.44157984787075],"type":"Point"}</t>
  </si>
  <si>
    <t>51.44157984787075, 5.449242394758635</t>
  </si>
  <si>
    <t>51.441580166874715, 5.449243686573877</t>
  </si>
  <si>
    <t>Beukenlaan LED 261</t>
  </si>
  <si>
    <t>LED 261</t>
  </si>
  <si>
    <t>{"coordinates":[5.4492351971779085,51.44157544726256],"type":"Point"}</t>
  </si>
  <si>
    <t>51.44157544726256, 5.4492351971779085</t>
  </si>
  <si>
    <t>51.441575766260414, 5.44923648898433</t>
  </si>
  <si>
    <t>Beukenlaan LED 262</t>
  </si>
  <si>
    <t>LED 262</t>
  </si>
  <si>
    <t>{"coordinates":[5.44921950851048,51.44156736582844],"type":"Point"}</t>
  </si>
  <si>
    <t>51.44156736582844, 5.44921950851048</t>
  </si>
  <si>
    <t>51.4415676848141, 5.449220800307317</t>
  </si>
  <si>
    <t>Beukenlaan LED 264</t>
  </si>
  <si>
    <t>LED 264</t>
  </si>
  <si>
    <t>{"coordinates":[5.449196623495413,51.441555782647995],"type":"Point"}</t>
  </si>
  <si>
    <t>51.441555782647995, 5.449196623495413</t>
  </si>
  <si>
    <t>51.44155610161608, 5.449197915279587</t>
  </si>
  <si>
    <t>Beukenlaan LED 268</t>
  </si>
  <si>
    <t>LED 268</t>
  </si>
  <si>
    <t>{"coordinates":[5.4491495493791495,51.441525515919054],"type":"Point"}</t>
  </si>
  <si>
    <t>51.441525515919054, 5.4491495493791495</t>
  </si>
  <si>
    <t>51.44152583484575, 5.449150841096159</t>
  </si>
  <si>
    <t>Beukenlaan LED 270</t>
  </si>
  <si>
    <t>LED 270</t>
  </si>
  <si>
    <t>{"coordinates":[5.449132415232992,51.441512131928],"type":"Point"}</t>
  </si>
  <si>
    <t>51.441512131928, 5.449132415232992</t>
  </si>
  <si>
    <t>51.44151245083763, 5.449133706910465</t>
  </si>
  <si>
    <t>Beukenlaan LED 271</t>
  </si>
  <si>
    <t>LED 271</t>
  </si>
  <si>
    <t>{"coordinates":[5.449125212797002,51.44150413584763],"type":"Point"}</t>
  </si>
  <si>
    <t>51.44150413584763, 5.449125212797002</t>
  </si>
  <si>
    <t>51.44150445474811, 5.449126504442715</t>
  </si>
  <si>
    <t>Beukenlaan LED 274</t>
  </si>
  <si>
    <t>LED 274</t>
  </si>
  <si>
    <t>{"coordinates":[5.449095264367465,51.441480961024396],"type":"Point"}</t>
  </si>
  <si>
    <t>51.441480961024396, 5.449095264367465</t>
  </si>
  <si>
    <t>51.44148127989526, 5.449096555945423</t>
  </si>
  <si>
    <t>Beukenlaan LED 275</t>
  </si>
  <si>
    <t>LED 275</t>
  </si>
  <si>
    <t>{"coordinates":[5.449083744558599,51.441471169505476],"type":"Point"}</t>
  </si>
  <si>
    <t>51.441471169505476, 5.449083744558599</t>
  </si>
  <si>
    <t>51.44147148836428, 5.449085036104918</t>
  </si>
  <si>
    <t>Beukenlaan LED 276</t>
  </si>
  <si>
    <t>LED 276</t>
  </si>
  <si>
    <t>{"coordinates":[5.449068047549607,51.44145688587305],"type":"Point"}</t>
  </si>
  <si>
    <t>51.44145688587305, 5.449068047549607</t>
  </si>
  <si>
    <t>51.44145720471458, 5.449069339046789</t>
  </si>
  <si>
    <t>Beukenlaan LED 280</t>
  </si>
  <si>
    <t>LED 280</t>
  </si>
  <si>
    <t>{"coordinates":[5.4490252908767145,51.44142832464393],"type":"Point"}</t>
  </si>
  <si>
    <t>51.44142832464393, 5.4490252908767145</t>
  </si>
  <si>
    <t>51.44142864344697, 5.449026582306171</t>
  </si>
  <si>
    <t>Beukenlaan LED 284</t>
  </si>
  <si>
    <t>LED 284</t>
  </si>
  <si>
    <t>{"coordinates":[5.44897103747761,51.44140696044312],"type":"Point"}</t>
  </si>
  <si>
    <t>51.44140696044312, 5.44897103747761</t>
  </si>
  <si>
    <t>51.44140727920959, 5.44897232891609</t>
  </si>
  <si>
    <t>Beukenlaan LED 285</t>
  </si>
  <si>
    <t>LED 285</t>
  </si>
  <si>
    <t>{"coordinates":[5.4489537717547165,51.44140256516565],"type":"Point"}</t>
  </si>
  <si>
    <t>51.44140256516565, 5.4489537717547165</t>
  </si>
  <si>
    <t>51.44140288392251, 5.448955063211407</t>
  </si>
  <si>
    <t>Beukenlaan LED 289</t>
  </si>
  <si>
    <t>LED 289</t>
  </si>
  <si>
    <t>{"coordinates":[5.448893781928969,51.44139360833993],"type":"Point"}</t>
  </si>
  <si>
    <t>51.44139360833993, 5.448893781928969</t>
  </si>
  <si>
    <t>51.441393927068546, 5.448895073489271</t>
  </si>
  <si>
    <t>Beukenlaan LED 292</t>
  </si>
  <si>
    <t>LED 292</t>
  </si>
  <si>
    <t>{"coordinates":[5.4488481814475325,51.44138922807705],"type":"Point"}</t>
  </si>
  <si>
    <t>51.44138922807705, 5.4488481814475325</t>
  </si>
  <si>
    <t>51.44138954678618, 5.448849473102148</t>
  </si>
  <si>
    <t>Beukenlaan LED 293</t>
  </si>
  <si>
    <t>LED 293</t>
  </si>
  <si>
    <t>{"coordinates":[5.448833942146382,51.44138923562555],"type":"Point"}</t>
  </si>
  <si>
    <t>51.44138923562555, 5.448833942146382</t>
  </si>
  <si>
    <t>51.441389554329795, 5.448835233839195</t>
  </si>
  <si>
    <t>Beukenlaan LED 299</t>
  </si>
  <si>
    <t>LED 299</t>
  </si>
  <si>
    <t>{"coordinates":[5.448743041233494,51.44138964331974],"type":"Point"}</t>
  </si>
  <si>
    <t>51.44138964331974, 5.448743041233494</t>
  </si>
  <si>
    <t>51.44138996199277, 5.448744333172603</t>
  </si>
  <si>
    <t>Beukenlaan LED 304</t>
  </si>
  <si>
    <t>LED 304</t>
  </si>
  <si>
    <t>{"coordinates":[5.449327941973992,51.44155571255938],"type":"Point"}</t>
  </si>
  <si>
    <t>51.44155571255938, 5.449327941973992</t>
  </si>
  <si>
    <t>51.441556031573135, 5.44932923340589</t>
  </si>
  <si>
    <t>Beukenlaan LED 305</t>
  </si>
  <si>
    <t>LED 305</t>
  </si>
  <si>
    <t>{"coordinates":[5.449316574488529,51.441552213051125],"type":"Point"}</t>
  </si>
  <si>
    <t>51.441552213051125, 5.449316574488529</t>
  </si>
  <si>
    <t>51.441552532058004, 5.449317865928517</t>
  </si>
  <si>
    <t>Beukenlaan LED 306</t>
  </si>
  <si>
    <t>LED 306</t>
  </si>
  <si>
    <t>{"coordinates":[5.449300745650659,51.441546828303736],"type":"Point"}</t>
  </si>
  <si>
    <t>51.441546828303736, 5.449300745650659</t>
  </si>
  <si>
    <t>51.44154714730065, 5.449302037098685</t>
  </si>
  <si>
    <t>Beukenlaan LED 307</t>
  </si>
  <si>
    <t>LED 307</t>
  </si>
  <si>
    <t>{"coordinates":[5.44929081514297,51.441542339271805],"type":"Point"}</t>
  </si>
  <si>
    <t>51.441542339271805, 5.44929081514297</t>
  </si>
  <si>
    <t>51.44154265826156, 5.449292106588897</t>
  </si>
  <si>
    <t>Beukenlaan LED 309</t>
  </si>
  <si>
    <t>LED 309</t>
  </si>
  <si>
    <t>{"coordinates":[5.449263754235649,51.44152725275295],"type":"Point"}</t>
  </si>
  <si>
    <t>51.44152725275295, 5.449263754235649</t>
  </si>
  <si>
    <t>51.4415275717208, 5.449265045657764</t>
  </si>
  <si>
    <t>Beukenlaan LED 315</t>
  </si>
  <si>
    <t>LED 315</t>
  </si>
  <si>
    <t>{"coordinates":[5.4491971008116105,51.441483603373555],"type":"Point"}</t>
  </si>
  <si>
    <t>51.441483603373555, 5.4491971008116105</t>
  </si>
  <si>
    <t>51.44148392228207, 5.449198392133548</t>
  </si>
  <si>
    <t>Beukenlaan LED 316</t>
  </si>
  <si>
    <t>LED 316</t>
  </si>
  <si>
    <t>{"coordinates":[5.4491865913403705,51.441476418040445],"type":"Point"}</t>
  </si>
  <si>
    <t>51.441476418040445, 5.4491865913403705</t>
  </si>
  <si>
    <t>51.44147673693932, 5.449187882644592</t>
  </si>
  <si>
    <t>Beukenlaan LED 317</t>
  </si>
  <si>
    <t>LED 317</t>
  </si>
  <si>
    <t>{"coordinates":[5.4491765122690525,51.44146842349666],"type":"Point"}</t>
  </si>
  <si>
    <t>51.44146842349666, 5.4491765122690525</t>
  </si>
  <si>
    <t>51.4414687423854, 5.449177803549221</t>
  </si>
  <si>
    <t>Beukenlaan LED 318</t>
  </si>
  <si>
    <t>LED 318</t>
  </si>
  <si>
    <t>{"coordinates":[5.449166579472704,51.441462226608074],"type":"Point"}</t>
  </si>
  <si>
    <t>51.441462226608074, 5.449166579472704</t>
  </si>
  <si>
    <t>51.441462545488235, 5.44916787073994</t>
  </si>
  <si>
    <t>Beukenlaan LED 321</t>
  </si>
  <si>
    <t>LED 321</t>
  </si>
  <si>
    <t>{"coordinates":[5.449143679889811,51.441439857020896],"type":"Point"}</t>
  </si>
  <si>
    <t>51.441439857020896, 5.449143679889811</t>
  </si>
  <si>
    <t>51.44144017587457, 5.449144971075566</t>
  </si>
  <si>
    <t>Beukenlaan LED 322</t>
  </si>
  <si>
    <t>LED 322</t>
  </si>
  <si>
    <t>{"coordinates":[5.44913373978835,51.44142826693137],"type":"Point"}</t>
  </si>
  <si>
    <t>51.44142826693137, 5.44913373978835</t>
  </si>
  <si>
    <t>51.44142858577201, 5.449135030926702</t>
  </si>
  <si>
    <t>Beukenlaan LED 330</t>
  </si>
  <si>
    <t>LED 330</t>
  </si>
  <si>
    <t>{"coordinates":[5.449082144209817,51.44135162104573],"type":"Point"}</t>
  </si>
  <si>
    <t>51.44135162104573, 5.449082144209817</t>
  </si>
  <si>
    <t>51.44135193980499, 5.449083434997085</t>
  </si>
  <si>
    <t>Beukenlaan LED 334</t>
  </si>
  <si>
    <t>LED 334</t>
  </si>
  <si>
    <t>{"coordinates":[5.449066419472606,51.44131684325999],"type":"Point"}</t>
  </si>
  <si>
    <t>51.44131684325999, 5.449066419472606</t>
  </si>
  <si>
    <t>51.441317161984976, 5.4490677100799685</t>
  </si>
  <si>
    <t>Beukenlaan LED 344</t>
  </si>
  <si>
    <t>LED 344</t>
  </si>
  <si>
    <t>{"coordinates":[5.448662750400679,51.44125836131869],"type":"Point"}</t>
  </si>
  <si>
    <t>51.44125836131869, 5.448662750400679</t>
  </si>
  <si>
    <t>51.441258679855395, 5.448664041717259</t>
  </si>
  <si>
    <t>Beukenlaan LED 351</t>
  </si>
  <si>
    <t>LED 351</t>
  </si>
  <si>
    <t>{"coordinates":[5.448776788069251,51.44124328990452],"type":"Point"}</t>
  </si>
  <si>
    <t>51.44124328990452, 5.448776788069251</t>
  </si>
  <si>
    <t>51.44124360846827, 5.44877807898379</t>
  </si>
  <si>
    <t>Beukenlaan LED 356</t>
  </si>
  <si>
    <t>LED 356</t>
  </si>
  <si>
    <t>{"coordinates":[5.448849272149632,51.441238307728106],"type":"Point"}</t>
  </si>
  <si>
    <t>51.441238307728106, 5.448849272149632</t>
  </si>
  <si>
    <t>51.44123862631279, 5.448850562837964</t>
  </si>
  <si>
    <t>Beukenlaan LED 357</t>
  </si>
  <si>
    <t>LED 357</t>
  </si>
  <si>
    <t>{"coordinates":[5.448861208896175,51.441237402531705],"type":"Point"}</t>
  </si>
  <si>
    <t>51.441237402531705, 5.448861208896175</t>
  </si>
  <si>
    <t>51.44123772111982, 5.448862499546686</t>
  </si>
  <si>
    <t>Beukenlaan LED 358</t>
  </si>
  <si>
    <t>LED 358</t>
  </si>
  <si>
    <t>{"coordinates":[5.448873289230225,51.44123631748456],"type":"Point"}</t>
  </si>
  <si>
    <t>51.44123631748456, 5.448873289230225</t>
  </si>
  <si>
    <t>51.44123663607597, 5.448874579841408</t>
  </si>
  <si>
    <t>Beukenlaan LED 368</t>
  </si>
  <si>
    <t>LED 368</t>
  </si>
  <si>
    <t>{"coordinates":[5.449077054372978,51.441098233143144],"type":"Point"}</t>
  </si>
  <si>
    <t>51.441098233143144, 5.449077054372978</t>
  </si>
  <si>
    <t>51.44109855169082, 5.449078343555907</t>
  </si>
  <si>
    <t>Beukenlaan LED 369</t>
  </si>
  <si>
    <t>LED 369</t>
  </si>
  <si>
    <t>{"coordinates":[5.449083512608887,51.441087802848806],"type":"Point"}</t>
  </si>
  <si>
    <t>51.441087802848806, 5.449083512608887</t>
  </si>
  <si>
    <t>51.441088121390116, 5.449084801707894</t>
  </si>
  <si>
    <t>Beukenlaan LED 370</t>
  </si>
  <si>
    <t>LED 370</t>
  </si>
  <si>
    <t>{"coordinates":[5.449089253761443,51.44107890100968],"type":"Point"}</t>
  </si>
  <si>
    <t>51.44107890100968, 5.449089253761443</t>
  </si>
  <si>
    <t>51.44107921954563, 5.44909054278822</t>
  </si>
  <si>
    <t>Beukenlaan LED 372</t>
  </si>
  <si>
    <t>LED 372</t>
  </si>
  <si>
    <t>{"coordinates":[5.449101742018843,51.44106046758826],"type":"Point"}</t>
  </si>
  <si>
    <t>51.44106046758826, 5.449101742018843</t>
  </si>
  <si>
    <t>51.441060786113205, 5.449103030894387</t>
  </si>
  <si>
    <t>Beukenlaan LED 392</t>
  </si>
  <si>
    <t>LED 392</t>
  </si>
  <si>
    <t>{"coordinates":[5.4492929675488915,51.44090405265524],"type":"Point"}</t>
  </si>
  <si>
    <t>51.44090405265524, 5.4492929675488915</t>
  </si>
  <si>
    <t>51.440904371116766, 5.449294254912164</t>
  </si>
  <si>
    <t>Beukenlaan LED 393</t>
  </si>
  <si>
    <t>LED 393</t>
  </si>
  <si>
    <t>{"coordinates":[5.449305903671503,51.440897753677476],"type":"Point"}</t>
  </si>
  <si>
    <t>51.440897753677476, 5.449305903671503</t>
  </si>
  <si>
    <t>51.4408980721382, 5.449307190959771</t>
  </si>
  <si>
    <t>Beukenlaan LED 401</t>
  </si>
  <si>
    <t>LED 401</t>
  </si>
  <si>
    <t>{"coordinates":[5.449412859621539,51.440858505899804],"type":"Point"}</t>
  </si>
  <si>
    <t>51.440858505899804, 5.449412859621539</t>
  </si>
  <si>
    <t>51.440858824365016, 5.449414146371897</t>
  </si>
  <si>
    <t>Beukenlaan LED 404</t>
  </si>
  <si>
    <t>LED 404</t>
  </si>
  <si>
    <t>{"coordinates":[5.449458436583192,51.440845987254356],"type":"Point"}</t>
  </si>
  <si>
    <t>51.440845987254356, 5.449458436583192</t>
  </si>
  <si>
    <t>51.44084630572494, 5.449459723131136</t>
  </si>
  <si>
    <t>Beukenlaan LED 406</t>
  </si>
  <si>
    <t>LED 406</t>
  </si>
  <si>
    <t>{"coordinates":[5.4494851761378715,51.44083662471733],"type":"Point"}</t>
  </si>
  <si>
    <t>51.44083662471733, 5.4494851761378715</t>
  </si>
  <si>
    <t>51.44083694318939, 5.44948646255419</t>
  </si>
  <si>
    <t>Beukenlaan LED 407</t>
  </si>
  <si>
    <t>LED 407</t>
  </si>
  <si>
    <t>{"coordinates":[5.449498401713614,51.44083167386371],"type":"Point"}</t>
  </si>
  <si>
    <t>51.44083167386371, 5.449498401713614</t>
  </si>
  <si>
    <t>51.44083199233623, 5.449499688062749</t>
  </si>
  <si>
    <t>Beukenlaan LED 408</t>
  </si>
  <si>
    <t>LED 408</t>
  </si>
  <si>
    <t>{"coordinates":[5.44951262992229,51.44082366632334],"type":"Point"}</t>
  </si>
  <si>
    <t>51.44082366632334, 5.44951262992229</t>
  </si>
  <si>
    <t>51.440823984794136, 5.44951391618207</t>
  </si>
  <si>
    <t>Beukenlaan LED 413</t>
  </si>
  <si>
    <t>LED 413</t>
  </si>
  <si>
    <t>{"coordinates":[5.449565938257468,51.44078525612456],"type":"Point"}</t>
  </si>
  <si>
    <t>51.44078525612456, 5.449565938257468</t>
  </si>
  <si>
    <t>51.44078557457909, 5.4495672241248725</t>
  </si>
  <si>
    <t>Beukenlaan LED 083</t>
  </si>
  <si>
    <t>LED 083</t>
  </si>
  <si>
    <t>{"coordinates":[5.450137056950583,51.44097326117007],"type":"Point"}</t>
  </si>
  <si>
    <t>51.44097326117007, 5.450137056950583</t>
  </si>
  <si>
    <t>51.44097357986761, 5.450138342332711</t>
  </si>
  <si>
    <t>Beukenlaan LED 076</t>
  </si>
  <si>
    <t>LED 076</t>
  </si>
  <si>
    <t>{"coordinates":[5.450056007126309,51.44091991229164],"type":"Point"}</t>
  </si>
  <si>
    <t>51.44091991229164, 5.450056007126309</t>
  </si>
  <si>
    <t>51.44092023093187, 5.4500572924074095</t>
  </si>
  <si>
    <t>Beukenlaan LED 074</t>
  </si>
  <si>
    <t>LED 074</t>
  </si>
  <si>
    <t>{"coordinates":[5.450038583545339,51.44090527017251],"type":"Point"}</t>
  </si>
  <si>
    <t>51.44090527017251, 5.450038583545339</t>
  </si>
  <si>
    <t>51.4409055887978, 5.450039868784469</t>
  </si>
  <si>
    <t>Beukenlaan LED 072</t>
  </si>
  <si>
    <t>LED 072</t>
  </si>
  <si>
    <t>{"coordinates":[5.450023021104985,51.44088433497641],"type":"Point"}</t>
  </si>
  <si>
    <t>51.44088433497641, 5.450023021104985</t>
  </si>
  <si>
    <t>51.44088465358176, 5.450024306256447</t>
  </si>
  <si>
    <t>Beukenlaan LED 071</t>
  </si>
  <si>
    <t>LED 071</t>
  </si>
  <si>
    <t>{"coordinates":[5.450016819976664,51.44087238339375],"type":"Point"}</t>
  </si>
  <si>
    <t>51.44087238339375, 5.450016819976664</t>
  </si>
  <si>
    <t>51.440872701988084, 5.450018105070166</t>
  </si>
  <si>
    <t>Beukenlaan LED 064</t>
  </si>
  <si>
    <t>LED 064</t>
  </si>
  <si>
    <t>{"coordinates":[5.450032685372167,51.440799926142596],"type":"Point"}</t>
  </si>
  <si>
    <t>51.440799926142596, 5.450032685372167</t>
  </si>
  <si>
    <t>51.44080024467838, 5.450033969956559</t>
  </si>
  <si>
    <t>Beukenlaan LED 422</t>
  </si>
  <si>
    <t>LED 422</t>
  </si>
  <si>
    <t>{"coordinates":[5.449626657014449,51.44069668514924],"type":"Point"}</t>
  </si>
  <si>
    <t>51.44069668514924, 5.449626657014449</t>
  </si>
  <si>
    <t>51.440697003541295, 5.449627942182288</t>
  </si>
  <si>
    <t>Beukenlaan LED 420</t>
  </si>
  <si>
    <t>LED 420</t>
  </si>
  <si>
    <t>{"coordinates":[5.449615754027784,51.44071718516924],"type":"Point"}</t>
  </si>
  <si>
    <t>51.44071718516924, 5.449615754027784</t>
  </si>
  <si>
    <t>51.44071750357601, 5.449617039344466</t>
  </si>
  <si>
    <t>Beukenlaan LED 417</t>
  </si>
  <si>
    <t>LED 417</t>
  </si>
  <si>
    <t>{"coordinates":[5.4495979587779555,51.44074613823592],"type":"Point"}</t>
  </si>
  <si>
    <t>51.44074613823592, 5.4495979587779555</t>
  </si>
  <si>
    <t>51.440746456663234, 5.449599244311858</t>
  </si>
  <si>
    <t>Beukenlaan LED 416</t>
  </si>
  <si>
    <t>LED 416</t>
  </si>
  <si>
    <t>{"coordinates":[5.449591067259343,51.440755130603165],"type":"Point"}</t>
  </si>
  <si>
    <t>51.440755130603165, 5.449591067259343</t>
  </si>
  <si>
    <t>51.44075544903658, 5.449592352864747</t>
  </si>
  <si>
    <t>28 LED Retroled unit</t>
  </si>
  <si>
    <t>Hondsruglaan 134</t>
  </si>
  <si>
    <t>{"coordinates":[5.461919318306876,51.483656693578176],"type":"Point"}</t>
  </si>
  <si>
    <t>51.483656693578176, 5.461919318306876</t>
  </si>
  <si>
    <t>51.4836570601788, 5.461920801692658</t>
  </si>
  <si>
    <t>2048-09-10</t>
  </si>
  <si>
    <t>Grasdreef F011</t>
  </si>
  <si>
    <t>F011</t>
  </si>
  <si>
    <t>TCW216 IP66 1 X 36 W</t>
  </si>
  <si>
    <t>BB FIETSENSTALLING</t>
  </si>
  <si>
    <t>{"coordinates":[5.416558463219652,51.43486523151607],"type":"Point"}</t>
  </si>
  <si>
    <t>51.43486523151607, 5.416558463219652</t>
  </si>
  <si>
    <t>51.434865530224265, 5.416559783107941</t>
  </si>
  <si>
    <t>Grasdreef F007</t>
  </si>
  <si>
    <t>F007</t>
  </si>
  <si>
    <t>2048-07-31</t>
  </si>
  <si>
    <t>{"coordinates":[5.4166184116855565,51.43483330649309],"type":"Point"}</t>
  </si>
  <si>
    <t>51.43483330649309, 5.4166184116855565</t>
  </si>
  <si>
    <t>51.43483360522496, 5.416619731331141</t>
  </si>
  <si>
    <t>Grasdreef F004</t>
  </si>
  <si>
    <t>F004</t>
  </si>
  <si>
    <t>{"coordinates":[5.416662546200433,51.434809565161345],"type":"Point"}</t>
  </si>
  <si>
    <t>51.434809565161345, 5.416662546200433</t>
  </si>
  <si>
    <t>51.434809863910516, 5.4166638656661155</t>
  </si>
  <si>
    <t>Grasdreef F003</t>
  </si>
  <si>
    <t>F003</t>
  </si>
  <si>
    <t>{"coordinates":[5.41667692225363,51.43480183123933],"type":"Point"}</t>
  </si>
  <si>
    <t>51.43480183123933, 5.41667692225363</t>
  </si>
  <si>
    <t>51.43480212999417, 5.416678241660682</t>
  </si>
  <si>
    <t>SOX/E 18W</t>
  </si>
  <si>
    <t>Kruidenhof 006</t>
  </si>
  <si>
    <t>BEGA 8014 RVS CDM-T</t>
  </si>
  <si>
    <t>{"coordinates":[5.492513216566521,51.47736311458246],"type":"Point"}</t>
  </si>
  <si>
    <t>51.47736311458246, 5.492513216566521</t>
  </si>
  <si>
    <t>51.477363486466906, 5.492514554222364</t>
  </si>
  <si>
    <t>Kruidenhof 007</t>
  </si>
  <si>
    <t>{"coordinates":[5.4924954884364094,51.47727854739886],"type":"Point"}</t>
  </si>
  <si>
    <t>51.47727854739886, 5.4924954884364094</t>
  </si>
  <si>
    <t>51.47727891918915, 5.492496825810578</t>
  </si>
  <si>
    <t>Verzetsheldenlaan 009A</t>
  </si>
  <si>
    <t>MBF 504 CDM/T 35 W</t>
  </si>
  <si>
    <t>{"coordinates":[5.437648401785676,51.47403104020333],"type":"Point"}</t>
  </si>
  <si>
    <t>51.47403104020333, 5.437648401785676</t>
  </si>
  <si>
    <t>51.47403138290338, 5.437649914331902</t>
  </si>
  <si>
    <t>BGP490 LLM2200</t>
  </si>
  <si>
    <t>2048-11-06</t>
  </si>
  <si>
    <t>PARK MEERLAND 301</t>
  </si>
  <si>
    <t>640 Meerrijk</t>
  </si>
  <si>
    <t>Strandbrug</t>
  </si>
  <si>
    <t>Bega 2382</t>
  </si>
  <si>
    <t>2036-02-04</t>
  </si>
  <si>
    <t>BEGA 2382S</t>
  </si>
  <si>
    <t>BB BRUGLEUNING</t>
  </si>
  <si>
    <t>{"coordinates":[5.4038411243209685,51.44466029761627],"type":"Point"}</t>
  </si>
  <si>
    <t>51.44466029761627, 5.4038411243209685</t>
  </si>
  <si>
    <t>51.44466058919845, 5.40384250065587</t>
  </si>
  <si>
    <t>PARK MEERLAND 302</t>
  </si>
  <si>
    <t>{"coordinates":[5.40383205166866,51.44463099586673],"type":"Point"}</t>
  </si>
  <si>
    <t>51.44463099586673, 5.40383205166866</t>
  </si>
  <si>
    <t>51.44463128742905, 5.403833427849265</t>
  </si>
  <si>
    <t>PARK MEERLAND 304</t>
  </si>
  <si>
    <t>{"coordinates":[5.403818797255286,51.44457311075073],"type":"Point"}</t>
  </si>
  <si>
    <t>51.44457311075073, 5.403818797255286</t>
  </si>
  <si>
    <t>51.4445734022784, 5.40382017313169</t>
  </si>
  <si>
    <t>PARK MEERLAND 307</t>
  </si>
  <si>
    <t>307</t>
  </si>
  <si>
    <t>{"coordinates":[5.403878797246058,51.44462325882603],"type":"Point"}</t>
  </si>
  <si>
    <t>51.44462325882603, 5.403878797246058</t>
  </si>
  <si>
    <t>51.44462355043074, 5.403880173393043</t>
  </si>
  <si>
    <t>PARK MEERLAND 311</t>
  </si>
  <si>
    <t>{"coordinates":[5.403918219288173,51.444649410120334],"type":"Point"}</t>
  </si>
  <si>
    <t>51.444649410120334, 5.403918219288173</t>
  </si>
  <si>
    <t>51.444649701773095, 5.403919595577456</t>
  </si>
  <si>
    <t>PARK MEERLAND 312</t>
  </si>
  <si>
    <t>312</t>
  </si>
  <si>
    <t>2155-12-16</t>
  </si>
  <si>
    <t>{"coordinates":[5.403910297547733,51.44462073741611],"type":"Point"}</t>
  </si>
  <si>
    <t>51.44462073741611, 5.403910297547733</t>
  </si>
  <si>
    <t>51.44462102905037, 5.403911673686094</t>
  </si>
  <si>
    <t>PARK MEERLAND 313</t>
  </si>
  <si>
    <t>{"coordinates":[5.403903670419891,51.444592154409584],"type":"Point"}</t>
  </si>
  <si>
    <t>51.444592154409584, 5.403903670419891</t>
  </si>
  <si>
    <t>51.444592446026626, 5.403905046407999</t>
  </si>
  <si>
    <t>PARK MEERLAND 316</t>
  </si>
  <si>
    <t>{"coordinates":[5.403943656664915,51.44458783402121],"type":"Point"}</t>
  </si>
  <si>
    <t>51.44458783402121, 5.403943656664915</t>
  </si>
  <si>
    <t>51.44458812567531, 5.403945032636201</t>
  </si>
  <si>
    <t>PARK MEERLAND 317</t>
  </si>
  <si>
    <t>{"coordinates":[5.403950140798522,51.44461866421385],"type":"Point"}</t>
  </si>
  <si>
    <t>51.44461866421385, 5.403950140798522</t>
  </si>
  <si>
    <t>51.44461895588595, 5.4039515169318335</t>
  </si>
  <si>
    <t>PARK MEERLAND 318</t>
  </si>
  <si>
    <t>{"coordinates":[5.403958350246174,51.44464733687336],"type":"Point"}</t>
  </si>
  <si>
    <t>51.44464733687336, 5.403958350246174</t>
  </si>
  <si>
    <t>51.44464762856422, 5.403959726530486</t>
  </si>
  <si>
    <t>PARK MEERLAND 807</t>
  </si>
  <si>
    <t>Meerlandbrug</t>
  </si>
  <si>
    <t>{"coordinates":[5.398057999148919,51.44228960157597],"type":"Point"}</t>
  </si>
  <si>
    <t>51.44228960157597, 5.398057999148919</t>
  </si>
  <si>
    <t>51.44228988686075, 5.398059361623027</t>
  </si>
  <si>
    <t>PARK MEERLAND 808</t>
  </si>
  <si>
    <t>{"coordinates":[5.398067789284236,51.4423294204596],"type":"Point"}</t>
  </si>
  <si>
    <t>51.4423294204596, 5.398067789284236</t>
  </si>
  <si>
    <t>51.44232970576482, 5.3980691519659025</t>
  </si>
  <si>
    <t>PARK MEERLAND 603</t>
  </si>
  <si>
    <t>Bosbeekbrug</t>
  </si>
  <si>
    <t>{"coordinates":[5.4058837233871,51.4398585046457],"type":"Point"}</t>
  </si>
  <si>
    <t>51.4398585046457, 5.4058837233871</t>
  </si>
  <si>
    <t>51.43985879658782, 5.4058850749640355</t>
  </si>
  <si>
    <t>PARK MEERLAND 604</t>
  </si>
  <si>
    <t>{"coordinates":[5.405834962286755,51.439848625014534],"type":"Point"}</t>
  </si>
  <si>
    <t>51.439848625014534, 5.405834962286755</t>
  </si>
  <si>
    <t>51.43984891691158, 5.405836313813694</t>
  </si>
  <si>
    <t>PARK MEERLAND 609</t>
  </si>
  <si>
    <t>{"coordinates":[5.40580303288472,51.43984863018449],"type":"Point"}</t>
  </si>
  <si>
    <t>51.43984863018449, 5.40580303288472</t>
  </si>
  <si>
    <t>51.439848922052384, 5.405804384411243</t>
  </si>
  <si>
    <t>PARK MEERLAND 611</t>
  </si>
  <si>
    <t>611</t>
  </si>
  <si>
    <t>{"coordinates":[5.40574219173194,51.439841988391485],"type":"Point"}</t>
  </si>
  <si>
    <t>51.439841988391485, 5.40574219173194</t>
  </si>
  <si>
    <t>51.43984228020344, 5.405743543224499</t>
  </si>
  <si>
    <t>PARK MEERLAND 612</t>
  </si>
  <si>
    <t>{"coordinates":[5.405786763283766,51.43980620626583],"type":"Point"}</t>
  </si>
  <si>
    <t>51.43980620626583, 5.405786763283766</t>
  </si>
  <si>
    <t>51.439806498116155, 5.405788114598819</t>
  </si>
  <si>
    <t>PARK MEERLAND 613</t>
  </si>
  <si>
    <t>{"coordinates":[5.40582141411087,51.439778605425055],"type":"Point"}</t>
  </si>
  <si>
    <t>51.439778605425055, 5.40582141411087</t>
  </si>
  <si>
    <t>51.43977889730517, 5.405822765288939</t>
  </si>
  <si>
    <t>PARK MEERLAND 704</t>
  </si>
  <si>
    <t>Vijzelbrug</t>
  </si>
  <si>
    <t>{"coordinates":[5.403335560092505,51.439465186803375],"type":"Point"}</t>
  </si>
  <si>
    <t>51.439465186803375, 5.403335560092505</t>
  </si>
  <si>
    <t>51.4394654764154, 5.4033369097076</t>
  </si>
  <si>
    <t>PARK MEERLAND 702</t>
  </si>
  <si>
    <t>702</t>
  </si>
  <si>
    <t>{"coordinates":[5.403239178223683,51.43941054916496],"type":"Point"}</t>
  </si>
  <si>
    <t>51.43941054916496, 5.403239178223683</t>
  </si>
  <si>
    <t>51.439410838688715, 5.403240527571855</t>
  </si>
  <si>
    <t>2026-12-17</t>
  </si>
  <si>
    <t>705</t>
  </si>
  <si>
    <t>2049-09-29</t>
  </si>
  <si>
    <t>Luchthavenweg 037</t>
  </si>
  <si>
    <t>LED70/830 DW70</t>
  </si>
  <si>
    <t>{"coordinates":[5.393244591304308,51.45699185983247],"type":"Point"}</t>
  </si>
  <si>
    <t>51.45699185983247, 5.393244591304308</t>
  </si>
  <si>
    <t>51.4569921424567, 5.393246020732011</t>
  </si>
  <si>
    <t>Luchthavenweg 042</t>
  </si>
  <si>
    <t>2052-12-05</t>
  </si>
  <si>
    <t>{"coordinates":[5.393022043036062,51.45780603436609],"type":"Point"}</t>
  </si>
  <si>
    <t>51.45780603436609, 5.393022043036062</t>
  </si>
  <si>
    <t>51.457806316896395, 5.393023475890262</t>
  </si>
  <si>
    <t>Luchthavenweg 049</t>
  </si>
  <si>
    <t>2052-10-27</t>
  </si>
  <si>
    <t>{"coordinates":[5.393596753294185,51.45914279654384],"type":"Point"}</t>
  </si>
  <si>
    <t>51.45914279654384, 5.393596753294185</t>
  </si>
  <si>
    <t>51.459143080324296, 5.393598192689564</t>
  </si>
  <si>
    <t>Luchthavenweg 052</t>
  </si>
  <si>
    <t>{"coordinates":[5.394393933219029,51.4594396434524],"type":"Point"}</t>
  </si>
  <si>
    <t>51.4594396434524, 5.394393933219029</t>
  </si>
  <si>
    <t>51.45943992838639, 5.394395375046043</t>
  </si>
  <si>
    <t>Meerplein GS001</t>
  </si>
  <si>
    <t>Meerplein</t>
  </si>
  <si>
    <t>GS001</t>
  </si>
  <si>
    <t>{"coordinates":[5.4094307435027025,51.4421795589886],"type":"Point"}</t>
  </si>
  <si>
    <t>51.4421795589886, 5.4094307435027025</t>
  </si>
  <si>
    <t>51.44217985466867, 5.409432106337509</t>
  </si>
  <si>
    <t>Meerplein GS008</t>
  </si>
  <si>
    <t>GS008</t>
  </si>
  <si>
    <t>{"coordinates":[5.409205288145807,51.44233690397336],"type":"Point"}</t>
  </si>
  <si>
    <t>51.44233690397336, 5.409205288145807</t>
  </si>
  <si>
    <t>51.44233719954237, 5.40920665195887</t>
  </si>
  <si>
    <t>Meerplein GS012</t>
  </si>
  <si>
    <t>GS012</t>
  </si>
  <si>
    <t>{"coordinates":[5.409349283556823,51.4426699965589],"type":"Point"}</t>
  </si>
  <si>
    <t>51.4426699965589, 5.409349283556823</t>
  </si>
  <si>
    <t>51.442670292383255, 5.409350649086962</t>
  </si>
  <si>
    <t>Luchthavenweg 043</t>
  </si>
  <si>
    <t>{"coordinates":[5.392790133526924,51.458046313268945],"type":"Point"}</t>
  </si>
  <si>
    <t>51.458046313268945, 5.392790133526924</t>
  </si>
  <si>
    <t>51.45804659559818, 5.392791567092579</t>
  </si>
  <si>
    <t>Pixelhof 008</t>
  </si>
  <si>
    <t>{"coordinates":[5.446368278818614,51.450631675190074],"type":"Point"}</t>
  </si>
  <si>
    <t>51.450631675190074, 5.446368278818614</t>
  </si>
  <si>
    <t>51.45063200090486, 5.446369636067797</t>
  </si>
  <si>
    <t>Pixelhof 014</t>
  </si>
  <si>
    <t>{"coordinates":[5.446267948051813,51.45091891398597],"type":"Point"}</t>
  </si>
  <si>
    <t>51.45091891398597, 5.446267948051813</t>
  </si>
  <si>
    <t>51.450919239948696, 5.446269307417533</t>
  </si>
  <si>
    <t>Elburglaan 201</t>
  </si>
  <si>
    <t>GRN10/830 PSDD I S</t>
  </si>
  <si>
    <t>{"coordinates":[5.442170016937598,51.45076928539638],"type":"Point"}</t>
  </si>
  <si>
    <t>51.45076928539638, 5.442170016937598</t>
  </si>
  <si>
    <t>51.4507696093867, 5.442171385971352</t>
  </si>
  <si>
    <t>Bosuil 011</t>
  </si>
  <si>
    <t>LED15-4S/830 MDV</t>
  </si>
  <si>
    <t>2053-07-10</t>
  </si>
  <si>
    <t>{"coordinates":[5.412573483990412,51.443049680318076],"type":"Point"}</t>
  </si>
  <si>
    <t>51.443049680318076, 5.412573483990412</t>
  </si>
  <si>
    <t>51.44304997885841, 5.412574849863807</t>
  </si>
  <si>
    <t>Meerring 003</t>
  </si>
  <si>
    <t>Meerring</t>
  </si>
  <si>
    <t>LED20/830 MDS</t>
  </si>
  <si>
    <t>2043-10-02</t>
  </si>
  <si>
    <t>2053-10-02</t>
  </si>
  <si>
    <t>{"coordinates":[5.408427773734563,51.441145710097416],"type":"Point"}</t>
  </si>
  <si>
    <t>51.441145710097416, 5.408427773734563</t>
  </si>
  <si>
    <t>51.441146004547335, 5.408429131614433</t>
  </si>
  <si>
    <t>Meerring 004</t>
  </si>
  <si>
    <t>{"coordinates":[5.40834910310149,51.441236440031915],"type":"Point"}</t>
  </si>
  <si>
    <t>51.441236440031915, 5.40834910310149</t>
  </si>
  <si>
    <t>51.44123673445846, 5.408350461516111</t>
  </si>
  <si>
    <t>Meerring 006</t>
  </si>
  <si>
    <t>{"coordinates":[5.407988563135828,51.44140153044778],"type":"Point"}</t>
  </si>
  <si>
    <t>51.44140153044778, 5.407988563135828</t>
  </si>
  <si>
    <t>51.44140182466054, 5.407989922655542</t>
  </si>
  <si>
    <t>Meerring 008</t>
  </si>
  <si>
    <t>{"coordinates":[5.407871083448591,51.44157368015103],"type":"Point"}</t>
  </si>
  <si>
    <t>51.44157368015103, 5.407871083448591</t>
  </si>
  <si>
    <t>51.441573974341274, 5.407872443943436</t>
  </si>
  <si>
    <t>LED15/830 DV DF-S</t>
  </si>
  <si>
    <t>Heraultlaan 012</t>
  </si>
  <si>
    <t>2026-07-03</t>
  </si>
  <si>
    <t>{"coordinates":[5.440271263341401,51.48624869671417],"type":"Point"}</t>
  </si>
  <si>
    <t>51.48624869671417, 5.440271263341401</t>
  </si>
  <si>
    <t>51.48624905079349, 5.440272808265596</t>
  </si>
  <si>
    <t>PHILIPS CityZen HPS1</t>
  </si>
  <si>
    <t>2018-07-01</t>
  </si>
  <si>
    <t>2016-12-27</t>
  </si>
  <si>
    <t>Zandkasteel 137</t>
  </si>
  <si>
    <t>BRUG OVER BEATRIXKANAAL</t>
  </si>
  <si>
    <t>LED Philips 3014 SMD</t>
  </si>
  <si>
    <t>Ledrail FR4 Led-e-Lu</t>
  </si>
  <si>
    <t>2048-09-23</t>
  </si>
  <si>
    <t>{"coordinates":[5.413985602725028,51.44862736027758],"type":"Point"}</t>
  </si>
  <si>
    <t>51.44862736027758, 5.413985602725028</t>
  </si>
  <si>
    <t>51.44862766233258, 5.413986999346593</t>
  </si>
  <si>
    <t>Zandkasteel 140</t>
  </si>
  <si>
    <t>{"coordinates":[5.414030027571458,51.448705596324565],"type":"Point"}</t>
  </si>
  <si>
    <t>51.448705596324565, 5.414030027571458</t>
  </si>
  <si>
    <t>51.44870589844865, 5.414031424624636</t>
  </si>
  <si>
    <t>Zandkasteel 141</t>
  </si>
  <si>
    <t>{"coordinates":[5.414046226548499,51.44873179452892],"type":"Point"}</t>
  </si>
  <si>
    <t>51.44873179452892, 5.414046226548499</t>
  </si>
  <si>
    <t>51.448732096677176, 5.4140476237459945</t>
  </si>
  <si>
    <t>Zandkasteel 145</t>
  </si>
  <si>
    <t>{"coordinates":[5.414106059444004,51.44883621994354],"type":"Point"}</t>
  </si>
  <si>
    <t>51.44883621994354, 5.414106059444004</t>
  </si>
  <si>
    <t>51.448836522184486, 5.414107457218275</t>
  </si>
  <si>
    <t>Zandkasteel 148</t>
  </si>
  <si>
    <t>{"coordinates":[5.4141526857418745,51.44891456329427],"type":"Point"}</t>
  </si>
  <si>
    <t>51.44891456329427, 5.4141526857418745</t>
  </si>
  <si>
    <t>51.44891486560614, 5.414154083948869</t>
  </si>
  <si>
    <t>Zandkasteel 151</t>
  </si>
  <si>
    <t>{"coordinates":[5.414199370017793,51.44899337402317],"type":"Point"}</t>
  </si>
  <si>
    <t>51.44899337402317, 5.414199370017793</t>
  </si>
  <si>
    <t>51.44899367640624, 5.414200768660576</t>
  </si>
  <si>
    <t>Zandkasteel 152</t>
  </si>
  <si>
    <t>{"coordinates":[5.414209037555789,51.44901853104466],"type":"Point"}</t>
  </si>
  <si>
    <t>51.44901853104466, 5.414209037555789</t>
  </si>
  <si>
    <t>51.44901883344628, 5.414210436338865</t>
  </si>
  <si>
    <t>Zandkasteel 157</t>
  </si>
  <si>
    <t>{"coordinates":[5.414001821278885,51.44853982487093],"type":"Point"}</t>
  </si>
  <si>
    <t>51.44853982487093, 5.414001821278885</t>
  </si>
  <si>
    <t>51.44854012690143, 5.414003217402249</t>
  </si>
  <si>
    <t>Zandkasteel 158</t>
  </si>
  <si>
    <t>{"coordinates":[5.414017631702106,51.448565897328294],"type":"Point"}</t>
  </si>
  <si>
    <t>51.448565897328294, 5.414017631702106</t>
  </si>
  <si>
    <t>51.44856619938258, 5.414019027969022</t>
  </si>
  <si>
    <t>Zandkasteel 160</t>
  </si>
  <si>
    <t>{"coordinates":[5.41404767016296,51.448617961706],"type":"Point"}</t>
  </si>
  <si>
    <t>51.448617961706, 5.41404767016296</t>
  </si>
  <si>
    <t>51.448618263806694, 5.4140490667169106</t>
  </si>
  <si>
    <t>Zandkasteel 162</t>
  </si>
  <si>
    <t>{"coordinates":[5.414078125837188,51.44866997204679],"type":"Point"}</t>
  </si>
  <si>
    <t>51.44866997204679, 5.414078125837188</t>
  </si>
  <si>
    <t>51.448670274194164, 5.414079522678004</t>
  </si>
  <si>
    <t>Zandkasteel 166</t>
  </si>
  <si>
    <t>{"coordinates":[5.414138850330233,51.44877390286092],"type":"Point"}</t>
  </si>
  <si>
    <t>51.44877390286092, 5.414138850330233</t>
  </si>
  <si>
    <t>51.4487742051015, 5.414140247744768</t>
  </si>
  <si>
    <t>Zandkasteel 167</t>
  </si>
  <si>
    <t>{"coordinates":[5.414154157788033,51.44880059563472],"type":"Point"}</t>
  </si>
  <si>
    <t>51.44880059563472, 5.414154157788033</t>
  </si>
  <si>
    <t>51.448800897898984, 5.414155555350077</t>
  </si>
  <si>
    <t>Zandkasteel 169</t>
  </si>
  <si>
    <t>{"coordinates":[5.4141848582953465,51.448852668810645],"type":"Point"}</t>
  </si>
  <si>
    <t>51.448852668810645, 5.4141848582953465</t>
  </si>
  <si>
    <t>51.44885297112183, 5.414186256145134</t>
  </si>
  <si>
    <t>Zandkasteel 174</t>
  </si>
  <si>
    <t>{"coordinates":[5.414257136011476,51.44898290669377],"type":"Point"}</t>
  </si>
  <si>
    <t>51.44898290669377, 5.414257136011476</t>
  </si>
  <si>
    <t>51.4489832091187, 5.414258534582594</t>
  </si>
  <si>
    <t>Zandkasteel 177</t>
  </si>
  <si>
    <t>{"coordinates":[5.414304137013765,51.449061708317615],"type":"Point"}</t>
  </si>
  <si>
    <t>51.449061708317615, 5.414304137013765</t>
  </si>
  <si>
    <t>51.449062010813996, 5.414305536021161</t>
  </si>
  <si>
    <t>Zandgolf 201</t>
  </si>
  <si>
    <t>LED 45 SMD leds 5500</t>
  </si>
  <si>
    <t>LEDRAIL 60.3 750 U W</t>
  </si>
  <si>
    <t>{"coordinates":[5.410556062033886,51.45112167778436],"type":"Point"}</t>
  </si>
  <si>
    <t>51.45112167778436, 5.410556062033886</t>
  </si>
  <si>
    <t>51.451121978195495, 5.410557473207407</t>
  </si>
  <si>
    <t>Zandgolf 203</t>
  </si>
  <si>
    <t>{"coordinates":[5.410624227663612,51.451157420876754],"type":"Point"}</t>
  </si>
  <si>
    <t>51.451157420876754, 5.410624227663612</t>
  </si>
  <si>
    <t>51.451157721364254, 5.410625639023816</t>
  </si>
  <si>
    <t>Zandgolf 210</t>
  </si>
  <si>
    <t>{"coordinates":[5.410857536889973,51.45128490446143],"type":"Point"}</t>
  </si>
  <si>
    <t>51.45128490446143, 5.410857536889973</t>
  </si>
  <si>
    <t>51.45128520521441, 5.410858948918497</t>
  </si>
  <si>
    <t>Zandgolf 213</t>
  </si>
  <si>
    <t>{"coordinates":[5.410958887650869,51.4513398583149],"type":"Point"}</t>
  </si>
  <si>
    <t>51.4513398583149, 5.410958887650869</t>
  </si>
  <si>
    <t>51.45134015918382, 5.410960299967787</t>
  </si>
  <si>
    <t>Zandgolf 216</t>
  </si>
  <si>
    <t>{"coordinates":[5.41106114484502,51.45139453324356],"type":"Point"}</t>
  </si>
  <si>
    <t>51.45139453324356, 5.41106114484502</t>
  </si>
  <si>
    <t>51.451394834229596, 5.411062557448962</t>
  </si>
  <si>
    <t>Zandgolf 217</t>
  </si>
  <si>
    <t>{"coordinates":[5.4110951922894515,51.45141280015476],"type":"Point"}</t>
  </si>
  <si>
    <t>51.45141280015476, 5.4110951922894515</t>
  </si>
  <si>
    <t>51.45141310117994, 5.411096604989357</t>
  </si>
  <si>
    <t>Zandgolf 219</t>
  </si>
  <si>
    <t>{"coordinates":[5.410625614805616,51.451113106471674],"type":"Point"}</t>
  </si>
  <si>
    <t>51.451113106471674, 5.410625614805616</t>
  </si>
  <si>
    <t>51.45111340694061, 5.410627025920701</t>
  </si>
  <si>
    <t>Zandgolf 223</t>
  </si>
  <si>
    <t>{"coordinates":[5.410759271052983,51.45118581553977],"type":"Point"}</t>
  </si>
  <si>
    <t>51.45118581553977, 5.410759271052983</t>
  </si>
  <si>
    <t>51.451186116160045, 5.410760682548838</t>
  </si>
  <si>
    <t>Zandgolf 226</t>
  </si>
  <si>
    <t>{"coordinates":[5.410861599514386,51.45124033782307],"type":"Point"}</t>
  </si>
  <si>
    <t>51.45124033782307, 5.410861599514386</t>
  </si>
  <si>
    <t>51.451240638559334, 5.41086301129572</t>
  </si>
  <si>
    <t>Zandgolf 231</t>
  </si>
  <si>
    <t>{"coordinates":[5.411028685320686,51.45133143052977],"type":"Point"}</t>
  </si>
  <si>
    <t>51.45133143052977, 5.411028685320686</t>
  </si>
  <si>
    <t>51.451331731457365, 5.411030097580198</t>
  </si>
  <si>
    <t>Gashouder 12-1</t>
  </si>
  <si>
    <t>Gashouder</t>
  </si>
  <si>
    <t>12-1</t>
  </si>
  <si>
    <t>OMA Easylight LED</t>
  </si>
  <si>
    <t>! Valmont antiek onbekend</t>
  </si>
  <si>
    <t>{"coordinates":[5.488285629363447,51.43885049088583],"type":"Point"}</t>
  </si>
  <si>
    <t>51.43885049088583, 5.488285629363447</t>
  </si>
  <si>
    <t>51.43885081761536, 5.488286769837913</t>
  </si>
  <si>
    <t>Gashouder 16-1</t>
  </si>
  <si>
    <t>16-1</t>
  </si>
  <si>
    <t>{"coordinates":[5.489087827703038,51.43902129559483],"type":"Point"}</t>
  </si>
  <si>
    <t>51.43902129559483, 5.489087827703038</t>
  </si>
  <si>
    <t>51.43902162268588, 5.489088966096888</t>
  </si>
  <si>
    <t>230</t>
  </si>
  <si>
    <t>Houtblazersstraat 005</t>
  </si>
  <si>
    <t>328 Tongelresche Akkers</t>
  </si>
  <si>
    <t>Houtblazersstraat</t>
  </si>
  <si>
    <t>LED20/830 PSD-SR I D</t>
  </si>
  <si>
    <t>AL 4 NEDAL K040PT01.6F.011</t>
  </si>
  <si>
    <t>{"coordinates":[5.5201853161288925,51.434178836130535],"type":"Point"}</t>
  </si>
  <si>
    <t>51.434178836130535, 5.5201853161288925</t>
  </si>
  <si>
    <t>51.434179168746844, 5.52018631949241</t>
  </si>
  <si>
    <t>Houtblazersstraat 007</t>
  </si>
  <si>
    <t>{"coordinates":[5.5202805693488335,51.43390097712544],"type":"Point"}</t>
  </si>
  <si>
    <t>51.43390097712544, 5.5202805693488335</t>
  </si>
  <si>
    <t>51.43390130947065, 5.5202815711243485</t>
  </si>
  <si>
    <t>Houtblazersstraat 009</t>
  </si>
  <si>
    <t>{"coordinates":[5.521226274103091,51.43381108455436],"type":"Point"}</t>
  </si>
  <si>
    <t>51.43381108455436, 5.521226274103091</t>
  </si>
  <si>
    <t>51.433811417140994, 5.5212272724360885</t>
  </si>
  <si>
    <t>Fagotstraat 002</t>
  </si>
  <si>
    <t>Fagotstraat</t>
  </si>
  <si>
    <t>{"coordinates":[5.521144728027682,51.43464074361439],"type":"Point"}</t>
  </si>
  <si>
    <t>51.43464074361439, 5.521144728027682</t>
  </si>
  <si>
    <t>51.43464107709584, 5.521145730427067</t>
  </si>
  <si>
    <t>Fagotstraat 003</t>
  </si>
  <si>
    <t>{"coordinates":[5.521097998235678,51.434447810395724],"type":"Point"}</t>
  </si>
  <si>
    <t>51.434447810395724, 5.521097998235678</t>
  </si>
  <si>
    <t>51.434448143644964, 5.521098999900706</t>
  </si>
  <si>
    <t>Fagotstraat 005</t>
  </si>
  <si>
    <t>{"coordinates":[5.521012101232032,51.434090339435265],"type":"Point"}</t>
  </si>
  <si>
    <t>51.434090339435265, 5.521012101232032</t>
  </si>
  <si>
    <t>51.43409067225527, 5.521013101532698</t>
  </si>
  <si>
    <t>Fagotstraat 006</t>
  </si>
  <si>
    <t>{"coordinates":[5.520965372042078,51.433897226382726],"type":"Point"}</t>
  </si>
  <si>
    <t>51.433897226382726, 5.520965372042078</t>
  </si>
  <si>
    <t>51.433897558971076, 5.520966371605962</t>
  </si>
  <si>
    <t>Klavecimbellaan 039</t>
  </si>
  <si>
    <t>Klavecimbellaan</t>
  </si>
  <si>
    <t>{"coordinates":[5.52501377286459,51.437723211875706],"type":"Point"}</t>
  </si>
  <si>
    <t>51.437723211875706, 5.52501377286459</t>
  </si>
  <si>
    <t>51.43772355042224, 5.525014776541465</t>
  </si>
  <si>
    <t>Tenierslaan 007</t>
  </si>
  <si>
    <t>Tenierslaan</t>
  </si>
  <si>
    <t>LED20/730 DV</t>
  </si>
  <si>
    <t>2050-05-16</t>
  </si>
  <si>
    <t>{"coordinates":[5.495817265237986,51.4366327911528],"type":"Point"}</t>
  </si>
  <si>
    <t>51.4366327911528, 5.495817265237986</t>
  </si>
  <si>
    <t>51.436633117115825, 5.495818363885177</t>
  </si>
  <si>
    <t>5404 SCHIMMELT WEST (BOSCHD.) 012</t>
  </si>
  <si>
    <t>{"coordinates":[5.474747586224418,51.4433481624518],"type":"Point"}</t>
  </si>
  <si>
    <t>51.4433481624518, 5.474747586224418</t>
  </si>
  <si>
    <t>51.443348490457126, 5.474748803820366</t>
  </si>
  <si>
    <t>5404 SCHIMMELT WEST (BOSCHD.) 013</t>
  </si>
  <si>
    <t>{"coordinates":[5.4748100164653195,51.443200764244374],"type":"Point"}</t>
  </si>
  <si>
    <t>51.443200764244374, 5.4748100164653195</t>
  </si>
  <si>
    <t>51.4432010920953, 5.474811232902734</t>
  </si>
  <si>
    <t>5404 SCHIMMELT WEST (BOSCHD.) 016</t>
  </si>
  <si>
    <t>{"coordinates":[5.474526973169725,51.4433058656956],"type":"Point"}</t>
  </si>
  <si>
    <t>51.4433058656956, 5.474526973169725</t>
  </si>
  <si>
    <t>51.44330619359039, 5.474528191307131</t>
  </si>
  <si>
    <t>5404 SCHIMMELT WEST (BOSCHD.) 018</t>
  </si>
  <si>
    <t>{"coordinates":[5.474390449606444,51.4432794964135],"type":"Point"}</t>
  </si>
  <si>
    <t>51.4432794964135, 5.474390449606444</t>
  </si>
  <si>
    <t>51.44327982423402, 5.474391668081631</t>
  </si>
  <si>
    <t>005B</t>
  </si>
  <si>
    <t>Stadhuisplein 038</t>
  </si>
  <si>
    <t>PRACHT PPR20 TLD 36</t>
  </si>
  <si>
    <t>1996-12-17</t>
  </si>
  <si>
    <t>BB ZITBANK</t>
  </si>
  <si>
    <t>2036-12-17</t>
  </si>
  <si>
    <t>{"coordinates":[5.480188602175287,51.43570305069397],"type":"Point"}</t>
  </si>
  <si>
    <t>51.43570305069397, 5.480188602175287</t>
  </si>
  <si>
    <t>51.435703372472034, 5.480189755126196</t>
  </si>
  <si>
    <t>Stadhuisplein 039</t>
  </si>
  <si>
    <t>{"coordinates":[5.480103367243718,51.43567648530604],"type":"Point"}</t>
  </si>
  <si>
    <t>51.43567648530604, 5.480103367243718</t>
  </si>
  <si>
    <t>51.4356768070354, 5.48010452035005</t>
  </si>
  <si>
    <t>Stadhuisplein 042</t>
  </si>
  <si>
    <t>{"coordinates":[5.479963889416973,51.43562332965005],"type":"Point"}</t>
  </si>
  <si>
    <t>51.43562332965005, 5.479963889416973</t>
  </si>
  <si>
    <t>51.43562365129065, 5.479965042722978</t>
  </si>
  <si>
    <t>Stadhuisplein 047</t>
  </si>
  <si>
    <t>AGMI F2 TLD 58 W</t>
  </si>
  <si>
    <t>1996-12-15</t>
  </si>
  <si>
    <t>{"coordinates":[5.480589859338485,51.43572543486427],"type":"Point"}</t>
  </si>
  <si>
    <t>51.43572543486427, 5.480589859338485</t>
  </si>
  <si>
    <t>51.435725756775845, 5.480591010980046</t>
  </si>
  <si>
    <t>Stadhuisplein 048</t>
  </si>
  <si>
    <t>{"coordinates":[5.480602320392268,51.43571470137713],"type":"Point"}</t>
  </si>
  <si>
    <t>51.43571470137713, 5.480602320392268</t>
  </si>
  <si>
    <t>51.435715023282185, 5.4806034719289505</t>
  </si>
  <si>
    <t>Stadhuisplein 049</t>
  </si>
  <si>
    <t>{"coordinates":[5.4806142480051765,51.435703321132145],"type":"Point"}</t>
  </si>
  <si>
    <t>51.435703321132145, 5.4806142480051765</t>
  </si>
  <si>
    <t>51.43570364302989, 5.480615399435266</t>
  </si>
  <si>
    <t>Stadhuisplein 055</t>
  </si>
  <si>
    <t>{"coordinates":[5.480681670673959,51.43564154177562],"type":"Point"}</t>
  </si>
  <si>
    <t>51.43564154177562, 5.480681670673959</t>
  </si>
  <si>
    <t>51.43564186363462, 5.480682821515927</t>
  </si>
  <si>
    <t>220</t>
  </si>
  <si>
    <t>671</t>
  </si>
  <si>
    <t>708</t>
  </si>
  <si>
    <t>713</t>
  </si>
  <si>
    <t>606</t>
  </si>
  <si>
    <t>Clausplein 002</t>
  </si>
  <si>
    <t>9 LED 27W Belkis 5</t>
  </si>
  <si>
    <t>Belkis 5 Inground LE</t>
  </si>
  <si>
    <t>{"coordinates":[5.474477885677802,51.43864674205708],"type":"Point"}</t>
  </si>
  <si>
    <t>51.43864674205708, 5.474477885677802</t>
  </si>
  <si>
    <t>51.43864706500438, 5.474479075864053</t>
  </si>
  <si>
    <t>Lichtplein 026</t>
  </si>
  <si>
    <t>2012-12-14</t>
  </si>
  <si>
    <t>MAZDA RENNES 2x58 W</t>
  </si>
  <si>
    <t>3</t>
  </si>
  <si>
    <t>{"coordinates":[5.474539695264874,51.44000349984917],"type":"Point"}</t>
  </si>
  <si>
    <t>51.44000349984917, 5.474539695264874</t>
  </si>
  <si>
    <t>51.440003824080456, 5.474540892972506</t>
  </si>
  <si>
    <t>2031-02-24</t>
  </si>
  <si>
    <t>Lichtplein 027</t>
  </si>
  <si>
    <t>2027-09-11</t>
  </si>
  <si>
    <t>{"coordinates":[5.47451353600603,51.44003507870245],"type":"Point"}</t>
  </si>
  <si>
    <t>51.44003507870245, 5.47451353600603</t>
  </si>
  <si>
    <t>51.44003540295592, 5.474514733990027</t>
  </si>
  <si>
    <t>Lichtplein 029</t>
  </si>
  <si>
    <t>{"coordinates":[5.474431134530348,51.44010130609955],"type":"Point"}</t>
  </si>
  <si>
    <t>51.44010130609955, 5.474431134530348</t>
  </si>
  <si>
    <t>51.44010163039175, 5.474432333195062</t>
  </si>
  <si>
    <t>Lichtplein 030</t>
  </si>
  <si>
    <t>{"coordinates":[5.47459034252301,51.44008905197089],"type":"Point"}</t>
  </si>
  <si>
    <t>51.44008905197089, 5.47459034252301</t>
  </si>
  <si>
    <t>51.44008937629599, 5.474591540534411</t>
  </si>
  <si>
    <t>Lichtplein 033</t>
  </si>
  <si>
    <t>{"coordinates":[5.474632225887075,51.44015700184504],"type":"Point"}</t>
  </si>
  <si>
    <t>51.44015700184504, 5.474632225887075</t>
  </si>
  <si>
    <t>51.440157326244986, 5.474633424133772</t>
  </si>
  <si>
    <t>Lichtplein 034</t>
  </si>
  <si>
    <t>{"coordinates":[5.474651703104303,51.44018854644084],"type":"Point"}</t>
  </si>
  <si>
    <t>51.44018854644084, 5.474651703104303</t>
  </si>
  <si>
    <t>51.44018887087561, 5.474652901460067</t>
  </si>
  <si>
    <t>Lichtplein 031</t>
  </si>
  <si>
    <t>{"coordinates":[5.474508878418304,51.44013402949798],"type":"Point"}</t>
  </si>
  <si>
    <t>51.44013402949798, 5.474508878418304</t>
  </si>
  <si>
    <t>51.440134353842495, 5.474510076984404</t>
  </si>
  <si>
    <t>Stadhuisplein 065</t>
  </si>
  <si>
    <t>{"coordinates":[5.480927931211274,51.4354708195981],"type":"Point"}</t>
  </si>
  <si>
    <t>51.4354708195981, 5.480927931211274</t>
  </si>
  <si>
    <t>51.43547114136672, 5.480929080214537</t>
  </si>
  <si>
    <t>Stadhuisplein 067</t>
  </si>
  <si>
    <t>{"coordinates":[5.480959507215225,51.4354472438407],"type":"Point"}</t>
  </si>
  <si>
    <t>51.4354472438407, 5.480959507215225</t>
  </si>
  <si>
    <t>51.43544756559617, 5.480960655973342</t>
  </si>
  <si>
    <t>Hovenring 028</t>
  </si>
  <si>
    <t>Hovenring</t>
  </si>
  <si>
    <t>104 LED 8488 Lumen 2</t>
  </si>
  <si>
    <t>PHILIPS Powercore DC</t>
  </si>
  <si>
    <t>2032-06-01</t>
  </si>
  <si>
    <t>2052-06-01</t>
  </si>
  <si>
    <t>{"coordinates":[5.419882011582781,51.43337626573736],"type":"Point"}</t>
  </si>
  <si>
    <t>51.43337626573736, 5.419882011582781</t>
  </si>
  <si>
    <t>51.43337656578049, 5.419883319348351</t>
  </si>
  <si>
    <t>2043-12-31</t>
  </si>
  <si>
    <t>Lichtplein 075</t>
  </si>
  <si>
    <t>CDM-R  35W</t>
  </si>
  <si>
    <t>cdm-r</t>
  </si>
  <si>
    <t>PHILIPS DHF605 CDM-R</t>
  </si>
  <si>
    <t>{"coordinates":[5.474329612879158,51.439185903843416],"type":"Point"}</t>
  </si>
  <si>
    <t>51.439185903843416, 5.474329612879158</t>
  </si>
  <si>
    <t>51.43918622725267, 5.474330806686227</t>
  </si>
  <si>
    <t>Lichtplein 076</t>
  </si>
  <si>
    <t>{"coordinates":[5.47433935928496,51.439205923309686],"type":"Point"}</t>
  </si>
  <si>
    <t>51.439205923309686, 5.47433935928496</t>
  </si>
  <si>
    <t>51.43920624674033, 5.474340553170838</t>
  </si>
  <si>
    <t>Lichtplein 080</t>
  </si>
  <si>
    <t>{"coordinates":[5.474380285511747,51.43928541544916],"type":"Point"}</t>
  </si>
  <si>
    <t>51.43928541544916, 5.474380285511747</t>
  </si>
  <si>
    <t>51.439285738965474, 5.474381479702163</t>
  </si>
  <si>
    <t>Lichtplein 084</t>
  </si>
  <si>
    <t>{"coordinates":[5.474413418625232,51.43935094501643],"type":"Point"}</t>
  </si>
  <si>
    <t>51.43935094501643, 5.474413418625232</t>
  </si>
  <si>
    <t>51.4393512686032, 5.4744146130688005</t>
  </si>
  <si>
    <t>Ten Hagestraat 032</t>
  </si>
  <si>
    <t>ERCO LIGHTMARK BOLDE</t>
  </si>
  <si>
    <t>BB LIGHTMARK BODEMSTUK ERCO</t>
  </si>
  <si>
    <t>{"coordinates":[5.481496220036292,51.43763327848915],"type":"Point"}</t>
  </si>
  <si>
    <t>51.43763327848915, 5.481496220036292</t>
  </si>
  <si>
    <t>51.43763360243852, 5.4814973791276325</t>
  </si>
  <si>
    <t>Vestdijk 116</t>
  </si>
  <si>
    <t>NORTON DFP TLD 18 W</t>
  </si>
  <si>
    <t>{"coordinates":[5.48209130533909,51.43762056136114],"type":"Point"}</t>
  </si>
  <si>
    <t>51.43762056136114, 5.48209130533909</t>
  </si>
  <si>
    <t>51.437620885466615, 5.482092462213573</t>
  </si>
  <si>
    <t>Stadhuisplein 122</t>
  </si>
  <si>
    <t>MASTER PL-S 5W/827/4</t>
  </si>
  <si>
    <t>2G7</t>
  </si>
  <si>
    <t>AGMI LZR PLS 5 W</t>
  </si>
  <si>
    <t>2014-03-31</t>
  </si>
  <si>
    <t>2044-03-31</t>
  </si>
  <si>
    <t>BB LICHTZUIL AGMI LZR VZ</t>
  </si>
  <si>
    <t>{"coordinates":[5.481847667095148,51.43537123595946],"type":"Point"}</t>
  </si>
  <si>
    <t>51.43537123595946, 5.481847667095148</t>
  </si>
  <si>
    <t>51.4353715578942, 5.481848812254558</t>
  </si>
  <si>
    <t>Schimmelt 011</t>
  </si>
  <si>
    <t>Schimmelt</t>
  </si>
  <si>
    <t>{"coordinates":[5.4753946035637915,51.443507627395675],"type":"Point"}</t>
  </si>
  <si>
    <t>51.443507627395675, 5.4753946035637915</t>
  </si>
  <si>
    <t>51.443507955763764, 5.4753958197966535</t>
  </si>
  <si>
    <t>Lichtplein 025A</t>
  </si>
  <si>
    <t>{"coordinates":[5.474380346405453,51.4400246797661],"type":"Point"}</t>
  </si>
  <si>
    <t>51.4400246797661, 5.474380346405453</t>
  </si>
  <si>
    <t>51.440025003972494, 5.474381544818924</t>
  </si>
  <si>
    <t>2027-01-03</t>
  </si>
  <si>
    <t>2047-11-30</t>
  </si>
  <si>
    <t>701</t>
  </si>
  <si>
    <t>806</t>
  </si>
  <si>
    <t>2049-03-16</t>
  </si>
  <si>
    <t>Pixelhof 022</t>
  </si>
  <si>
    <t>{"coordinates":[5.4455214585079625,51.450699787735914],"type":"Point"}</t>
  </si>
  <si>
    <t>51.450699787735914, 5.4455214585079625</t>
  </si>
  <si>
    <t>51.45070011314491, 5.4455228183955375</t>
  </si>
  <si>
    <t>Luchthavenweg 2000</t>
  </si>
  <si>
    <t>2000</t>
  </si>
  <si>
    <t>LED16-4S/830 DN10</t>
  </si>
  <si>
    <t>In40lux 100% - 21:00</t>
  </si>
  <si>
    <t>{"coordinates":[5.396380673452919,51.45984470750275],"type":"Point"}</t>
  </si>
  <si>
    <t>51.45984470750275, 5.396380673452919</t>
  </si>
  <si>
    <t>51.45984499521264, 5.396382119960205</t>
  </si>
  <si>
    <t>Achtseweg Noord 223</t>
  </si>
  <si>
    <t>{"coordinates":[5.419574814391751,51.471186178697366],"type":"Point"}</t>
  </si>
  <si>
    <t>51.471186178697366, 5.419574814391751</t>
  </si>
  <si>
    <t>51.47118650163242, 5.419576329463441</t>
  </si>
  <si>
    <t>Achtseweg Noord 226</t>
  </si>
  <si>
    <t>{"coordinates":[5.418658979200252,51.471880013782126],"type":"Point"}</t>
  </si>
  <si>
    <t>51.471880013782126, 5.418658979200252</t>
  </si>
  <si>
    <t>51.47188033620679, 5.418660497583568</t>
  </si>
  <si>
    <t>Achtseweg Noord 234</t>
  </si>
  <si>
    <t>{"coordinates":[5.416771142612323,51.47334584212405],"type":"Point"}</t>
  </si>
  <si>
    <t>51.47334584212405, 5.416771142612323</t>
  </si>
  <si>
    <t>51.473346163368205, 5.416772667767792</t>
  </si>
  <si>
    <t>Achtseweg Noord 236</t>
  </si>
  <si>
    <t>{"coordinates":[5.416067968561716,51.47378633806048],"type":"Point"}</t>
  </si>
  <si>
    <t>51.47378633806048, 5.416067968561716</t>
  </si>
  <si>
    <t>51.47378665873493, 5.416069495569416</t>
  </si>
  <si>
    <t>Achtseweg Noord 237</t>
  </si>
  <si>
    <t>{"coordinates":[5.415712976041123,51.47400050895777],"type":"Point"}</t>
  </si>
  <si>
    <t>51.47400050895777, 5.415712976041123</t>
  </si>
  <si>
    <t>51.474000829328865, 5.415714503695621</t>
  </si>
  <si>
    <t>1995-11-03</t>
  </si>
  <si>
    <t>Partituurlaan 023</t>
  </si>
  <si>
    <t>Partituurlaan</t>
  </si>
  <si>
    <t>SOX/E 91W</t>
  </si>
  <si>
    <t>SRS SOX/E 91 W</t>
  </si>
  <si>
    <t>2060-01-01</t>
  </si>
  <si>
    <t>{"coordinates":[5.527436954375361,51.43429689097001],"type":"Point"}</t>
  </si>
  <si>
    <t>51.43429689097001, 5.527436954375361</t>
  </si>
  <si>
    <t>51.434297226820156, 5.527437935388962</t>
  </si>
  <si>
    <t>'t Hofke 015</t>
  </si>
  <si>
    <t>{"coordinates":[5.518336823833267,51.449512680252596],"type":"Point"}</t>
  </si>
  <si>
    <t>51.449512680252596, 5.518336823833267</t>
  </si>
  <si>
    <t>51.44951302856322, 5.51833790954904</t>
  </si>
  <si>
    <t>'t Hofke 016</t>
  </si>
  <si>
    <t>{"coordinates":[5.5187534942238905,51.44945451038023],"type":"Point"}</t>
  </si>
  <si>
    <t>51.44945451038023, 5.5187534942238905</t>
  </si>
  <si>
    <t>51.44945485878896, 5.5187545779857</t>
  </si>
  <si>
    <t>'t Hofke 018</t>
  </si>
  <si>
    <t>{"coordinates":[5.519525823038046,51.44953768057228],"type":"Point"}</t>
  </si>
  <si>
    <t>51.44953768057228, 5.519525823038046</t>
  </si>
  <si>
    <t>51.44953802941539, 5.5195269041974235</t>
  </si>
  <si>
    <t>Wolvendijk 001</t>
  </si>
  <si>
    <t>{"coordinates":[5.520793843258641,51.449695259933236],"type":"Point"}</t>
  </si>
  <si>
    <t>51.449695259933236, 5.520793843258641</t>
  </si>
  <si>
    <t>51.44969560951003, 5.520794920256414</t>
  </si>
  <si>
    <t>Loostraat 011</t>
  </si>
  <si>
    <t>{"coordinates":[5.523388659559231,51.45021658965752],"type":"Point"}</t>
  </si>
  <si>
    <t>51.45021658965752, 5.523388659559231</t>
  </si>
  <si>
    <t>51.45021694094497, 5.523389729094298</t>
  </si>
  <si>
    <t>Loostraat 014</t>
  </si>
  <si>
    <t>{"coordinates":[5.524590830165219,51.45042482986255],"type":"Point"}</t>
  </si>
  <si>
    <t>51.45042482986255, 5.524590830165219</t>
  </si>
  <si>
    <t>51.45042518187915, 5.524591896073384</t>
  </si>
  <si>
    <t>Loostraat 015</t>
  </si>
  <si>
    <t>{"coordinates":[5.52481083038609,51.450468829531125],"type":"Point"}</t>
  </si>
  <si>
    <t>51.450468829531125, 5.52481083038609</t>
  </si>
  <si>
    <t>51.45046918167766, 5.524811895707763</t>
  </si>
  <si>
    <t>Loostraat 022</t>
  </si>
  <si>
    <t>2048-07-19</t>
  </si>
  <si>
    <t>{"coordinates":[5.52727652034058,51.45048069994882],"type":"Point"}</t>
  </si>
  <si>
    <t>51.45048069994882, 5.52727652034058</t>
  </si>
  <si>
    <t>51.45048105299719, 5.527277576529862</t>
  </si>
  <si>
    <t>Loostraat 028</t>
  </si>
  <si>
    <t>{"coordinates":[5.529703859765704,51.45008626915545],"type":"Point"}</t>
  </si>
  <si>
    <t>51.45008626915545, 5.529703859765704</t>
  </si>
  <si>
    <t>51.450086622594114, 5.529704904877019</t>
  </si>
  <si>
    <t>Loostraat 037</t>
  </si>
  <si>
    <t>2049-10-24</t>
  </si>
  <si>
    <t>2048-11-16</t>
  </si>
  <si>
    <t>2063-11-16</t>
  </si>
  <si>
    <t>{"coordinates":[5.5322084344387825,51.44889962974075],"type":"Point"}</t>
  </si>
  <si>
    <t>51.44889962974075, 5.5322084344387825</t>
  </si>
  <si>
    <t>51.448899982604615, 5.532209464322513</t>
  </si>
  <si>
    <t>TLM  65 W</t>
  </si>
  <si>
    <t>Lichtstraat 013</t>
  </si>
  <si>
    <t>{"coordinates":[5.471898248304761,51.438871234325305],"type":"Point"}</t>
  </si>
  <si>
    <t>51.438871234325305, 5.471898248304761</t>
  </si>
  <si>
    <t>51.43887155676575, 5.47189944918351</t>
  </si>
  <si>
    <t>Lichtstraat 016</t>
  </si>
  <si>
    <t>{"coordinates":[5.472051015140151,51.43916365040989],"type":"Point"}</t>
  </si>
  <si>
    <t>51.43916365040989, 5.472051015140151</t>
  </si>
  <si>
    <t>51.43916397316481, 5.472052217145338</t>
  </si>
  <si>
    <t>Nieuwe Emmasingel 050</t>
  </si>
  <si>
    <t>Nieuwe Emmasingel</t>
  </si>
  <si>
    <t>24 LED 16W 4000K 812</t>
  </si>
  <si>
    <t>RAVENNA G220/1,5t LE</t>
  </si>
  <si>
    <t>{"coordinates":[5.4761523090085555,51.44050936564067],"type":"Point"}</t>
  </si>
  <si>
    <t>51.44050936564067, 5.4761523090085555</t>
  </si>
  <si>
    <t>51.440509690786634, 5.4761535037196944</t>
  </si>
  <si>
    <t>Nieuwe Emmasingel 047</t>
  </si>
  <si>
    <t>{"coordinates":[5.475736868808259,51.439291537497084],"type":"Point"}</t>
  </si>
  <si>
    <t>51.439291537497084, 5.475736868808259</t>
  </si>
  <si>
    <t>51.43929186139185, 5.475738058103988</t>
  </si>
  <si>
    <t>Clausplein 4-35</t>
  </si>
  <si>
    <t>4-35</t>
  </si>
  <si>
    <t>{"coordinates":[5.473457238662381,51.43883293922358],"type":"Point"}</t>
  </si>
  <si>
    <t>51.43883293922358, 5.473457238662381</t>
  </si>
  <si>
    <t>51.438833262060236, 5.473458433634508</t>
  </si>
  <si>
    <t>Clausplein 4-32</t>
  </si>
  <si>
    <t>4-32</t>
  </si>
  <si>
    <t>{"coordinates":[5.473620781249187,51.438992816283374],"type":"Point"}</t>
  </si>
  <si>
    <t>51.438992816283374, 5.473620781249187</t>
  </si>
  <si>
    <t>51.43899313931471, 5.473621976540551</t>
  </si>
  <si>
    <t>Clausplein 4-31</t>
  </si>
  <si>
    <t>4-31</t>
  </si>
  <si>
    <t>{"coordinates":[5.473721419574609,51.43897251700462],"type":"Point"}</t>
  </si>
  <si>
    <t>51.43897251700462, 5.473721419574609</t>
  </si>
  <si>
    <t>51.438972840045054, 5.473722614382382</t>
  </si>
  <si>
    <t>Clausplein 3-27</t>
  </si>
  <si>
    <t>3-27</t>
  </si>
  <si>
    <t>{"coordinates":[5.474117070847526,51.43889258258904],"type":"Point"}</t>
  </si>
  <si>
    <t>51.43889258258904, 5.474117070847526</t>
  </si>
  <si>
    <t>51.43889290566515, 5.474118263754089</t>
  </si>
  <si>
    <t>Clausplein 3-23</t>
  </si>
  <si>
    <t>3-23</t>
  </si>
  <si>
    <t>{"coordinates":[5.474466858992659,51.43882202944431],"type":"Point"}</t>
  </si>
  <si>
    <t>51.43882202944431, 5.474466858992659</t>
  </si>
  <si>
    <t>51.43882235255217, 5.47446805022014</t>
  </si>
  <si>
    <t>Emmasingel 2-15</t>
  </si>
  <si>
    <t>2-15</t>
  </si>
  <si>
    <t>{"coordinates":[5.4747021223645325,51.4392552866178],"type":"Point"}</t>
  </si>
  <si>
    <t>51.4392552866178, 5.4747021223645325</t>
  </si>
  <si>
    <t>51.439255610195026, 5.474703315210252</t>
  </si>
  <si>
    <t>Emmasingel 2-14</t>
  </si>
  <si>
    <t>2-14</t>
  </si>
  <si>
    <t>{"coordinates":[5.474739346940398,51.439316651261855],"type":"Point"}</t>
  </si>
  <si>
    <t>51.439316651261855, 5.474739346940398</t>
  </si>
  <si>
    <t>51.43931697490659, 5.4747405400011955</t>
  </si>
  <si>
    <t>Emmasingel 2-13</t>
  </si>
  <si>
    <t>2-13</t>
  </si>
  <si>
    <t>{"coordinates":[5.474771106955239,51.439378379552075],"type":"Point"}</t>
  </si>
  <si>
    <t>51.439378379552075, 5.474771106955239</t>
  </si>
  <si>
    <t>51.43937870326311, 5.4747723002529005</t>
  </si>
  <si>
    <t>Emmasingel 2-11</t>
  </si>
  <si>
    <t>2-11</t>
  </si>
  <si>
    <t>{"coordinates":[5.474834626897909,51.43950165633256],"type":"Point"}</t>
  </si>
  <si>
    <t>51.43950165633256, 5.474834626897909</t>
  </si>
  <si>
    <t>51.43950198017609, 5.474835820668202</t>
  </si>
  <si>
    <t>Emmasingel 1-09</t>
  </si>
  <si>
    <t>1-09</t>
  </si>
  <si>
    <t>{"coordinates":[5.47489771605288,51.43962511317573],"type":"Point"}</t>
  </si>
  <si>
    <t>51.43962511317573, 5.47489771605288</t>
  </si>
  <si>
    <t>51.439625437151776, 5.474898910298128</t>
  </si>
  <si>
    <t>Emmasingel 1-06</t>
  </si>
  <si>
    <t>1-06</t>
  </si>
  <si>
    <t>{"coordinates":[5.4749925651287334,51.43980975889224],"type":"Point"}</t>
  </si>
  <si>
    <t>51.43980975889224, 5.4749925651287334</t>
  </si>
  <si>
    <t>51.439810083066654, 5.474993760082135</t>
  </si>
  <si>
    <t>Begijnenhof Kerk-004</t>
  </si>
  <si>
    <t>Kerk-004</t>
  </si>
  <si>
    <t>{"coordinates":[5.478805582209171,51.43669707044041],"type":"Point"}</t>
  </si>
  <si>
    <t>51.43669707044041, 5.478805582209171</t>
  </si>
  <si>
    <t>51.436697392760934, 5.478806745717543</t>
  </si>
  <si>
    <t>Begijnenhof Kerk-006</t>
  </si>
  <si>
    <t>Kerk-006</t>
  </si>
  <si>
    <t>{"coordinates":[5.478763278175638,51.4368423553081],"type":"Point"}</t>
  </si>
  <si>
    <t>51.4368423553081, 5.478763278175638</t>
  </si>
  <si>
    <t>51.4368426777526, 5.478764442656112</t>
  </si>
  <si>
    <t>Kerkstraat Kerk-007</t>
  </si>
  <si>
    <t>Kerk-007</t>
  </si>
  <si>
    <t>{"coordinates":[5.478834777739412,51.43694800315844],"type":"Point"}</t>
  </si>
  <si>
    <t>51.43694800315844, 5.478834777739412</t>
  </si>
  <si>
    <t>51.43694832572154, 5.478835942559268</t>
  </si>
  <si>
    <t>Kerkstraat Kerk-010</t>
  </si>
  <si>
    <t>Kerk-010</t>
  </si>
  <si>
    <t>{"coordinates":[5.4790343059902336,51.43704875277627],"type":"Point"}</t>
  </si>
  <si>
    <t>51.43704875277627, 5.4790343059902336</t>
  </si>
  <si>
    <t>51.437049075489156, 5.4790354706610795</t>
  </si>
  <si>
    <t>Kerkstraat Kerk-014</t>
  </si>
  <si>
    <t>Kerk-014</t>
  </si>
  <si>
    <t>{"coordinates":[5.479315565696732,51.43716878822343],"type":"Point"}</t>
  </si>
  <si>
    <t>51.43716878822343, 5.479315565696732</t>
  </si>
  <si>
    <t>51.43716911112691, 5.4793167300325845</t>
  </si>
  <si>
    <t>Kerkstraat Kerk-037</t>
  </si>
  <si>
    <t>Kerk-037</t>
  </si>
  <si>
    <t>{"coordinates":[5.478796363292924,51.43690249766702],"type":"Point"}</t>
  </si>
  <si>
    <t>51.43690249766702, 5.478796363292924</t>
  </si>
  <si>
    <t>51.43690282017695, 5.478797527993986</t>
  </si>
  <si>
    <t>Kerkstraat Kerk-041</t>
  </si>
  <si>
    <t>Kerk-041</t>
  </si>
  <si>
    <t>{"coordinates":[5.4790271321949815,51.43703152804592],"type":"Point"}</t>
  </si>
  <si>
    <t>51.43703152804592, 5.4790271321949815</t>
  </si>
  <si>
    <t>51.4370318507407, 5.479028296794438</t>
  </si>
  <si>
    <t>Kerkstraat Kerk-044</t>
  </si>
  <si>
    <t>Kerk-044</t>
  </si>
  <si>
    <t>{"coordinates":[5.479173638691038,51.43706610866514],"type":"Point"}</t>
  </si>
  <si>
    <t>51.43706610866514, 5.479173638691038</t>
  </si>
  <si>
    <t>51.43706643143308, 5.479174802958606</t>
  </si>
  <si>
    <t>Kerkstraat Kerk-042</t>
  </si>
  <si>
    <t>Kerk-042</t>
  </si>
  <si>
    <t>{"coordinates":[5.479021896329759,51.437014650547034],"type":"Point"}</t>
  </si>
  <si>
    <t>51.437014650547034, 5.479021896329759</t>
  </si>
  <si>
    <t>51.43701497322458, 5.479023060852863</t>
  </si>
  <si>
    <t>Kerkstraat Kerk-047</t>
  </si>
  <si>
    <t>Kerk-047</t>
  </si>
  <si>
    <t>{"coordinates":[5.479465559626745,51.437136125939],"type":"Point"}</t>
  </si>
  <si>
    <t>51.437136125939, 5.479465559626745</t>
  </si>
  <si>
    <t>51.43713644885388, 5.479466723238761</t>
  </si>
  <si>
    <t>Catharinaplein Kerk-050</t>
  </si>
  <si>
    <t>Kerk-050</t>
  </si>
  <si>
    <t>{"coordinates":[5.47955197493127,51.43714145061832],"type":"Point"}</t>
  </si>
  <si>
    <t>51.43714145061832, 5.47955197493127</t>
  </si>
  <si>
    <t>51.437141773562324, 5.4795531382623475</t>
  </si>
  <si>
    <t>Catharinaplein Kerk-055</t>
  </si>
  <si>
    <t>Kerk-055</t>
  </si>
  <si>
    <t>{"coordinates":[5.479566616163962,51.43713816622554],"type":"Point"}</t>
  </si>
  <si>
    <t>51.43713816622554, 5.479566616163962</t>
  </si>
  <si>
    <t>51.437138489170565, 5.47956777942385</t>
  </si>
  <si>
    <t>Catharinaplein Kerk-059</t>
  </si>
  <si>
    <t>Kerk-059</t>
  </si>
  <si>
    <t>{"coordinates":[5.479694211035732,51.43702083102759],"type":"Point"}</t>
  </si>
  <si>
    <t>51.43702083102759, 5.479694211035732</t>
  </si>
  <si>
    <t>51.43702115389867, 5.47969537317572</t>
  </si>
  <si>
    <t>Catharinaplein Kerk-051</t>
  </si>
  <si>
    <t>Kerk-051</t>
  </si>
  <si>
    <t>{"coordinates":[5.4795580098483745,51.43714089122917],"type":"Point"}</t>
  </si>
  <si>
    <t>51.43714089122917, 5.4795580098483745</t>
  </si>
  <si>
    <t>51.43714121417433, 5.479559173154578</t>
  </si>
  <si>
    <t>Catharinaplein Kerk-053</t>
  </si>
  <si>
    <t>Kerk-053</t>
  </si>
  <si>
    <t>{"coordinates":[5.4795572284413865,51.43715060141504],"type":"Point"}</t>
  </si>
  <si>
    <t>51.43715060141504, 5.4795572284413865</t>
  </si>
  <si>
    <t>51.43715092436903, 5.479558391805108</t>
  </si>
  <si>
    <t>Kerkstraat Kerk-072</t>
  </si>
  <si>
    <t>Kerk-072</t>
  </si>
  <si>
    <t>{"coordinates":[5.4790834596952696,51.43738342254994],"type":"Point"}</t>
  </si>
  <si>
    <t>51.43738342254994, 5.4790834596952696</t>
  </si>
  <si>
    <t>51.43738374558919, 5.479084626077055</t>
  </si>
  <si>
    <t>Catharinaplein Kerk-074</t>
  </si>
  <si>
    <t>Kerk-074</t>
  </si>
  <si>
    <t>CDO-TT250W</t>
  </si>
  <si>
    <t>2011-12-20</t>
  </si>
  <si>
    <t>MVF 617 WB (Catharin</t>
  </si>
  <si>
    <t>{"coordinates":[5.48000028985079,51.437210984625615],"type":"Point"}</t>
  </si>
  <si>
    <t>51.437210984625615, 5.48000028985079</t>
  </si>
  <si>
    <t>51.43721130776003, 5.480001451959928</t>
  </si>
  <si>
    <t>6304 TRAPVERLICHTING KASTELENP 205</t>
  </si>
  <si>
    <t>{"coordinates":[5.439970349429087,51.41915729526736],"type":"Point"}</t>
  </si>
  <si>
    <t>51.41915729526736, 5.439970349429087</t>
  </si>
  <si>
    <t>51.4191576007737, 5.439971551249908</t>
  </si>
  <si>
    <t>6304 TRAPVERLICHTING KASTELENP 206</t>
  </si>
  <si>
    <t>{"coordinates":[5.4399514125933495,51.41915428366465],"type":"Point"}</t>
  </si>
  <si>
    <t>51.41915428366465, 5.4399514125933495</t>
  </si>
  <si>
    <t>51.41915458916786, 5.439952614445069</t>
  </si>
  <si>
    <t>6304 TRAPVERLICHTING KASTELENP 207</t>
  </si>
  <si>
    <t>{"coordinates":[5.439951382801078,51.41906638329385],"type":"Point"}</t>
  </si>
  <si>
    <t>51.41906638329385, 5.439951382801078</t>
  </si>
  <si>
    <t>51.419066688790295, 5.439952584308095</t>
  </si>
  <si>
    <t>Charles Roelslaan 07-116</t>
  </si>
  <si>
    <t>Charles Roelslaan</t>
  </si>
  <si>
    <t>07-116</t>
  </si>
  <si>
    <t>{"coordinates":[5.473891376098838,51.40853418524813],"type":"Point"}</t>
  </si>
  <si>
    <t>51.40853418524813, 5.473891376098838</t>
  </si>
  <si>
    <t>51.40853449467446, 5.473892446925738</t>
  </si>
  <si>
    <t>St Trudoplein 035</t>
  </si>
  <si>
    <t>{"coordinates":[5.455529088052761,51.441153588112144],"type":"Point"}</t>
  </si>
  <si>
    <t>51.441153588112144, 5.455529088052761</t>
  </si>
  <si>
    <t>51.44115390782561, 5.455530358642903</t>
  </si>
  <si>
    <t>St Trudoplein 033</t>
  </si>
  <si>
    <t>{"coordinates":[5.455373587164781,51.441140286211436],"type":"Point"}</t>
  </si>
  <si>
    <t>51.441140286211436, 5.455373587164781</t>
  </si>
  <si>
    <t>51.44114060588655, 5.455374858131177</t>
  </si>
  <si>
    <t>St Trudoplein 030</t>
  </si>
  <si>
    <t>{"coordinates":[5.45516098043086,51.44112351189225],"type":"Point"}</t>
  </si>
  <si>
    <t>51.44112351189225, 5.45516098043086</t>
  </si>
  <si>
    <t>51.44112383151659, 5.455162251920471</t>
  </si>
  <si>
    <t>St Trudoplein 021</t>
  </si>
  <si>
    <t>{"coordinates":[5.454714850867361,51.441048626350366],"type":"Point"}</t>
  </si>
  <si>
    <t>51.441048626350366, 5.454714850867361</t>
  </si>
  <si>
    <t>51.441048945831014, 5.454716123204747</t>
  </si>
  <si>
    <t>Beukenlaan LED 015</t>
  </si>
  <si>
    <t>LED 015</t>
  </si>
  <si>
    <t>{"coordinates":[5.450201095710705,51.44131084095454],"type":"Point"}</t>
  </si>
  <si>
    <t>51.44131084095454, 5.450201095710705</t>
  </si>
  <si>
    <t>51.441311159947155, 5.450202383056466</t>
  </si>
  <si>
    <t>Beukenlaan LED 014</t>
  </si>
  <si>
    <t>LED 014</t>
  </si>
  <si>
    <t>{"coordinates":[5.4501897785660285,51.44134383550224],"type":"Point"}</t>
  </si>
  <si>
    <t>51.44134383550224, 5.4501897785660285</t>
  </si>
  <si>
    <t>51.44134415452089, 5.450191066155689</t>
  </si>
  <si>
    <t>Beukenlaan LED 013</t>
  </si>
  <si>
    <t>LED 013</t>
  </si>
  <si>
    <t>{"coordinates":[5.450168404245859,51.44138483540949],"type":"Point"}</t>
  </si>
  <si>
    <t>51.44138483540949, 5.450168404245859</t>
  </si>
  <si>
    <t>51.44138515445935, 5.450169692160308</t>
  </si>
  <si>
    <t>Beukenlaan LED 011</t>
  </si>
  <si>
    <t>LED 011</t>
  </si>
  <si>
    <t>{"coordinates":[5.4501042063751965,51.44145363346817],"type":"Point"}</t>
  </si>
  <si>
    <t>51.44145363346817, 5.4501042063751965</t>
  </si>
  <si>
    <t>51.441453952565645, 5.450105494918583</t>
  </si>
  <si>
    <t>Beukenlaan LED 010</t>
  </si>
  <si>
    <t>LED 010</t>
  </si>
  <si>
    <t>{"coordinates":[5.450069584928451,51.44148412377617],"type":"Point"}</t>
  </si>
  <si>
    <t>51.44148412377617, 5.450069584928451</t>
  </si>
  <si>
    <t>51.441484442893604, 5.450070873768919</t>
  </si>
  <si>
    <t>Beukenlaan LED 009</t>
  </si>
  <si>
    <t>LED 009</t>
  </si>
  <si>
    <t>{"coordinates":[5.450023884431899,51.44151174368354],"type":"Point"}</t>
  </si>
  <si>
    <t>51.44151174368354, 5.450023884431899</t>
  </si>
  <si>
    <t>51.441512062816656, 5.450025173584003</t>
  </si>
  <si>
    <t>Beukenlaan LED 007</t>
  </si>
  <si>
    <t>LED 007</t>
  </si>
  <si>
    <t>{"coordinates":[5.449938937180987,51.441553496959],"type":"Point"}</t>
  </si>
  <si>
    <t>51.441553496959, 5.449938937180987</t>
  </si>
  <si>
    <t>51.44155381611311, 5.449940226851312</t>
  </si>
  <si>
    <t>Beukenlaan LED 004</t>
  </si>
  <si>
    <t>LED 004</t>
  </si>
  <si>
    <t>{"coordinates":[5.449752445726906,51.441596293575834],"type":"Point"}</t>
  </si>
  <si>
    <t>51.441596293575834, 5.449752445726906</t>
  </si>
  <si>
    <t>51.44159661273471, 5.449753736223326</t>
  </si>
  <si>
    <t>Beukenlaan LED 003</t>
  </si>
  <si>
    <t>LED 003</t>
  </si>
  <si>
    <t>{"coordinates":[5.449680968717763,51.44160181507935],"type":"Point"}</t>
  </si>
  <si>
    <t>51.44160181507935, 5.449680968717763</t>
  </si>
  <si>
    <t>51.4416021342309, 5.449682259461424</t>
  </si>
  <si>
    <t>Beukenlaan LED 002</t>
  </si>
  <si>
    <t>LED 002</t>
  </si>
  <si>
    <t>{"coordinates":[5.449612360714074,51.44160176202438],"type":"Point"}</t>
  </si>
  <si>
    <t>51.44160176202438, 5.449612360714074</t>
  </si>
  <si>
    <t>51.44160208116439, 5.449613651660829</t>
  </si>
  <si>
    <t>Beukenlaan LED 031</t>
  </si>
  <si>
    <t>LED 031</t>
  </si>
  <si>
    <t>{"coordinates":[5.449765013411595,51.44090119295703],"type":"Point"}</t>
  </si>
  <si>
    <t>51.44090119295703, 5.449765013411595</t>
  </si>
  <si>
    <t>51.4409015115377, 5.449766299432188</t>
  </si>
  <si>
    <t>Laurierplein 003B</t>
  </si>
  <si>
    <t>003B</t>
  </si>
  <si>
    <t>2042-07-27</t>
  </si>
  <si>
    <t>{"coordinates":[5.499078614670177,51.419698594503494],"type":"Point"}</t>
  </si>
  <si>
    <t>51.419698594503494, 5.499078614670177</t>
  </si>
  <si>
    <t>51.419698907949375, 5.499079628307893</t>
  </si>
  <si>
    <t>Laurierplein 017</t>
  </si>
  <si>
    <t>2045-09-05</t>
  </si>
  <si>
    <t>{"coordinates":[5.498763136017459,51.42014302844837],"type":"Point"}</t>
  </si>
  <si>
    <t>51.42014302844837, 5.498763136017459</t>
  </si>
  <si>
    <t>51.42014334199315, 5.498764151983621</t>
  </si>
  <si>
    <t>Heggeranklaan 005</t>
  </si>
  <si>
    <t>{"coordinates":[5.494093918440744,51.42374648044193],"type":"Point"}</t>
  </si>
  <si>
    <t>51.42374648044193, 5.494093918440744</t>
  </si>
  <si>
    <t>51.42374679416011, 5.4940949615979555</t>
  </si>
  <si>
    <t>Heggeranklaan 008</t>
  </si>
  <si>
    <t>{"coordinates":[5.494542186296911,51.42318616260396],"type":"Point"}</t>
  </si>
  <si>
    <t>51.42318616260396, 5.494542186296911</t>
  </si>
  <si>
    <t>51.4231864762108, 5.4945432260408715</t>
  </si>
  <si>
    <t>Mimosalaan 005</t>
  </si>
  <si>
    <t>{"coordinates":[5.4945716256268256,51.423965005262986],"type":"Point"}</t>
  </si>
  <si>
    <t>51.423965005262986, 5.4945716256268256</t>
  </si>
  <si>
    <t>51.423965319218965, 5.494572667785258</t>
  </si>
  <si>
    <t>Mimosalaan 013</t>
  </si>
  <si>
    <t>{"coordinates":[5.495717327373825,51.42285518827038],"type":"Point"}</t>
  </si>
  <si>
    <t>51.42285518827038, 5.495717327373825</t>
  </si>
  <si>
    <t>51.422855502083685, 5.495718361929961</t>
  </si>
  <si>
    <t>Hoplaan 002</t>
  </si>
  <si>
    <t>{"coordinates":[5.4954323326754295,51.42399027545037],"type":"Point"}</t>
  </si>
  <si>
    <t>51.42399027545037, 5.4954323326754295</t>
  </si>
  <si>
    <t>51.4239905896745, 5.495433371827136</t>
  </si>
  <si>
    <t>Hoplaan 004</t>
  </si>
  <si>
    <t>{"coordinates":[5.4958510967813075,51.423664584764865],"type":"Point"}</t>
  </si>
  <si>
    <t>51.423664584764865, 5.4958510967813075</t>
  </si>
  <si>
    <t>51.42366489897212, 5.495852133408446</t>
  </si>
  <si>
    <t>Hoplaan 005</t>
  </si>
  <si>
    <t>{"coordinates":[5.496074113616377,51.42349269247244],"type":"Point"}</t>
  </si>
  <si>
    <t>51.42349269247244, 5.496074113616377</t>
  </si>
  <si>
    <t>51.42349300667144, 5.496075148912231</t>
  </si>
  <si>
    <t>Laurierplein 005B</t>
  </si>
  <si>
    <t>2036-01-30</t>
  </si>
  <si>
    <t>{"coordinates":[5.49901717330935,51.41991078662902],"type":"Point"}</t>
  </si>
  <si>
    <t>51.41991078662902, 5.49901717330935</t>
  </si>
  <si>
    <t>51.41991110014915, 5.499018187763368</t>
  </si>
  <si>
    <t>Laurierplein 007A</t>
  </si>
  <si>
    <t>007A</t>
  </si>
  <si>
    <t>{"coordinates":[5.499115882206657,51.420297475125174],"type":"Point"}</t>
  </si>
  <si>
    <t>51.420297475125174, 5.499115882206657</t>
  </si>
  <si>
    <t>51.420297788844636, 5.499116897455391</t>
  </si>
  <si>
    <t>Laurierplein 007B</t>
  </si>
  <si>
    <t>007B</t>
  </si>
  <si>
    <t>{"coordinates":[5.499034362098761,51.42029530629124],"type":"Point"}</t>
  </si>
  <si>
    <t>51.42029530629124, 5.499034362098761</t>
  </si>
  <si>
    <t>51.42029561998495, 5.499035377611197</t>
  </si>
  <si>
    <t>Laurierplein 011A</t>
  </si>
  <si>
    <t>{"coordinates":[5.498753876732494,51.42064784216017],"type":"Point"}</t>
  </si>
  <si>
    <t>51.42064784216017, 5.498753876732494</t>
  </si>
  <si>
    <t>51.420648155923175, 5.498754894203507</t>
  </si>
  <si>
    <t>Laurierplein 011B</t>
  </si>
  <si>
    <t>011B</t>
  </si>
  <si>
    <t>{"coordinates":[5.49868728830981,51.420637748727316],"type":"Point"}</t>
  </si>
  <si>
    <t>51.420637748727316, 5.49868728830981</t>
  </si>
  <si>
    <t>51.420638062465734, 5.498688305973635</t>
  </si>
  <si>
    <t>Beukenlaan LED 027</t>
  </si>
  <si>
    <t>LED 027</t>
  </si>
  <si>
    <t>{"coordinates":[5.449952489517633,51.44094900158555],"type":"Point"}</t>
  </si>
  <si>
    <t>51.44094900158555, 5.449952489517633</t>
  </si>
  <si>
    <t>51.44094932023455, 5.449953775289955</t>
  </si>
  <si>
    <t>Beukenlaan LED 022</t>
  </si>
  <si>
    <t>LED 022</t>
  </si>
  <si>
    <t>{"coordinates":[5.450154062180711,51.44110170006519],"type":"Point"}</t>
  </si>
  <si>
    <t>51.44110170006519, 5.450154062180711</t>
  </si>
  <si>
    <t>51.44110201887376, 5.450155348331777</t>
  </si>
  <si>
    <t>Beukenlaan LED 019</t>
  </si>
  <si>
    <t>LED 019</t>
  </si>
  <si>
    <t>{"coordinates":[5.450202809720559,51.44119794233046],"type":"Point"}</t>
  </si>
  <si>
    <t>51.44119794233046, 5.450202809720559</t>
  </si>
  <si>
    <t>51.441198261227925, 5.450204096341306</t>
  </si>
  <si>
    <t>Beukenlaan LED 018</t>
  </si>
  <si>
    <t>LED 018</t>
  </si>
  <si>
    <t>{"coordinates":[5.450208168673779,51.441224905438105],"type":"Point"}</t>
  </si>
  <si>
    <t>51.441224905438105, 5.450208168673779</t>
  </si>
  <si>
    <t>51.44122522435921, 5.4502094554506035</t>
  </si>
  <si>
    <t>Beukenlaan LED 016</t>
  </si>
  <si>
    <t>LED 016</t>
  </si>
  <si>
    <t>{"coordinates":[5.450208244220714,51.44127964639778],"type":"Point"}</t>
  </si>
  <si>
    <t>51.44127964639778, 5.450208244220714</t>
  </si>
  <si>
    <t>51.44127996536517, 5.450209531346394</t>
  </si>
  <si>
    <t>Beukenlaan LED 060</t>
  </si>
  <si>
    <t>LED 060</t>
  </si>
  <si>
    <t>{"coordinates":[5.449449881233486,51.441533535216216],"type":"Point"}</t>
  </si>
  <si>
    <t>51.441533535216216, 5.449449881233486</t>
  </si>
  <si>
    <t>51.44153385425409, 5.449451172196976</t>
  </si>
  <si>
    <t>Beukenlaan LED 059</t>
  </si>
  <si>
    <t>LED 059</t>
  </si>
  <si>
    <t>{"coordinates":[5.44940670720585,51.44151558098099],"type":"Point"}</t>
  </si>
  <si>
    <t>51.44151558098099, 5.44940670720585</t>
  </si>
  <si>
    <t>51.44151589998892, 5.449407998170326</t>
  </si>
  <si>
    <t>Beukenlaan LED 057</t>
  </si>
  <si>
    <t>LED 057</t>
  </si>
  <si>
    <t>{"coordinates":[5.44933474241353,51.441479664777695],"type":"Point"}</t>
  </si>
  <si>
    <t>51.441479664777695, 5.44933474241353</t>
  </si>
  <si>
    <t>51.44147998373081, 5.449336033341428</t>
  </si>
  <si>
    <t>Beukenlaan LED 055</t>
  </si>
  <si>
    <t>LED 055</t>
  </si>
  <si>
    <t>{"coordinates":[5.449262777734612,51.441443748529856],"type":"Point"}</t>
  </si>
  <si>
    <t>51.441443748529856, 5.449262777734612</t>
  </si>
  <si>
    <t>51.44144406742817, 5.449264068625976</t>
  </si>
  <si>
    <t>Beukenlaan LED 052</t>
  </si>
  <si>
    <t>LED 052</t>
  </si>
  <si>
    <t>{"coordinates":[5.449190764351784,51.44137187758335],"type":"Point"}</t>
  </si>
  <si>
    <t>51.44137187758335, 5.449190764351784</t>
  </si>
  <si>
    <t>51.4413721963971, 5.449192054977175</t>
  </si>
  <si>
    <t>Beukenlaan LED 051</t>
  </si>
  <si>
    <t>LED 051</t>
  </si>
  <si>
    <t>{"coordinates":[5.449176344620419,51.441344919259656],"type":"Point"}</t>
  </si>
  <si>
    <t>51.441344919259656, 5.449176344620419</t>
  </si>
  <si>
    <t>51.441345238046075, 5.449177635112308</t>
  </si>
  <si>
    <t>Beukenlaan LED 050</t>
  </si>
  <si>
    <t>LED 050</t>
  </si>
  <si>
    <t>{"coordinates":[5.449161924906115,51.44131796093416],"type":"Point"}</t>
  </si>
  <si>
    <t>51.44131796093416, 5.449161924906115</t>
  </si>
  <si>
    <t>51.441318279693206, 5.449163215264509</t>
  </si>
  <si>
    <t>Beukenlaan LED 049</t>
  </si>
  <si>
    <t>LED 049</t>
  </si>
  <si>
    <t>{"coordinates":[5.449147505208875,51.441291002606775],"type":"Point"}</t>
  </si>
  <si>
    <t>51.441291002606775, 5.449147505208875</t>
  </si>
  <si>
    <t>51.44129132133851, 5.449148795433778</t>
  </si>
  <si>
    <t>Beukenlaan LED 047</t>
  </si>
  <si>
    <t>LED 047</t>
  </si>
  <si>
    <t>{"coordinates":[5.449148984903238,51.44121549698944],"type":"Point"}</t>
  </si>
  <si>
    <t>51.44121549698944, 5.449148984903238</t>
  </si>
  <si>
    <t>51.44121581565912, 5.449150274642003</t>
  </si>
  <si>
    <t>Beukenlaan LED 044</t>
  </si>
  <si>
    <t>LED 044</t>
  </si>
  <si>
    <t>{"coordinates":[5.449176002981628,51.441093236677645],"type":"Point"}</t>
  </si>
  <si>
    <t>51.441093236677645, 5.449176002981628</t>
  </si>
  <si>
    <t>51.44109355525544, 5.449177291867131</t>
  </si>
  <si>
    <t>Beukenlaan LED 042</t>
  </si>
  <si>
    <t>LED 042</t>
  </si>
  <si>
    <t>{"coordinates":[5.44923343743666,51.44102129668946],"type":"Point"}</t>
  </si>
  <si>
    <t>51.44102129668946, 5.44923343743666</t>
  </si>
  <si>
    <t>51.441021615227584, 5.449234725708573</t>
  </si>
  <si>
    <t>Beukenlaan LED 037</t>
  </si>
  <si>
    <t>LED 037</t>
  </si>
  <si>
    <t>{"coordinates":[5.449463406343661,51.44090432106394],"type":"Point"}</t>
  </si>
  <si>
    <t>51.44090432106394, 5.449463406343661</t>
  </si>
  <si>
    <t>51.44090463958463, 5.449464693250944</t>
  </si>
  <si>
    <t>Beukenlaan LED 036</t>
  </si>
  <si>
    <t>LED 036</t>
  </si>
  <si>
    <t>{"coordinates":[5.449506543015286,51.4408953092878],"type":"Point"}</t>
  </si>
  <si>
    <t>51.4408953092878, 5.449506543015286</t>
  </si>
  <si>
    <t>51.44089562781593, 5.449507829749156</t>
  </si>
  <si>
    <t>Beukenlaan LED 096</t>
  </si>
  <si>
    <t>LED 096</t>
  </si>
  <si>
    <t>{"coordinates":[5.4502564587872895,51.44109391434847],"type":"Point"}</t>
  </si>
  <si>
    <t>51.44109391434847, 5.4502564587872895</t>
  </si>
  <si>
    <t>51.441094233166325, 5.450257744586061</t>
  </si>
  <si>
    <t>Beukenlaan LED 093</t>
  </si>
  <si>
    <t>LED 093</t>
  </si>
  <si>
    <t>{"coordinates":[5.450239450431863,51.44106758676329],"type":"Point"}</t>
  </si>
  <si>
    <t>51.44106758676329, 5.450239450431863</t>
  </si>
  <si>
    <t>51.44106790555625, 5.450240736113023</t>
  </si>
  <si>
    <t>Beukenlaan LED 092</t>
  </si>
  <si>
    <t>LED 092</t>
  </si>
  <si>
    <t>{"coordinates":[5.450230518431375,51.44105707485925],"type":"Point"}</t>
  </si>
  <si>
    <t>51.44105707485925, 5.450230518431375</t>
  </si>
  <si>
    <t>51.44105739364193, 5.450231804071915</t>
  </si>
  <si>
    <t>Beukenlaan LED 090</t>
  </si>
  <si>
    <t>LED 090</t>
  </si>
  <si>
    <t>{"coordinates":[5.450214959572685,51.44103883628823],"type":"Point"}</t>
  </si>
  <si>
    <t>51.44103883628823, 5.450214959572685</t>
  </si>
  <si>
    <t>51.44103915505305, 5.450216245142921</t>
  </si>
  <si>
    <t>Beukenlaan LED 086</t>
  </si>
  <si>
    <t>LED 086</t>
  </si>
  <si>
    <t>{"coordinates":[5.4501790987219785,51.44100469876205],"type":"Point"}</t>
  </si>
  <si>
    <t>51.44100469876205, 5.4501790987219785</t>
  </si>
  <si>
    <t>51.44100501749254, 5.450180384180423</t>
  </si>
  <si>
    <t>Beukenlaan LED 085</t>
  </si>
  <si>
    <t>LED 085</t>
  </si>
  <si>
    <t>{"coordinates":[5.450165707890281,51.44099409938024],"type":"Point"}</t>
  </si>
  <si>
    <t>51.44099409938024, 5.450165707890281</t>
  </si>
  <si>
    <t>51.440994418099685, 5.450166993320675</t>
  </si>
  <si>
    <t>Beukenlaan LED 107</t>
  </si>
  <si>
    <t>LED 107</t>
  </si>
  <si>
    <t>{"coordinates":[5.450308667418749,51.441196626535614],"type":"Point"}</t>
  </si>
  <si>
    <t>51.441196626535614, 5.450308667418749</t>
  </si>
  <si>
    <t>51.44119694544869, 5.450309953718049</t>
  </si>
  <si>
    <t>Beukenlaan LED 123</t>
  </si>
  <si>
    <t>LED 123</t>
  </si>
  <si>
    <t>{"coordinates":[5.450295909359358,51.44133173316688],"type":"Point"}</t>
  </si>
  <si>
    <t>51.44133173316688, 5.450295909359358</t>
  </si>
  <si>
    <t>51.44133205219242, 5.450297196557706</t>
  </si>
  <si>
    <t>Beukenlaan LED 125</t>
  </si>
  <si>
    <t>LED 125</t>
  </si>
  <si>
    <t>{"coordinates":[5.450288459203016,51.4413527706954],"type":"Point"}</t>
  </si>
  <si>
    <t>51.4413527706954, 5.450288459203016</t>
  </si>
  <si>
    <t>51.4413530897376, 5.45028974655753</t>
  </si>
  <si>
    <t>Beukenlaan LED 131</t>
  </si>
  <si>
    <t>LED 131</t>
  </si>
  <si>
    <t>{"coordinates":[5.450266658315945,51.44139727643324],"type":"Point"}</t>
  </si>
  <si>
    <t>51.44139727643324, 5.450266658315945</t>
  </si>
  <si>
    <t>51.441397595509564, 5.450267946018756</t>
  </si>
  <si>
    <t>Beukenlaan LED 134</t>
  </si>
  <si>
    <t>LED 134</t>
  </si>
  <si>
    <t>{"coordinates":[5.450252019541977,51.44142047513728],"type":"Point"}</t>
  </si>
  <si>
    <t>51.44142047513728, 5.450252019541977</t>
  </si>
  <si>
    <t>51.441420794230865, 5.450253307436047</t>
  </si>
  <si>
    <t>Beukenlaan LED 137</t>
  </si>
  <si>
    <t>LED 137</t>
  </si>
  <si>
    <t>{"coordinates":[5.450234219685978,51.4414460126066],"type":"Point"}</t>
  </si>
  <si>
    <t>51.4414460126066, 5.450234219685978</t>
  </si>
  <si>
    <t>51.44144633171891, 5.450235507795634</t>
  </si>
  <si>
    <t>Beukenlaan LED 140</t>
  </si>
  <si>
    <t>LED 140</t>
  </si>
  <si>
    <t>{"coordinates":[5.4502158371636575,51.44146624707358],"type":"Point"}</t>
  </si>
  <si>
    <t>51.44146624707358, 5.4502158371636575</t>
  </si>
  <si>
    <t>51.44146656619996, 5.450217125456763</t>
  </si>
  <si>
    <t>Beukenlaan LED 141</t>
  </si>
  <si>
    <t>LED 141</t>
  </si>
  <si>
    <t>{"coordinates":[5.450207221036806,51.44147622916443],"type":"Point"}</t>
  </si>
  <si>
    <t>51.44147622916443, 5.450207221036806</t>
  </si>
  <si>
    <t>51.4414765482978, 5.450208509419115</t>
  </si>
  <si>
    <t>Beukenlaan LED 145</t>
  </si>
  <si>
    <t>LED 145</t>
  </si>
  <si>
    <t>{"coordinates":[5.450170735656324,51.441510945186806],"type":"Point"}</t>
  </si>
  <si>
    <t>51.441510945186806, 5.450170735656324</t>
  </si>
  <si>
    <t>51.4415112643435, 5.450172024368128</t>
  </si>
  <si>
    <t>Beukenlaan LED 147</t>
  </si>
  <si>
    <t>LED 147</t>
  </si>
  <si>
    <t>{"coordinates":[5.450151337828954,51.441525067897636],"type":"Point"}</t>
  </si>
  <si>
    <t>51.441525067897636, 5.450151337828954</t>
  </si>
  <si>
    <t>51.441525387063045, 5.4501526266883396</t>
  </si>
  <si>
    <t>Beukenlaan LED 148</t>
  </si>
  <si>
    <t>LED 148</t>
  </si>
  <si>
    <t>{"coordinates":[5.450140273190088,51.44153262436766],"type":"Point"}</t>
  </si>
  <si>
    <t>51.44153262436766, 5.450140273190088</t>
  </si>
  <si>
    <t>51.441532943537624, 5.450141562130457</t>
  </si>
  <si>
    <t>Beukenlaan LED 153</t>
  </si>
  <si>
    <t>LED 153</t>
  </si>
  <si>
    <t>{"coordinates":[5.450076320767285,51.44157095068685],"type":"Point"}</t>
  </si>
  <si>
    <t>51.44157095068685, 5.450076320767285</t>
  </si>
  <si>
    <t>51.4415712698785, 5.450077610141697</t>
  </si>
  <si>
    <t>Beukenlaan LED 155</t>
  </si>
  <si>
    <t>LED 155</t>
  </si>
  <si>
    <t>{"coordinates":[5.450046421294418,51.4415837307557],"type":"Point"}</t>
  </si>
  <si>
    <t>51.4415837307557, 5.450046421294418</t>
  </si>
  <si>
    <t>51.44158404995311, 5.450047710839039</t>
  </si>
  <si>
    <t>Beukenlaan LED 157</t>
  </si>
  <si>
    <t>LED 157</t>
  </si>
  <si>
    <t>{"coordinates":[5.450015798316193,51.441593365173155],"type":"Point"}</t>
  </si>
  <si>
    <t>51.441593365173155, 5.450015798316193</t>
  </si>
  <si>
    <t>51.44159368437352, 5.450017088013068</t>
  </si>
  <si>
    <t>Beukenlaan LED 159</t>
  </si>
  <si>
    <t>LED 159</t>
  </si>
  <si>
    <t>{"coordinates":[5.449987193052864,51.44160596475451],"type":"Point"}</t>
  </si>
  <si>
    <t>51.44160596475451, 5.449987193052864</t>
  </si>
  <si>
    <t>51.441606283960716, 5.449988482914931</t>
  </si>
  <si>
    <t>Beukenlaan LED 160</t>
  </si>
  <si>
    <t>LED 160</t>
  </si>
  <si>
    <t>{"coordinates":[5.449972675037886,51.44161253431892],"type":"Point"}</t>
  </si>
  <si>
    <t>51.44161253431892, 5.449972675037886</t>
  </si>
  <si>
    <t>51.44161285352821, 5.449973964984953</t>
  </si>
  <si>
    <t>Beukenlaan LED 162</t>
  </si>
  <si>
    <t>LED 162</t>
  </si>
  <si>
    <t>{"coordinates":[5.449938889818306,51.44162369849644],"type":"Point"}</t>
  </si>
  <si>
    <t>51.44162369849644, 5.449938889818306</t>
  </si>
  <si>
    <t>51.44162401770945, 5.449940179936837</t>
  </si>
  <si>
    <t>Beukenlaan LED 165</t>
  </si>
  <si>
    <t>LED 165</t>
  </si>
  <si>
    <t>{"coordinates":[5.449889576388617,51.44163900582198],"type":"Point"}</t>
  </si>
  <si>
    <t>51.44163900582198, 5.449889576388617</t>
  </si>
  <si>
    <t>51.441639325039496, 5.449890866751098</t>
  </si>
  <si>
    <t>Beukenlaan LED 166</t>
  </si>
  <si>
    <t>LED 166</t>
  </si>
  <si>
    <t>{"coordinates":[5.449873760034362,51.44164278958604],"type":"Point"}</t>
  </si>
  <si>
    <t>51.44164278958604, 5.449873760034362</t>
  </si>
  <si>
    <t>51.441643108804115, 5.4498750504678775</t>
  </si>
  <si>
    <t>Beukenlaan LED 167</t>
  </si>
  <si>
    <t>LED 167</t>
  </si>
  <si>
    <t>{"coordinates":[5.449859812878878,51.44164612290771],"type":"Point"}</t>
  </si>
  <si>
    <t>51.44164612290771, 5.449859812878878</t>
  </si>
  <si>
    <t>51.44164644212619, 5.449861103375077</t>
  </si>
  <si>
    <t>Beukenlaan LED 169</t>
  </si>
  <si>
    <t>LED 169</t>
  </si>
  <si>
    <t>{"coordinates":[5.44983321317496,51.44165287873556],"type":"Point"}</t>
  </si>
  <si>
    <t>51.44165287873556, 5.44983321317496</t>
  </si>
  <si>
    <t>51.441653197955226, 5.449834503793155</t>
  </si>
  <si>
    <t>Beukenlaan LED 171</t>
  </si>
  <si>
    <t>LED 171</t>
  </si>
  <si>
    <t>{"coordinates":[5.449806469877422,51.44165981440802],"type":"Point"}</t>
  </si>
  <si>
    <t>51.44165981440802, 5.449806469877422</t>
  </si>
  <si>
    <t>51.44166013362899, 5.449807760619217</t>
  </si>
  <si>
    <t>Beukenlaan LED 173</t>
  </si>
  <si>
    <t>LED 173</t>
  </si>
  <si>
    <t>{"coordinates":[5.449776564480013,51.44166836973607],"type":"Point"}</t>
  </si>
  <si>
    <t>51.44166836973607, 5.449776564480013</t>
  </si>
  <si>
    <t>51.44166868895914, 5.449777855365177</t>
  </si>
  <si>
    <t>Beukenlaan LED 179</t>
  </si>
  <si>
    <t>LED 179</t>
  </si>
  <si>
    <t>{"coordinates":[5.449701821179523,51.44170454437377],"type":"Point"}</t>
  </si>
  <si>
    <t>51.44170454437377, 5.449701821179523</t>
  </si>
  <si>
    <t>51.44170486361436, 5.4497031125174455</t>
  </si>
  <si>
    <t>Beukenlaan LED 181</t>
  </si>
  <si>
    <t>LED 181</t>
  </si>
  <si>
    <t>{"coordinates":[5.449689188291351,51.441722348727254],"type":"Point"}</t>
  </si>
  <si>
    <t>51.441722348727254, 5.449689188291351</t>
  </si>
  <si>
    <t>51.44172266798057, 5.44969047978046</t>
  </si>
  <si>
    <t>Beukenlaan LED 182</t>
  </si>
  <si>
    <t>LED 182</t>
  </si>
  <si>
    <t>{"coordinates":[5.449684596971747,51.44173062076997],"type":"Point"}</t>
  </si>
  <si>
    <t>51.44173062076997, 5.449684596971747</t>
  </si>
  <si>
    <t>51.441730940029366, 5.449685888527321</t>
  </si>
  <si>
    <t>Beukenlaan LED 190</t>
  </si>
  <si>
    <t>LED 190</t>
  </si>
  <si>
    <t>{"coordinates":[5.4496556303669985,51.4417946356556],"type":"Point"}</t>
  </si>
  <si>
    <t>51.4417946356556, 5.4496556303669985</t>
  </si>
  <si>
    <t>51.441794954963335, 5.449656922417442</t>
  </si>
  <si>
    <t>Beukenlaan LED 191</t>
  </si>
  <si>
    <t>LED 191</t>
  </si>
  <si>
    <t>{"coordinates":[5.449651326330486,51.441802637882624],"type":"Point"}</t>
  </si>
  <si>
    <t>51.441802637882624, 5.449651326330486</t>
  </si>
  <si>
    <t>51.44180295719627, 5.449652618444836</t>
  </si>
  <si>
    <t>Beukenlaan LED 195</t>
  </si>
  <si>
    <t>LED 195</t>
  </si>
  <si>
    <t>{"coordinates":[5.449637706357416,51.44183491451881],"type":"Point"}</t>
  </si>
  <si>
    <t>51.44183491451881, 5.449637706357416</t>
  </si>
  <si>
    <t>51.44183523385699, 5.449638998718382</t>
  </si>
  <si>
    <t>Beukenlaan LED 198</t>
  </si>
  <si>
    <t>LED 198</t>
  </si>
  <si>
    <t>{"coordinates":[5.449627527415317,51.44185918939056],"type":"Point"}</t>
  </si>
  <si>
    <t>51.44185918939056, 5.449627527415317</t>
  </si>
  <si>
    <t>51.441859508747186, 5.4496288199616</t>
  </si>
  <si>
    <t>Beukenlaan LED 202</t>
  </si>
  <si>
    <t>LED 202</t>
  </si>
  <si>
    <t>{"coordinates":[5.449612758219367,51.44189254528089],"type":"Point"}</t>
  </si>
  <si>
    <t>51.44189254528089, 5.449612758219367</t>
  </si>
  <si>
    <t>51.44189286466266, 5.449614051022629</t>
  </si>
  <si>
    <t>Beukenlaan LED 203</t>
  </si>
  <si>
    <t>LED 203</t>
  </si>
  <si>
    <t>{"coordinates":[5.449401014602205,51.44187683866896],"type":"Point"}</t>
  </si>
  <si>
    <t>51.44187683866896, 5.449401014602205</t>
  </si>
  <si>
    <t>51.44187715797439, 5.449402307889775</t>
  </si>
  <si>
    <t>Beukenlaan LED 204</t>
  </si>
  <si>
    <t>LED 204</t>
  </si>
  <si>
    <t>{"coordinates":[5.449405313789712,51.441865240985095],"type":"Point"}</t>
  </si>
  <si>
    <t>51.441865240985095, 5.449405313789712</t>
  </si>
  <si>
    <t>51.44186556028246, 5.449406606991674</t>
  </si>
  <si>
    <t>Beukenlaan LED 205</t>
  </si>
  <si>
    <t>LED 205</t>
  </si>
  <si>
    <t>{"coordinates":[5.449408171095385,51.44185103735828],"type":"Point"}</t>
  </si>
  <si>
    <t>51.44185103735828, 5.449408171095385</t>
  </si>
  <si>
    <t>51.44185135664484, 5.449409464198972</t>
  </si>
  <si>
    <t>Beukenlaan LED 211</t>
  </si>
  <si>
    <t>LED 211</t>
  </si>
  <si>
    <t>{"coordinates":[5.449420893201276,51.44179305363123],"type":"Point"}</t>
  </si>
  <si>
    <t>51.44179305363123, 5.449420893201276</t>
  </si>
  <si>
    <t>51.44179337287413, 5.44942218590037</t>
  </si>
  <si>
    <t>Beukenlaan LED 213</t>
  </si>
  <si>
    <t>LED 213</t>
  </si>
  <si>
    <t>{"coordinates":[5.449426617347856,51.4417716575339],"type":"Point"}</t>
  </si>
  <si>
    <t>51.4417716575339, 5.449426617347856</t>
  </si>
  <si>
    <t>51.44177197676112, 5.449427909894957</t>
  </si>
  <si>
    <t>Beukenlaan LED 224</t>
  </si>
  <si>
    <t>LED 224</t>
  </si>
  <si>
    <t>{"coordinates":[5.449451211801925,51.44166548817868],"type":"Point"}</t>
  </si>
  <si>
    <t>51.44166548817868, 5.449451211801925</t>
  </si>
  <si>
    <t>51.44166580732643, 5.449452503604897</t>
  </si>
  <si>
    <t>Beukenlaan LED 226</t>
  </si>
  <si>
    <t>LED 226</t>
  </si>
  <si>
    <t>{"coordinates":[5.449449321271765,51.44165029833858],"type":"Point"}</t>
  </si>
  <si>
    <t>51.44165029833858, 5.449449321271765</t>
  </si>
  <si>
    <t>51.44165061747308, 5.44945061298274</t>
  </si>
  <si>
    <t>Beukenlaan LED 228</t>
  </si>
  <si>
    <t>LED 228</t>
  </si>
  <si>
    <t>{"coordinates":[5.4493539521329,51.441855470799894],"type":"Point"}</t>
  </si>
  <si>
    <t>51.441855470799894, 5.4493539521329</t>
  </si>
  <si>
    <t>51.44185579007118, 5.449355245409924</t>
  </si>
  <si>
    <t>Beukenlaan LED 230</t>
  </si>
  <si>
    <t>LED 230</t>
  </si>
  <si>
    <t>{"coordinates":[5.449356800887911,51.44183497511003],"type":"Point"}</t>
  </si>
  <si>
    <t>51.44183497511003, 5.449356800887911</t>
  </si>
  <si>
    <t>51.441835294365305, 5.449358094026395</t>
  </si>
  <si>
    <t>Beukenlaan LED 233</t>
  </si>
  <si>
    <t>LED 233</t>
  </si>
  <si>
    <t>{"coordinates":[5.449363236645298,51.441808005660256],"type":"Point"}</t>
  </si>
  <si>
    <t>51.441808005660256, 5.449363236645298</t>
  </si>
  <si>
    <t>51.44180832489544, 5.449364529594286</t>
  </si>
  <si>
    <t>Beukenlaan LED 235</t>
  </si>
  <si>
    <t>LED 235</t>
  </si>
  <si>
    <t>{"coordinates":[5.449369537619935,51.44178768789778],"type":"Point"}</t>
  </si>
  <si>
    <t>51.44178768789778, 5.449369537619935</t>
  </si>
  <si>
    <t>51.441788007118326, 5.449370830422243</t>
  </si>
  <si>
    <t>Beukenlaan LED 236</t>
  </si>
  <si>
    <t>LED 236</t>
  </si>
  <si>
    <t>{"coordinates":[5.449370962604118,51.441777889485785],"type":"Point"}</t>
  </si>
  <si>
    <t>51.441777889485785, 5.449370962604118</t>
  </si>
  <si>
    <t>51.4417782086987, 5.44937225534005</t>
  </si>
  <si>
    <t>Beukenlaan LED 238</t>
  </si>
  <si>
    <t>LED 238</t>
  </si>
  <si>
    <t>{"coordinates":[5.449376691668736,51.441760088856256],"type":"Point"}</t>
  </si>
  <si>
    <t>51.441760088856256, 5.449376691668736</t>
  </si>
  <si>
    <t>51.4417604080564, 5.449377984275582</t>
  </si>
  <si>
    <t>Beukenlaan LED 240</t>
  </si>
  <si>
    <t>LED 240</t>
  </si>
  <si>
    <t>{"coordinates":[5.449382271877113,51.44173860295137],"type":"Point"}</t>
  </si>
  <si>
    <t>51.44173860295137, 5.449382271877113</t>
  </si>
  <si>
    <t>51.44173892213568, 5.449383564331755</t>
  </si>
  <si>
    <t>Beukenlaan LED 241</t>
  </si>
  <si>
    <t>LED 241</t>
  </si>
  <si>
    <t>{"coordinates":[5.44938369440853,51.44172700680653],"type":"Point"}</t>
  </si>
  <si>
    <t>51.44172700680653, 5.44938369440853</t>
  </si>
  <si>
    <t>51.44172732598171, 5.449384986785318</t>
  </si>
  <si>
    <t>Beukenlaan LED 249</t>
  </si>
  <si>
    <t>LED 249</t>
  </si>
  <si>
    <t>{"coordinates":[5.449367796227373,51.44167074623388],"type":"Point"}</t>
  </si>
  <si>
    <t>51.44167074623388, 5.449367796227373</t>
  </si>
  <si>
    <t>51.44167106535687, 5.4493690882873045</t>
  </si>
  <si>
    <t>Beukenlaan LED 250</t>
  </si>
  <si>
    <t>LED 250</t>
  </si>
  <si>
    <t>{"coordinates":[5.449360594948817,51.441663649034446],"type":"Point"}</t>
  </si>
  <si>
    <t>51.441663649034446, 5.449360594948817</t>
  </si>
  <si>
    <t>51.44166396814906, 5.449361886982697</t>
  </si>
  <si>
    <t>Beukenlaan LED 254</t>
  </si>
  <si>
    <t>LED 254</t>
  </si>
  <si>
    <t>{"coordinates":[5.449323009739053,51.44163059081514],"type":"Point"}</t>
  </si>
  <si>
    <t>51.44163059081514, 5.449323009739053</t>
  </si>
  <si>
    <t>51.44163090988925, 5.449324301662427</t>
  </si>
  <si>
    <t>Beukenlaan LED 256</t>
  </si>
  <si>
    <t>LED 256</t>
  </si>
  <si>
    <t>{"coordinates":[5.449298679743564,51.441614154544965],"type":"Point"}</t>
  </si>
  <si>
    <t>51.441614154544965, 5.449298679743564</t>
  </si>
  <si>
    <t>51.44161447359696, 5.449299971627144</t>
  </si>
  <si>
    <t>Beukenlaan LED 257</t>
  </si>
  <si>
    <t>LED 257</t>
  </si>
  <si>
    <t>{"coordinates":[5.449284711902044,51.44160229695921],"type":"Point"}</t>
  </si>
  <si>
    <t>51.44160229695921, 5.449284711902044</t>
  </si>
  <si>
    <t>51.441602615996516, 5.449286003747287</t>
  </si>
  <si>
    <t>Beukenlaan LED 266</t>
  </si>
  <si>
    <t>LED 266</t>
  </si>
  <si>
    <t>{"coordinates":[5.449172441565508,51.44154240242023],"type":"Point"}</t>
  </si>
  <si>
    <t>51.44154240242023, 5.449172441565508</t>
  </si>
  <si>
    <t>51.44154272136882, 5.449173733329018</t>
  </si>
  <si>
    <t>Beukenlaan LED 267</t>
  </si>
  <si>
    <t>LED 267</t>
  </si>
  <si>
    <t>{"coordinates":[5.449162364921831,51.44153620560799],"type":"Point"}</t>
  </si>
  <si>
    <t>51.44153620560799, 5.449162364921831</t>
  </si>
  <si>
    <t>51.441536524547914, 5.449163656672758</t>
  </si>
  <si>
    <t>Beukenlaan LED 269</t>
  </si>
  <si>
    <t>LED 269</t>
  </si>
  <si>
    <t>{"coordinates":[5.449143791230899,51.44152192351867],"type":"Point"}</t>
  </si>
  <si>
    <t>51.44152192351867, 5.449143791230899</t>
  </si>
  <si>
    <t>51.44152224244033, 5.449145082940431</t>
  </si>
  <si>
    <t>Beukenlaan LED 277</t>
  </si>
  <si>
    <t>LED 277</t>
  </si>
  <si>
    <t>{"coordinates":[5.449055233269112,51.44144709504009],"type":"Point"}</t>
  </si>
  <si>
    <t>51.44144709504009, 5.449055233269112</t>
  </si>
  <si>
    <t>51.441447413869014, 5.44905652473813</t>
  </si>
  <si>
    <t>Beukenlaan LED 278</t>
  </si>
  <si>
    <t>LED 278</t>
  </si>
  <si>
    <t>{"coordinates":[5.449045157758245,51.441441707197384],"type":"Point"}</t>
  </si>
  <si>
    <t>51.441441707197384, 5.449045157758245</t>
  </si>
  <si>
    <t>51.44144202601835, 5.449046449219858</t>
  </si>
  <si>
    <t>Beukenlaan LED 279</t>
  </si>
  <si>
    <t>LED 279</t>
  </si>
  <si>
    <t>{"coordinates":[5.449033785453508,51.441434612196076],"type":"Point"}</t>
  </si>
  <si>
    <t>51.441434612196076, 5.449033785453508</t>
  </si>
  <si>
    <t>51.44143493100722, 5.449035076900341</t>
  </si>
  <si>
    <t>Beukenlaan LED 281</t>
  </si>
  <si>
    <t>LED 281</t>
  </si>
  <si>
    <t>{"coordinates":[5.449009457370572,51.44141943427819],"type":"Point"}</t>
  </si>
  <si>
    <t>51.44141943427819, 5.449009457370572</t>
  </si>
  <si>
    <t>51.441419753068324, 5.4490107487856765</t>
  </si>
  <si>
    <t>Beukenlaan LED 282</t>
  </si>
  <si>
    <t>LED 282</t>
  </si>
  <si>
    <t>{"coordinates":[5.448997801550695,51.4414153955719],"type":"Point"}</t>
  </si>
  <si>
    <t>51.4414153955719, 5.448997801550695</t>
  </si>
  <si>
    <t>51.44141571435467, 5.448999092971291</t>
  </si>
  <si>
    <t>Beukenlaan LED 283</t>
  </si>
  <si>
    <t>LED 283</t>
  </si>
  <si>
    <t>{"coordinates":[5.448983843335904,51.44141054910752],"type":"Point"}</t>
  </si>
  <si>
    <t>51.44141054910752, 5.448983843335904</t>
  </si>
  <si>
    <t>51.441410867881416, 5.448985134762957</t>
  </si>
  <si>
    <t>Beukenlaan LED 286</t>
  </si>
  <si>
    <t>LED 286</t>
  </si>
  <si>
    <t>{"coordinates":[5.448938090489381,51.441399876891715],"type":"Point"}</t>
  </si>
  <si>
    <t>51.441399876891715, 5.448938090489381</t>
  </si>
  <si>
    <t>51.44140019564085, 5.448939381970946</t>
  </si>
  <si>
    <t>Beukenlaan LED 287</t>
  </si>
  <si>
    <t>LED 287</t>
  </si>
  <si>
    <t>{"coordinates":[5.448919531383823,51.44139629127617],"type":"Point"}</t>
  </si>
  <si>
    <t>51.44139629127617, 5.448919531383823</t>
  </si>
  <si>
    <t>51.441396610015936, 5.448920822892238</t>
  </si>
  <si>
    <t>Beukenlaan LED 294</t>
  </si>
  <si>
    <t>LED 294</t>
  </si>
  <si>
    <t>{"coordinates":[5.448819846312585,51.441388973436204],"type":"Point"}</t>
  </si>
  <si>
    <t>51.441388973436204, 5.448819846312585</t>
  </si>
  <si>
    <t>51.44138929213534, 5.448821138041518</t>
  </si>
  <si>
    <t>Beukenlaan LED 296</t>
  </si>
  <si>
    <t>LED 296</t>
  </si>
  <si>
    <t>{"coordinates":[5.4487902163322275,51.44138844981428],"type":"Point"}</t>
  </si>
  <si>
    <t>51.44138844981428, 5.4487902163322275</t>
  </si>
  <si>
    <t>51.441388768502726, 5.448791508137287</t>
  </si>
  <si>
    <t>Beukenlaan LED 300</t>
  </si>
  <si>
    <t>LED 300</t>
  </si>
  <si>
    <t>{"coordinates":[5.448729953430719,51.44139027945302],"type":"Point"}</t>
  </si>
  <si>
    <t>51.44139027945302, 5.448729953430719</t>
  </si>
  <si>
    <t>51.44139059812201, 5.448731245408977</t>
  </si>
  <si>
    <t>Beukenlaan LED 301</t>
  </si>
  <si>
    <t>LED 301</t>
  </si>
  <si>
    <t>{"coordinates":[5.4487168658697955,51.44139109535808],"type":"Point"}</t>
  </si>
  <si>
    <t>51.44139109535808, 5.4487168658697955</t>
  </si>
  <si>
    <t>51.44139141402324, 5.448718157888348</t>
  </si>
  <si>
    <t>Beukenlaan LED 302</t>
  </si>
  <si>
    <t>LED 302</t>
  </si>
  <si>
    <t>{"coordinates":[5.449355140755285,51.44156639454132],"type":"Point"}</t>
  </si>
  <si>
    <t>51.44156639454132, 5.449355140755285</t>
  </si>
  <si>
    <t>51.44156671357343, 5.449356432182536</t>
  </si>
  <si>
    <t>Beukenlaan LED 303</t>
  </si>
  <si>
    <t>LED 303</t>
  </si>
  <si>
    <t>{"coordinates":[5.449345067751916,51.44156289434394],"type":"Point"}</t>
  </si>
  <si>
    <t>51.44156289434394, 5.449345067751916</t>
  </si>
  <si>
    <t>51.441563213369584, 5.449346359183783</t>
  </si>
  <si>
    <t>Beukenlaan LED 308</t>
  </si>
  <si>
    <t>LED 308</t>
  </si>
  <si>
    <t>{"coordinates":[5.44927224638302,51.44153171558902],"type":"Point"}</t>
  </si>
  <si>
    <t>51.44153171558902, 5.44927224638302</t>
  </si>
  <si>
    <t>51.441532034563515, 5.449273537810888</t>
  </si>
  <si>
    <t>Beukenlaan LED 310</t>
  </si>
  <si>
    <t>LED 310</t>
  </si>
  <si>
    <t>{"coordinates":[5.449252239143378,51.44152096682953],"type":"Point"}</t>
  </si>
  <si>
    <t>51.44152096682953, 5.449252239143378</t>
  </si>
  <si>
    <t>51.441521285788134, 5.449253530556159</t>
  </si>
  <si>
    <t>Beukenlaan LED 311</t>
  </si>
  <si>
    <t>LED 311</t>
  </si>
  <si>
    <t>{"coordinates":[5.449239429690892,51.4415147714822],"type":"Point"}</t>
  </si>
  <si>
    <t>51.4415147714822, 5.449239429690892</t>
  </si>
  <si>
    <t>51.44151509043123, 5.449240721098435</t>
  </si>
  <si>
    <t>Beukenlaan LED 313</t>
  </si>
  <si>
    <t>LED 313</t>
  </si>
  <si>
    <t>{"coordinates":[5.449220859647645,51.44150318600418],"type":"Point"}</t>
  </si>
  <si>
    <t>51.44150318600418, 5.449220859647645</t>
  </si>
  <si>
    <t>51.44150350493718, 5.449222151030999</t>
  </si>
  <si>
    <t>Beukenlaan LED 314</t>
  </si>
  <si>
    <t>LED 314</t>
  </si>
  <si>
    <t>{"coordinates":[5.449205168688266,51.441493396722024],"type":"Point"}</t>
  </si>
  <si>
    <t>51.441493396722024, 5.449205168688266</t>
  </si>
  <si>
    <t>51.441493715641435, 5.449206460051147</t>
  </si>
  <si>
    <t>Beukenlaan LED 319</t>
  </si>
  <si>
    <t>LED 319</t>
  </si>
  <si>
    <t>{"coordinates":[5.449159378136447,51.4414550395095],"type":"Point"}</t>
  </si>
  <si>
    <t>51.4414550395095, 5.449159378136447</t>
  </si>
  <si>
    <t>51.44145535838119, 5.449160669377084</t>
  </si>
  <si>
    <t>Beukenlaan LED 324</t>
  </si>
  <si>
    <t>LED 324</t>
  </si>
  <si>
    <t>{"coordinates":[5.449117894192966,51.44141047780346],"type":"Point"}</t>
  </si>
  <si>
    <t>51.44141047780346, 5.449117894192966</t>
  </si>
  <si>
    <t>51.44141079662383, 5.449119185260215</t>
  </si>
  <si>
    <t>Beukenlaan LED 327</t>
  </si>
  <si>
    <t>LED 327</t>
  </si>
  <si>
    <t>{"coordinates":[5.449099303628324,51.44138370146458],"type":"Point"}</t>
  </si>
  <si>
    <t>51.44138370146458, 5.449099303628324</t>
  </si>
  <si>
    <t>51.44138402025634, 5.449100594574415</t>
  </si>
  <si>
    <t>Beukenlaan LED 328</t>
  </si>
  <si>
    <t>LED 328</t>
  </si>
  <si>
    <t>{"coordinates":[5.449092237860612,51.441370401994],"type":"Point"}</t>
  </si>
  <si>
    <t>51.441370401994, 5.449092237860612</t>
  </si>
  <si>
    <t>51.441370720772305, 5.449093528740754</t>
  </si>
  <si>
    <t>Beukenlaan LED 329</t>
  </si>
  <si>
    <t>LED 329</t>
  </si>
  <si>
    <t>{"coordinates":[5.449085032895548,51.44136051829174],"type":"Point"}</t>
  </si>
  <si>
    <t>51.44136051829174, 5.449085032895548</t>
  </si>
  <si>
    <t>51.44136083705936, 5.449086323731894</t>
  </si>
  <si>
    <t>Beukenlaan LED 331</t>
  </si>
  <si>
    <t>LED 331</t>
  </si>
  <si>
    <t>{"coordinates":[5.449077903512136,51.44134272451912],"type":"Point"}</t>
  </si>
  <si>
    <t>51.44134272451912, 5.449077903512136</t>
  </si>
  <si>
    <t>51.44134304326954, 5.449079194253963</t>
  </si>
  <si>
    <t>Beukenlaan LED 333</t>
  </si>
  <si>
    <t>LED 333</t>
  </si>
  <si>
    <t>{"coordinates":[5.449070745368067,51.44132493076135],"type":"Point"}</t>
  </si>
  <si>
    <t>51.44132493076135, 5.449070745368067</t>
  </si>
  <si>
    <t>51.44132524949456, 5.449072036015458</t>
  </si>
  <si>
    <t>Beukenlaan LED 337</t>
  </si>
  <si>
    <t>LED 337</t>
  </si>
  <si>
    <t>{"coordinates":[5.4490567450378045,51.441288983529574],"type":"Point"}</t>
  </si>
  <si>
    <t>51.441288983529574, 5.4490567450378045</t>
  </si>
  <si>
    <t>51.44128930222815, 5.449058035493192</t>
  </si>
  <si>
    <t>Beukenlaan LED 340</t>
  </si>
  <si>
    <t>LED 340</t>
  </si>
  <si>
    <t>{"coordinates":[5.448591428276306,51.44127179211556],"type":"Point"}</t>
  </si>
  <si>
    <t>51.44127179211556, 5.448591428276306</t>
  </si>
  <si>
    <t>51.44127211063869, 5.448592719869889</t>
  </si>
  <si>
    <t>Beukenlaan LED 342</t>
  </si>
  <si>
    <t>LED 342</t>
  </si>
  <si>
    <t>{"coordinates":[5.448625650490212,51.441264672992546],"type":"Point"}</t>
  </si>
  <si>
    <t>51.441264672992546, 5.448625650490212</t>
  </si>
  <si>
    <t>51.441264991521635, 5.448626941946601</t>
  </si>
  <si>
    <t>Beukenlaan LED 347</t>
  </si>
  <si>
    <t>LED 347</t>
  </si>
  <si>
    <t>{"coordinates":[5.448716963875969,51.4412503327329],"type":"Point"}</t>
  </si>
  <si>
    <t>51.4412503327329, 5.448716963875969</t>
  </si>
  <si>
    <t>51.441250651281756, 5.448718254995916</t>
  </si>
  <si>
    <t>Beukenlaan LED 348</t>
  </si>
  <si>
    <t>LED 348</t>
  </si>
  <si>
    <t>{"coordinates":[5.448731200711024,51.441248527465916],"type":"Point"}</t>
  </si>
  <si>
    <t>51.441248527465916, 5.448731200711024</t>
  </si>
  <si>
    <t>51.44124884601821, 5.448732491781289</t>
  </si>
  <si>
    <t>Beukenlaan LED 349</t>
  </si>
  <si>
    <t>LED 349</t>
  </si>
  <si>
    <t>{"coordinates":[5.448746875974895,51.441246811322536],"type":"Point"}</t>
  </si>
  <si>
    <t>51.441246811322536, 5.448746875974895</t>
  </si>
  <si>
    <t>51.441247129878796, 5.448748166992165</t>
  </si>
  <si>
    <t>Beukenlaan LED 350</t>
  </si>
  <si>
    <t>LED 350</t>
  </si>
  <si>
    <t>{"coordinates":[5.44875981832989,51.44124500673722],"type":"Point"}</t>
  </si>
  <si>
    <t>51.44124500673722, 5.44875981832989</t>
  </si>
  <si>
    <t>51.44124532529652, 5.448761109300897</t>
  </si>
  <si>
    <t>Beukenlaan LED 353</t>
  </si>
  <si>
    <t>LED 353</t>
  </si>
  <si>
    <t>{"coordinates":[5.448808283268669,51.44124048673362],"type":"Point"}</t>
  </si>
  <si>
    <t>51.44124048673362, 5.448808283268669</t>
  </si>
  <si>
    <t>51.44124080530598, 5.448809574080822</t>
  </si>
  <si>
    <t>Beukenlaan LED 354</t>
  </si>
  <si>
    <t>LED 354</t>
  </si>
  <si>
    <t>{"coordinates":[5.448824247887042,51.44124002884035],"type":"Point"}</t>
  </si>
  <si>
    <t>51.44124002884035, 5.448824247887042</t>
  </si>
  <si>
    <t>51.44124034741783, 5.448825538653459</t>
  </si>
  <si>
    <t>Beukenlaan LED 359</t>
  </si>
  <si>
    <t>LED 359</t>
  </si>
  <si>
    <t>{"coordinates":[5.448888246059022,51.44123514102344],"type":"Point"}</t>
  </si>
  <si>
    <t>51.44123514102344, 5.448888246059022</t>
  </si>
  <si>
    <t>51.44123545961905, 5.44888953662259</t>
  </si>
  <si>
    <t>Beukenlaan LED 360</t>
  </si>
  <si>
    <t>LED 360</t>
  </si>
  <si>
    <t>{"coordinates":[5.4489040659935135,51.441234053989085],"type":"Point"}</t>
  </si>
  <si>
    <t>51.441234053989085, 5.4489040659935135</t>
  </si>
  <si>
    <t>51.441234372589285, 5.4489053565077405</t>
  </si>
  <si>
    <t>Beukenlaan LED 362</t>
  </si>
  <si>
    <t>LED 362</t>
  </si>
  <si>
    <t>{"coordinates":[5.448938434513506,51.44122882231733],"type":"Point"}</t>
  </si>
  <si>
    <t>51.44122882231733, 5.448938434513506</t>
  </si>
  <si>
    <t>51.4412291409251, 5.448939724902141</t>
  </si>
  <si>
    <t>Beukenlaan LED 364</t>
  </si>
  <si>
    <t>LED 364</t>
  </si>
  <si>
    <t>{"coordinates":[5.4490621556871,51.441142285554385],"type":"Point"}</t>
  </si>
  <si>
    <t>51.441142285554385, 5.4490621556871</t>
  </si>
  <si>
    <t>51.441142604133404, 5.4490634451913325</t>
  </si>
  <si>
    <t>Beukenlaan LED 371</t>
  </si>
  <si>
    <t>LED 371</t>
  </si>
  <si>
    <t>{"coordinates":[5.4490962869475466,51.44106820074854],"type":"Point"}</t>
  </si>
  <si>
    <t>51.44106820074854, 5.4490962869475466</t>
  </si>
  <si>
    <t>51.44106851927799, 5.4490975758870945</t>
  </si>
  <si>
    <t>Beukenlaan LED 374</t>
  </si>
  <si>
    <t>LED 374</t>
  </si>
  <si>
    <t>{"coordinates":[5.449116241939039,51.441040594906944],"type":"Point"}</t>
  </si>
  <si>
    <t>51.441040594906944, 5.449116241939039</t>
  </si>
  <si>
    <t>51.44104091342048, 5.449117530648742</t>
  </si>
  <si>
    <t>Beukenlaan LED 379</t>
  </si>
  <si>
    <t>LED 379</t>
  </si>
  <si>
    <t>{"coordinates":[5.449153295617131,51.44100039581471],"type":"Point"}</t>
  </si>
  <si>
    <t>51.44100039581471, 5.449153295617131</t>
  </si>
  <si>
    <t>51.44100071430775, 5.449154583970692</t>
  </si>
  <si>
    <t>Beukenlaan LED 380</t>
  </si>
  <si>
    <t>LED 380</t>
  </si>
  <si>
    <t>{"coordinates":[5.449164646117766,51.440991490983045],"type":"Point"}</t>
  </si>
  <si>
    <t>51.440991490983045, 5.449164646117766</t>
  </si>
  <si>
    <t>51.440991809472656, 5.449165934384005</t>
  </si>
  <si>
    <t>Beukenlaan LED 381</t>
  </si>
  <si>
    <t>LED 381</t>
  </si>
  <si>
    <t>{"coordinates":[5.44917182676283,51.44098348723975],"type":"Point"}</t>
  </si>
  <si>
    <t>51.44098348723975, 5.44917182676283</t>
  </si>
  <si>
    <t>51.44098380572521, 5.449173114958681</t>
  </si>
  <si>
    <t>Beukenlaan LED 383</t>
  </si>
  <si>
    <t>LED 383</t>
  </si>
  <si>
    <t>{"coordinates":[5.449190361434025,51.44096918537434],"type":"Point"}</t>
  </si>
  <si>
    <t>51.44096918537434, 5.449190361434025</t>
  </si>
  <si>
    <t>51.44096950385436, 5.449191649488738</t>
  </si>
  <si>
    <t>Beukenlaan LED 385</t>
  </si>
  <si>
    <t>LED 385</t>
  </si>
  <si>
    <t>{"coordinates":[5.449210333172238,51.440953983872625],"type":"Point"}</t>
  </si>
  <si>
    <t>51.440953983872625, 5.449210333172238</t>
  </si>
  <si>
    <t>51.44095430234694, 5.449211621076294</t>
  </si>
  <si>
    <t>Beukenlaan LED 386</t>
  </si>
  <si>
    <t>LED 386</t>
  </si>
  <si>
    <t>{"coordinates":[5.449225997326756,51.440944177867436],"type":"Point"}</t>
  </si>
  <si>
    <t>51.440944177867436, 5.449225997326756</t>
  </si>
  <si>
    <t>51.44094449633906, 5.449227285126133</t>
  </si>
  <si>
    <t>Beukenlaan LED 387</t>
  </si>
  <si>
    <t>LED 387</t>
  </si>
  <si>
    <t>{"coordinates":[5.4492374916291055,51.44093527295193],"type":"Point"}</t>
  </si>
  <si>
    <t>51.44093527295193, 5.4492374916291055</t>
  </si>
  <si>
    <t>51.440935591420164, 5.449238779340737</t>
  </si>
  <si>
    <t>Beukenlaan LED 388</t>
  </si>
  <si>
    <t>LED 388</t>
  </si>
  <si>
    <t>{"coordinates":[5.449245683458994,51.44093050458587],"type":"Point"}</t>
  </si>
  <si>
    <t>51.44093050458587, 5.449245683458994</t>
  </si>
  <si>
    <t>51.44093082305301, 5.4492469711181695</t>
  </si>
  <si>
    <t>Beukenlaan LED 389</t>
  </si>
  <si>
    <t>LED 389</t>
  </si>
  <si>
    <t>{"coordinates":[5.449255887317027,51.44092456661834],"type":"Point"}</t>
  </si>
  <si>
    <t>51.44092456661834, 5.449255887317027</t>
  </si>
  <si>
    <t>51.440924885084065, 5.4492571749108665</t>
  </si>
  <si>
    <t>Beukenlaan LED 390</t>
  </si>
  <si>
    <t>LED 390</t>
  </si>
  <si>
    <t>{"coordinates":[5.449268822228573,51.44091736877832],"type":"Point"}</t>
  </si>
  <si>
    <t>51.44091736877832, 5.449268822228573</t>
  </si>
  <si>
    <t>51.44091768724253, 5.449270109741731</t>
  </si>
  <si>
    <t>Beukenlaan LED 391</t>
  </si>
  <si>
    <t>LED 391</t>
  </si>
  <si>
    <t>{"coordinates":[5.449277302200448,51.44091295980303],"type":"Point"}</t>
  </si>
  <si>
    <t>51.44091295980303, 5.449277302200448</t>
  </si>
  <si>
    <t>51.44091327826654, 5.449278589662675</t>
  </si>
  <si>
    <t>Beukenlaan LED 395</t>
  </si>
  <si>
    <t>LED 395</t>
  </si>
  <si>
    <t>{"coordinates":[5.449332929112541,51.440887042722125],"type":"Point"}</t>
  </si>
  <si>
    <t>51.440887042722125, 5.449332929112541</t>
  </si>
  <si>
    <t>51.44088736118339, 5.449334216259834</t>
  </si>
  <si>
    <t>Beukenlaan LED 397</t>
  </si>
  <si>
    <t>LED 397</t>
  </si>
  <si>
    <t>{"coordinates":[5.449355784703099,51.44087723285663],"type":"Point"}</t>
  </si>
  <si>
    <t>51.44087723285663, 5.449355784703099</t>
  </si>
  <si>
    <t>51.44087755131763, 5.449357071726352</t>
  </si>
  <si>
    <t>Beukenlaan LED 398</t>
  </si>
  <si>
    <t>LED 398</t>
  </si>
  <si>
    <t>{"coordinates":[5.44937289431838,51.44087272937451],"type":"Point"}</t>
  </si>
  <si>
    <t>51.44087272937451, 5.44937289431838</t>
  </si>
  <si>
    <t>51.44087304783771, 5.4493741812668945</t>
  </si>
  <si>
    <t>Beukenlaan LED 400</t>
  </si>
  <si>
    <t>LED 400</t>
  </si>
  <si>
    <t>{"coordinates":[5.449401503079659,51.44086291642375],"type":"Point"}</t>
  </si>
  <si>
    <t>51.44086291642375, 5.449401503079659</t>
  </si>
  <si>
    <t>51.44086323488872, 5.44940278988868</t>
  </si>
  <si>
    <t>Beukenlaan LED 084</t>
  </si>
  <si>
    <t>LED 084</t>
  </si>
  <si>
    <t>{"coordinates":[5.450150733198834,51.440982242440136],"type":"Point"}</t>
  </si>
  <si>
    <t>51.440982242440136, 5.450150733198834</t>
  </si>
  <si>
    <t>51.44098256114728, 5.450152018597817</t>
  </si>
  <si>
    <t>Beukenlaan LED 081</t>
  </si>
  <si>
    <t>LED 081</t>
  </si>
  <si>
    <t>{"coordinates":[5.450111716232377,51.440953949236594],"type":"Point"}</t>
  </si>
  <si>
    <t>51.440953949236594, 5.450111716232377</t>
  </si>
  <si>
    <t>51.44095426791398, 5.450113001566124</t>
  </si>
  <si>
    <t>Beukenlaan LED 080</t>
  </si>
  <si>
    <t>LED 080</t>
  </si>
  <si>
    <t>{"coordinates":[5.45010250219663,51.440947482376814],"type":"Point"}</t>
  </si>
  <si>
    <t>51.440947482376814, 5.45010250219663</t>
  </si>
  <si>
    <t>51.440947801047315, 5.45010378751634</t>
  </si>
  <si>
    <t>Beukenlaan LED 077</t>
  </si>
  <si>
    <t>LED 077</t>
  </si>
  <si>
    <t>{"coordinates":[5.4500678093454376,51.44092583843618],"type":"Point"}</t>
  </si>
  <si>
    <t>51.44092583843618, 5.4500678093454376</t>
  </si>
  <si>
    <t>51.440926157083204, 5.450069094629499</t>
  </si>
  <si>
    <t>Beukenlaan LED 075</t>
  </si>
  <si>
    <t>LED 075</t>
  </si>
  <si>
    <t>{"coordinates":[5.450048375728802,51.44091380411916],"type":"Point"}</t>
  </si>
  <si>
    <t>51.44091380411916, 5.450048375728802</t>
  </si>
  <si>
    <t>51.44091412275315, 5.4500496609934235</t>
  </si>
  <si>
    <t>Beukenlaan LED 069</t>
  </si>
  <si>
    <t>LED 069</t>
  </si>
  <si>
    <t>{"coordinates":[5.450016505233281,51.44085269837576],"type":"Point"}</t>
  </si>
  <si>
    <t>51.44085269837576, 5.450016505233281</t>
  </si>
  <si>
    <t>51.440853016953476, 5.450017790202103</t>
  </si>
  <si>
    <t>Beukenlaan LED 067</t>
  </si>
  <si>
    <t>LED 067</t>
  </si>
  <si>
    <t>{"coordinates":[5.450022807146712,51.4408333693314],"type":"Point"}</t>
  </si>
  <si>
    <t>51.4408333693314, 5.450022807146712</t>
  </si>
  <si>
    <t>51.44083368789382, 5.450024091973646</t>
  </si>
  <si>
    <t>Beukenlaan LED 066</t>
  </si>
  <si>
    <t>LED 066</t>
  </si>
  <si>
    <t>{"coordinates":[5.450024949872035,51.440822671656505],"type":"Point"}</t>
  </si>
  <si>
    <t>51.440822671656505, 5.450024949872035</t>
  </si>
  <si>
    <t>51.44082299021026, 5.450026234624358</t>
  </si>
  <si>
    <t>Beukenlaan LED 065</t>
  </si>
  <si>
    <t>LED 065</t>
  </si>
  <si>
    <t>{"coordinates":[5.4500288160768795,51.44081017531667],"type":"Point"}</t>
  </si>
  <si>
    <t>51.44081017531667, 5.4500288160768795</t>
  </si>
  <si>
    <t>51.44081049386048, 5.450030100738071</t>
  </si>
  <si>
    <t>Beukenlaan LED 063</t>
  </si>
  <si>
    <t>LED 063</t>
  </si>
  <si>
    <t>{"coordinates":[5.45003540353516,51.44078931804339],"type":"Point"}</t>
  </si>
  <si>
    <t>51.44078931804339, 5.45003540353516</t>
  </si>
  <si>
    <t>51.44078963657063, 5.4500366880438325</t>
  </si>
  <si>
    <t>Beukenlaan LED 421</t>
  </si>
  <si>
    <t>LED 421</t>
  </si>
  <si>
    <t>{"coordinates":[5.449621637009956,51.44070693492781],"type":"Point"}</t>
  </si>
  <si>
    <t>51.44070693492781, 5.449621637009956</t>
  </si>
  <si>
    <t>51.44070725332731, 5.449622922250954</t>
  </si>
  <si>
    <t>Beukenlaan LED 419</t>
  </si>
  <si>
    <t>LED 419</t>
  </si>
  <si>
    <t>{"coordinates":[5.4496098714117585,51.44072770507024],"type":"Point"}</t>
  </si>
  <si>
    <t>51.44072770507024, 5.4496098714117585</t>
  </si>
  <si>
    <t>51.44072802348456, 5.449611156805657</t>
  </si>
  <si>
    <t>Beukenlaan LED 418</t>
  </si>
  <si>
    <t>LED 418</t>
  </si>
  <si>
    <t>{"coordinates":[5.449604274976593,51.44073714617694],"type":"Point"}</t>
  </si>
  <si>
    <t>51.44073714617694, 5.449604274976593</t>
  </si>
  <si>
    <t>51.44073746459798, 5.449605560440735</t>
  </si>
  <si>
    <t>U LED module sym 18W</t>
  </si>
  <si>
    <t>2036-03-26</t>
  </si>
  <si>
    <t>24 LED 39W 500mA Pia</t>
  </si>
  <si>
    <t>Grasdreef F012</t>
  </si>
  <si>
    <t>F012</t>
  </si>
  <si>
    <t>{"coordinates":[5.416544230879293,51.43487287550024],"type":"Point"}</t>
  </si>
  <si>
    <t>51.43487287550024, 5.416544230879293</t>
  </si>
  <si>
    <t>51.434873174202856, 5.416545550825489</t>
  </si>
  <si>
    <t>Grasdreef F009</t>
  </si>
  <si>
    <t>F009</t>
  </si>
  <si>
    <t>{"coordinates":[5.416588365471048,51.43484913419655],"type":"Point"}</t>
  </si>
  <si>
    <t>51.43484913419655, 5.416588365471048</t>
  </si>
  <si>
    <t>51.43484943291651, 5.416589685237431</t>
  </si>
  <si>
    <t>Grasdreef F008</t>
  </si>
  <si>
    <t>F008</t>
  </si>
  <si>
    <t>{"coordinates":[5.416602454101829,51.434841670016986],"type":"Point"}</t>
  </si>
  <si>
    <t>51.434841670016986, 5.416602454101829</t>
  </si>
  <si>
    <t>51.43484196874253, 5.416603773811371</t>
  </si>
  <si>
    <t>Grasdreef F005</t>
  </si>
  <si>
    <t>F005</t>
  </si>
  <si>
    <t>{"coordinates":[5.416646013391416,51.43481792883765],"type":"Point"}</t>
  </si>
  <si>
    <t>51.43481792883765, 5.416646013391416</t>
  </si>
  <si>
    <t>51.434818227580145, 5.416647332921754</t>
  </si>
  <si>
    <t>Grasdreef F002</t>
  </si>
  <si>
    <t>F002</t>
  </si>
  <si>
    <t>{"coordinates":[5.416692879693711,51.43479328793173],"type":"Point"}</t>
  </si>
  <si>
    <t>51.43479328793173, 5.416692879693711</t>
  </si>
  <si>
    <t>51.434793586692805, 5.416694199035846</t>
  </si>
  <si>
    <t>U LED module sym 11W</t>
  </si>
  <si>
    <t>Lekstraat 015A</t>
  </si>
  <si>
    <t>015A</t>
  </si>
  <si>
    <t>{"coordinates":[5.428267707704733,51.47935275616122],"type":"Point"}</t>
  </si>
  <si>
    <t>51.47935275616122, 5.428267707704733</t>
  </si>
  <si>
    <t>51.47935309475432, 5.42826924922408</t>
  </si>
  <si>
    <t>2048-11-08</t>
  </si>
  <si>
    <t>BEGA 55830</t>
  </si>
  <si>
    <t>HCI-TS 250W Powerbal</t>
  </si>
  <si>
    <t>PARK MEERLAND 305</t>
  </si>
  <si>
    <t>{"coordinates":[5.403868421363715,51.44457022717924],"type":"Point"}</t>
  </si>
  <si>
    <t>51.44457022717924, 5.403868421363715</t>
  </si>
  <si>
    <t>51.4445705187539, 5.403869797232208</t>
  </si>
  <si>
    <t>PARK MEERLAND 306</t>
  </si>
  <si>
    <t>{"coordinates":[5.403874759637721,51.444595664195234],"type":"Point"}</t>
  </si>
  <si>
    <t>51.444595664195234, 5.403874759637721</t>
  </si>
  <si>
    <t>51.444595955785616, 5.403876135639959</t>
  </si>
  <si>
    <t>PARK MEERLAND 308</t>
  </si>
  <si>
    <t>{"coordinates":[5.403886575060331,51.4446517517799],"type":"Point"}</t>
  </si>
  <si>
    <t>51.4446517517799, 5.403886575060331</t>
  </si>
  <si>
    <t>51.444652043402904, 5.403887951357227</t>
  </si>
  <si>
    <t>PARK MEERLAND 315</t>
  </si>
  <si>
    <t>{"coordinates":[5.403937892698424,51.444559610437445],"type":"Point"}</t>
  </si>
  <si>
    <t>51.444559610437445, 5.403937892698424</t>
  </si>
  <si>
    <t>51.44455990207533, 5.403939268521405</t>
  </si>
  <si>
    <t>PARK MEERLAND 804</t>
  </si>
  <si>
    <t>{"coordinates":[5.398082719046703,51.44220744275072],"type":"Point"}</t>
  </si>
  <si>
    <t>51.44220744275072, 5.398082719046703</t>
  </si>
  <si>
    <t>51.44220772803457, 5.398084081125713</t>
  </si>
  <si>
    <t>PARK MEERLAND 803</t>
  </si>
  <si>
    <t>{"coordinates":[5.398091643642685,51.44223656519531],"type":"Point"}</t>
  </si>
  <si>
    <t>51.44223656519531, 5.398091643642685</t>
  </si>
  <si>
    <t>51.44223685049574, 5.39809300587478</t>
  </si>
  <si>
    <t>PARK MEERLAND 805</t>
  </si>
  <si>
    <t>{"coordinates":[5.398035831584075,51.44221697521657],"type":"Point"}</t>
  </si>
  <si>
    <t>51.44221697521657, 5.398035831584075</t>
  </si>
  <si>
    <t>51.442217260460176, 5.3980371936765525</t>
  </si>
  <si>
    <t>PARK MEERLAND 605</t>
  </si>
  <si>
    <t>{"coordinates":[5.405880684380483,51.439812842666605],"type":"Point"}</t>
  </si>
  <si>
    <t>51.439812842666605, 5.405880684380483</t>
  </si>
  <si>
    <t>51.43981313460296, 5.4058820357298405</t>
  </si>
  <si>
    <t>PARK MEERLAND 608</t>
  </si>
  <si>
    <t>{"coordinates":[5.405851342478467,51.439809431732606],"type":"Point"}</t>
  </si>
  <si>
    <t>51.439809431732606, 5.405851342478467</t>
  </si>
  <si>
    <t>51.439809723641986, 5.405852693810476</t>
  </si>
  <si>
    <t>PARK MEERLAND 701</t>
  </si>
  <si>
    <t>{"coordinates":[5.4031981798356625,51.4393867348968],"type":"Point"}</t>
  </si>
  <si>
    <t>51.4393867348968, 5.4031981798356625</t>
  </si>
  <si>
    <t>51.439387024383066, 5.40319952906756</t>
  </si>
  <si>
    <t>PARK MEERLAND 707</t>
  </si>
  <si>
    <t>{"coordinates":[5.40346905488773,51.43953617849706],"type":"Point"}</t>
  </si>
  <si>
    <t>51.43953617849706, 5.40346905488773</t>
  </si>
  <si>
    <t>51.439536468231495, 5.403470404850352</t>
  </si>
  <si>
    <t>PARK MEERLAND 703</t>
  </si>
  <si>
    <t>{"coordinates":[5.403289814562653,51.439439036179195],"type":"Point"}</t>
  </si>
  <si>
    <t>51.439439036179195, 5.403289814562653</t>
  </si>
  <si>
    <t>51.43943932574928, 5.403291164049974</t>
  </si>
  <si>
    <t>PARK MEERLAND 705</t>
  </si>
  <si>
    <t>{"coordinates":[5.403381016529883,51.43948711277247],"type":"Point"}</t>
  </si>
  <si>
    <t>51.43948711277247, 5.403381016529883</t>
  </si>
  <si>
    <t>51.439487402426046, 5.403382366252283</t>
  </si>
  <si>
    <t>PARK MEERLAND 708</t>
  </si>
  <si>
    <t>{"coordinates":[5.40348144506774,51.43959577166314],"type":"Point"}</t>
  </si>
  <si>
    <t>51.43959577166314, 5.40348144506774</t>
  </si>
  <si>
    <t>51.43959606141036, 5.403482795322031</t>
  </si>
  <si>
    <t>Luchthavenweg 048</t>
  </si>
  <si>
    <t>{"coordinates":[5.39323112084608,51.45902200938745],"type":"Point"}</t>
  </si>
  <si>
    <t>51.45902200938745, 5.39323112084608</t>
  </si>
  <si>
    <t>51.4590222926493, 5.3932325592010475</t>
  </si>
  <si>
    <t>Luchthavenweg 051</t>
  </si>
  <si>
    <t>{"coordinates":[5.393898941044223,51.4593158105042],"type":"Point"}</t>
  </si>
  <si>
    <t>51.4593158105042, 5.393898941044223</t>
  </si>
  <si>
    <t>51.45931609474475, 5.393900381620067</t>
  </si>
  <si>
    <t>PARK MEERLAND 709</t>
  </si>
  <si>
    <t>{"coordinates":[5.403431815626785,51.43956845311803],"type":"Point"}</t>
  </si>
  <si>
    <t>51.43956845311803, 5.403431815626785</t>
  </si>
  <si>
    <t>51.43956874281965, 5.403433165747147</t>
  </si>
  <si>
    <t>PARK MEERLAND 716</t>
  </si>
  <si>
    <t>{"coordinates":[5.403156050086142,51.43941793147076],"type":"Point"}</t>
  </si>
  <si>
    <t>51.43941793147076, 5.403156050086142</t>
  </si>
  <si>
    <t>51.439418220919734, 5.4031573994704045</t>
  </si>
  <si>
    <t>PARK MEERLAND 715</t>
  </si>
  <si>
    <t>{"coordinates":[5.403209994542224,51.439446957380106],"type":"Point"}</t>
  </si>
  <si>
    <t>51.439446957380106, 5.403209994542224</t>
  </si>
  <si>
    <t>51.43944724687835, 5.403211344068188</t>
  </si>
  <si>
    <t>CDO-ET150W</t>
  </si>
  <si>
    <t>Meerplein GS007</t>
  </si>
  <si>
    <t>GS007</t>
  </si>
  <si>
    <t>{"coordinates":[5.409281090090062,51.442339765859366],"type":"Point"}</t>
  </si>
  <si>
    <t>51.442339765859366, 5.409281090090062</t>
  </si>
  <si>
    <t>51.44234006148946, 5.409282453875577</t>
  </si>
  <si>
    <t>Meerplein GS009</t>
  </si>
  <si>
    <t>GS009</t>
  </si>
  <si>
    <t>{"coordinates":[5.409226147895837,51.44234481002177],"type":"Point"}</t>
  </si>
  <si>
    <t>51.44234481002177, 5.409226147895837</t>
  </si>
  <si>
    <t>51.44234510561064, 5.40922751173972</t>
  </si>
  <si>
    <t>Meerplein GS014</t>
  </si>
  <si>
    <t>GS014</t>
  </si>
  <si>
    <t>{"coordinates":[5.409576979037776,51.442679121052464],"type":"Point"}</t>
  </si>
  <si>
    <t>51.442679121052464, 5.409576979037776</t>
  </si>
  <si>
    <t>51.442679417060596, 5.4095783444921866</t>
  </si>
  <si>
    <t>Zandoever 002</t>
  </si>
  <si>
    <t>2020-10-18</t>
  </si>
  <si>
    <t>{"coordinates":[5.413240999925584,51.448676761418184],"type":"Point"}</t>
  </si>
  <si>
    <t>51.448676761418184, 5.413240999925584</t>
  </si>
  <si>
    <t>51.448677062897865, 5.4132423969979975</t>
  </si>
  <si>
    <t>Luchthavenweg 041</t>
  </si>
  <si>
    <t>{"coordinates":[5.393082071167123,51.4575842799942],"type":"Point"}</t>
  </si>
  <si>
    <t>51.4575842799942, 5.393082071167123</t>
  </si>
  <si>
    <t>51.45758456251512, 5.393083503152821</t>
  </si>
  <si>
    <t>Luchthavenweg 044</t>
  </si>
  <si>
    <t>{"coordinates":[5.392722967444918,51.45827408934831],"type":"Point"}</t>
  </si>
  <si>
    <t>51.45827408934831, 5.392722967444918</t>
  </si>
  <si>
    <t>51.45827437167763, 5.392724401889739</t>
  </si>
  <si>
    <t>Pixelhof 013</t>
  </si>
  <si>
    <t>{"coordinates":[5.446471047015505,51.45100393325024],"type":"Point"}</t>
  </si>
  <si>
    <t>51.45100393325024, 5.446471047015505</t>
  </si>
  <si>
    <t>51.45100425939225, 5.446472406403925</t>
  </si>
  <si>
    <t>Pixelhof 015</t>
  </si>
  <si>
    <t>{"coordinates":[5.4464867170369615,51.45110630612646],"type":"Point"}</t>
  </si>
  <si>
    <t>51.45110630612646, 5.4464867170369615</t>
  </si>
  <si>
    <t>51.45110663238073, 5.446488077046415</t>
  </si>
  <si>
    <t>Meerring 002</t>
  </si>
  <si>
    <t>{"coordinates":[5.40857989333994,51.44113410996901],"type":"Point"}</t>
  </si>
  <si>
    <t>51.44113410996901, 5.40857989333994</t>
  </si>
  <si>
    <t>51.44113440453379, 5.408581251061758</t>
  </si>
  <si>
    <t>Meerring 009</t>
  </si>
  <si>
    <t>{"coordinates":[5.407745563189183,51.44164440031792],"type":"Point"}</t>
  </si>
  <si>
    <t>51.44164440031792, 5.407745563189183</t>
  </si>
  <si>
    <t>51.441644694420305, 5.407746924051547</t>
  </si>
  <si>
    <t>MHN-TD150W</t>
  </si>
  <si>
    <t>BGP760 LW10 LED44/83</t>
  </si>
  <si>
    <t>2040-03-01</t>
  </si>
  <si>
    <t>Venture HIT 400W EUR</t>
  </si>
  <si>
    <t>Eindhovenseweg 03.1</t>
  </si>
  <si>
    <t>03.1</t>
  </si>
  <si>
    <t>{"coordinates":[5.495262250736176,51.486552435407596],"type":"Point"}</t>
  </si>
  <si>
    <t>51.486552435407596, 5.495262250736176</t>
  </si>
  <si>
    <t>51.48655281667926, 5.495263611268488</t>
  </si>
  <si>
    <t>Eindhovenseweg 02.2</t>
  </si>
  <si>
    <t>02.2</t>
  </si>
  <si>
    <t>{"coordinates":[5.4954799340748215,51.48654989628928],"type":"Point"}</t>
  </si>
  <si>
    <t>51.48654989628928, 5.4954799340748215</t>
  </si>
  <si>
    <t>51.48655027762414, 5.495481293674462</t>
  </si>
  <si>
    <t>Eindhovenseweg 03.3</t>
  </si>
  <si>
    <t>03.3</t>
  </si>
  <si>
    <t>{"coordinates":[5.495162267841598,51.48658587596756],"type":"Point"}</t>
  </si>
  <si>
    <t>51.48658587596756, 5.495162267841598</t>
  </si>
  <si>
    <t>51.48658625723557, 5.495163628905471</t>
  </si>
  <si>
    <t>Eindhovenseweg 03.10</t>
  </si>
  <si>
    <t>03.10</t>
  </si>
  <si>
    <t>{"coordinates":[5.495044769325523,51.48682238621155],"type":"Point"}</t>
  </si>
  <si>
    <t>51.48682238621155, 5.495044769325523</t>
  </si>
  <si>
    <t>51.48682276763052, 5.4950461316443295</t>
  </si>
  <si>
    <t>Eindhovenseweg 03.5</t>
  </si>
  <si>
    <t>03.5</t>
  </si>
  <si>
    <t>{"coordinates":[5.495082206333082,51.486641679733886],"type":"Point"}</t>
  </si>
  <si>
    <t>51.486641679733886, 5.495082206333082</t>
  </si>
  <si>
    <t>51.48664206102183, 5.495083567915348</t>
  </si>
  <si>
    <t>Eindhovenseweg 03.8</t>
  </si>
  <si>
    <t>03.8</t>
  </si>
  <si>
    <t>{"coordinates":[5.495028469436096,51.48674869438233],"type":"Point"}</t>
  </si>
  <si>
    <t>51.48674869438233, 5.495028469436096</t>
  </si>
  <si>
    <t>51.48674907573844, 5.495029831588554</t>
  </si>
  <si>
    <t>Eindhovenseweg 03.6</t>
  </si>
  <si>
    <t>03.6</t>
  </si>
  <si>
    <t>{"coordinates":[5.495051914027568,51.48667811179905],"type":"Point"}</t>
  </si>
  <si>
    <t>51.48667811179905, 5.495051914027568</t>
  </si>
  <si>
    <t>51.486678493106595, 5.495053275854952</t>
  </si>
  <si>
    <t>Eindhovenseweg 02.5</t>
  </si>
  <si>
    <t>02.5</t>
  </si>
  <si>
    <t>{"coordinates":[5.495578636008524,51.486583242304235],"type":"Point"}</t>
  </si>
  <si>
    <t>51.486583242304235, 5.495578636008524</t>
  </si>
  <si>
    <t>51.48658362369495, 5.495579995295647</t>
  </si>
  <si>
    <t>Eindhovenseweg 02.7</t>
  </si>
  <si>
    <t>02.7</t>
  </si>
  <si>
    <t>{"coordinates":[5.495648277552484,51.48662596347841],"type":"Point"}</t>
  </si>
  <si>
    <t>51.48662596347841, 5.495648277552484</t>
  </si>
  <si>
    <t>51.486626344923614, 5.495649636680563</t>
  </si>
  <si>
    <t>Eindhovenseweg 02.8</t>
  </si>
  <si>
    <t>02.8</t>
  </si>
  <si>
    <t>{"coordinates":[5.49567713543592,51.48665236324381],"type":"Point"}</t>
  </si>
  <si>
    <t>51.48665236324381, 5.49567713543592</t>
  </si>
  <si>
    <t>51.486652744718434, 5.495678494525962</t>
  </si>
  <si>
    <t>Eindhovenseweg 01.3</t>
  </si>
  <si>
    <t>01.3</t>
  </si>
  <si>
    <t>{"coordinates":[5.495719826374636,51.48674391781934],"type":"Point"}</t>
  </si>
  <si>
    <t>51.48674391781934, 5.495719826374636</t>
  </si>
  <si>
    <t>51.48674429937881, 5.49572118557654</t>
  </si>
  <si>
    <t>Eindhovenseweg 04.8</t>
  </si>
  <si>
    <t>04.8</t>
  </si>
  <si>
    <t>{"coordinates":[5.495369642654768,51.486970847220654],"type":"Point"}</t>
  </si>
  <si>
    <t>51.486970847220654, 5.495369642654768</t>
  </si>
  <si>
    <t>51.486971228853676, 5.495371004069336</t>
  </si>
  <si>
    <t>Eindhovenseweg 04.10</t>
  </si>
  <si>
    <t>04.10</t>
  </si>
  <si>
    <t>{"coordinates":[5.495498759332554,51.48695841284832],"type":"Point"}</t>
  </si>
  <si>
    <t>51.48695841284832, 5.495498759332554</t>
  </si>
  <si>
    <t>51.48695879451028, 5.495500120159416</t>
  </si>
  <si>
    <t>Eindhovenseweg 04.2</t>
  </si>
  <si>
    <t>04.2</t>
  </si>
  <si>
    <t>{"coordinates":[5.495098909811465,51.48688552628824],"type":"Point"}</t>
  </si>
  <si>
    <t>51.48688552628824, 5.495098909811465</t>
  </si>
  <si>
    <t>51.486885907773065, 5.495100272102266</t>
  </si>
  <si>
    <t>Eindhovenseweg 04.5</t>
  </si>
  <si>
    <t>04.5</t>
  </si>
  <si>
    <t>{"coordinates":[5.4952151017087925,51.48694770997392],"type":"Point"}</t>
  </si>
  <si>
    <t>51.48694770997392, 5.4952151017087925</t>
  </si>
  <si>
    <t>51.486948091542445, 5.495216463705216</t>
  </si>
  <si>
    <t>Eindhovenseweg 04.6</t>
  </si>
  <si>
    <t>04.6</t>
  </si>
  <si>
    <t>{"coordinates":[5.495265092981842,51.486961056710044],"type":"Point"}</t>
  </si>
  <si>
    <t>51.486961056710044, 5.495265092981842</t>
  </si>
  <si>
    <t>51.48696143830402, 5.495266454808803</t>
  </si>
  <si>
    <t>Vijfkamplaan ZW002</t>
  </si>
  <si>
    <t>ZW002</t>
  </si>
  <si>
    <t>{"coordinates":[5.457985170595403,51.47593786862259],"type":"Point"}</t>
  </si>
  <si>
    <t>51.47593786862259, 5.457985170595403</t>
  </si>
  <si>
    <t>51.4759382264737, 5.457986638944867</t>
  </si>
  <si>
    <t>Vijfkamplaan ZW012</t>
  </si>
  <si>
    <t>ZW012</t>
  </si>
  <si>
    <t>{"coordinates":[5.456915487646961,51.475804673457425],"type":"Point"}</t>
  </si>
  <si>
    <t>51.475804673457425, 5.456915487646961</t>
  </si>
  <si>
    <t>51.4758050306479, 5.456916958712893</t>
  </si>
  <si>
    <t>Vijfkamplaan ZW015</t>
  </si>
  <si>
    <t>ZW015</t>
  </si>
  <si>
    <t>{"coordinates":[5.457173363662289,51.476137098693236],"type":"Point"}</t>
  </si>
  <si>
    <t>51.476137098693236, 5.457173363662289</t>
  </si>
  <si>
    <t>51.47613745631787, 5.4571748352724</t>
  </si>
  <si>
    <t>Vijfkamplaan ZW017</t>
  </si>
  <si>
    <t>ZW017</t>
  </si>
  <si>
    <t>{"coordinates":[5.456463537854353,51.47638713820722],"type":"Point"}</t>
  </si>
  <si>
    <t>51.47638713820722, 5.456463537854353</t>
  </si>
  <si>
    <t>51.476387495698454, 5.456465012557793</t>
  </si>
  <si>
    <t>Vijfkamplaan ZW019</t>
  </si>
  <si>
    <t>ZW019</t>
  </si>
  <si>
    <t>{"coordinates":[5.4565406105221,51.47652345010966],"type":"Point"}</t>
  </si>
  <si>
    <t>51.47652345010966, 5.4565406105221</t>
  </si>
  <si>
    <t>51.47652380776389, 5.456542085533126</t>
  </si>
  <si>
    <t>Vijfkamplaan ZW021</t>
  </si>
  <si>
    <t>ZW021</t>
  </si>
  <si>
    <t>{"coordinates":[5.45614603784375,51.476506066841594],"type":"Point"}</t>
  </si>
  <si>
    <t>51.476506066841594, 5.45614603784375</t>
  </si>
  <si>
    <t>51.47650642427833, 5.456147513955766</t>
  </si>
  <si>
    <t>Vijfkamplaan ZW024</t>
  </si>
  <si>
    <t>ZW024</t>
  </si>
  <si>
    <t>{"coordinates":[5.45672751507136,51.47675596481164],"type":"Point"}</t>
  </si>
  <si>
    <t>51.47675596481164, 5.45672751507136</t>
  </si>
  <si>
    <t>51.476756322773156, 5.456728990444303</t>
  </si>
  <si>
    <t>Panorama 036</t>
  </si>
  <si>
    <t>{"coordinates":[5.475772423086057,51.49644884002936],"type":"Point"}</t>
  </si>
  <si>
    <t>51.49644884002936, 5.475772423086057</t>
  </si>
  <si>
    <t>51.49644922208406, 5.475773880911283</t>
  </si>
  <si>
    <t>Panorama 067</t>
  </si>
  <si>
    <t>{"coordinates":[5.478021116281418,51.49517449655029],"type":"Point"}</t>
  </si>
  <si>
    <t>51.49517449655029, 5.478021116281418</t>
  </si>
  <si>
    <t>51.49517487876782, 5.478022564407183</t>
  </si>
  <si>
    <t>Panorama 047</t>
  </si>
  <si>
    <t>{"coordinates":[5.478263430757806,51.49608854205234],"type":"Point"}</t>
  </si>
  <si>
    <t>51.49608854205234, 5.478263430757806</t>
  </si>
  <si>
    <t>51.49608892502831, 5.478264879192935</t>
  </si>
  <si>
    <t>Panorama 051</t>
  </si>
  <si>
    <t>{"coordinates":[5.478803934335118,51.49568704508253],"type":"Point"}</t>
  </si>
  <si>
    <t>51.49568704508253, 5.478803934335118</t>
  </si>
  <si>
    <t>51.49568742802329, 5.478805380295153</t>
  </si>
  <si>
    <t>Panorama 052</t>
  </si>
  <si>
    <t>{"coordinates":[5.478945972299645,51.49556954164225],"type":"Point"}</t>
  </si>
  <si>
    <t>51.49556954164225, 5.478945972299645</t>
  </si>
  <si>
    <t>51.49556992456402, 5.478947417590343</t>
  </si>
  <si>
    <t>Panorama 061</t>
  </si>
  <si>
    <t>{"coordinates":[5.478732579327114,51.49522166933339],"type":"Point"}</t>
  </si>
  <si>
    <t>51.49522166933339, 5.478732579327114</t>
  </si>
  <si>
    <t>51.495222051907355, 5.4787340249303105</t>
  </si>
  <si>
    <t>Panorama 062</t>
  </si>
  <si>
    <t>{"coordinates":[5.478463531542519,51.49519554372302],"type":"Point"}</t>
  </si>
  <si>
    <t>51.49519554372302, 5.478463531542519</t>
  </si>
  <si>
    <t>51.4951959261561, 5.478464978088485</t>
  </si>
  <si>
    <t>Panorama 063</t>
  </si>
  <si>
    <t>{"coordinates":[5.478407260014877,51.49514030765348],"type":"Point"}</t>
  </si>
  <si>
    <t>51.49514030765348, 5.478407260014877</t>
  </si>
  <si>
    <t>51.49514069002167, 5.478408706693001</t>
  </si>
  <si>
    <t>Panorama 071</t>
  </si>
  <si>
    <t>{"coordinates":[5.4776022857241795,51.49499262260212],"type":"Point"}</t>
  </si>
  <si>
    <t>51.49499262260212, 5.4776022857241795</t>
  </si>
  <si>
    <t>51.49499300450288, 5.47760373513979</t>
  </si>
  <si>
    <t>Hoogte 001</t>
  </si>
  <si>
    <t>{"coordinates":[5.477594121258881,51.495304085364914],"type":"Point"}</t>
  </si>
  <si>
    <t>51.495304085364914, 5.477594121258881</t>
  </si>
  <si>
    <t>51.49530446747964, 5.477595571101163</t>
  </si>
  <si>
    <t>Hoogte 003</t>
  </si>
  <si>
    <t>{"coordinates":[5.477650315375771,51.495610194863026],"type":"Point"}</t>
  </si>
  <si>
    <t>51.495610194863026, 5.477650315375771</t>
  </si>
  <si>
    <t>51.49561057721747, 5.477651765404936</t>
  </si>
  <si>
    <t>Hoogte 004</t>
  </si>
  <si>
    <t>{"coordinates":[5.477735353286043,51.495792957757],"type":"Point"}</t>
  </si>
  <si>
    <t>51.495792957757, 5.477735353286043</t>
  </si>
  <si>
    <t>51.495793340278716, 5.477736803241733</t>
  </si>
  <si>
    <t>Hoogte 005</t>
  </si>
  <si>
    <t>{"coordinates":[5.47781935767903,51.49596259797489],"type":"Point"}</t>
  </si>
  <si>
    <t>51.49596259797489, 5.47781935767903</t>
  </si>
  <si>
    <t>51.495962980654625, 5.477820807549394</t>
  </si>
  <si>
    <t>Marnestraat 009</t>
  </si>
  <si>
    <t>{"coordinates":[5.440730765513452,51.487713140626816],"type":"Point"}</t>
  </si>
  <si>
    <t>51.487713140626816, 5.440730765513452</t>
  </si>
  <si>
    <t>51.48771349589369, 5.440732312218492</t>
  </si>
  <si>
    <t>Panorama 084</t>
  </si>
  <si>
    <t>{"coordinates":[5.476086551938955,51.49478264596247],"type":"Point"}</t>
  </si>
  <si>
    <t>51.49478264596247, 5.476086551938955</t>
  </si>
  <si>
    <t>51.49478302704161, 5.476088006618005</t>
  </si>
  <si>
    <t>Panorama 091</t>
  </si>
  <si>
    <t>{"coordinates":[5.475581256919315,51.49478383945585],"type":"Point"}</t>
  </si>
  <si>
    <t>51.49478383945585, 5.475581256919315</t>
  </si>
  <si>
    <t>51.4947842203115, 5.47558271344365</t>
  </si>
  <si>
    <t>Panorama 092</t>
  </si>
  <si>
    <t>{"coordinates":[5.475536142213561,51.4949841406178],"type":"Point"}</t>
  </si>
  <si>
    <t>51.4949841406178, 5.475536142213561</t>
  </si>
  <si>
    <t>51.49498452158676, 5.475537599140995</t>
  </si>
  <si>
    <t>Panorama 093</t>
  </si>
  <si>
    <t>{"coordinates":[5.475471475505471,51.49512710904611],"type":"Point"}</t>
  </si>
  <si>
    <t>51.49512710904611, 5.475471475505471</t>
  </si>
  <si>
    <t>51.495127490081146, 5.475472932838217</t>
  </si>
  <si>
    <t>Panorama 077</t>
  </si>
  <si>
    <t>{"coordinates":[5.476823078037026,51.49476446383115],"type":"Point"}</t>
  </si>
  <si>
    <t>51.49476446383115, 5.476823078037026</t>
  </si>
  <si>
    <t>51.494764845225404, 5.476824530005843</t>
  </si>
  <si>
    <t>Panorama 082</t>
  </si>
  <si>
    <t>{"coordinates":[5.47641448645104,51.49524593948976],"type":"Point"}</t>
  </si>
  <si>
    <t>51.49524593948976, 5.47641448645104</t>
  </si>
  <si>
    <t>51.4952463210296, 5.47641594050156</t>
  </si>
  <si>
    <t>Panorama 089</t>
  </si>
  <si>
    <t>{"coordinates":[5.4754874398258835,51.495191006187476],"type":"Point"}</t>
  </si>
  <si>
    <t>51.495191006187476, 5.4754874398258835</t>
  </si>
  <si>
    <t>51.49519138727216, 5.475488897176525</t>
  </si>
  <si>
    <t>Ouverture 027A</t>
  </si>
  <si>
    <t>027A</t>
  </si>
  <si>
    <t>{"coordinates":[5.474513502802375,51.48834230405735],"type":"Point"}</t>
  </si>
  <si>
    <t>51.48834230405735, 5.474513502802375</t>
  </si>
  <si>
    <t>51.48834268017169, 5.474514952604239</t>
  </si>
  <si>
    <t>Boschdijk 663</t>
  </si>
  <si>
    <t>663</t>
  </si>
  <si>
    <t>{"coordinates":[5.435239560123333,51.48086376652504],"type":"Point"}</t>
  </si>
  <si>
    <t>51.48086376652504, 5.435239560123333</t>
  </si>
  <si>
    <t>51.48086411322625, 5.43524109998165</t>
  </si>
  <si>
    <t>Boschdijk 671</t>
  </si>
  <si>
    <t>{"coordinates":[5.434323076669856,51.48177900643059],"type":"Point"}</t>
  </si>
  <si>
    <t>51.48177900643059, 5.434323076669856</t>
  </si>
  <si>
    <t>51.48177935317571, 5.434324620852256</t>
  </si>
  <si>
    <t>Boschdijk 677</t>
  </si>
  <si>
    <t>677</t>
  </si>
  <si>
    <t>{"coordinates":[5.433636662800173,51.48246646493369],"type":"Point"}</t>
  </si>
  <si>
    <t>51.48246646493369, 5.433636662800173</t>
  </si>
  <si>
    <t>51.482466811687566, 5.433638210110509</t>
  </si>
  <si>
    <t>30 LED, 350mA, WW 31</t>
  </si>
  <si>
    <t>16 LED X-G3 LENS 18,</t>
  </si>
  <si>
    <t>SL   18 W</t>
  </si>
  <si>
    <t>2000-03-01</t>
  </si>
  <si>
    <t>20 Leds 23W WW 3000L</t>
  </si>
  <si>
    <t>Rembrandtplein 016</t>
  </si>
  <si>
    <t>PLANTSOEN</t>
  </si>
  <si>
    <t>AGMI LZR PLL 36 W RA</t>
  </si>
  <si>
    <t>BB AGMI LZR 150 RAL7035 VZ</t>
  </si>
  <si>
    <t>{"coordinates":[5.501880732822126,51.43868431540122],"type":"Point"}</t>
  </si>
  <si>
    <t>51.43868431540122, 5.501880732822126</t>
  </si>
  <si>
    <t>51.43868464544122, 5.501881819444624</t>
  </si>
  <si>
    <t>Haydnstraat 015</t>
  </si>
  <si>
    <t>BDP102 PCC LED 20 DR</t>
  </si>
  <si>
    <t>{"coordinates":[5.460904023409085,51.42582829901521],"type":"Point"}</t>
  </si>
  <si>
    <t>51.42582829901521, 5.460904023409085</t>
  </si>
  <si>
    <t>51.42582860950142, 5.460905192248098</t>
  </si>
  <si>
    <t>Palingstraat 001</t>
  </si>
  <si>
    <t>{"coordinates":[5.469823255594143,51.4321653501614],"type":"Point"}</t>
  </si>
  <si>
    <t>51.4321653501614, 5.469823255594143</t>
  </si>
  <si>
    <t>51.43216566587498, 5.469824425369039</t>
  </si>
  <si>
    <t>Palingstraat 002</t>
  </si>
  <si>
    <t>{"coordinates":[5.46949251534747,51.43226320156504],"type":"Point"}</t>
  </si>
  <si>
    <t>51.43226320156504, 5.46949251534747</t>
  </si>
  <si>
    <t>51.432263517252274, 5.469493686770614</t>
  </si>
  <si>
    <t>Genneperweg 15-023</t>
  </si>
  <si>
    <t>15-023</t>
  </si>
  <si>
    <t>BEGA 7208 (SPORTPARK</t>
  </si>
  <si>
    <t>AL 4 CILINDRISCH (BEGA)</t>
  </si>
  <si>
    <t>{"coordinates":[5.471122325119372,51.414564216117924],"type":"Point"}</t>
  </si>
  <si>
    <t>51.414564216117924, 5.471122325119372</t>
  </si>
  <si>
    <t>51.41456452343523, 5.47112341606485</t>
  </si>
  <si>
    <t>2044-08-06</t>
  </si>
  <si>
    <t>5414 SCHIMMELT OOST (VESTDIJK) 002</t>
  </si>
  <si>
    <t>{"coordinates":[5.477347641314788,51.44385774110211],"type":"Point"}</t>
  </si>
  <si>
    <t>51.44385774110211, 5.477347641314788</t>
  </si>
  <si>
    <t>51.44385807041574, 5.477348852602336</t>
  </si>
  <si>
    <t>5414 SCHIMMELT OOST (VESTDIJK) 004</t>
  </si>
  <si>
    <t>{"coordinates":[5.4772630046936355,51.44384240003411],"type":"Point"}</t>
  </si>
  <si>
    <t>51.44384240003411, 5.4772630046936355</t>
  </si>
  <si>
    <t>51.44384272930645, 5.477264216194514</t>
  </si>
  <si>
    <t>5414 SCHIMMELT OOST (VESTDIJK) 005</t>
  </si>
  <si>
    <t>{"coordinates":[5.477161380172112,51.44365901090477],"type":"Point"}</t>
  </si>
  <si>
    <t>51.44365901090477, 5.477161380172112</t>
  </si>
  <si>
    <t>51.44365933993568, 5.4771625908895265</t>
  </si>
  <si>
    <t>5414 SCHIMMELT OOST (VESTDIJK) 006</t>
  </si>
  <si>
    <t>{"coordinates":[5.47713889559628,51.44381822658027],"type":"Point"}</t>
  </si>
  <si>
    <t>51.44381822658027, 5.47713889559628</t>
  </si>
  <si>
    <t>51.44381855579017, 5.477140107399407</t>
  </si>
  <si>
    <t>5414 SCHIMMELT OOST (VESTDIJK) 010</t>
  </si>
  <si>
    <t>{"coordinates":[5.476915774172415,51.44377538796891],"type":"Point"}</t>
  </si>
  <si>
    <t>51.44377538796891, 5.476915774172415</t>
  </si>
  <si>
    <t>51.44377571706727, 5.476916986522799</t>
  </si>
  <si>
    <t>5419 RABOTUNNEL 009</t>
  </si>
  <si>
    <t>{"coordinates":[5.477277395318446,51.44450145601165],"type":"Point"}</t>
  </si>
  <si>
    <t>51.44450145601165, 5.477277395318446</t>
  </si>
  <si>
    <t>51.44450178605446, 5.477278610919646</t>
  </si>
  <si>
    <t>5419 RABOTUNNEL 011</t>
  </si>
  <si>
    <t>{"coordinates":[5.4772599508771895,51.44454696115563],"type":"Point"}</t>
  </si>
  <si>
    <t>51.44454696115563, 5.4772599508771895</t>
  </si>
  <si>
    <t>51.44454729124652, 5.4772611668290825</t>
  </si>
  <si>
    <t>LLM 3100</t>
  </si>
  <si>
    <t>Luchthavenweg 068</t>
  </si>
  <si>
    <t>{"coordinates":[5.39288783140479,51.45689405146709],"type":"Point"}</t>
  </si>
  <si>
    <t>51.45689405146709, 5.39288783140479</t>
  </si>
  <si>
    <t>51.45689433364174, 5.392889259890092</t>
  </si>
  <si>
    <t>2031-03-06</t>
  </si>
  <si>
    <t>Zandkasteel 135</t>
  </si>
  <si>
    <t>{"coordinates":[5.413953723090636,51.44857544911755],"type":"Point"}</t>
  </si>
  <si>
    <t>51.44857544911755, 5.413953723090636</t>
  </si>
  <si>
    <t>51.448575751124736, 5.413955119426602</t>
  </si>
  <si>
    <t>Zandkasteel 136</t>
  </si>
  <si>
    <t>{"coordinates":[5.413969533498786,51.448601521581324],"type":"Point"}</t>
  </si>
  <si>
    <t>51.448601521581324, 5.413969533498786</t>
  </si>
  <si>
    <t>51.44860182361237, 5.4139709299782135</t>
  </si>
  <si>
    <t>Zandkasteel 138</t>
  </si>
  <si>
    <t>{"coordinates":[5.41399957192819,51.44865358597134],"type":"Point"}</t>
  </si>
  <si>
    <t>51.44865358597134, 5.41399957192819</t>
  </si>
  <si>
    <t>51.448653888048746, 5.414000968694632</t>
  </si>
  <si>
    <t>Zandkasteel 142</t>
  </si>
  <si>
    <t>{"coordinates":[5.414061734890349,51.4487577322201],"type":"Point"}</t>
  </si>
  <si>
    <t>51.4487577322201, 5.414061734890349</t>
  </si>
  <si>
    <t>51.44875803439194, 5.414063132230895</t>
  </si>
  <si>
    <t>Zandkasteel 144</t>
  </si>
  <si>
    <t>{"coordinates":[5.414090752002426,51.448809527163526],"type":"Point"}</t>
  </si>
  <si>
    <t>51.448809527163526, 5.414090752002426</t>
  </si>
  <si>
    <t>51.44880982938078, 5.414092149629177</t>
  </si>
  <si>
    <t>Zandkasteel 147</t>
  </si>
  <si>
    <t>{"coordinates":[5.414136759920483,51.448888293131986],"type":"Point"}</t>
  </si>
  <si>
    <t>51.448888293131986, 5.414136759920483</t>
  </si>
  <si>
    <t>51.448888595419874, 5.41413815798237</t>
  </si>
  <si>
    <t>Zandkasteel 149</t>
  </si>
  <si>
    <t>{"coordinates":[5.414167834760039,51.44894082464696],"type":"Point"}</t>
  </si>
  <si>
    <t>51.44894082464696, 5.414167834760039</t>
  </si>
  <si>
    <t>51.44894112698222, 5.414169233112268</t>
  </si>
  <si>
    <t>Zandkasteel 153</t>
  </si>
  <si>
    <t>{"coordinates":[5.414224963464249,51.44904480119681],"type":"Point"}</t>
  </si>
  <si>
    <t>51.44904480119681, 5.414224963464249</t>
  </si>
  <si>
    <t>51.44904510362249, 5.414226362392592</t>
  </si>
  <si>
    <t>Zandkasteel 159</t>
  </si>
  <si>
    <t>{"coordinates":[5.4140337009430235,51.44859173601799],"type":"Point"}</t>
  </si>
  <si>
    <t>51.44859173601799, 5.4140337009430235</t>
  </si>
  <si>
    <t>51.44859203809625, 5.41403509735211</t>
  </si>
  <si>
    <t>Zandkasteel 165</t>
  </si>
  <si>
    <t>{"coordinates":[5.414125313150096,51.44874865684823],"type":"Point"}</t>
  </si>
  <si>
    <t>51.44874865684823, 5.414125313150096</t>
  </si>
  <si>
    <t>51.448748959067075, 5.4141267104249495</t>
  </si>
  <si>
    <t>Zandkasteel 175</t>
  </si>
  <si>
    <t>{"coordinates":[5.414273061935125,51.449009176839446],"type":"Point"}</t>
  </si>
  <si>
    <t>51.449009176839446, 5.414273061935125</t>
  </si>
  <si>
    <t>51.44900947928841, 5.414274460651597</t>
  </si>
  <si>
    <t>Zandgolf 202</t>
  </si>
  <si>
    <t>{"coordinates":[5.410590123320534,51.45113967518125],"type":"Point"}</t>
  </si>
  <si>
    <t>51.45113967518125, 5.410590123320534</t>
  </si>
  <si>
    <t>51.45113997563056, 5.410591534588044</t>
  </si>
  <si>
    <t>Zandgolf 204</t>
  </si>
  <si>
    <t>{"coordinates":[5.410656793199564,51.45117611967366],"type":"Point"}</t>
  </si>
  <si>
    <t>51.45117611967366, 5.410656793199564</t>
  </si>
  <si>
    <t>51.451176420198486, 5.4106582046579605</t>
  </si>
  <si>
    <t>Zandgolf 207</t>
  </si>
  <si>
    <t>{"coordinates":[5.410758272600661,51.45123039053792],"type":"Point"}</t>
  </si>
  <si>
    <t>51.45123039053792, 5.410758272600661</t>
  </si>
  <si>
    <t>51.45123069117745, 5.4107596843431205</t>
  </si>
  <si>
    <t>Zandgolf 208</t>
  </si>
  <si>
    <t>{"coordinates":[5.410791960002027,51.4512483789631],"type":"Point"}</t>
  </si>
  <si>
    <t>51.4512483789631, 5.410791960002027</t>
  </si>
  <si>
    <t>51.45124867964087, 5.410793371838725</t>
  </si>
  <si>
    <t>Zandgolf 211</t>
  </si>
  <si>
    <t>{"coordinates":[5.410891641939504,51.451303602876614],"type":"Point"}</t>
  </si>
  <si>
    <t>51.451303602876614, 5.410891641939504</t>
  </si>
  <si>
    <t>51.451303903668624, 5.410893054066177</t>
  </si>
  <si>
    <t>Zandgolf 214</t>
  </si>
  <si>
    <t>{"coordinates":[5.4109932082914645,51.45135800834715],"type":"Point"}</t>
  </si>
  <si>
    <t>51.45135800834715, 5.4109932082914645</t>
  </si>
  <si>
    <t>51.45135830925522, 5.410994620703548</t>
  </si>
  <si>
    <t>Zandgolf 218</t>
  </si>
  <si>
    <t>{"coordinates":[5.4105915535202636,51.45109510009644],"type":"Point"}</t>
  </si>
  <si>
    <t>51.45109510009644, 5.4105915535202636</t>
  </si>
  <si>
    <t>51.45109540052719, 5.410592964541263</t>
  </si>
  <si>
    <t>Zandgolf 221</t>
  </si>
  <si>
    <t>{"coordinates":[5.410692284674214,51.45114955094387],"type":"Point"}</t>
  </si>
  <si>
    <t>51.45114955094387, 5.410692284674214</t>
  </si>
  <si>
    <t>51.4511498514883, 5.41069369598012</t>
  </si>
  <si>
    <t>Zandgolf 222</t>
  </si>
  <si>
    <t>{"coordinates":[5.410726331903607,51.4511680426803],"type":"Point"}</t>
  </si>
  <si>
    <t>51.4511680426803, 5.410726331903607</t>
  </si>
  <si>
    <t>51.45116834326328, 5.410727743306348</t>
  </si>
  <si>
    <t>Zandgolf 224</t>
  </si>
  <si>
    <t>{"coordinates":[5.410793764058361,51.451203821777355],"type":"Point"}</t>
  </si>
  <si>
    <t>51.451203821777355, 5.410793764058361</t>
  </si>
  <si>
    <t>51.45120412243656, 5.4107951756483645</t>
  </si>
  <si>
    <t>Zandgolf 225</t>
  </si>
  <si>
    <t>{"coordinates":[5.41082745145415,51.45122181019236],"type":"Point"}</t>
  </si>
  <si>
    <t>51.45122181019236, 5.41082745145415</t>
  </si>
  <si>
    <t>51.45122211088976, 5.410828863138334</t>
  </si>
  <si>
    <t>Zandgolf 229</t>
  </si>
  <si>
    <t>{"coordinates":[5.410961583470573,51.451295256000144],"type":"Point"}</t>
  </si>
  <si>
    <t>51.451295256000144, 5.410961583470573</t>
  </si>
  <si>
    <t>51.45129555685092, 5.410962995540247</t>
  </si>
  <si>
    <t>Zandgolf 233</t>
  </si>
  <si>
    <t>{"coordinates":[5.4110966362493365,51.45136795540262],"type":"Point"}</t>
  </si>
  <si>
    <t>51.45136795540262, 5.4110966362493365</t>
  </si>
  <si>
    <t>51.45136825640819, 5.411098048700664</t>
  </si>
  <si>
    <t>Gashouder 20-2</t>
  </si>
  <si>
    <t>20-2</t>
  </si>
  <si>
    <t>{"coordinates":[5.4881925952722375,51.43833983517125],"type":"Point"}</t>
  </si>
  <si>
    <t>51.43833983517125, 5.4881925952722375</t>
  </si>
  <si>
    <t>51.438340161368316, 5.488193733255617</t>
  </si>
  <si>
    <t>Gashouder 13-2</t>
  </si>
  <si>
    <t>13-2</t>
  </si>
  <si>
    <t>{"coordinates":[5.48819258435479,51.43911429930791],"type":"Point"}</t>
  </si>
  <si>
    <t>51.43911429930791, 5.48819258435479</t>
  </si>
  <si>
    <t>51.43911462627931, 5.488193726649269</t>
  </si>
  <si>
    <t>Gashouder 18-2</t>
  </si>
  <si>
    <t>18-2</t>
  </si>
  <si>
    <t>{"coordinates":[5.488564366367319,51.43865941902584],"type":"Point"}</t>
  </si>
  <si>
    <t>51.43865941902584, 5.488564366367319</t>
  </si>
  <si>
    <t>51.43865974562896, 5.48856550472527</t>
  </si>
  <si>
    <t>Gashouder 19-2</t>
  </si>
  <si>
    <t>19-2</t>
  </si>
  <si>
    <t>{"coordinates":[5.488028761691089,51.438655929042476],"type":"Point"}</t>
  </si>
  <si>
    <t>51.438655929042476, 5.488028761691089</t>
  </si>
  <si>
    <t>51.438656255517515, 5.488029902052912</t>
  </si>
  <si>
    <t>Houtblazersstraat 002</t>
  </si>
  <si>
    <t>{"coordinates":[5.520297202743075,51.43472180434487],"type":"Point"}</t>
  </si>
  <si>
    <t>51.43472180434487, 5.520297202743075</t>
  </si>
  <si>
    <t>51.4347221375998, 5.520298208251924</t>
  </si>
  <si>
    <t>Houtblazersstraat 004</t>
  </si>
  <si>
    <t>{"coordinates":[5.520211680782171,51.434343029202196],"type":"Point"}</t>
  </si>
  <si>
    <t>51.434343029202196, 5.520211680782171</t>
  </si>
  <si>
    <t>51.43434336200869, 5.520212684818852</t>
  </si>
  <si>
    <t>Houtblazersstraat 006</t>
  </si>
  <si>
    <t>{"coordinates":[5.520098128747364,51.433968061220895],"type":"Point"}</t>
  </si>
  <si>
    <t>51.433968061220895, 5.520098128747364</t>
  </si>
  <si>
    <t>51.43396839357392, 5.520099131417369</t>
  </si>
  <si>
    <t>Houtblazersstraat 008</t>
  </si>
  <si>
    <t>{"coordinates":[5.5206855609037015,51.43386150280085],"type":"Point"}</t>
  </si>
  <si>
    <t>51.43386150280085, 5.5206855609037015</t>
  </si>
  <si>
    <t>51.433861835248514, 5.520686561199812</t>
  </si>
  <si>
    <t>Fagotstraat 001</t>
  </si>
  <si>
    <t>{"coordinates":[5.521187026775168,51.434842760475775],"type":"Point"}</t>
  </si>
  <si>
    <t>51.434842760475775, 5.521187026775168</t>
  </si>
  <si>
    <t>51.434843094198136, 5.521188029964364</t>
  </si>
  <si>
    <t>Fagotstraat 004</t>
  </si>
  <si>
    <t>{"coordinates":[5.521051835629853,51.43425200012669],"type":"Point"}</t>
  </si>
  <si>
    <t>51.43425200012669, 5.521051835629853</t>
  </si>
  <si>
    <t>51.43425233314105, 5.5210528365449445</t>
  </si>
  <si>
    <t>Hobostraat 005</t>
  </si>
  <si>
    <t>Hobostraat</t>
  </si>
  <si>
    <t>{"coordinates":[5.521944236336905,51.43398211972626],"type":"Point"}</t>
  </si>
  <si>
    <t>51.43398211972626, 5.521944236336905</t>
  </si>
  <si>
    <t>51.433982452764724, 5.52194523315143</t>
  </si>
  <si>
    <t>Klavecimbellaan 037</t>
  </si>
  <si>
    <t>{"coordinates":[5.5244504395914085,51.43777430352586],"type":"Point"}</t>
  </si>
  <si>
    <t>51.43777430352586, 5.5244504395914085</t>
  </si>
  <si>
    <t>51.43777464189489, 5.524451445369723</t>
  </si>
  <si>
    <t>5404 SCHIMMELT WEST (BOSCHD.) 015</t>
  </si>
  <si>
    <t>{"coordinates":[5.474716226208456,51.4431814282605],"type":"Point"}</t>
  </si>
  <si>
    <t>51.4431814282605, 5.474716226208456</t>
  </si>
  <si>
    <t>51.443181756063304, 5.474717442867198</t>
  </si>
  <si>
    <t>5404 SCHIMMELT WEST (BOSCHD.) 017</t>
  </si>
  <si>
    <t>{"coordinates":[5.47461970524662,51.44316319985824],"type":"Point"}</t>
  </si>
  <si>
    <t>51.44316319985824, 5.47461970524662</t>
  </si>
  <si>
    <t>51.44316352761344, 5.4746209221436795</t>
  </si>
  <si>
    <t>Stadhuisplein 036</t>
  </si>
  <si>
    <t>{"coordinates":[5.4803164801318704,51.43576589616378],"type":"Point"}</t>
  </si>
  <si>
    <t>51.43576589616378, 5.4803164801318704</t>
  </si>
  <si>
    <t>51.43576621803644, 5.480317632978759</t>
  </si>
  <si>
    <t>Stadhuisplein 044</t>
  </si>
  <si>
    <t>{"coordinates":[5.4798282804855,51.43557017074874],"type":"Point"}</t>
  </si>
  <si>
    <t>51.43557017074874, 5.4798282804855</t>
  </si>
  <si>
    <t>51.435570492301686, 5.479829433977143</t>
  </si>
  <si>
    <t>Stadhuisplein 045</t>
  </si>
  <si>
    <t>{"coordinates":[5.4796112620000885,51.435468654354096],"type":"Point"}</t>
  </si>
  <si>
    <t>51.435468654354096, 5.4796112620000885</t>
  </si>
  <si>
    <t>51.43546897575149, 5.4796124156957084</t>
  </si>
  <si>
    <t>Stadhuisplein 046</t>
  </si>
  <si>
    <t>{"coordinates":[5.480577930388876,51.43573616792322],"type":"Point"}</t>
  </si>
  <si>
    <t>51.43573616792322, 5.480577930388876</t>
  </si>
  <si>
    <t>51.43573648984145, 5.480579082133407</t>
  </si>
  <si>
    <t>Stadhuisplein 052</t>
  </si>
  <si>
    <t>{"coordinates":[5.480641393427023,51.43567903891136],"type":"Point"}</t>
  </si>
  <si>
    <t>51.43567903891136, 5.480641393427023</t>
  </si>
  <si>
    <t>51.43567936079405, 5.480642544623649</t>
  </si>
  <si>
    <t>Stadhuisplein 034</t>
  </si>
  <si>
    <t>{"coordinates":[5.480452099654216,51.435816636535414],"type":"Point"}</t>
  </si>
  <si>
    <t>51.435816636535414, 5.480452099654216</t>
  </si>
  <si>
    <t>51.43581695849357, 5.480453252301067</t>
  </si>
  <si>
    <t>Clausplein 005</t>
  </si>
  <si>
    <t>{"coordinates":[5.474509342772776,51.438625774857584],"type":"Point"}</t>
  </si>
  <si>
    <t>51.438625774857584, 5.474509342772776</t>
  </si>
  <si>
    <t>51.43862609779401, 5.474510532724662</t>
  </si>
  <si>
    <t>Lichtplein 025</t>
  </si>
  <si>
    <t>{"coordinates":[5.474382356140539,51.4399775146984],"type":"Point"}</t>
  </si>
  <si>
    <t>51.4399775146984, 5.474382356140539</t>
  </si>
  <si>
    <t>51.439977838861346, 5.474383554277165</t>
  </si>
  <si>
    <t>Lichtplein 028</t>
  </si>
  <si>
    <t>{"coordinates":[5.474566963429165,51.44004778455018],"type":"Point"}</t>
  </si>
  <si>
    <t>51.44004778455018, 5.474566963429165</t>
  </si>
  <si>
    <t>51.44004810883039, 5.474568161290085</t>
  </si>
  <si>
    <t>Lichtplein 035</t>
  </si>
  <si>
    <t>{"coordinates":[5.474516896067561,51.44026513225338],"type":"Point"}</t>
  </si>
  <si>
    <t>51.44026513225338, 5.474516896067561</t>
  </si>
  <si>
    <t>51.44026545672251, 5.474518095352855</t>
  </si>
  <si>
    <t>2052-10-26</t>
  </si>
  <si>
    <t>Hovenring 026</t>
  </si>
  <si>
    <t>{"coordinates":[5.418747516294429,51.433361209661655],"type":"Point"}</t>
  </si>
  <si>
    <t>51.433361209661655, 5.418747516294429</t>
  </si>
  <si>
    <t>51.43336150907119, 5.418748825492702</t>
  </si>
  <si>
    <t>Lichtplein 072</t>
  </si>
  <si>
    <t>{"coordinates":[5.474300362780376,51.43912765217093],"type":"Point"}</t>
  </si>
  <si>
    <t>51.43912765217093, 5.474300362780376</t>
  </si>
  <si>
    <t>51.439127975517636, 5.474301556361469</t>
  </si>
  <si>
    <t>Lichtplein 073</t>
  </si>
  <si>
    <t>{"coordinates":[5.47430816406531,51.43914585738352],"type":"Point"}</t>
  </si>
  <si>
    <t>51.43914585738352, 5.47430816406531</t>
  </si>
  <si>
    <t>51.43914618074942, 5.474309357721944</t>
  </si>
  <si>
    <t>Lichtplein 077</t>
  </si>
  <si>
    <t>{"coordinates":[5.4743491033982785,51.43922473829467],"type":"Point"}</t>
  </si>
  <si>
    <t>51.43922473829467, 5.4743491033982785</t>
  </si>
  <si>
    <t>51.439225061745624, 5.474350297356032</t>
  </si>
  <si>
    <t>Lichtplein 081</t>
  </si>
  <si>
    <t>{"coordinates":[5.474390994436363,51.439304831949],"type":"Point"}</t>
  </si>
  <si>
    <t>51.439304831949, 5.474390994436363</t>
  </si>
  <si>
    <t>51.439305155486466, 5.474392188698567</t>
  </si>
  <si>
    <t>Lichtplein 082</t>
  </si>
  <si>
    <t>{"coordinates":[5.474399772628738,51.4393224251938],"type":"Point"}</t>
  </si>
  <si>
    <t>51.4393224251938, 5.474399772628738</t>
  </si>
  <si>
    <t>51.43932274875016, 5.474400966959302</t>
  </si>
  <si>
    <t>Lichtplein 083</t>
  </si>
  <si>
    <t>{"coordinates":[5.4744066022318005,51.43933637948549],"type":"Point"}</t>
  </si>
  <si>
    <t>51.43933637948549, 5.4744066022318005</t>
  </si>
  <si>
    <t>51.43933670305675, 5.47440779661714</t>
  </si>
  <si>
    <t>Ten Hagestraat 029</t>
  </si>
  <si>
    <t>{"coordinates":[5.481608858791125,51.437368812309614],"type":"Point"}</t>
  </si>
  <si>
    <t>51.437368812309614, 5.481608858791125</t>
  </si>
  <si>
    <t>51.437369136043685, 5.4816100159946775</t>
  </si>
  <si>
    <t>Ten Hagestraat 035</t>
  </si>
  <si>
    <t>{"coordinates":[5.481675208214507,51.437670166707385],"type":"Point"}</t>
  </si>
  <si>
    <t>51.437670166707385, 5.481675208214507</t>
  </si>
  <si>
    <t>51.4376704907417, 5.481676366867124</t>
  </si>
  <si>
    <t>Stadhuisplein 119</t>
  </si>
  <si>
    <t>PLS   5 W/827/2P</t>
  </si>
  <si>
    <t>G23</t>
  </si>
  <si>
    <t>{"coordinates":[5.481723977178015,51.43548387467601],"type":"Point"}</t>
  </si>
  <si>
    <t>51.43548387467601, 5.481723977178015</t>
  </si>
  <si>
    <t>51.43548419668115, 5.481725123410064</t>
  </si>
  <si>
    <t>Stadhuisplein 116</t>
  </si>
  <si>
    <t>MBF505 MB SON-T 70 W</t>
  </si>
  <si>
    <t>{"coordinates":[5.481534624409537,51.43546579924086],"type":"Point"}</t>
  </si>
  <si>
    <t>51.43546579924086, 5.481534624409537</t>
  </si>
  <si>
    <t>51.43546612117565, 5.481535771216924</t>
  </si>
  <si>
    <t>Marathonloop 026</t>
  </si>
  <si>
    <t>LED100-4S/830 DM50</t>
  </si>
  <si>
    <t>{"coordinates":[5.447188307686207,51.475615843389804],"type":"Point"}</t>
  </si>
  <si>
    <t>51.475615843389804, 5.447188307686207</t>
  </si>
  <si>
    <t>51.4756161948619, 5.44718980575968</t>
  </si>
  <si>
    <t>Marathonloop 028</t>
  </si>
  <si>
    <t>{"coordinates":[5.447609805780395,51.47576767707605],"type":"Point"}</t>
  </si>
  <si>
    <t>51.47576767707605, 5.447609805780395</t>
  </si>
  <si>
    <t>51.47576802901207, 5.447611303392585</t>
  </si>
  <si>
    <t>Marathonloop 002</t>
  </si>
  <si>
    <t>LED140-4S/830 DM50</t>
  </si>
  <si>
    <t>{"coordinates":[5.442951804371553,51.47400300739644],"type":"Point"}</t>
  </si>
  <si>
    <t>51.47400300739644, 5.442951804371553</t>
  </si>
  <si>
    <t>51.47400335407505, 5.4429533067191915</t>
  </si>
  <si>
    <t>Marathonloop 006</t>
  </si>
  <si>
    <t>{"coordinates":[5.443690148753742,51.47428467863607],"type":"Point"}</t>
  </si>
  <si>
    <t>51.47428467863607, 5.443690148753742</t>
  </si>
  <si>
    <t>51.47428502616196, 5.443691650457995</t>
  </si>
  <si>
    <t>Marathonloop 008</t>
  </si>
  <si>
    <t>{"coordinates":[5.444107311439952,51.47444183936785],"type":"Point"}</t>
  </si>
  <si>
    <t>51.47444183936785, 5.444107311439952</t>
  </si>
  <si>
    <t>51.47444218736638, 5.444108812699013</t>
  </si>
  <si>
    <t>Damocleslaan 015</t>
  </si>
  <si>
    <t>{"coordinates":[5.500451891367935,51.46494139087267],"type":"Point"}</t>
  </si>
  <si>
    <t>51.46494139087267, 5.500451891367935</t>
  </si>
  <si>
    <t>51.464941752323874, 5.500453135254927</t>
  </si>
  <si>
    <t>Damocleslaan 012</t>
  </si>
  <si>
    <t>{"coordinates":[5.499802830885018,51.464882874714796],"type":"Point"}</t>
  </si>
  <si>
    <t>51.464882874714796, 5.499802830885018</t>
  </si>
  <si>
    <t>51.46488323584401, 5.499804077180197</t>
  </si>
  <si>
    <t>Damocleslaan 013</t>
  </si>
  <si>
    <t>{"coordinates":[5.500047510340071,51.46493944626248],"type":"Point"}</t>
  </si>
  <si>
    <t>51.46493944626248, 5.500047510340071</t>
  </si>
  <si>
    <t>51.464939807553066, 5.500048755921679</t>
  </si>
  <si>
    <t>Kruisstraat 007A</t>
  </si>
  <si>
    <t>92 LED BCP150 LED150</t>
  </si>
  <si>
    <t>BCP150 LED150/WW PSU</t>
  </si>
  <si>
    <t>AL 0,5 LED Bollard II</t>
  </si>
  <si>
    <t>{"coordinates":[5.4748495422563295,51.44561879392899],"type":"Point"}</t>
  </si>
  <si>
    <t>51.44561879392899, 5.4748495422563295</t>
  </si>
  <si>
    <t>51.44561912460278, 5.474850773805056</t>
  </si>
  <si>
    <t>Molstraat 001</t>
  </si>
  <si>
    <t>Molstraat</t>
  </si>
  <si>
    <t>LED30/830 DM70</t>
  </si>
  <si>
    <t>{"coordinates":[5.469713139696823,51.454057510759746],"type":"Point"}</t>
  </si>
  <si>
    <t>51.454057510759746, 5.469713139696823</t>
  </si>
  <si>
    <t>51.45405784955863, 5.4697144441875345</t>
  </si>
  <si>
    <t>Loofhout 001</t>
  </si>
  <si>
    <t>{"coordinates":[5.452091165492214,51.45976519938234],"type":"Point"}</t>
  </si>
  <si>
    <t>51.45976519938234, 5.452091165492214</t>
  </si>
  <si>
    <t>51.45976553776396, 5.452092564956253</t>
  </si>
  <si>
    <t>Loofhout 005</t>
  </si>
  <si>
    <t>{"coordinates":[5.452785331092266,51.45943453083417],"type":"Point"}</t>
  </si>
  <si>
    <t>51.45943453083417, 5.452785331092266</t>
  </si>
  <si>
    <t>51.459434869128614, 5.452786726470816</t>
  </si>
  <si>
    <t>Loofhout 008</t>
  </si>
  <si>
    <t>{"coordinates":[5.453276000325395,51.458934528728555],"type":"Point"}</t>
  </si>
  <si>
    <t>51.458934528728555, 5.453276000325395</t>
  </si>
  <si>
    <t>51.458934866668535, 5.453277391231309</t>
  </si>
  <si>
    <t>Loofhout 009</t>
  </si>
  <si>
    <t>{"coordinates":[5.4535281006331955,51.45866466259985],"type":"Point"}</t>
  </si>
  <si>
    <t>51.45866466259985, 5.4535281006331955</t>
  </si>
  <si>
    <t>51.458665000340595, 5.4535294891667165</t>
  </si>
  <si>
    <t>Robbenstraat 001</t>
  </si>
  <si>
    <t>{"coordinates":[5.46590853939667,51.45460665625458],"type":"Point"}</t>
  </si>
  <si>
    <t>51.45460665625458, 5.46590853939667</t>
  </si>
  <si>
    <t>51.45460699448704, 5.465909861440808</t>
  </si>
  <si>
    <t>Robbenstraat 003</t>
  </si>
  <si>
    <t>{"coordinates":[5.466582403054627,51.45458426623851],"type":"Point"}</t>
  </si>
  <si>
    <t>51.45458426623851, 5.466582403054627</t>
  </si>
  <si>
    <t>51.45458460469591, 5.466583722545563</t>
  </si>
  <si>
    <t>Robbenstraat 005</t>
  </si>
  <si>
    <t>{"coordinates":[5.467365945217309,51.45450714583021],"type":"Point"}</t>
  </si>
  <si>
    <t>51.45450714583021, 5.467365945217309</t>
  </si>
  <si>
    <t>51.45450748443666, 5.467367261306554</t>
  </si>
  <si>
    <t>Pieter Zeemanstraat 041</t>
  </si>
  <si>
    <t>{"coordinates":[5.454256102287555,51.45744816965131],"type":"Point"}</t>
  </si>
  <si>
    <t>51.45744816965131, 5.454256102287555</t>
  </si>
  <si>
    <t>51.45744850632338, 5.454257481379624</t>
  </si>
  <si>
    <t>Pieter Zeemanstraat 042</t>
  </si>
  <si>
    <t>{"coordinates":[5.454388662956751,51.45747883438083],"type":"Point"}</t>
  </si>
  <si>
    <t>51.45747883438083, 5.454388662956751</t>
  </si>
  <si>
    <t>51.457479171133436, 5.4543900418333084</t>
  </si>
  <si>
    <t>Pieter Zeemanstraat 043</t>
  </si>
  <si>
    <t>{"coordinates":[5.454623606470542,51.457565169352314],"type":"Point"}</t>
  </si>
  <si>
    <t>51.457565169352314, 5.454623606470542</t>
  </si>
  <si>
    <t>51.457565506283295, 5.454624985154978</t>
  </si>
  <si>
    <t>Celsiusplein 007</t>
  </si>
  <si>
    <t>{"coordinates":[5.453629579991106,51.45494236964914],"type":"Point"}</t>
  </si>
  <si>
    <t>51.45494236964914, 5.453629579991106</t>
  </si>
  <si>
    <t>51.45494270319632, 5.453630944578846</t>
  </si>
  <si>
    <t>Newtonstraat 014</t>
  </si>
  <si>
    <t>{"coordinates":[5.4558224550811465,51.456644085490964],"type":"Point"}</t>
  </si>
  <si>
    <t>51.456644085490964, 5.4558224550811465</t>
  </si>
  <si>
    <t>51.45664442178392, 5.455823824198982</t>
  </si>
  <si>
    <t>Newtonstraat 015</t>
  </si>
  <si>
    <t>{"coordinates":[5.455760606420452,51.45681609656948],"type":"Point"}</t>
  </si>
  <si>
    <t>51.45681609656948, 5.455760606420452</t>
  </si>
  <si>
    <t>51.45681643304005, 5.455761976855085</t>
  </si>
  <si>
    <t>Celsiusplein 004</t>
  </si>
  <si>
    <t>{"coordinates":[5.454132853369924,51.45493725875283],"type":"Point"}</t>
  </si>
  <si>
    <t>51.45493725875283, 5.454132853369924</t>
  </si>
  <si>
    <t>51.45493759247073, 5.4541342163969455</t>
  </si>
  <si>
    <t>Classic LED bulb ND</t>
  </si>
  <si>
    <t>Flight Forum 426</t>
  </si>
  <si>
    <t>2053-12-16</t>
  </si>
  <si>
    <t>{"coordinates":[5.399408536754384,51.44740393752829],"type":"Point"}</t>
  </si>
  <si>
    <t>51.44740393752829, 5.399408536754384</t>
  </si>
  <si>
    <t>51.447404225711296, 5.399409926344432</t>
  </si>
  <si>
    <t>CPO-TW 90W Xtra</t>
  </si>
  <si>
    <t>Mikana Cercle 2250 l</t>
  </si>
  <si>
    <t>TLS  20 W</t>
  </si>
  <si>
    <t>TLD  36-1W</t>
  </si>
  <si>
    <t>16 LED 19W 350mA (Pi</t>
  </si>
  <si>
    <t>28 LED 45W 5150 Lume</t>
  </si>
  <si>
    <t>CPO-T  60W</t>
  </si>
  <si>
    <t>CPO-T 90W</t>
  </si>
  <si>
    <t>HCI-T 35 W</t>
  </si>
  <si>
    <t>Luchthavenweg 2001</t>
  </si>
  <si>
    <t>2001</t>
  </si>
  <si>
    <t>{"coordinates":[5.396879841613961,51.459992700053355],"type":"Point"}</t>
  </si>
  <si>
    <t>51.459992700053355, 5.396879841613961</t>
  </si>
  <si>
    <t>51.45999298849053, 5.396881289519304</t>
  </si>
  <si>
    <t>Achtseweg Noord 232</t>
  </si>
  <si>
    <t>{"coordinates":[5.417298136461686,51.47291184184093],"type":"Point"}</t>
  </si>
  <si>
    <t>51.47291184184093, 5.417298136461686</t>
  </si>
  <si>
    <t>51.47291216341772, 5.417299659646234</t>
  </si>
  <si>
    <t>72 LED LENSOFLEX2 78</t>
  </si>
  <si>
    <t>Golden Green 24W 250</t>
  </si>
  <si>
    <t>56 LED 63W 350mA 780</t>
  </si>
  <si>
    <t>Fortimo LED LLM 4500</t>
  </si>
  <si>
    <t>SCHREDER TECEO 5118</t>
  </si>
  <si>
    <t>16 LED LENSOFLEX2 18</t>
  </si>
  <si>
    <t>80 LED 129W 9650Lume</t>
  </si>
  <si>
    <t>24 LED 31W 350mA</t>
  </si>
  <si>
    <t>Teceo S 20LED 280mA</t>
  </si>
  <si>
    <t>Teceo-S 10LED 280mA</t>
  </si>
  <si>
    <t>LED25/610 DN 10</t>
  </si>
  <si>
    <t>24 LED 28W 350mA Pia</t>
  </si>
  <si>
    <t>Partituurlaan 022</t>
  </si>
  <si>
    <t>{"coordinates":[5.526779356057827,51.434357365781494],"type":"Point"}</t>
  </si>
  <si>
    <t>51.434357365781494, 5.526779356057827</t>
  </si>
  <si>
    <t>51.43435770135794, 5.526780339349468</t>
  </si>
  <si>
    <t>Wolvendijk 002</t>
  </si>
  <si>
    <t>{"coordinates":[5.521120793809921,51.44992349965477],"type":"Point"}</t>
  </si>
  <si>
    <t>51.44992349965477, 5.521120793809921</t>
  </si>
  <si>
    <t>51.44992384965507, 5.521121870734191</t>
  </si>
  <si>
    <t>Wolvendijk 003</t>
  </si>
  <si>
    <t>{"coordinates":[5.521535814119448,51.45003900980852],"type":"Point"}</t>
  </si>
  <si>
    <t>51.45003900980852, 5.521535814119448</t>
  </si>
  <si>
    <t>51.45003936012366, 5.521536890021504</t>
  </si>
  <si>
    <t>Loostraat 031</t>
  </si>
  <si>
    <t>{"coordinates":[5.530466169979074,51.44976466973786],"type":"Point"}</t>
  </si>
  <si>
    <t>51.44976466973786, 5.530466169979074</t>
  </si>
  <si>
    <t>51.44976502304543, 5.5304672106151465</t>
  </si>
  <si>
    <t>Loostraat 032</t>
  </si>
  <si>
    <t>{"coordinates":[5.530741500204772,51.449652329318546],"type":"Point"}</t>
  </si>
  <si>
    <t>51.449652329318546, 5.530741500204772</t>
  </si>
  <si>
    <t>51.44965268258179, 5.530742539248147</t>
  </si>
  <si>
    <t>Loostraat 009</t>
  </si>
  <si>
    <t>{"coordinates":[5.523015939512682,51.45014709921675],"type":"Point"}</t>
  </si>
  <si>
    <t>51.45014709921675, 5.523015939512682</t>
  </si>
  <si>
    <t>51.45014745026908, 5.523017010148976</t>
  </si>
  <si>
    <t>Loostraat 013</t>
  </si>
  <si>
    <t>{"coordinates":[5.524146219496614,51.45035861966086],"type":"Point"}</t>
  </si>
  <si>
    <t>51.45035861966086, 5.524146219496614</t>
  </si>
  <si>
    <t>51.45035897142324, 5.524147286796907</t>
  </si>
  <si>
    <t>Loostraat 016</t>
  </si>
  <si>
    <t>{"coordinates":[5.525105520056753,51.450582559899],"type":"Point"}</t>
  </si>
  <si>
    <t>51.450582559899, 5.525105520056753</t>
  </si>
  <si>
    <t>51.45058291228438, 5.525106584881941</t>
  </si>
  <si>
    <t>Loostraat 017</t>
  </si>
  <si>
    <t>{"coordinates":[5.525484829332414,51.450634329983096],"type":"Point"}</t>
  </si>
  <si>
    <t>51.450634329983096, 5.525484829332414</t>
  </si>
  <si>
    <t>51.45063468256629, 5.525485893015232</t>
  </si>
  <si>
    <t>Loostraat 018</t>
  </si>
  <si>
    <t>{"coordinates":[5.52593817032795,51.45061282943779],"type":"Point"}</t>
  </si>
  <si>
    <t>51.45061282943779, 5.52593817032795</t>
  </si>
  <si>
    <t>51.450613182159735, 5.525939232204391</t>
  </si>
  <si>
    <t>Loostraat 021</t>
  </si>
  <si>
    <t>{"coordinates":[5.526862500619589,51.450501999466276],"type":"Point"}</t>
  </si>
  <si>
    <t>51.450501999466276, 5.526862500619589</t>
  </si>
  <si>
    <t>51.450502352390586, 5.526863558464384</t>
  </si>
  <si>
    <t>Loostraat 023</t>
  </si>
  <si>
    <t>{"coordinates":[5.527756329367289,51.45043916970904],"type":"Point"}</t>
  </si>
  <si>
    <t>51.45043916970904, 5.527756329367289</t>
  </si>
  <si>
    <t>51.450439522880686, 5.5277573835510365</t>
  </si>
  <si>
    <t>Loostraat 024</t>
  </si>
  <si>
    <t>{"coordinates":[5.528189829552617,51.45039132956524],"type":"Point"}</t>
  </si>
  <si>
    <t>51.45039132956524, 5.528189829552617</t>
  </si>
  <si>
    <t>51.45039168283531, 5.528190881872098</t>
  </si>
  <si>
    <t>Loostraat 025</t>
  </si>
  <si>
    <t>{"coordinates":[5.528661250413382,51.450329149788224],"type":"Point"}</t>
  </si>
  <si>
    <t>51.450329149788224, 5.528661250413382</t>
  </si>
  <si>
    <t>51.4503295031524, 5.528662300654647</t>
  </si>
  <si>
    <t>Willem van Konijnenburglaan 005</t>
  </si>
  <si>
    <t>2060-02-25</t>
  </si>
  <si>
    <t>{"coordinates":[5.495481261877645,51.43824097197953],"type":"Point"}</t>
  </si>
  <si>
    <t>51.43824097197953, 5.495481261877645</t>
  </si>
  <si>
    <t>51.43824129973888, 5.495482370785034</t>
  </si>
  <si>
    <t>Schreder 24 led 5112</t>
  </si>
  <si>
    <t>Schreder 16 led 5068</t>
  </si>
  <si>
    <t>ST 4 CONISCH GECOAT (SPORTPARKEN)</t>
  </si>
  <si>
    <t>LED Fortimo LLM 3000</t>
  </si>
  <si>
    <t>Siteco DL 50 mini</t>
  </si>
  <si>
    <t>Damocleslaan 016</t>
  </si>
  <si>
    <t>{"coordinates":[5.500687423678449,51.464866735555916],"type":"Point"}</t>
  </si>
  <si>
    <t>51.464866735555916, 5.500687423678449</t>
  </si>
  <si>
    <t>51.46486709701203, 5.5006886661527465</t>
  </si>
  <si>
    <t>40 LED LXML 4420 Lum</t>
  </si>
  <si>
    <t>48 LED 54W 6096Lumen</t>
  </si>
  <si>
    <t>32 LED 37W 350mA Pia</t>
  </si>
  <si>
    <t>Nieuwe Emmasingel 049</t>
  </si>
  <si>
    <t>{"coordinates":[5.476120654973169,51.44050336741491],"type":"Point"}</t>
  </si>
  <si>
    <t>51.44050336741491, 5.476120654973169</t>
  </si>
  <si>
    <t>51.44050369254655, 5.476121849765702</t>
  </si>
  <si>
    <t>Nieuwe Emmasingel 048</t>
  </si>
  <si>
    <t>{"coordinates":[5.475704686417059,51.43930926965602],"type":"Point"}</t>
  </si>
  <si>
    <t>51.43930926965602, 5.475704686417059</t>
  </si>
  <si>
    <t>51.43930959355848, 5.475705875930594</t>
  </si>
  <si>
    <t>PLL 36 OUT</t>
  </si>
  <si>
    <t>Xeon 2 SC1 KNON 3K P</t>
  </si>
  <si>
    <t>Lichtstraat 020</t>
  </si>
  <si>
    <t>{"coordinates":[5.472237587919134,51.43951275112832],"type":"Point"}</t>
  </si>
  <si>
    <t>51.43951275112832, 5.472237587919134</t>
  </si>
  <si>
    <t>51.439513074260056, 5.472238791251482</t>
  </si>
  <si>
    <t>Clausplein 4-33</t>
  </si>
  <si>
    <t>4-33</t>
  </si>
  <si>
    <t>{"coordinates":[5.473520611314407,51.43895666626413],"type":"Point"}</t>
  </si>
  <si>
    <t>51.43895666626413, 5.473520611314407</t>
  </si>
  <si>
    <t>51.438956989233844, 5.473521806764268</t>
  </si>
  <si>
    <t>Clausplein 4-29</t>
  </si>
  <si>
    <t>4-29</t>
  </si>
  <si>
    <t>{"coordinates":[5.473918957908415,51.43893264006553],"type":"Point"}</t>
  </si>
  <si>
    <t>51.43893264006553, 5.473918957908415</t>
  </si>
  <si>
    <t>51.43893296312377, 5.473920151766988</t>
  </si>
  <si>
    <t>Clausplein 3-25</t>
  </si>
  <si>
    <t>3-25</t>
  </si>
  <si>
    <t>{"coordinates":[5.474314177189008,51.438852795189405],"type":"Point"}</t>
  </si>
  <si>
    <t>51.438852795189405, 5.474314177189008</t>
  </si>
  <si>
    <t>51.43885311828338, 5.4743153691491395</t>
  </si>
  <si>
    <t>Emmasingel 3-21</t>
  </si>
  <si>
    <t>3-21</t>
  </si>
  <si>
    <t>{"coordinates":[5.474547509845687,51.43887931668165],"type":"Point"}</t>
  </si>
  <si>
    <t>51.43887931668165, 5.474547509845687</t>
  </si>
  <si>
    <t>51.43887963986557, 5.474548701106087</t>
  </si>
  <si>
    <t>Emmasingel 2-19</t>
  </si>
  <si>
    <t>2-19</t>
  </si>
  <si>
    <t>{"coordinates":[5.474585289353164,51.43900539940287],"type":"Point"}</t>
  </si>
  <si>
    <t>51.43900539940287, 5.474585289353164</t>
  </si>
  <si>
    <t>51.43900572271485, 5.474586481196419</t>
  </si>
  <si>
    <t>Emmasingel 2-18</t>
  </si>
  <si>
    <t>2-18</t>
  </si>
  <si>
    <t>{"coordinates":[5.474610020164532,51.43907684078127],"type":"Point"}</t>
  </si>
  <si>
    <t>51.43907684078127, 5.474610020164532</t>
  </si>
  <si>
    <t>51.43907716416671, 5.4746112123259145</t>
  </si>
  <si>
    <t>Emmasingel 2-17</t>
  </si>
  <si>
    <t>2-17</t>
  </si>
  <si>
    <t>{"coordinates":[5.474639325347277,51.43913362718161],"type":"Point"}</t>
  </si>
  <si>
    <t>51.43913362718161, 5.474639325347277</t>
  </si>
  <si>
    <t>51.439133950628076, 5.4746405177265345</t>
  </si>
  <si>
    <t>Emmasingel 2-10</t>
  </si>
  <si>
    <t>2-10</t>
  </si>
  <si>
    <t>{"coordinates":[5.474865955521381,51.43956329503442],"type":"Point"}</t>
  </si>
  <si>
    <t>51.43956329503442, 5.474865955521381</t>
  </si>
  <si>
    <t>51.439563618944064, 5.474867149529492</t>
  </si>
  <si>
    <t>Emmasingel 1-07</t>
  </si>
  <si>
    <t>1-07</t>
  </si>
  <si>
    <t>{"coordinates":[5.474961092856689,51.439748389993646],"type":"Point"}</t>
  </si>
  <si>
    <t>51.439748389993646, 5.474961092856689</t>
  </si>
  <si>
    <t>51.43974871410214, 5.474962287574593</t>
  </si>
  <si>
    <t>Emmasingel 1-03</t>
  </si>
  <si>
    <t>1-03</t>
  </si>
  <si>
    <t>{"coordinates":[5.47507317731423,51.43999504448549],"type":"Point"}</t>
  </si>
  <si>
    <t>51.43999504448549, 5.47507317731423</t>
  </si>
  <si>
    <t>51.43999536885497, 5.475074373030775</t>
  </si>
  <si>
    <t>2048-10-27</t>
  </si>
  <si>
    <t>LW10 ECO 51550 PSD I</t>
  </si>
  <si>
    <t>CDO-ET100W</t>
  </si>
  <si>
    <t>23 LED 38,5W 4600lum</t>
  </si>
  <si>
    <t>3x LED 1W (POLLUX WB</t>
  </si>
  <si>
    <t>30 LED 31W WW 4950lu</t>
  </si>
  <si>
    <t>Saled led PS-T 13W 3</t>
  </si>
  <si>
    <t>2039-02-01</t>
  </si>
  <si>
    <t>2011-03-04</t>
  </si>
  <si>
    <t>MVF 616 CDM-T 150 W</t>
  </si>
  <si>
    <t>Begijnenhof Kerk-001</t>
  </si>
  <si>
    <t>Kerk-001</t>
  </si>
  <si>
    <t>{"coordinates":[5.479002639498129,51.43662465614446],"type":"Point"}</t>
  </si>
  <si>
    <t>51.43662465614446, 5.479002639498129</t>
  </si>
  <si>
    <t>51.43662497845222, 5.4790038018901654</t>
  </si>
  <si>
    <t>Begijnenhof Kerk-002</t>
  </si>
  <si>
    <t>Kerk-002</t>
  </si>
  <si>
    <t>{"coordinates":[5.4789282795868814,51.436645617027644],"type":"Point"}</t>
  </si>
  <si>
    <t>51.436645617027644, 5.4789282795868814</t>
  </si>
  <si>
    <t>51.4366459393343, 5.478929442364183</t>
  </si>
  <si>
    <t>Begijnenhof Kerk-003</t>
  </si>
  <si>
    <t>Kerk-003</t>
  </si>
  <si>
    <t>{"coordinates":[5.47887139989721,51.436661970886114],"type":"Point"}</t>
  </si>
  <si>
    <t>51.436661970886114, 5.47887139989721</t>
  </si>
  <si>
    <t>51.43666229319217, 5.478872562971051</t>
  </si>
  <si>
    <t>Kerkstraat Kerk-013</t>
  </si>
  <si>
    <t>Kerk-013</t>
  </si>
  <si>
    <t>{"coordinates":[5.479242095438492,51.4371399369648],"type":"Point"}</t>
  </si>
  <si>
    <t>51.4371399369648, 5.479242095438492</t>
  </si>
  <si>
    <t>51.43714025982081, 5.479243259876062</t>
  </si>
  <si>
    <t>Kerkstraat Kerk-038</t>
  </si>
  <si>
    <t>Kerk-038</t>
  </si>
  <si>
    <t>{"coordinates":[5.478815103782288,51.43691091070016],"type":"Point"}</t>
  </si>
  <si>
    <t>51.43691091070016, 5.478815103782288</t>
  </si>
  <si>
    <t>51.43691123322312, 5.478816268463479</t>
  </si>
  <si>
    <t>Kerkstraat Kerk-039</t>
  </si>
  <si>
    <t>Kerk-039</t>
  </si>
  <si>
    <t>{"coordinates":[5.47885195736184,51.436888897189846],"type":"Point"}</t>
  </si>
  <si>
    <t>51.436888897189846, 5.47885195736184</t>
  </si>
  <si>
    <t>51.43688921970256, 5.478853121786301</t>
  </si>
  <si>
    <t>Kerkstraat Kerk-040</t>
  </si>
  <si>
    <t>Kerk-040</t>
  </si>
  <si>
    <t>{"coordinates":[5.478994598774716,51.4370163286889],"type":"Point"}</t>
  </si>
  <si>
    <t>51.4370163286889, 5.478994598774716</t>
  </si>
  <si>
    <t>51.43701665136039, 5.478995763405452</t>
  </si>
  <si>
    <t>Begijnenhof Kerk-046</t>
  </si>
  <si>
    <t>Kerk-046</t>
  </si>
  <si>
    <t>{"coordinates":[5.479431994879201,51.43685351985442],"type":"Point"}</t>
  </si>
  <si>
    <t>51.43685351985442, 5.479431994879201</t>
  </si>
  <si>
    <t>51.43685384249591, 5.479433157019367</t>
  </si>
  <si>
    <t>Kerkstraat Kerk-043</t>
  </si>
  <si>
    <t>Kerk-043</t>
  </si>
  <si>
    <t>2010-12-23</t>
  </si>
  <si>
    <t>{"coordinates":[5.479030484996747,51.43700744114728],"type":"Point"}</t>
  </si>
  <si>
    <t>51.43700744114728, 5.479030484996747</t>
  </si>
  <si>
    <t>51.43700776382052, 5.47903164944828</t>
  </si>
  <si>
    <t>Kerkstraat Kerk-049</t>
  </si>
  <si>
    <t>Kerk-049</t>
  </si>
  <si>
    <t>{"coordinates":[5.479483061397554,51.43714421086116],"type":"Point"}</t>
  </si>
  <si>
    <t>51.43714421086116, 5.479483061397554</t>
  </si>
  <si>
    <t>51.437144533788505, 5.479484224992118</t>
  </si>
  <si>
    <t>Catharinaplein Kerk-054</t>
  </si>
  <si>
    <t>Kerk-054</t>
  </si>
  <si>
    <t>{"coordinates":[5.479556333446145,51.43714682957855],"type":"Point"}</t>
  </si>
  <si>
    <t>51.43714682957855, 5.479556333446145</t>
  </si>
  <si>
    <t>51.43714715252881, 5.479557496791807</t>
  </si>
  <si>
    <t>Kerkstraat Kerk-048</t>
  </si>
  <si>
    <t>Kerk-048</t>
  </si>
  <si>
    <t>{"coordinates":[5.479474429993002,51.437140224035474],"type":"Point"}</t>
  </si>
  <si>
    <t>51.437140224035474, 5.479474429993002</t>
  </si>
  <si>
    <t>51.43714054695668, 5.479475593596191</t>
  </si>
  <si>
    <t>Catharinaplein Kerk-060</t>
  </si>
  <si>
    <t>Kerk-060</t>
  </si>
  <si>
    <t>{"coordinates":[5.4797002459351,51.43702027163108],"type":"Point"}</t>
  </si>
  <si>
    <t>51.43702027163108, 5.4797002459351</t>
  </si>
  <si>
    <t>51.43702059450332, 5.479701408050228</t>
  </si>
  <si>
    <t>Catharinaplein Kerk-065</t>
  </si>
  <si>
    <t>Kerk-065</t>
  </si>
  <si>
    <t>{"coordinates":[5.4797148885581,51.43701698811741],"type":"Point"}</t>
  </si>
  <si>
    <t>51.43701698811741, 5.4797148885581</t>
  </si>
  <si>
    <t>51.4370173109907, 5.479716050602103</t>
  </si>
  <si>
    <t>Catharinaplein Kerk-057</t>
  </si>
  <si>
    <t>Kerk-057</t>
  </si>
  <si>
    <t>{"coordinates":[5.47961247806909,51.43707272014277],"type":"Point"}</t>
  </si>
  <si>
    <t>51.43707272014277, 5.47961247806909</t>
  </si>
  <si>
    <t>51.43707304303948, 5.479613640795309</t>
  </si>
  <si>
    <t>Kerkstraat Kerk-069</t>
  </si>
  <si>
    <t>Kerk-069</t>
  </si>
  <si>
    <t>{"coordinates":[5.478756684782121,51.43720236858114],"type":"Point"}</t>
  </si>
  <si>
    <t>51.43720236858114, 5.478756684782121</t>
  </si>
  <si>
    <t>51.43720269136014, 5.4787578513188055</t>
  </si>
  <si>
    <t>Kerkstraat Kerk-070</t>
  </si>
  <si>
    <t>Kerk-070</t>
  </si>
  <si>
    <t>{"coordinates":[5.479072282201714,51.437377767608595],"type":"Point"}</t>
  </si>
  <si>
    <t>51.437377767608595, 5.479072282201714</t>
  </si>
  <si>
    <t>51.43737809063942, 5.479073448591861</t>
  </si>
  <si>
    <t>Catharinaplein Kerk-073</t>
  </si>
  <si>
    <t>Kerk-073</t>
  </si>
  <si>
    <t>{"coordinates":[5.4799952886626295,51.437214213748724],"type":"Point"}</t>
  </si>
  <si>
    <t>51.437214213748724, 5.4799952886626295</t>
  </si>
  <si>
    <t>51.43721453688474, 5.47999645080795</t>
  </si>
  <si>
    <t>Kerkstraat Kerk-071</t>
  </si>
  <si>
    <t>Kerk-071</t>
  </si>
  <si>
    <t>MVF 617 MB (Catharin</t>
  </si>
  <si>
    <t>{"coordinates":[5.47907787094724,51.43738059462997],"type":"Point"}</t>
  </si>
  <si>
    <t>51.43738059462997, 5.47907787094724</t>
  </si>
  <si>
    <t>51.43738091766501, 5.479079037333202</t>
  </si>
  <si>
    <t>HPL-N   80W</t>
  </si>
  <si>
    <t>6304 TRAPVERLICHTING KASTELENP 203</t>
  </si>
  <si>
    <t>{"coordinates":[5.440022053470168,51.419138952832995],"type":"Point"}</t>
  </si>
  <si>
    <t>51.419138952832995, 5.440022053470168</t>
  </si>
  <si>
    <t>51.419139258345936, 5.440023255102381</t>
  </si>
  <si>
    <t>6304 TRAPVERLICHTING KASTELENP 204</t>
  </si>
  <si>
    <t>{"coordinates":[5.440006208677826,51.41913695555566],"type":"Point"}</t>
  </si>
  <si>
    <t>51.41913695555566, 5.440006208677826</t>
  </si>
  <si>
    <t>51.41913726106598, 5.4400074103379294</t>
  </si>
  <si>
    <t>AL 4 NEDAL K040PT01.6T.011</t>
  </si>
  <si>
    <t>Fortimo LED LLM 1100</t>
  </si>
  <si>
    <t>GRN17 /WW PSU CLO SR</t>
  </si>
  <si>
    <t>GRN20 /WW PSU CLO SR</t>
  </si>
  <si>
    <t>St Trudoplein 029</t>
  </si>
  <si>
    <t>{"coordinates":[5.455091213942877,51.441117709987495],"type":"Point"}</t>
  </si>
  <si>
    <t>51.441117709987495, 5.455091213942877</t>
  </si>
  <si>
    <t>51.44111802959498, 5.4550924856022425</t>
  </si>
  <si>
    <t>St Trudoplein 027</t>
  </si>
  <si>
    <t>{"coordinates":[5.454942337376337,51.44110970696111],"type":"Point"}</t>
  </si>
  <si>
    <t>51.44110970696111, 5.454942337376337</t>
  </si>
  <si>
    <t>51.44111002653674, 5.454943609425499</t>
  </si>
  <si>
    <t>St Trudoplein 026</t>
  </si>
  <si>
    <t>{"coordinates":[5.454869265768484,51.44110588435519],"type":"Point"}</t>
  </si>
  <si>
    <t>51.44110588435519, 5.454869265768484</t>
  </si>
  <si>
    <t>51.44110620391534, 5.454870538009628</t>
  </si>
  <si>
    <t>Beukenlaan LED 012</t>
  </si>
  <si>
    <t>LED 012</t>
  </si>
  <si>
    <t>{"coordinates":[5.450139974833714,51.44142053581501],"type":"Point"}</t>
  </si>
  <si>
    <t>51.44142053581501, 5.450139974833714</t>
  </si>
  <si>
    <t>51.441420854890374, 5.4501412630600585</t>
  </si>
  <si>
    <t>Beukenlaan LED 005</t>
  </si>
  <si>
    <t>LED 005</t>
  </si>
  <si>
    <t>{"coordinates":[5.44982376926977,51.441583760948646],"type":"Point"}</t>
  </si>
  <si>
    <t>51.441583760948646, 5.44982376926977</t>
  </si>
  <si>
    <t>51.441584080108946, 5.449825059474731</t>
  </si>
  <si>
    <t>Beukenlaan LED 001</t>
  </si>
  <si>
    <t>LED 001</t>
  </si>
  <si>
    <t>{"coordinates":[5.449563456594336,51.441600889386585],"type":"Point"}</t>
  </si>
  <si>
    <t>51.441600889386585, 5.449563456594336</t>
  </si>
  <si>
    <t>51.441601208517746, 5.449564747680506</t>
  </si>
  <si>
    <t>Beukenlaan LED 029</t>
  </si>
  <si>
    <t>LED 029</t>
  </si>
  <si>
    <t>{"coordinates":[5.449870326822593,51.44092297873585],"type":"Point"}</t>
  </si>
  <si>
    <t>51.44092297873585, 5.449870326822593</t>
  </si>
  <si>
    <t>51.44092329735062, 5.4498716126714015</t>
  </si>
  <si>
    <t>Beukenlaan LED 028</t>
  </si>
  <si>
    <t>LED 028</t>
  </si>
  <si>
    <t>{"coordinates":[5.449907162459422,51.44093401494924],"type":"Point"}</t>
  </si>
  <si>
    <t>51.44093401494924, 5.449907162459422</t>
  </si>
  <si>
    <t>51.44093433357884, 5.449908448269897</t>
  </si>
  <si>
    <t>HCI-T 20 W</t>
  </si>
  <si>
    <t>40 LED 9000 Lumen /</t>
  </si>
  <si>
    <t>48 LED 78W 500mA 300</t>
  </si>
  <si>
    <t>18 LED 22W 250mA Ste</t>
  </si>
  <si>
    <t>LED XR-E WW 32W</t>
  </si>
  <si>
    <t>2047-05-06</t>
  </si>
  <si>
    <t>HPL-N  125W/E40/HG</t>
  </si>
  <si>
    <t>LW10 12LED WW PSD CL</t>
  </si>
  <si>
    <t>16 LED Columba 2300L</t>
  </si>
  <si>
    <t>Lighttronics Columba</t>
  </si>
  <si>
    <t>SCHREDER TECEO-S 10L</t>
  </si>
  <si>
    <t>64 LED Economy line</t>
  </si>
  <si>
    <t>PLL 24 W</t>
  </si>
  <si>
    <t>8 LED 22W WW 2500LM</t>
  </si>
  <si>
    <t>Rode Kruislaan 117</t>
  </si>
  <si>
    <t>{"coordinates":[5.469917903436511,51.48047906524755],"type":"Point"}</t>
  </si>
  <si>
    <t>51.48047906524755, 5.469917903436511</t>
  </si>
  <si>
    <t>51.48047943310643, 5.469919347379353</t>
  </si>
  <si>
    <t>Eindhovenseweg 02.1</t>
  </si>
  <si>
    <t>02.1</t>
  </si>
  <si>
    <t>{"coordinates":[5.495528198796574,51.486563873722545],"type":"Point"}</t>
  </si>
  <si>
    <t>51.486563873722545, 5.495528198796574</t>
  </si>
  <si>
    <t>51.48656425508286, 5.495529558235925</t>
  </si>
  <si>
    <t>Eindhovenseweg 02.3</t>
  </si>
  <si>
    <t>02.3</t>
  </si>
  <si>
    <t>{"coordinates":[5.49539842312537,51.48654089346671],"type":"Point"}</t>
  </si>
  <si>
    <t>51.48654089346671, 5.49539842312537</t>
  </si>
  <si>
    <t>51.486541274770055, 5.495399783042372</t>
  </si>
  <si>
    <t>Eindhovenseweg 02.4</t>
  </si>
  <si>
    <t>02.4</t>
  </si>
  <si>
    <t>{"coordinates":[5.495321690054274,51.486543121964345],"type":"Point"}</t>
  </si>
  <si>
    <t>51.486543121964345, 5.495321690054274</t>
  </si>
  <si>
    <t>51.48654350324646, 5.495323050304353</t>
  </si>
  <si>
    <t>Eindhovenseweg 03.4</t>
  </si>
  <si>
    <t>03.4</t>
  </si>
  <si>
    <t>{"coordinates":[5.495120717065863,51.48661027369261],"type":"Point"}</t>
  </si>
  <si>
    <t>51.48661027369261, 5.495120717065863</t>
  </si>
  <si>
    <t>51.486610654967414, 5.495122078384203</t>
  </si>
  <si>
    <t>Eindhovenseweg 03.7</t>
  </si>
  <si>
    <t>03.7</t>
  </si>
  <si>
    <t>{"coordinates":[5.495032857448948,51.48671696039449],"type":"Point"}</t>
  </si>
  <si>
    <t>51.48671696039449, 5.495032857448948</t>
  </si>
  <si>
    <t>51.486717341726894, 5.495034219481381</t>
  </si>
  <si>
    <t>Eindhovenseweg 02.6</t>
  </si>
  <si>
    <t>02.6</t>
  </si>
  <si>
    <t>{"coordinates":[5.495617124681797,51.486603161300316],"type":"Point"}</t>
  </si>
  <si>
    <t>51.486603161300316, 5.495617124681797</t>
  </si>
  <si>
    <t>51.48660354271823, 5.495618483869186</t>
  </si>
  <si>
    <t>Eindhovenseweg 04.1</t>
  </si>
  <si>
    <t>04.1</t>
  </si>
  <si>
    <t>{"coordinates":[5.4950696174195155,51.48685795825841],"type":"Point"}</t>
  </si>
  <si>
    <t>51.48685795825841, 5.4950696174195155</t>
  </si>
  <si>
    <t>51.4868583397128, 5.495070979746499</t>
  </si>
  <si>
    <t>Eindhovenseweg 01.6</t>
  </si>
  <si>
    <t>01.6</t>
  </si>
  <si>
    <t>{"coordinates":[5.495693558802223,51.48683778376378],"type":"Point"}</t>
  </si>
  <si>
    <t>51.48683778376378, 5.495693558802223</t>
  </si>
  <si>
    <t>51.486838165389265, 5.495694918416171</t>
  </si>
  <si>
    <t>Eindhovenseweg 01.7</t>
  </si>
  <si>
    <t>01.7</t>
  </si>
  <si>
    <t>{"coordinates":[5.495669156550521,51.48686863754313],"type":"Point"}</t>
  </si>
  <si>
    <t>51.48686863754313, 5.495669156550521</t>
  </si>
  <si>
    <t>51.48686901918557, 5.4956705163668165</t>
  </si>
  <si>
    <t>Eindhovenseweg 01.9</t>
  </si>
  <si>
    <t>01.9</t>
  </si>
  <si>
    <t>{"coordinates":[5.495594849467814,51.48692245880103],"type":"Point"}</t>
  </si>
  <si>
    <t>51.48692245880103, 5.495594849467814</t>
  </si>
  <si>
    <t>51.48692284046351, 5.49559620977181</t>
  </si>
  <si>
    <t>Vijfkamplaan ZW005</t>
  </si>
  <si>
    <t>ZW005</t>
  </si>
  <si>
    <t>{"coordinates":[5.457664790235573,51.47586525501986],"type":"Point"}</t>
  </si>
  <si>
    <t>51.47586525501986, 5.457664790235573</t>
  </si>
  <si>
    <t>51.47586561264363, 5.457666259307723</t>
  </si>
  <si>
    <t>Vijfkamplaan ZW009</t>
  </si>
  <si>
    <t>ZW009</t>
  </si>
  <si>
    <t>{"coordinates":[5.457426668468169,51.476023149782144],"type":"Point"}</t>
  </si>
  <si>
    <t>51.476023149782144, 5.457426668468169</t>
  </si>
  <si>
    <t>51.47602350743075, 5.457428138874482</t>
  </si>
  <si>
    <t>Vijfkamplaan ZW014</t>
  </si>
  <si>
    <t>ZW014</t>
  </si>
  <si>
    <t>{"coordinates":[5.457267910161413,51.47612221052446],"type":"Point"}</t>
  </si>
  <si>
    <t>51.47612221052446, 5.457267910161413</t>
  </si>
  <si>
    <t>51.47612256818346, 5.457269381431611</t>
  </si>
  <si>
    <t>Vijfkamplaan ZW018</t>
  </si>
  <si>
    <t>ZW018</t>
  </si>
  <si>
    <t>{"coordinates":[5.456418473607527,51.476474984129055],"type":"Point"}</t>
  </si>
  <si>
    <t>51.476474984129055, 5.456418473607527</t>
  </si>
  <si>
    <t>51.47647534167693, 5.456419948789968</t>
  </si>
  <si>
    <t>Vijfkamplaan ZW022</t>
  </si>
  <si>
    <t>ZW022</t>
  </si>
  <si>
    <t>{"coordinates":[5.456364418510517,51.47661398079199],"type":"Point"}</t>
  </si>
  <si>
    <t>51.47661398079199, 5.456364418510517</t>
  </si>
  <si>
    <t>51.47661433843809, 5.456365894399373</t>
  </si>
  <si>
    <t>Oude Bossche Baan 12-003</t>
  </si>
  <si>
    <t>12-003</t>
  </si>
  <si>
    <t>{"coordinates":[5.452908853792119,51.474168823840586],"type":"Point"}</t>
  </si>
  <si>
    <t>51.474168823840586, 5.452908853792119</t>
  </si>
  <si>
    <t>51.47416917761288, 5.452910330515543</t>
  </si>
  <si>
    <t>Panorama 066</t>
  </si>
  <si>
    <t>{"coordinates":[5.478257136375367,51.49517521114866],"type":"Point"}</t>
  </si>
  <si>
    <t>51.49517521114866, 5.478257136375367</t>
  </si>
  <si>
    <t>51.495175593473625, 5.478258583644546</t>
  </si>
  <si>
    <t>Panorama 068</t>
  </si>
  <si>
    <t>{"coordinates":[5.477757462256999,51.495180993875195],"type":"Point"}</t>
  </si>
  <si>
    <t>51.495180993875195, 5.477757462256999</t>
  </si>
  <si>
    <t>51.49518137597789, 5.477758911348972</t>
  </si>
  <si>
    <t>Panorama 044</t>
  </si>
  <si>
    <t>2053-09-14</t>
  </si>
  <si>
    <t>{"coordinates":[5.477644150172723,51.496419536877205],"type":"Point"}</t>
  </si>
  <si>
    <t>51.496419536877205, 5.477644150172723</t>
  </si>
  <si>
    <t>51.496419919794974, 5.477645601257317</t>
  </si>
  <si>
    <t>Panorama 045</t>
  </si>
  <si>
    <t>{"coordinates":[5.477875227221426,51.496321381037106],"type":"Point"}</t>
  </si>
  <si>
    <t>51.496321381037106, 5.477875227221426</t>
  </si>
  <si>
    <t>51.49632176399515, 5.4778766773519205</t>
  </si>
  <si>
    <t>Panorama 048</t>
  </si>
  <si>
    <t>{"coordinates":[5.478416830895228,51.49596267093928],"type":"Point"}</t>
  </si>
  <si>
    <t>51.49596267093928, 5.478416830895228</t>
  </si>
  <si>
    <t>51.49596305389744, 5.478418278614074</t>
  </si>
  <si>
    <t>Panorama 049</t>
  </si>
  <si>
    <t>{"coordinates":[5.478615416178415,51.49582130370845],"type":"Point"}</t>
  </si>
  <si>
    <t>51.49582130370845, 5.478615416178415</t>
  </si>
  <si>
    <t>51.49582168665815, 5.478616862996114</t>
  </si>
  <si>
    <t>Panorama 064</t>
  </si>
  <si>
    <t>{"coordinates":[5.478426794741892,51.4949722047601],"type":"Point"}</t>
  </si>
  <si>
    <t>51.4949722047601, 5.478426794741892</t>
  </si>
  <si>
    <t>51.494972587017386, 5.478428241129122</t>
  </si>
  <si>
    <t>Panorama 069</t>
  </si>
  <si>
    <t>{"coordinates":[5.477476401339371,51.49476135260019],"type":"Point"}</t>
  </si>
  <si>
    <t>51.49476135260019, 5.477476401339371</t>
  </si>
  <si>
    <t>51.494761734283145, 5.477477850919688</t>
  </si>
  <si>
    <t>Panorama 072</t>
  </si>
  <si>
    <t>{"coordinates":[5.477637164717334,51.495152773118136],"type":"Point"}</t>
  </si>
  <si>
    <t>51.495152773118136, 5.477637164717334</t>
  </si>
  <si>
    <t>51.495153155146625, 5.477638614210347</t>
  </si>
  <si>
    <t>Panorama 075</t>
  </si>
  <si>
    <t>{"coordinates":[5.476950993199187,51.49522359503564],"type":"Point"}</t>
  </si>
  <si>
    <t>51.49522359503564, 5.476950993199187</t>
  </si>
  <si>
    <t>51.49522397680288, 5.476952445274188</t>
  </si>
  <si>
    <t>Hoogte 006</t>
  </si>
  <si>
    <t>{"coordinates":[5.4779318649845345,51.49612691263326],"type":"Point"}</t>
  </si>
  <si>
    <t>51.49612691263326, 5.4779318649845345</t>
  </si>
  <si>
    <t>51.49612729548105, 5.47793331466137</t>
  </si>
  <si>
    <t>Glooiing 001</t>
  </si>
  <si>
    <t>{"coordinates":[5.477034507819025,51.49645856993271],"type":"Point"}</t>
  </si>
  <si>
    <t>51.49645856993271, 5.477034507819025</t>
  </si>
  <si>
    <t>51.49645895258946, 5.47703596113654</t>
  </si>
  <si>
    <t>Glooiing 005</t>
  </si>
  <si>
    <t>{"coordinates":[5.476888621176764,51.49579747793699],"type":"Point"}</t>
  </si>
  <si>
    <t>51.49579747793699, 5.476888621176764</t>
  </si>
  <si>
    <t>51.4957978600705, 5.476890074193122</t>
  </si>
  <si>
    <t>Glooiing 006</t>
  </si>
  <si>
    <t>{"coordinates":[5.476920514614473,51.49561345589042],"type":"Point"}</t>
  </si>
  <si>
    <t>51.49561345589042, 5.476920514614473</t>
  </si>
  <si>
    <t>51.49561383791205, 5.47692196728626</t>
  </si>
  <si>
    <t>Glooiing 007</t>
  </si>
  <si>
    <t>{"coordinates":[5.4769006076352325,51.495450057725016],"type":"Point"}</t>
  </si>
  <si>
    <t>51.495450057725016, 5.4769006076352325</t>
  </si>
  <si>
    <t>51.495450439625145, 5.476902060175415</t>
  </si>
  <si>
    <t>GRN23 /WW PSU CLO SR</t>
  </si>
  <si>
    <t>Panorama 085</t>
  </si>
  <si>
    <t>{"coordinates":[5.476108201349546,51.4950286485615],"type":"Point"}</t>
  </si>
  <si>
    <t>51.4950286485615, 5.476108201349546</t>
  </si>
  <si>
    <t>51.495029029816294, 5.476109656248221</t>
  </si>
  <si>
    <t>Panorama 076</t>
  </si>
  <si>
    <t>{"coordinates":[5.476947272939954,51.49457947184237],"type":"Point"}</t>
  </si>
  <si>
    <t>51.49457947184237, 5.476947272939954</t>
  </si>
  <si>
    <t>51.494579853164474, 5.4769487242245845</t>
  </si>
  <si>
    <t>Panorama 078</t>
  </si>
  <si>
    <t>{"coordinates":[5.476803896208907,51.494968430868404],"type":"Point"}</t>
  </si>
  <si>
    <t>51.494968430868404, 5.476803896208907</t>
  </si>
  <si>
    <t>51.494968812394035, 5.476805348501081</t>
  </si>
  <si>
    <t>Panorama 081</t>
  </si>
  <si>
    <t>{"coordinates":[5.476678573403261,51.495239624638046],"type":"Point"}</t>
  </si>
  <si>
    <t>51.495239624638046, 5.476678573403261</t>
  </si>
  <si>
    <t>51.49524000629301, 5.476680026487267</t>
  </si>
  <si>
    <t>Panorama 087</t>
  </si>
  <si>
    <t>{"coordinates":[5.4759211071987455,51.4952311255459],"type":"Point"}</t>
  </si>
  <si>
    <t>51.4952311255459, 5.4759211071987455</t>
  </si>
  <si>
    <t>51.49523150685285, 5.475922563022508</t>
  </si>
  <si>
    <t>Panorama 088</t>
  </si>
  <si>
    <t>{"coordinates":[5.47568202763234,51.49521234137963],"type":"Point"}</t>
  </si>
  <si>
    <t>51.49521234137963, 5.47568202763234</t>
  </si>
  <si>
    <t>51.495212722566194, 5.475683484301709</t>
  </si>
  <si>
    <t>Vijfkamplaan 055</t>
  </si>
  <si>
    <t>{"coordinates":[5.4551791665204785,51.47649935498321],"type":"Point"}</t>
  </si>
  <si>
    <t>51.47649935498321, 5.4551791665204785</t>
  </si>
  <si>
    <t>51.47649971192045, 5.455180645471731</t>
  </si>
  <si>
    <t>Vijfkamplaan 058</t>
  </si>
  <si>
    <t>{"coordinates":[5.455568250988806,51.47602551505453],"type":"Point"}</t>
  </si>
  <si>
    <t>51.47602551505453, 5.455568250988806</t>
  </si>
  <si>
    <t>51.47602587176583, 5.455569726934415</t>
  </si>
  <si>
    <t>Vijfkamplaan 063</t>
  </si>
  <si>
    <t>{"coordinates":[5.456178726803501,51.47528026531586],"type":"Point"}</t>
  </si>
  <si>
    <t>51.47528026531586, 5.456178726803501</t>
  </si>
  <si>
    <t>51.47528062166212, 5.456180198007657</t>
  </si>
  <si>
    <t>Azincourthof 005</t>
  </si>
  <si>
    <t>{"coordinates":[5.436640108642052,51.489994204468275],"type":"Point"}</t>
  </si>
  <si>
    <t>51.489994204468275, 5.436640108642052</t>
  </si>
  <si>
    <t>51.48999455721695, 5.43664166440866</t>
  </si>
  <si>
    <t>Boschdijk 661</t>
  </si>
  <si>
    <t>661</t>
  </si>
  <si>
    <t>{"coordinates":[5.435467774517382,51.48063401198486],"type":"Point"}</t>
  </si>
  <si>
    <t>51.48063401198486, 5.435467774517382</t>
  </si>
  <si>
    <t>51.48063435867145, 5.4354693132821446</t>
  </si>
  <si>
    <t>Boschdijk 665</t>
  </si>
  <si>
    <t>665</t>
  </si>
  <si>
    <t>{"coordinates":[5.435011197772934,51.481091902720365],"type":"Point"}</t>
  </si>
  <si>
    <t>51.481091902720365, 5.435011197772934</t>
  </si>
  <si>
    <t>51.48109224943384, 5.435012738715261</t>
  </si>
  <si>
    <t>Boschdijk 667</t>
  </si>
  <si>
    <t>667</t>
  </si>
  <si>
    <t>{"coordinates":[5.434782833043463,51.48131994858006],"type":"Point"}</t>
  </si>
  <si>
    <t>51.48131994858006, 5.434782833043463</t>
  </si>
  <si>
    <t>51.48132029530492, 5.434784375065367</t>
  </si>
  <si>
    <t>48 LED GRN24-S/WW/30</t>
  </si>
  <si>
    <t>LED LXML/WW 31W I MS</t>
  </si>
  <si>
    <t>Mikana Cercle op vor</t>
  </si>
  <si>
    <t>RX210143-V-Angle Str</t>
  </si>
  <si>
    <t>Lightronics White Z3</t>
  </si>
  <si>
    <t>2044-05-15</t>
  </si>
  <si>
    <t>2054-05-15</t>
  </si>
  <si>
    <t>TLD 36/77</t>
  </si>
  <si>
    <t>Modernista Space A-S</t>
  </si>
  <si>
    <t>18 LED WRN 18 DS-WW</t>
  </si>
  <si>
    <t>LW10 BEGA 66453 K3</t>
  </si>
  <si>
    <t>288 SMD Led 4000K</t>
  </si>
  <si>
    <t>LEVO LED 25W 500mA 3</t>
  </si>
  <si>
    <t>maskerdooshof</t>
  </si>
  <si>
    <t>Cellostraat</t>
  </si>
  <si>
    <t>PLT  32 W</t>
  </si>
  <si>
    <t>PLT  42 W</t>
  </si>
  <si>
    <t>Saled Led PS-L 40W 4</t>
  </si>
  <si>
    <t>LED kit LA-Residenza</t>
  </si>
  <si>
    <t>CDM-T 20W</t>
  </si>
  <si>
    <t>12 LED Revoled 2550</t>
  </si>
  <si>
    <t>TL 58W/84/4000</t>
  </si>
  <si>
    <t>MASTER LEDtube VLE 1</t>
  </si>
  <si>
    <t>U LED module sym 22W</t>
  </si>
  <si>
    <t>! OMA 16 LED</t>
  </si>
  <si>
    <t>Rembrandtplein 012</t>
  </si>
  <si>
    <t>{"coordinates":[5.502352164776816,51.43862505527724],"type":"Point"}</t>
  </si>
  <si>
    <t>51.43862505527724, 5.502352164776816</t>
  </si>
  <si>
    <t>51.43862538540139, 5.5023532493744876</t>
  </si>
  <si>
    <t>Haydnstraat 014</t>
  </si>
  <si>
    <t>{"coordinates":[5.461125658122549,51.42569153044478],"type":"Point"}</t>
  </si>
  <si>
    <t>51.42569153044478, 5.461125658122549</t>
  </si>
  <si>
    <t>51.42569184088079, 5.461126825511092</t>
  </si>
  <si>
    <t>Palingstraat 004</t>
  </si>
  <si>
    <t>{"coordinates":[5.469036521863779,51.43257147521618],"type":"Point"}</t>
  </si>
  <si>
    <t>51.43257147521618, 5.469036521863779</t>
  </si>
  <si>
    <t>51.43257179101701, 5.469037696542383</t>
  </si>
  <si>
    <t>Palingstraat 005</t>
  </si>
  <si>
    <t>{"coordinates":[5.468883903933606,51.43278892862083],"type":"Point"}</t>
  </si>
  <si>
    <t>51.43278892862083, 5.468883903933606</t>
  </si>
  <si>
    <t>51.43278924458322, 5.468885080415562</t>
  </si>
  <si>
    <t>Palingstraat 006</t>
  </si>
  <si>
    <t>{"coordinates":[5.468530985094359,51.432882661632384],"type":"Point"}</t>
  </si>
  <si>
    <t>51.432882661632384, 5.468530985094359</t>
  </si>
  <si>
    <t>51.43288297758791, 5.468532163368084</t>
  </si>
  <si>
    <t>Palingstraat 009</t>
  </si>
  <si>
    <t>{"coordinates":[5.46799184725892,51.43333615272011],"type":"Point"}</t>
  </si>
  <si>
    <t>51.43333615272011, 5.46799184725892</t>
  </si>
  <si>
    <t>51.43333646895355, 5.4679930300832735</t>
  </si>
  <si>
    <t>Palingstraat 011</t>
  </si>
  <si>
    <t>{"coordinates":[5.467827993439533,51.433495062097975],"type":"Point"}</t>
  </si>
  <si>
    <t>51.433495062097975, 5.467827993439533</t>
  </si>
  <si>
    <t>51.43349537843544, 5.46782917777187</t>
  </si>
  <si>
    <t>Ulenpas 061</t>
  </si>
  <si>
    <t>{"coordinates":[5.4307726614764675,51.411644340514606],"type":"Point"}</t>
  </si>
  <si>
    <t>51.411644340514606, 5.4307726614764675</t>
  </si>
  <si>
    <t>51.411644646366824, 5.430773860298318</t>
  </si>
  <si>
    <t>16 LED Columba 1200L</t>
  </si>
  <si>
    <t>5414 SCHIMMELT OOST (VESTDIJK) 003</t>
  </si>
  <si>
    <t>{"coordinates":[5.4772645216574745,51.44367818488149],"type":"Point"}</t>
  </si>
  <si>
    <t>51.44367818488149, 5.4772645216574745</t>
  </si>
  <si>
    <t>51.44367851396326, 5.477265732117963</t>
  </si>
  <si>
    <t>5414 SCHIMMELT OOST (VESTDIJK) 009</t>
  </si>
  <si>
    <t>{"coordinates":[5.477067876944266,51.44364033276224],"type":"Point"}</t>
  </si>
  <si>
    <t>51.44364033276224, 5.477067876944266</t>
  </si>
  <si>
    <t>51.44364066174557, 5.4770690878863935</t>
  </si>
  <si>
    <t>5419 RABOTUNNEL 001</t>
  </si>
  <si>
    <t>{"coordinates":[5.477534011327068,51.44396534379904],"type":"Point"}</t>
  </si>
  <si>
    <t>51.44396534379904, 5.477534011327068</t>
  </si>
  <si>
    <t>51.443965673289426, 5.477535222609907</t>
  </si>
  <si>
    <t>5419 RABOTUNNEL 003</t>
  </si>
  <si>
    <t>{"coordinates":[5.477371627080026,51.44427647760297],"type":"Point"}</t>
  </si>
  <si>
    <t>51.44427647760297, 5.477371627080026</t>
  </si>
  <si>
    <t>51.44427680741022, 5.477372840918255</t>
  </si>
  <si>
    <t>5419 RABOTUNNEL 004</t>
  </si>
  <si>
    <t>{"coordinates":[5.477497600075958,51.44429691007767],"type":"Point"}</t>
  </si>
  <si>
    <t>51.44429691007767, 5.477497600075958</t>
  </si>
  <si>
    <t>51.44429723994357, 5.4774988135813</t>
  </si>
  <si>
    <t>5419 RABOTUNNEL 005</t>
  </si>
  <si>
    <t>{"coordinates":[5.477348795244858,51.44433253064112],"type":"Point"}</t>
  </si>
  <si>
    <t>51.44433253064112, 5.477348795244858</t>
  </si>
  <si>
    <t>51.44433286050725, 5.477350009519936</t>
  </si>
  <si>
    <t>5419 RABOTUNNEL 006</t>
  </si>
  <si>
    <t>{"coordinates":[5.4774747812577935,51.444352199093636],"type":"Point"}</t>
  </si>
  <si>
    <t>51.444352199093636, 5.4774747812577935</t>
  </si>
  <si>
    <t>51.44435252901754, 5.477475995195125</t>
  </si>
  <si>
    <t>LEVO Q LED 25W 500mA</t>
  </si>
  <si>
    <t>Luchthavenweg 071</t>
  </si>
  <si>
    <t>{"coordinates":[5.392985345040986,51.45660110580089],"type":"Point"}</t>
  </si>
  <si>
    <t>51.45660110580089, 5.392985345040986</t>
  </si>
  <si>
    <t>51.456601388071235, 5.392986772242293</t>
  </si>
  <si>
    <t>BGP761 LED69-4S/840</t>
  </si>
  <si>
    <t>12 LED Greenline 11W</t>
  </si>
  <si>
    <t>CDM-T 250W</t>
  </si>
  <si>
    <t>36 LED 73W 6350 Lume</t>
  </si>
  <si>
    <t>Laurierplein 003A</t>
  </si>
  <si>
    <t>{"coordinates":[5.499197786318093,51.419695333875566],"type":"Point"}</t>
  </si>
  <si>
    <t>51.419695333875566, 5.499197786318093</t>
  </si>
  <si>
    <t>51.41969564735618, 5.499198799557008</t>
  </si>
  <si>
    <t>Mimosalaan 002</t>
  </si>
  <si>
    <t>{"coordinates":[5.49420050001117,51.424377657944106],"type":"Point"}</t>
  </si>
  <si>
    <t>51.424377657944106, 5.49420050001117</t>
  </si>
  <si>
    <t>51.424377972084926, 5.494201545207153</t>
  </si>
  <si>
    <t>Heggeranklaan 009</t>
  </si>
  <si>
    <t>{"coordinates":[5.494708342553781,51.422983494134684],"type":"Point"}</t>
  </si>
  <si>
    <t>51.422983494134684, 5.494708342553781</t>
  </si>
  <si>
    <t>51.42298380770242, 5.494709381058301</t>
  </si>
  <si>
    <t>Heggeranklaan 011</t>
  </si>
  <si>
    <t>{"coordinates":[5.494868899115467,51.42278460585349],"type":"Point"}</t>
  </si>
  <si>
    <t>51.42278460585349, 5.494868899115467</t>
  </si>
  <si>
    <t>51.422784919382174, 5.494869936417322</t>
  </si>
  <si>
    <t>Heggeranklaan 012</t>
  </si>
  <si>
    <t>{"coordinates":[5.495159719878015,51.42289256032853],"type":"Point"}</t>
  </si>
  <si>
    <t>51.42289256032853, 5.495159719878015</t>
  </si>
  <si>
    <t>51.422892873991316, 5.495160756506843</t>
  </si>
  <si>
    <t>Mimosalaan 008</t>
  </si>
  <si>
    <t>{"coordinates":[5.494966989308301,51.42359080042072],"type":"Point"}</t>
  </si>
  <si>
    <t>51.42359080042072, 5.494966989308301</t>
  </si>
  <si>
    <t>51.42359111433114, 5.494968028849897</t>
  </si>
  <si>
    <t>Mimosalaan 009</t>
  </si>
  <si>
    <t>{"coordinates":[5.4951358175945355,51.423423813965094],"type":"Point"}</t>
  </si>
  <si>
    <t>51.423423813965094, 5.4951358175945355</t>
  </si>
  <si>
    <t>51.42342412785299, 5.495136856002496</t>
  </si>
  <si>
    <t>Laurierplein 005A</t>
  </si>
  <si>
    <t>{"coordinates":[5.499107455899897,51.41991034033171],"type":"Point"}</t>
  </si>
  <si>
    <t>51.41991034033171, 5.499107455899897</t>
  </si>
  <si>
    <t>51.41991065387904, 5.499108470056173</t>
  </si>
  <si>
    <t>LEVO LED 20W 350ma 3</t>
  </si>
  <si>
    <t>Laurierplein 013A</t>
  </si>
  <si>
    <t>{"coordinates":[5.498734481721845,51.42077082602207],"type":"Point"}</t>
  </si>
  <si>
    <t>51.42077082602207, 5.498734481721845</t>
  </si>
  <si>
    <t>51.42077113983302, 5.498735499616973</t>
  </si>
  <si>
    <t>Beukenlaan LED 024</t>
  </si>
  <si>
    <t>LED 024</t>
  </si>
  <si>
    <t>{"coordinates":[5.450096443318393,51.44103881054227],"type":"Point"}</t>
  </si>
  <si>
    <t>51.44103881054227, 5.450096443318393</t>
  </si>
  <si>
    <t>51.44103912928881, 5.450097729238576</t>
  </si>
  <si>
    <t>Beukenlaan LED 020</t>
  </si>
  <si>
    <t>LED 020</t>
  </si>
  <si>
    <t>{"coordinates":[5.450195005900335,51.441171160319904],"type":"Point"}</t>
  </si>
  <si>
    <t>51.441171160319904, 5.450195005900335</t>
  </si>
  <si>
    <t>51.4411714791935, 5.450196292373354</t>
  </si>
  <si>
    <t>Beukenlaan LED 061</t>
  </si>
  <si>
    <t>LED 061</t>
  </si>
  <si>
    <t>{"coordinates":[5.449507426211858,51.44154249306601],"type":"Point"}</t>
  </si>
  <si>
    <t>51.44154249306601, 5.449507426211858</t>
  </si>
  <si>
    <t>51.441542812131324, 5.4495087170783885</t>
  </si>
  <si>
    <t>Beukenlaan LED 054</t>
  </si>
  <si>
    <t>LED 054</t>
  </si>
  <si>
    <t>{"coordinates":[5.449248370153598,51.44142577887876],"type":"Point"}</t>
  </si>
  <si>
    <t>51.44142577887876, 5.449248370153598</t>
  </si>
  <si>
    <t>51.44142609775713, 5.44924966096881</t>
  </si>
  <si>
    <t>Beukenlaan LED 053</t>
  </si>
  <si>
    <t>LED 053</t>
  </si>
  <si>
    <t>{"coordinates":[5.4492195672356605,51.44139882823464],"type":"Point"}</t>
  </si>
  <si>
    <t>51.44139882823464, 5.4492195672356605</t>
  </si>
  <si>
    <t>51.441399147080695, 5.449220857955955</t>
  </si>
  <si>
    <t>Beukenlaan LED 048</t>
  </si>
  <si>
    <t>LED 048</t>
  </si>
  <si>
    <t>{"coordinates":[5.44915003477137,51.44124722643567],"type":"Point"}</t>
  </si>
  <si>
    <t>51.44124722643567, 5.44915003477137</t>
  </si>
  <si>
    <t>51.441247545132036, 5.44915132470994</t>
  </si>
  <si>
    <t>Beukenlaan LED 038</t>
  </si>
  <si>
    <t>LED 038</t>
  </si>
  <si>
    <t>{"coordinates":[5.449420281904387,51.440922321487896],"type":"Point"}</t>
  </si>
  <si>
    <t>51.440922321487896, 5.449420281904387</t>
  </si>
  <si>
    <t>51.44092264000863, 5.449421569042466</t>
  </si>
  <si>
    <t>Beukenlaan LED 033</t>
  </si>
  <si>
    <t>LED 033</t>
  </si>
  <si>
    <t>{"coordinates":[5.449662452296239,51.440893607704304],"type":"Point"}</t>
  </si>
  <si>
    <t>51.440893607704304, 5.449662452296239</t>
  </si>
  <si>
    <t>51.44089392626324, 5.44966373857109</t>
  </si>
  <si>
    <t>Beukenlaan LED 100</t>
  </si>
  <si>
    <t>LED 100</t>
  </si>
  <si>
    <t>{"coordinates":[5.450280675205733,51.44113219295381],"type":"Point"}</t>
  </si>
  <si>
    <t>51.44113219295381, 5.450280675205733</t>
  </si>
  <si>
    <t>51.44113251180791, 5.4502819611769855</t>
  </si>
  <si>
    <t>Beukenlaan LED 099</t>
  </si>
  <si>
    <t>LED 099</t>
  </si>
  <si>
    <t>{"coordinates":[5.450274477825602,51.44112302787078],"type":"Point"}</t>
  </si>
  <si>
    <t>51.44112302787078, 5.450274477825602</t>
  </si>
  <si>
    <t>51.44112334671616, 5.4502757637567365</t>
  </si>
  <si>
    <t>Beukenlaan LED 091</t>
  </si>
  <si>
    <t>LED 091</t>
  </si>
  <si>
    <t>{"coordinates":[5.450222162004275,51.44104674241614],"type":"Point"}</t>
  </si>
  <si>
    <t>51.44104674241614, 5.450222162004275</t>
  </si>
  <si>
    <t>51.441047061188755, 5.450223447603646</t>
  </si>
  <si>
    <t>Beukenlaan LED 089</t>
  </si>
  <si>
    <t>LED 089</t>
  </si>
  <si>
    <t>{"coordinates":[5.4502054516423994,51.4410278752607],"type":"Point"}</t>
  </si>
  <si>
    <t>51.4410278752607, 5.4502054516423994</t>
  </si>
  <si>
    <t>51.44102819401481, 5.450206737170827</t>
  </si>
  <si>
    <t>Beukenlaan LED 088</t>
  </si>
  <si>
    <t>LED 088</t>
  </si>
  <si>
    <t>{"coordinates":[5.45019623311348,51.44101817248955],"type":"Point"}</t>
  </si>
  <si>
    <t>51.44101817248955, 5.45019623311348</t>
  </si>
  <si>
    <t>51.44101849123403, 5.450197518607219</t>
  </si>
  <si>
    <t>Beukenlaan LED 087</t>
  </si>
  <si>
    <t>LED 087</t>
  </si>
  <si>
    <t>{"coordinates":[5.450189033295169,51.441012153979315],"type":"Point"}</t>
  </si>
  <si>
    <t>51.441012153979315, 5.450189033295169</t>
  </si>
  <si>
    <t>51.441012472717624, 5.450190318771796</t>
  </si>
  <si>
    <t>Beukenlaan LED 103</t>
  </si>
  <si>
    <t>LED 103</t>
  </si>
  <si>
    <t>{"coordinates":[5.450297828930485,51.44115959909439],"type":"Point"}</t>
  </si>
  <si>
    <t>51.44115959909439, 5.450297828930485</t>
  </si>
  <si>
    <t>51.44115991797438, 5.450299115025781</t>
  </si>
  <si>
    <t>Beukenlaan LED 109</t>
  </si>
  <si>
    <t>LED 109</t>
  </si>
  <si>
    <t>{"coordinates":[5.450311566896725,51.44121316411547],"type":"Point"}</t>
  </si>
  <si>
    <t>51.44121316411547, 5.450311566896725</t>
  </si>
  <si>
    <t>51.44121348304303, 5.450312853292834</t>
  </si>
  <si>
    <t>Beukenlaan LED 113</t>
  </si>
  <si>
    <t>LED 113</t>
  </si>
  <si>
    <t>{"coordinates":[5.450313343066695,51.44124947737883],"type":"Point"}</t>
  </si>
  <si>
    <t>51.44124947737883, 5.450313343066695</t>
  </si>
  <si>
    <t>51.441249796337424, 5.450314629689082</t>
  </si>
  <si>
    <t>Beukenlaan LED 114</t>
  </si>
  <si>
    <t>LED 114</t>
  </si>
  <si>
    <t>{"coordinates":[5.450313210294777,51.44125747736717],"type":"Point"}</t>
  </si>
  <si>
    <t>51.44125747736717, 5.450313210294777</t>
  </si>
  <si>
    <t>51.44125779633258, 5.4503144969685255</t>
  </si>
  <si>
    <t>Beukenlaan LED 115</t>
  </si>
  <si>
    <t>LED 115</t>
  </si>
  <si>
    <t>{"coordinates":[5.450312787996964,51.4412641292121],"type":"Point"}</t>
  </si>
  <si>
    <t>51.4412641292121, 5.450312787996964</t>
  </si>
  <si>
    <t>51.44126444818311, 5.450314074714384</t>
  </si>
  <si>
    <t>Beukenlaan LED 116</t>
  </si>
  <si>
    <t>LED 116</t>
  </si>
  <si>
    <t>{"coordinates":[5.450311790250834,51.44127069148253],"type":"Point"}</t>
  </si>
  <si>
    <t>51.44127069148253, 5.450311790250834</t>
  </si>
  <si>
    <t>51.441271010458934, 5.450313077013045</t>
  </si>
  <si>
    <t>Beukenlaan LED 120</t>
  </si>
  <si>
    <t>LED 120</t>
  </si>
  <si>
    <t>{"coordinates":[5.450304071706943,51.44130566159627],"type":"Point"}</t>
  </si>
  <si>
    <t>51.44130566159627, 5.450304071706943</t>
  </si>
  <si>
    <t>51.44130598060107, 5.450305358714917</t>
  </si>
  <si>
    <t>Beukenlaan LED 122</t>
  </si>
  <si>
    <t>LED 122</t>
  </si>
  <si>
    <t>{"coordinates":[5.45029891676999,51.4413222934321],"type":"Point"}</t>
  </si>
  <si>
    <t>51.4413222934321, 5.45029891676999</t>
  </si>
  <si>
    <t>51.44132261245012, 5.450300203899241</t>
  </si>
  <si>
    <t>Beukenlaan LED 124</t>
  </si>
  <si>
    <t>LED 124</t>
  </si>
  <si>
    <t>{"coordinates":[5.450292327367954,51.441341712533365],"type":"Point"}</t>
  </si>
  <si>
    <t>51.441341712533365, 5.450292327367954</t>
  </si>
  <si>
    <t>51.44134203156681, 5.4502936146405245</t>
  </si>
  <si>
    <t>Beukenlaan LED 126</t>
  </si>
  <si>
    <t>LED 126</t>
  </si>
  <si>
    <t>{"coordinates":[5.45028545067037,51.44136140145018],"type":"Point"}</t>
  </si>
  <si>
    <t>51.44136140145018, 5.45028545067037</t>
  </si>
  <si>
    <t>51.4413617204992, 5.45028673808883</t>
  </si>
  <si>
    <t>Beukenlaan LED 127</t>
  </si>
  <si>
    <t>LED 127</t>
  </si>
  <si>
    <t>{"coordinates":[5.45028215174165,51.441368054854976],"type":"Point"}</t>
  </si>
  <si>
    <t>51.441368054854976, 5.45028215174165</t>
  </si>
  <si>
    <t>51.441368373909086, 5.450283439212302</t>
  </si>
  <si>
    <t>Beukenlaan LED 128</t>
  </si>
  <si>
    <t>LED 128</t>
  </si>
  <si>
    <t>{"coordinates":[5.450279140102071,51.441374438443795],"type":"Point"}</t>
  </si>
  <si>
    <t>51.441374438443795, 5.450279140102071</t>
  </si>
  <si>
    <t>51.44137475750282, 5.450280427622298</t>
  </si>
  <si>
    <t>Beukenlaan LED 136</t>
  </si>
  <si>
    <t>LED 136</t>
  </si>
  <si>
    <t>{"coordinates":[5.4502393860789535,51.441437650343886],"type":"Point"}</t>
  </si>
  <si>
    <t>51.441437650343886, 5.4502393860789535</t>
  </si>
  <si>
    <t>51.44143796944999, 5.4502406741199945</t>
  </si>
  <si>
    <t>Beukenlaan LED 138</t>
  </si>
  <si>
    <t>LED 138</t>
  </si>
  <si>
    <t>{"coordinates":[5.450229050064694,51.44145203781668],"type":"Point"}</t>
  </si>
  <si>
    <t>51.44145203781668, 5.450229050064694</t>
  </si>
  <si>
    <t>51.441452356933205, 5.450230338228076</t>
  </si>
  <si>
    <t>Beukenlaan LED 139</t>
  </si>
  <si>
    <t>LED 139</t>
  </si>
  <si>
    <t>{"coordinates":[5.450222874489544,51.44145869277835],"type":"Point"}</t>
  </si>
  <si>
    <t>51.44145869277835, 5.450222874489544</t>
  </si>
  <si>
    <t>51.44145901189953, 5.450224162713653</t>
  </si>
  <si>
    <t>Beukenlaan LED 143</t>
  </si>
  <si>
    <t>LED 143</t>
  </si>
  <si>
    <t>{"coordinates":[5.450188692054287,51.44149457608575],"type":"Point"}</t>
  </si>
  <si>
    <t>51.44149457608575, 5.450188692054287</t>
  </si>
  <si>
    <t>51.441494895231585, 5.450189980608485</t>
  </si>
  <si>
    <t>Beukenlaan LED 144</t>
  </si>
  <si>
    <t>LED 144</t>
  </si>
  <si>
    <t>{"coordinates":[5.450180215779988,51.44150168172448],"type":"Point"}</t>
  </si>
  <si>
    <t>51.44150168172448, 5.450180215779988</t>
  </si>
  <si>
    <t>51.44150200087495, 5.450181504404618</t>
  </si>
  <si>
    <t>Beukenlaan LED 149</t>
  </si>
  <si>
    <t>LED 149</t>
  </si>
  <si>
    <t>{"coordinates":[5.450128201352986,51.4415399117214],"type":"Point"}</t>
  </si>
  <si>
    <t>51.4415399117214, 5.450128201352986</t>
  </si>
  <si>
    <t>51.4415402308955, 5.450129490375616</t>
  </si>
  <si>
    <t>Beukenlaan LED 150</t>
  </si>
  <si>
    <t>LED 150</t>
  </si>
  <si>
    <t>{"coordinates":[5.450114692803656,51.44154836837805],"type":"Point"}</t>
  </si>
  <si>
    <t>51.44154836837805, 5.450114692803656</t>
  </si>
  <si>
    <t>51.44154868755706, 5.4501159819202885</t>
  </si>
  <si>
    <t>Beukenlaan LED 152</t>
  </si>
  <si>
    <t>LED 152</t>
  </si>
  <si>
    <t>{"coordinates":[5.450088105452361,51.4415640230405],"type":"Point"}</t>
  </si>
  <si>
    <t>51.4415640230405, 5.450088105452361</t>
  </si>
  <si>
    <t>51.441564342228304, 5.450089394747638</t>
  </si>
  <si>
    <t>Beukenlaan LED 156</t>
  </si>
  <si>
    <t>LED 156</t>
  </si>
  <si>
    <t>{"coordinates":[5.450032907397594,51.44158832227773],"type":"Point"}</t>
  </si>
  <si>
    <t>51.44158832227773, 5.450032907397594</t>
  </si>
  <si>
    <t>51.44158864147677, 5.450034197011544</t>
  </si>
  <si>
    <t>Beukenlaan LED 158</t>
  </si>
  <si>
    <t>LED 158</t>
  </si>
  <si>
    <t>{"coordinates":[5.450004014725357,51.44160110179189],"type":"Point"}</t>
  </si>
  <si>
    <t>51.44160110179189, 5.450004014725357</t>
  </si>
  <si>
    <t>51.44160142099679, 5.450005304506542</t>
  </si>
  <si>
    <t>Beukenlaan LED 161</t>
  </si>
  <si>
    <t>LED 161</t>
  </si>
  <si>
    <t>{"coordinates":[5.44995671832719,51.44161883499758],"type":"Point"}</t>
  </si>
  <si>
    <t>51.44161883499758, 5.44995671832719</t>
  </si>
  <si>
    <t>51.44161915420947, 5.449958008361777</t>
  </si>
  <si>
    <t>Beukenlaan LED 170</t>
  </si>
  <si>
    <t>LED 170</t>
  </si>
  <si>
    <t>{"coordinates":[5.449820991383471,51.44165576169002],"type":"Point"}</t>
  </si>
  <si>
    <t>51.44165576169002, 5.449820991383471</t>
  </si>
  <si>
    <t>51.44165608091004, 5.4498222820563464</t>
  </si>
  <si>
    <t>Beukenlaan LED 174</t>
  </si>
  <si>
    <t>LED 174</t>
  </si>
  <si>
    <t>{"coordinates":[5.44976003140821,51.44167395160432],"type":"Point"}</t>
  </si>
  <si>
    <t>51.44167395160432, 5.44976003140821</t>
  </si>
  <si>
    <t>51.44167427082926, 5.449761322378042</t>
  </si>
  <si>
    <t>Beukenlaan LED 175</t>
  </si>
  <si>
    <t>LED 175</t>
  </si>
  <si>
    <t>{"coordinates":[5.4497458011264595,51.44168061087246],"type":"Point"}</t>
  </si>
  <si>
    <t>51.44168061087246, 5.4497458011264595</t>
  </si>
  <si>
    <t>51.44168093010054, 5.449747092181062</t>
  </si>
  <si>
    <t>Beukenlaan LED 180</t>
  </si>
  <si>
    <t>LED 180</t>
  </si>
  <si>
    <t>{"coordinates":[5.449693635284728,51.441713717215166],"type":"Point"}</t>
  </si>
  <si>
    <t>51.441713717215166, 5.449693635284728</t>
  </si>
  <si>
    <t>51.44171403646204, 5.449694926705532</t>
  </si>
  <si>
    <t>Beukenlaan LED 184</t>
  </si>
  <si>
    <t>LED 184</t>
  </si>
  <si>
    <t>{"coordinates":[5.449676564495454,51.441746804690204],"type":"Point"}</t>
  </si>
  <si>
    <t>51.441746804690204, 5.449676564495454</t>
  </si>
  <si>
    <t>51.44174712396172, 5.4496778561782735</t>
  </si>
  <si>
    <t>Beukenlaan LED 186</t>
  </si>
  <si>
    <t>LED 186</t>
  </si>
  <si>
    <t>{"coordinates":[5.44966839199358,51.44176577517275],"type":"Point"}</t>
  </si>
  <si>
    <t>51.44176577517275, 5.44966839199358</t>
  </si>
  <si>
    <t>51.44176609445867, 5.44966968382178</t>
  </si>
  <si>
    <t>Beukenlaan LED 187</t>
  </si>
  <si>
    <t>LED 187</t>
  </si>
  <si>
    <t>{"coordinates":[5.449664809338576,51.44177539497343],"type":"Point"}</t>
  </si>
  <si>
    <t>51.44177539497343, 5.449664809338576</t>
  </si>
  <si>
    <t>51.44177571426674, 5.449666101238859</t>
  </si>
  <si>
    <t>Beukenlaan LED 192</t>
  </si>
  <si>
    <t>LED 192</t>
  </si>
  <si>
    <t>{"coordinates":[5.449647884796827,51.44181028009962],"type":"Point"}</t>
  </si>
  <si>
    <t>51.44181028009962, 5.449647884796827</t>
  </si>
  <si>
    <t>51.44181059941904, 5.449649176970242</t>
  </si>
  <si>
    <t>Beukenlaan LED 197</t>
  </si>
  <si>
    <t>LED 197</t>
  </si>
  <si>
    <t>{"coordinates":[5.449631254777971,51.44185019872029],"type":"Point"}</t>
  </si>
  <si>
    <t>51.44185019872029, 5.449631254777971</t>
  </si>
  <si>
    <t>51.441850518070076, 5.449632547255776</t>
  </si>
  <si>
    <t>Beukenlaan LED 201</t>
  </si>
  <si>
    <t>LED 201</t>
  </si>
  <si>
    <t>{"coordinates":[5.449616629912155,51.44188391408043],"type":"Point"}</t>
  </si>
  <si>
    <t>51.44188391408043, 5.449616629912155</t>
  </si>
  <si>
    <t>51.44188423345573, 5.449617922648783</t>
  </si>
  <si>
    <t>Beukenlaan LED 209</t>
  </si>
  <si>
    <t>LED 209</t>
  </si>
  <si>
    <t>{"coordinates":[5.4494181870853975,51.44181265037941],"type":"Point"}</t>
  </si>
  <si>
    <t>51.44181265037941, 5.4494181870853975</t>
  </si>
  <si>
    <t>51.441812969637645, 5.4494194799169495</t>
  </si>
  <si>
    <t>Beukenlaan LED 215</t>
  </si>
  <si>
    <t>LED 215</t>
  </si>
  <si>
    <t>{"coordinates":[5.449430909167855,51.44175466665114],"type":"Point"}</t>
  </si>
  <si>
    <t>51.44175466665114, 5.449430909167855</t>
  </si>
  <si>
    <t>51.441754985865714, 5.449432201594905</t>
  </si>
  <si>
    <t>Beukenlaan LED 219</t>
  </si>
  <si>
    <t>LED 219</t>
  </si>
  <si>
    <t>{"coordinates":[5.44944077895704,51.44171457190105],"type":"Point"}</t>
  </si>
  <si>
    <t>51.44171457190105, 5.44944077895704</t>
  </si>
  <si>
    <t>51.44171489108585, 5.44944207110149</t>
  </si>
  <si>
    <t>Beukenlaan LED 223</t>
  </si>
  <si>
    <t>LED 223</t>
  </si>
  <si>
    <t>{"coordinates":[5.449449501625139,51.441677084478364],"type":"Point"}</t>
  </si>
  <si>
    <t>51.441677084478364, 5.449449501625139</t>
  </si>
  <si>
    <t>51.441677403635104, 5.44945079350674</t>
  </si>
  <si>
    <t>Beukenlaan LED 225</t>
  </si>
  <si>
    <t>LED 225</t>
  </si>
  <si>
    <t>{"coordinates":[5.4494506243400505,51.441656589709986],"type":"Point"}</t>
  </si>
  <si>
    <t>51.441656589709986, 5.4494506243400505</t>
  </si>
  <si>
    <t>51.44165690885009, 5.449451916087732</t>
  </si>
  <si>
    <t>Beukenlaan LED 229</t>
  </si>
  <si>
    <t>LED 229</t>
  </si>
  <si>
    <t>{"coordinates":[5.44935537834624,51.44184657125446],"type":"Point"}</t>
  </si>
  <si>
    <t>51.44184657125446, 5.44935537834624</t>
  </si>
  <si>
    <t>51.44184689051887, 5.449356671562629</t>
  </si>
  <si>
    <t>Beukenlaan LED 231</t>
  </si>
  <si>
    <t>LED 231</t>
  </si>
  <si>
    <t>{"coordinates":[5.449359666650878,51.441826973662],"type":"Point"}</t>
  </si>
  <si>
    <t>51.441826973662, 5.449359666650878</t>
  </si>
  <si>
    <t>51.441827292911654, 5.449360959730589</t>
  </si>
  <si>
    <t>Beukenlaan LED 232</t>
  </si>
  <si>
    <t>LED 232</t>
  </si>
  <si>
    <t>{"coordinates":[5.449361090414653,51.44181627638381],"type":"Point"}</t>
  </si>
  <si>
    <t>51.44181627638381, 5.449361090414653</t>
  </si>
  <si>
    <t>51.441816595625106, 5.449362383422198</t>
  </si>
  <si>
    <t>Beukenlaan LED 242</t>
  </si>
  <si>
    <t>LED 242</t>
  </si>
  <si>
    <t>{"coordinates":[5.449386126336776,51.44171729774255],"type":"Point"}</t>
  </si>
  <si>
    <t>51.44171729774255, 5.449386126336776</t>
  </si>
  <si>
    <t>51.44171761691051, 5.449387418645003</t>
  </si>
  <si>
    <t>Beukenlaan LED 243</t>
  </si>
  <si>
    <t>LED 243</t>
  </si>
  <si>
    <t>{"coordinates":[5.449387267813232,51.44171055562969],"type":"Point"}</t>
  </si>
  <si>
    <t>51.44171055562969, 5.449387267813232</t>
  </si>
  <si>
    <t>51.44171087479247, 5.449388560075357</t>
  </si>
  <si>
    <t>Beukenlaan LED 252</t>
  </si>
  <si>
    <t>LED 252</t>
  </si>
  <si>
    <t>{"coordinates":[5.449342155555623,51.4416424456292],"type":"Point"}</t>
  </si>
  <si>
    <t>51.4416424456292, 5.449342155555623</t>
  </si>
  <si>
    <t>51.44164276471979, 5.449343447503467</t>
  </si>
  <si>
    <t>Beukenlaan LED 258</t>
  </si>
  <si>
    <t>LED 258</t>
  </si>
  <si>
    <t>{"coordinates":[5.449270891687981,51.441593225780665],"type":"Point"}</t>
  </si>
  <si>
    <t>51.441593225780665, 5.449270891687981</t>
  </si>
  <si>
    <t>51.44159354480566, 5.44927218351232</t>
  </si>
  <si>
    <t>Beukenlaan LED 259</t>
  </si>
  <si>
    <t>LED 259</t>
  </si>
  <si>
    <t>{"coordinates":[5.449258082212649,51.44158703043546],"type":"Point"}</t>
  </si>
  <si>
    <t>51.44158703043546, 5.449258082212649</t>
  </si>
  <si>
    <t>51.44158734945084, 5.449259374031741</t>
  </si>
  <si>
    <t>Beukenlaan LED 263</t>
  </si>
  <si>
    <t>LED 263</t>
  </si>
  <si>
    <t>{"coordinates":[5.449209434296498,51.44156296675295],"type":"Point"}</t>
  </si>
  <si>
    <t>51.44156296675295, 5.449209434296498</t>
  </si>
  <si>
    <t>51.44156328573143, 5.449210726092222</t>
  </si>
  <si>
    <t>Beukenlaan LED 265</t>
  </si>
  <si>
    <t>LED 265</t>
  </si>
  <si>
    <t>{"coordinates":[5.449183957872551,51.44154958721789],"type":"Point"}</t>
  </si>
  <si>
    <t>51.44154958721789, 5.449183957872551</t>
  </si>
  <si>
    <t>51.44154990617647, 5.449185249651079</t>
  </si>
  <si>
    <t>Beukenlaan LED 272</t>
  </si>
  <si>
    <t>LED 272</t>
  </si>
  <si>
    <t>{"coordinates":[5.449112397272051,51.441493446154595],"type":"Point"}</t>
  </si>
  <si>
    <t>51.441493446154595, 5.449112397272051</t>
  </si>
  <si>
    <t>51.441493765041784, 5.449113688883854</t>
  </si>
  <si>
    <t>Beukenlaan LED 273</t>
  </si>
  <si>
    <t>LED 273</t>
  </si>
  <si>
    <t>{"coordinates":[5.449105197158149,51.441487157919084],"type":"Point"}</t>
  </si>
  <si>
    <t>51.441487157919084, 5.449105197158149</t>
  </si>
  <si>
    <t>51.441487476798535, 5.449106488749093</t>
  </si>
  <si>
    <t>Beukenlaan LED 288</t>
  </si>
  <si>
    <t>LED 288</t>
  </si>
  <si>
    <t>{"coordinates":[5.44890960532001,51.44139503813062],"type":"Point"}</t>
  </si>
  <si>
    <t>51.44139503813062, 5.44890960532001</t>
  </si>
  <si>
    <t>51.44139535686593, 5.448910896847051</t>
  </si>
  <si>
    <t>Beukenlaan LED 290</t>
  </si>
  <si>
    <t>LED 290</t>
  </si>
  <si>
    <t>{"coordinates":[5.448878245837247,51.44139190873462],"type":"Point"}</t>
  </si>
  <si>
    <t>51.44139190873462, 5.448878245837247</t>
  </si>
  <si>
    <t>51.44139222745644, 5.448879537428375</t>
  </si>
  <si>
    <t>Beukenlaan LED 291</t>
  </si>
  <si>
    <t>LED 291</t>
  </si>
  <si>
    <t>{"coordinates":[5.44886242196269,51.44139011939312],"type":"Point"}</t>
  </si>
  <si>
    <t>51.44139011939312, 5.44886242196269</t>
  </si>
  <si>
    <t>51.44139043810794, 5.448863713584787</t>
  </si>
  <si>
    <t>Beukenlaan LED 295</t>
  </si>
  <si>
    <t>LED 295</t>
  </si>
  <si>
    <t>{"coordinates":[5.448805894310243,51.44138871116898],"type":"Point"}</t>
  </si>
  <si>
    <t>51.44138871116898, 5.448805894310243</t>
  </si>
  <si>
    <t>51.44138902986306, 5.4488071860749425</t>
  </si>
  <si>
    <t>Beukenlaan LED 297</t>
  </si>
  <si>
    <t>LED 297</t>
  </si>
  <si>
    <t>{"coordinates":[5.448773676699909,51.44138917766749],"type":"Point"}</t>
  </si>
  <si>
    <t>51.44138917766749, 5.448773676699909</t>
  </si>
  <si>
    <t>51.44138949635078, 5.4487749685539315</t>
  </si>
  <si>
    <t>Beukenlaan LED 298</t>
  </si>
  <si>
    <t>LED 298</t>
  </si>
  <si>
    <t>{"coordinates":[5.448757423881387,51.44138927615961],"type":"Point"}</t>
  </si>
  <si>
    <t>51.44138927615961, 5.448757423881387</t>
  </si>
  <si>
    <t>51.441389594837325, 5.448758715779595</t>
  </si>
  <si>
    <t>Beukenlaan LED 312</t>
  </si>
  <si>
    <t>LED 312</t>
  </si>
  <si>
    <t>{"coordinates":[5.449229351823023,51.44150767580937],"type":"Point"}</t>
  </si>
  <si>
    <t>51.44150767580937, 5.449229351823023</t>
  </si>
  <si>
    <t>51.441507994749024, 5.4492306432122435</t>
  </si>
  <si>
    <t>Beukenlaan LED 320</t>
  </si>
  <si>
    <t>LED 320</t>
  </si>
  <si>
    <t>{"coordinates":[5.44914944168654,51.44144614602038],"type":"Point"}</t>
  </si>
  <si>
    <t>51.44144614602038, 5.44914944168654</t>
  </si>
  <si>
    <t>51.441446464881274, 5.449150732896982</t>
  </si>
  <si>
    <t>Beukenlaan LED 323</t>
  </si>
  <si>
    <t>LED 323</t>
  </si>
  <si>
    <t>{"coordinates":[5.449125096612865,51.441418473884326],"type":"Point"}</t>
  </si>
  <si>
    <t>51.441418473884326, 5.449125096612865</t>
  </si>
  <si>
    <t>51.44141879271385, 5.449126387711869</t>
  </si>
  <si>
    <t>Beukenlaan LED 325</t>
  </si>
  <si>
    <t>LED 325</t>
  </si>
  <si>
    <t>{"coordinates":[5.449110834388125,51.44140158277921],"type":"Point"}</t>
  </si>
  <si>
    <t>51.44140158277921, 5.449110834388125</t>
  </si>
  <si>
    <t>51.44140190158977, 5.449112125417477</t>
  </si>
  <si>
    <t>Beukenlaan LED 326</t>
  </si>
  <si>
    <t>LED 326</t>
  </si>
  <si>
    <t>{"coordinates":[5.449106507381378,51.44139268629959],"type":"Point"}</t>
  </si>
  <si>
    <t>51.44139268629959, 5.449106507381378</t>
  </si>
  <si>
    <t>51.441393005101304, 5.4491077983655325</t>
  </si>
  <si>
    <t>Beukenlaan LED 332</t>
  </si>
  <si>
    <t>LED 332</t>
  </si>
  <si>
    <t>{"coordinates":[5.449073635267999,51.44133472687401],"type":"Point"}</t>
  </si>
  <si>
    <t>51.44133472687401, 5.449073635267999</t>
  </si>
  <si>
    <t>51.44133504561633, 5.449074925970204</t>
  </si>
  <si>
    <t>Beukenlaan LED 335</t>
  </si>
  <si>
    <t>LED 335</t>
  </si>
  <si>
    <t>{"coordinates":[5.449062236313671,51.44130794670214],"type":"Point"}</t>
  </si>
  <si>
    <t>51.44130794670214, 5.449062236313671</t>
  </si>
  <si>
    <t>51.44130826541834, 5.44906352687543</t>
  </si>
  <si>
    <t>Beukenlaan LED 336</t>
  </si>
  <si>
    <t>LED 336</t>
  </si>
  <si>
    <t>{"coordinates":[5.44905934520005,51.441297251722865],"type":"Point"}</t>
  </si>
  <si>
    <t>51.441297251722865, 5.44905934520005</t>
  </si>
  <si>
    <t>51.44129757042916, 5.4490606357012625</t>
  </si>
  <si>
    <t>Beukenlaan LED 338</t>
  </si>
  <si>
    <t>LED 338</t>
  </si>
  <si>
    <t>{"coordinates":[5.449055005061546,51.44127864748459],"type":"Point"}</t>
  </si>
  <si>
    <t>51.44127864748459, 5.449055005061546</t>
  </si>
  <si>
    <t>51.44127896617397, 5.449056295455619</t>
  </si>
  <si>
    <t>Beukenlaan LED 339</t>
  </si>
  <si>
    <t>LED 339</t>
  </si>
  <si>
    <t>{"coordinates":[5.44905210883717,51.44126417726631],"type":"Point"}</t>
  </si>
  <si>
    <t>51.44126417726631, 5.44905210883717</t>
  </si>
  <si>
    <t>51.441264495942725, 5.449053399146606</t>
  </si>
  <si>
    <t>Beukenlaan LED 341</t>
  </si>
  <si>
    <t>LED 341</t>
  </si>
  <si>
    <t>{"coordinates":[5.44860810855669,51.441268727159674],"type":"Point"}</t>
  </si>
  <si>
    <t>51.441268727159674, 5.44860810855669</t>
  </si>
  <si>
    <t>51.44126904568605, 5.448609400085978</t>
  </si>
  <si>
    <t>Beukenlaan LED 343</t>
  </si>
  <si>
    <t>LED 343</t>
  </si>
  <si>
    <t>{"coordinates":[5.44864491911746,51.44126115723051],"type":"Point"}</t>
  </si>
  <si>
    <t>51.44126115723051, 5.44864491911746</t>
  </si>
  <si>
    <t>51.44126147576333, 5.448646210499737</t>
  </si>
  <si>
    <t>Beukenlaan LED 345</t>
  </si>
  <si>
    <t>LED 345</t>
  </si>
  <si>
    <t>{"coordinates":[5.448680725875694,51.44125583498799],"type":"Point"}</t>
  </si>
  <si>
    <t>51.44125583498799, 5.448680725875694</t>
  </si>
  <si>
    <t>51.441256153528826, 5.448682017127943</t>
  </si>
  <si>
    <t>Beukenlaan LED 346</t>
  </si>
  <si>
    <t>LED 346</t>
  </si>
  <si>
    <t>{"coordinates":[5.448697838605443,51.441253488884236],"type":"Point"}</t>
  </si>
  <si>
    <t>51.441253488884236, 5.448697838605443</t>
  </si>
  <si>
    <t>51.441253807429035, 5.448699129796855</t>
  </si>
  <si>
    <t>Beukenlaan LED 352</t>
  </si>
  <si>
    <t>LED 352</t>
  </si>
  <si>
    <t>{"coordinates":[5.448791888733714,51.44124211337957],"type":"Point"}</t>
  </si>
  <si>
    <t>51.44124211337957, 5.448791888733714</t>
  </si>
  <si>
    <t>51.44124243194756, 5.448793179600231</t>
  </si>
  <si>
    <t>Beukenlaan LED 355</t>
  </si>
  <si>
    <t>LED 355</t>
  </si>
  <si>
    <t>{"coordinates":[5.448837766167104,51.44123867337469],"type":"Point"}</t>
  </si>
  <si>
    <t>51.44123867337469, 5.448837766167104</t>
  </si>
  <si>
    <t>51.44123899195576, 5.448839056888645</t>
  </si>
  <si>
    <t>Beukenlaan LED 361</t>
  </si>
  <si>
    <t>LED 361</t>
  </si>
  <si>
    <t>{"coordinates":[5.448919596564534,51.441231708692364],"type":"Point"}</t>
  </si>
  <si>
    <t>51.441231708692364, 5.448919596564534</t>
  </si>
  <si>
    <t>51.441232027296024, 5.448920887022105</t>
  </si>
  <si>
    <t>Beukenlaan LED 363</t>
  </si>
  <si>
    <t>LED 363</t>
  </si>
  <si>
    <t>{"coordinates":[5.4489556883759835,51.44122449859335],"type":"Point"}</t>
  </si>
  <si>
    <t>51.44122449859335, 5.4489556883759835</t>
  </si>
  <si>
    <t>51.44122481720355, 5.448956978690693</t>
  </si>
  <si>
    <t>Beukenlaan LED 365</t>
  </si>
  <si>
    <t>LED 365</t>
  </si>
  <si>
    <t>{"coordinates":[5.449065016586575,51.44113068864778],"type":"Point"}</t>
  </si>
  <si>
    <t>51.44113068864778, 5.449065016586575</t>
  </si>
  <si>
    <t>51.441131007218175, 5.449066306009038</t>
  </si>
  <si>
    <t>Beukenlaan LED 366</t>
  </si>
  <si>
    <t>LED 366</t>
  </si>
  <si>
    <t>{"coordinates":[5.449069312135145,51.44111639437669],"type":"Point"}</t>
  </si>
  <si>
    <t>51.44111639437669, 5.449069312135145</t>
  </si>
  <si>
    <t>51.44111671293674, 5.449070601454852</t>
  </si>
  <si>
    <t>Beukenlaan LED 367</t>
  </si>
  <si>
    <t>LED 367</t>
  </si>
  <si>
    <t>{"coordinates":[5.449073469941235,51.44110659451381],"type":"Point"}</t>
  </si>
  <si>
    <t>51.44110659451381, 5.449073469941235</t>
  </si>
  <si>
    <t>51.44110691306719, 5.449074759187172</t>
  </si>
  <si>
    <t>Beukenlaan LED 373</t>
  </si>
  <si>
    <t>LED 373</t>
  </si>
  <si>
    <t>{"coordinates":[5.449107770459328,51.441051295935125],"type":"Point"}</t>
  </si>
  <si>
    <t>51.441051295935125, 5.449107770459328</t>
  </si>
  <si>
    <t>51.44105161445458, 5.449109059260099</t>
  </si>
  <si>
    <t>Beukenlaan LED 375</t>
  </si>
  <si>
    <t>LED 375</t>
  </si>
  <si>
    <t>{"coordinates":[5.449123422478426,51.441032501280034],"type":"Point"}</t>
  </si>
  <si>
    <t>51.441032501280034, 5.449123422478426</t>
  </si>
  <si>
    <t>51.44103281978934, 5.449124711117173</t>
  </si>
  <si>
    <t>Beukenlaan LED 376</t>
  </si>
  <si>
    <t>LED 376</t>
  </si>
  <si>
    <t>{"coordinates":[5.4491318963894875,51.441023597983474],"type":"Point"}</t>
  </si>
  <si>
    <t>51.441023597983474, 5.4491318963894875</t>
  </si>
  <si>
    <t>51.44102391648832, 5.4491331849486375</t>
  </si>
  <si>
    <t>Beukenlaan LED 377</t>
  </si>
  <si>
    <t>LED 377</t>
  </si>
  <si>
    <t>{"coordinates":[5.449139078264757,51.441016493108606],"type":"Point"}</t>
  </si>
  <si>
    <t>51.441016493108606, 5.449139078264757</t>
  </si>
  <si>
    <t>51.44101681161005, 5.44914036675926</t>
  </si>
  <si>
    <t>Beukenlaan LED 378</t>
  </si>
  <si>
    <t>LED 378</t>
  </si>
  <si>
    <t>{"coordinates":[5.4491448204950474,51.44100840024644],"type":"Point"}</t>
  </si>
  <si>
    <t>51.44100840024644, 5.4491448204950474</t>
  </si>
  <si>
    <t>51.441008718743205, 5.449146108922477</t>
  </si>
  <si>
    <t>Beukenlaan LED 382</t>
  </si>
  <si>
    <t>LED 382</t>
  </si>
  <si>
    <t>{"coordinates":[5.449181882663525,51.440974493209666],"type":"Point"}</t>
  </si>
  <si>
    <t>51.440974493209666, 5.449181882663525</t>
  </si>
  <si>
    <t>51.44097481169119, 5.449183170774897</t>
  </si>
  <si>
    <t>Beukenlaan LED 384</t>
  </si>
  <si>
    <t>LED 384</t>
  </si>
  <si>
    <t>{"coordinates":[5.44920171191965,51.44096028053907],"type":"Point"}</t>
  </si>
  <si>
    <t>51.44096028053907, 5.44920171191965</t>
  </si>
  <si>
    <t>51.44096059901564, 5.449202999887034</t>
  </si>
  <si>
    <t>Beukenlaan LED 394</t>
  </si>
  <si>
    <t>LED 394</t>
  </si>
  <si>
    <t>{"coordinates":[5.449319415720959,51.440891903824046],"type":"Point"}</t>
  </si>
  <si>
    <t>51.440891903824046, 5.449319415720959</t>
  </si>
  <si>
    <t>51.44089222228467, 5.449320702935611</t>
  </si>
  <si>
    <t>Beukenlaan LED 396</t>
  </si>
  <si>
    <t>LED 396</t>
  </si>
  <si>
    <t>{"coordinates":[5.449345866448219,51.44088164260633],"type":"Point"}</t>
  </si>
  <si>
    <t>51.44088164260633, 5.449345866448219</t>
  </si>
  <si>
    <t>51.440881961067575, 5.449347153526296</t>
  </si>
  <si>
    <t>Beukenlaan LED 399</t>
  </si>
  <si>
    <t>LED 399</t>
  </si>
  <si>
    <t>{"coordinates":[5.449385689162296,51.440868318084156],"type":"Point"}</t>
  </si>
  <si>
    <t>51.440868318084156, 5.449385689162296</t>
  </si>
  <si>
    <t>51.440868636548124, 5.44938697604826</t>
  </si>
  <si>
    <t>Beukenlaan LED 402</t>
  </si>
  <si>
    <t>LED 402</t>
  </si>
  <si>
    <t>{"coordinates":[5.44942853215288,51.44085490204544],"type":"Point"}</t>
  </si>
  <si>
    <t>51.44085490204544, 5.44942853215288</t>
  </si>
  <si>
    <t>51.440855220513086, 5.449429818838123</t>
  </si>
  <si>
    <t>Beukenlaan LED 403</t>
  </si>
  <si>
    <t>LED 403</t>
  </si>
  <si>
    <t>{"coordinates":[5.449444204681793,51.440851298188974],"type":"Point"}</t>
  </si>
  <si>
    <t>51.440851298188974, 5.449444204681793</t>
  </si>
  <si>
    <t>51.44085161665902, 5.449445491301869</t>
  </si>
  <si>
    <t>Beukenlaan LED 405</t>
  </si>
  <si>
    <t>LED 405</t>
  </si>
  <si>
    <t>{"coordinates":[5.449471375118294,51.44084148599097],"type":"Point"}</t>
  </si>
  <si>
    <t>51.44084148599097, 5.449471375118294</t>
  </si>
  <si>
    <t>51.4408418044623, 5.44947266160275</t>
  </si>
  <si>
    <t>Beukenlaan LED 409</t>
  </si>
  <si>
    <t>LED 409</t>
  </si>
  <si>
    <t>{"coordinates":[5.4495212523330725,51.440818268500216],"type":"Point"}</t>
  </si>
  <si>
    <t>51.440818268500216, 5.4495212523330725</t>
  </si>
  <si>
    <t>51.440818586969506, 5.449522538535184</t>
  </si>
  <si>
    <t>Beukenlaan LED 410</t>
  </si>
  <si>
    <t>LED 410</t>
  </si>
  <si>
    <t>{"coordinates":[5.449534043465798,51.440811160594464],"type":"Point"}</t>
  </si>
  <si>
    <t>51.440811160594464, 5.449534043465798</t>
  </si>
  <si>
    <t>51.44081147906226, 5.4495353295881275</t>
  </si>
  <si>
    <t>Beukenlaan LED 411</t>
  </si>
  <si>
    <t>LED 411</t>
  </si>
  <si>
    <t>{"coordinates":[5.449545537551634,51.44080216576196],"type":"Point"}</t>
  </si>
  <si>
    <t>51.44080216576196, 5.449545537551634</t>
  </si>
  <si>
    <t>51.44080248422629, 5.449546823585659</t>
  </si>
  <si>
    <t>Beukenlaan LED 412</t>
  </si>
  <si>
    <t>LED 412</t>
  </si>
  <si>
    <t>{"coordinates":[5.449555450860477,51.44079416053047],"type":"Point"}</t>
  </si>
  <si>
    <t>51.44079416053047, 5.449555450860477</t>
  </si>
  <si>
    <t>51.44079447899085, 5.4495567368157145</t>
  </si>
  <si>
    <t>Beukenlaan LED 414</t>
  </si>
  <si>
    <t>LED 414</t>
  </si>
  <si>
    <t>{"coordinates":[5.449574266612549,51.440775184348276],"type":"Point"}</t>
  </si>
  <si>
    <t>51.440775184348276, 5.449574266612549</t>
  </si>
  <si>
    <t>51.44077550279565, 5.449575552391066</t>
  </si>
  <si>
    <t>Beukenlaan LED 082</t>
  </si>
  <si>
    <t>LED 082</t>
  </si>
  <si>
    <t>{"coordinates":[5.45012208351225,51.440962303092626],"type":"Point"}</t>
  </si>
  <si>
    <t>51.440962303092626, 5.45012208351225</t>
  </si>
  <si>
    <t>51.44096262177864, 5.450123368868687</t>
  </si>
  <si>
    <t>Beukenlaan LED 079</t>
  </si>
  <si>
    <t>LED 079</t>
  </si>
  <si>
    <t>{"coordinates":[5.450091275287156,51.440941555924745],"type":"Point"}</t>
  </si>
  <si>
    <t>51.440941555924745, 5.450091275287156</t>
  </si>
  <si>
    <t>51.440941874588574, 5.450092560602223</t>
  </si>
  <si>
    <t>Beukenlaan LED 078</t>
  </si>
  <si>
    <t>LED 078</t>
  </si>
  <si>
    <t>{"coordinates":[5.450079470213604,51.44093356238997],"type":"Point"}</t>
  </si>
  <si>
    <t>51.44093356238997, 5.450079470213604</t>
  </si>
  <si>
    <t>51.440933881045275, 5.450080755512537</t>
  </si>
  <si>
    <t>Beukenlaan LED 073</t>
  </si>
  <si>
    <t>LED 073</t>
  </si>
  <si>
    <t>{"coordinates":[5.45002994225148,51.44089691537679],"type":"Point"}</t>
  </si>
  <si>
    <t>51.44089691537679, 5.45002994225148</t>
  </si>
  <si>
    <t>51.44089723399374, 5.4500312274627785</t>
  </si>
  <si>
    <t>Beukenlaan LED 070</t>
  </si>
  <si>
    <t>LED 070</t>
  </si>
  <si>
    <t>{"coordinates":[5.450015798204539,51.44086150765444],"type":"Point"}</t>
  </si>
  <si>
    <t>51.44086150765444, 5.450015798204539</t>
  </si>
  <si>
    <t>51.44086182623952, 5.450017083231668</t>
  </si>
  <si>
    <t>Beukenlaan LED 068</t>
  </si>
  <si>
    <t>LED 068</t>
  </si>
  <si>
    <t>{"coordinates":[5.450020231200007,51.44084280882635],"type":"Point"}</t>
  </si>
  <si>
    <t>51.44084280882635, 5.450020231200007</t>
  </si>
  <si>
    <t>51.44084312739633, 5.450021516094762</t>
  </si>
  <si>
    <t>Beukenlaan LED 423</t>
  </si>
  <si>
    <t>LED 423</t>
  </si>
  <si>
    <t>{"coordinates":[5.449629233642778,51.440687695095676],"type":"Point"}</t>
  </si>
  <si>
    <t>51.440687695095676, 5.449629233642778</t>
  </si>
  <si>
    <t>51.44068801348092, 5.449630518751859</t>
  </si>
  <si>
    <t>Beukenlaan LED 415</t>
  </si>
  <si>
    <t>LED 415</t>
  </si>
  <si>
    <t>{"coordinates":[5.449583600418772,51.440764123278406],"type":"Point"}</t>
  </si>
  <si>
    <t>51.440764123278406, 5.449583600418772</t>
  </si>
  <si>
    <t>51.44076444171798, 5.44958488609906</t>
  </si>
  <si>
    <t>Grasdreef F010</t>
  </si>
  <si>
    <t>F010</t>
  </si>
  <si>
    <t>{"coordinates":[5.416573989387932,51.43485686810762],"type":"Point"}</t>
  </si>
  <si>
    <t>51.43485686810762, 5.416573989387932</t>
  </si>
  <si>
    <t>51.43485716682198, 5.416575309212912</t>
  </si>
  <si>
    <t>Grasdreef F006</t>
  </si>
  <si>
    <t>F006</t>
  </si>
  <si>
    <t>{"coordinates":[5.416633937947812,51.4348251228502],"type":"Point"}</t>
  </si>
  <si>
    <t>51.4348251228502, 5.416633937947812</t>
  </si>
  <si>
    <t>51.43482542158824, 5.416635257530994</t>
  </si>
  <si>
    <t>Grasdreef F001</t>
  </si>
  <si>
    <t>F001</t>
  </si>
  <si>
    <t>{"coordinates":[5.416707686761191,51.43478492468875],"type":"Point"}</t>
  </si>
  <si>
    <t>51.43478492468875, 5.416707686761191</t>
  </si>
  <si>
    <t>51.43478522345553, 5.416709006040906</t>
  </si>
  <si>
    <t>Luchthavenweg 053</t>
  </si>
  <si>
    <t>{"coordinates":[5.394778854474241,51.459568695218714],"type":"Point"}</t>
  </si>
  <si>
    <t>51.459568695218714, 5.394778854474241</t>
  </si>
  <si>
    <t>51.45956898070833, 5.394780297422391</t>
  </si>
  <si>
    <t>PARK MEERLAND 303</t>
  </si>
  <si>
    <t>{"coordinates":[5.403825423314857,51.44459890727454],"type":"Point"}</t>
  </si>
  <si>
    <t>51.44459890727454, 5.403825423314857</t>
  </si>
  <si>
    <t>51.44459919881837, 5.403826799326903</t>
  </si>
  <si>
    <t>PARK MEERLAND 314</t>
  </si>
  <si>
    <t>{"coordinates":[5.403897187797317,51.44456536911563],"type":"Point"}</t>
  </si>
  <si>
    <t>51.44456536911563, 5.403897187797317</t>
  </si>
  <si>
    <t>51.44456566071629, 5.403898563644569</t>
  </si>
  <si>
    <t>PARK MEERLAND 801</t>
  </si>
  <si>
    <t>{"coordinates":[5.3981146762349566,51.44231728126595],"type":"Point"}</t>
  </si>
  <si>
    <t>51.44231728126595, 5.3981146762349566</t>
  </si>
  <si>
    <t>51.44231756661082, 5.39811603889026</t>
  </si>
  <si>
    <t>PARK MEERLAND 802</t>
  </si>
  <si>
    <t>{"coordinates":[5.398103304061653,51.44227818163155],"type":"Point"}</t>
  </si>
  <si>
    <t>51.44227818163155, 5.398103304061653</t>
  </si>
  <si>
    <t>51.44227846695469, 5.398104666511795</t>
  </si>
  <si>
    <t>PARK MEERLAND 806</t>
  </si>
  <si>
    <t>{"coordinates":[5.398046050994754,51.44224753572898],"type":"Point"}</t>
  </si>
  <si>
    <t>51.44224753572898, 5.398046050994754</t>
  </si>
  <si>
    <t>51.4422478209907, 5.398047413248435</t>
  </si>
  <si>
    <t>PARK MEERLAND 601</t>
  </si>
  <si>
    <t>{"coordinates":[5.405961795322412,51.439795930751814],"type":"Point"}</t>
  </si>
  <si>
    <t>51.439795930751814, 5.405961795322412</t>
  </si>
  <si>
    <t>51.439796222760975, 5.405963146588565</t>
  </si>
  <si>
    <t>PARK MEERLAND 602</t>
  </si>
  <si>
    <t>{"coordinates":[5.405928870479686,51.43982353135315],"type":"Point"}</t>
  </si>
  <si>
    <t>51.43982353135315, 5.405928870479686</t>
  </si>
  <si>
    <t>51.439823823334144, 5.405930221883007</t>
  </si>
  <si>
    <t>PARK MEERLAND 606</t>
  </si>
  <si>
    <t>{"coordinates":[5.405913177693182,51.43978506237554],"type":"Point"}</t>
  </si>
  <si>
    <t>51.43978506237554, 5.405913177693182</t>
  </si>
  <si>
    <t>51.439785354339655, 5.405914528904581</t>
  </si>
  <si>
    <t>PARK MEERLAND 607</t>
  </si>
  <si>
    <t>{"coordinates":[5.405885849920648,51.4397829994238],"type":"Point"}</t>
  </si>
  <si>
    <t>51.4397829994238, 5.405885849920648</t>
  </si>
  <si>
    <t>51.439783291362886, 5.405887201121405</t>
  </si>
  <si>
    <t>PARK MEERLAND 706</t>
  </si>
  <si>
    <t>{"coordinates":[5.403427768457246,51.43951191491697],"type":"Point"}</t>
  </si>
  <si>
    <t>51.43951191491697, 5.403427768457246</t>
  </si>
  <si>
    <t>51.43951220461344, 5.403429118301047</t>
  </si>
  <si>
    <t>144 LED LENSOFLEX2 2</t>
  </si>
  <si>
    <t>Luchthavenweg 046</t>
  </si>
  <si>
    <t>2062-11-23</t>
  </si>
  <si>
    <t>{"coordinates":[5.392940292558716,51.458753263851456],"type":"Point"}</t>
  </si>
  <si>
    <t>51.458753263851456, 5.392940292558716</t>
  </si>
  <si>
    <t>51.45875354663725, 5.392941729351558</t>
  </si>
  <si>
    <t>Luchthavenweg 045</t>
  </si>
  <si>
    <t>{"coordinates":[5.392698830871985,51.458525630172886],"type":"Point"}</t>
  </si>
  <si>
    <t>51.458525630172886, 5.392698830871985</t>
  </si>
  <si>
    <t>51.45852591256511, 5.392700266355386</t>
  </si>
  <si>
    <t>PARK MEERLAND 713</t>
  </si>
  <si>
    <t>{"coordinates":[5.403302635514285,51.43949737088967],"type":"Point"}</t>
  </si>
  <si>
    <t>51.43949737088967, 5.403302635514285</t>
  </si>
  <si>
    <t>51.439497660472725, 5.403303985286672</t>
  </si>
  <si>
    <t>PARK MEERLAND 711</t>
  </si>
  <si>
    <t>{"coordinates":[5.4033893788400675,51.43954490878124],"type":"Point"}</t>
  </si>
  <si>
    <t>51.43954490878124, 5.4033893788400675</t>
  </si>
  <si>
    <t>51.43954519844389, 5.403390728845085</t>
  </si>
  <si>
    <t>PARK MEERLAND 712</t>
  </si>
  <si>
    <t>{"coordinates":[5.403345503814322,51.439521274744536],"type":"Point"}</t>
  </si>
  <si>
    <t>51.439521274744536, 5.403345503814322</t>
  </si>
  <si>
    <t>51.4395215643669, 5.403346853703646</t>
  </si>
  <si>
    <t>PARK MEERLAND 714</t>
  </si>
  <si>
    <t>{"coordinates":[5.403259336194654,51.43947463560727],"type":"Point"}</t>
  </si>
  <si>
    <t>51.43947463560727, 5.403259336194654</t>
  </si>
  <si>
    <t>51.43947492515072, 5.403260685855851</t>
  </si>
  <si>
    <t>Meerplein GS002</t>
  </si>
  <si>
    <t>GS002</t>
  </si>
  <si>
    <t>{"coordinates":[5.409251841493935,51.442235502869636],"type":"Point"}</t>
  </si>
  <si>
    <t>51.442235502869636, 5.409251841493935</t>
  </si>
  <si>
    <t>51.44223579843231, 5.409253204733556</t>
  </si>
  <si>
    <t>Meerplein GS003</t>
  </si>
  <si>
    <t>GS003</t>
  </si>
  <si>
    <t>{"coordinates":[5.409237751633801,51.44224764026915],"type":"Point"}</t>
  </si>
  <si>
    <t>51.44224764026915, 5.409237751633801</t>
  </si>
  <si>
    <t>51.442247935825876, 5.4092391149469705</t>
  </si>
  <si>
    <t>Meerplein GS004</t>
  </si>
  <si>
    <t>GS004</t>
  </si>
  <si>
    <t>{"coordinates":[5.409260334536098,51.44224970334593],"type":"Point"}</t>
  </si>
  <si>
    <t>51.44224970334593, 5.409260334536098</t>
  </si>
  <si>
    <t>51.442249998921284, 5.409261697847477</t>
  </si>
  <si>
    <t>Meerplein GS005</t>
  </si>
  <si>
    <t>GS005</t>
  </si>
  <si>
    <t>{"coordinates":[5.4092868351181655,51.44232250651056],"type":"Point"}</t>
  </si>
  <si>
    <t>51.44232250651056, 5.4092868351181655</t>
  </si>
  <si>
    <t>51.44232280213785, 5.409288198807297</t>
  </si>
  <si>
    <t>Meerplein GS006</t>
  </si>
  <si>
    <t>GS006</t>
  </si>
  <si>
    <t>{"coordinates":[5.409310860441739,51.44233292876547],"type":"Point"}</t>
  </si>
  <si>
    <t>51.44233292876547, 5.409310860441739</t>
  </si>
  <si>
    <t>51.44233322441619, 5.4093122241734575</t>
  </si>
  <si>
    <t>Meerplein GS010</t>
  </si>
  <si>
    <t>GS010</t>
  </si>
  <si>
    <t>{"coordinates":[5.409199254811425,51.44235290495917],"type":"Point"}</t>
  </si>
  <si>
    <t>51.44235290495917, 5.409199254811425</t>
  </si>
  <si>
    <t>51.44235320053019, 5.409200618714218</t>
  </si>
  <si>
    <t>Meerplein GS011</t>
  </si>
  <si>
    <t>GS011</t>
  </si>
  <si>
    <t>{"coordinates":[5.409348982913284,51.44264321037702],"type":"Point"}</t>
  </si>
  <si>
    <t>51.44264321037702, 5.409348982913284</t>
  </si>
  <si>
    <t>51.44264350618971, 5.409350348298931</t>
  </si>
  <si>
    <t>Meerplein GS013</t>
  </si>
  <si>
    <t>GS013</t>
  </si>
  <si>
    <t>{"coordinates":[5.409570644970748,51.44266824598924],"type":"Point"}</t>
  </si>
  <si>
    <t>51.44266824598924, 5.409570644970748</t>
  </si>
  <si>
    <t>51.442668541987665, 5.409572010369801</t>
  </si>
  <si>
    <t>Zandoever 001</t>
  </si>
  <si>
    <t>{"coordinates":[5.4130099011726385,51.44855429773758],"type":"Point"}</t>
  </si>
  <si>
    <t>51.44855429773758, 5.4130099011726385</t>
  </si>
  <si>
    <t>51.448554598979975, 5.413011297613142</t>
  </si>
  <si>
    <t>Luchthavenweg 038</t>
  </si>
  <si>
    <t>{"coordinates":[5.39317630134738,51.45723419974857],"type":"Point"}</t>
  </si>
  <si>
    <t>51.45723419974857, 5.39317630134738</t>
  </si>
  <si>
    <t>51.45723448230961, 5.393177731854624</t>
  </si>
  <si>
    <t>Luchthavenweg 039</t>
  </si>
  <si>
    <t>{"coordinates":[5.39315455117402,51.45740311052378],"type":"Point"}</t>
  </si>
  <si>
    <t>51.45740311052378, 5.39315455117402</t>
  </si>
  <si>
    <t>51.4574033930726, 5.393155982467601</t>
  </si>
  <si>
    <t>Luchthavenweg 047</t>
  </si>
  <si>
    <t>{"coordinates":[5.393202178696459,51.45886210266595],"type":"Point"}</t>
  </si>
  <si>
    <t>51.45886210266595, 5.393202178696459</t>
  </si>
  <si>
    <t>51.45886238582894, 5.393203616324379</t>
  </si>
  <si>
    <t>maskerdooshof 006</t>
  </si>
  <si>
    <t>{"coordinates":[5.445630594806081,51.45166916021093],"type":"Point"}</t>
  </si>
  <si>
    <t>51.45166916021093, 5.445630594806081</t>
  </si>
  <si>
    <t>51.451669486626926, 5.445631960668759</t>
  </si>
  <si>
    <t>Pixelhof 009</t>
  </si>
  <si>
    <t>{"coordinates":[5.446280490714163,51.45082839177875],"type":"Point"}</t>
  </si>
  <si>
    <t>51.45082839177875, 5.446280490714163</t>
  </si>
  <si>
    <t>51.45082871765507, 5.446281849462428</t>
  </si>
  <si>
    <t>Pixelhof 011</t>
  </si>
  <si>
    <t>{"coordinates":[5.446425293832722,51.450889081459586],"type":"Point"}</t>
  </si>
  <si>
    <t>51.450889081459586, 5.446425293832722</t>
  </si>
  <si>
    <t>51.45088940746311, 5.44642665259747</t>
  </si>
  <si>
    <t>Pixelhof 012</t>
  </si>
  <si>
    <t>{"coordinates":[5.4466285369354495,51.45097419026275],"type":"Point"}</t>
  </si>
  <si>
    <t>51.45097419026275, 5.4466285369354495</t>
  </si>
  <si>
    <t>51.4509745164461, 5.446629895723197</t>
  </si>
  <si>
    <t>Pixelhof 016</t>
  </si>
  <si>
    <t>{"coordinates":[5.446283904729481,51.451020837312015],"type":"Point"}</t>
  </si>
  <si>
    <t>51.451020837312015, 5.446283904729481</t>
  </si>
  <si>
    <t>51.45102116338571, 5.446285264712397</t>
  </si>
  <si>
    <t>Pixelhof 017</t>
  </si>
  <si>
    <t>{"coordinates":[5.446140539183455,51.45095951752138],"type":"Point"}</t>
  </si>
  <si>
    <t>51.45095951752138, 5.446140539183455</t>
  </si>
  <si>
    <t>51.450959843467395, 5.446141899141974</t>
  </si>
  <si>
    <t>Elburglaan 202</t>
  </si>
  <si>
    <t>{"coordinates":[5.442332410850778,51.45094500697011],"type":"Point"}</t>
  </si>
  <si>
    <t>51.45094500697011, 5.442332410850778</t>
  </si>
  <si>
    <t>51.450945331180506, 5.442333780592526</t>
  </si>
  <si>
    <t>Elburglaan 203</t>
  </si>
  <si>
    <t>{"coordinates":[5.442563690927747,51.45118311639671],"type":"Point"}</t>
  </si>
  <si>
    <t>51.45118311639671, 5.442563690927747</t>
  </si>
  <si>
    <t>51.4511834409146, 5.4425650616004955</t>
  </si>
  <si>
    <t>Elburglaan 204</t>
  </si>
  <si>
    <t>{"coordinates":[5.442746325661036,51.4513617238883],"type":"Point"}</t>
  </si>
  <si>
    <t>51.4513617238883, 5.442746325661036</t>
  </si>
  <si>
    <t>51.45136204864428, 5.4427476970091035</t>
  </si>
  <si>
    <t>Elburglaan 205</t>
  </si>
  <si>
    <t>{"coordinates":[5.443018414860217,51.45164402273057],"type":"Point"}</t>
  </si>
  <si>
    <t>51.45164402273057, 5.443018414860217</t>
  </si>
  <si>
    <t>51.45164434786079, 5.443019787319709</t>
  </si>
  <si>
    <t>Meerring 005</t>
  </si>
  <si>
    <t>{"coordinates":[5.40812547321127,51.44128227004142],"type":"Point"}</t>
  </si>
  <si>
    <t>51.44128227004142, 5.40812547321127</t>
  </si>
  <si>
    <t>51.441282564311344, 5.408126832010281</t>
  </si>
  <si>
    <t>Meerring 007</t>
  </si>
  <si>
    <t>{"coordinates":[5.407874623471239,51.44146621994605],"type":"Point"}</t>
  </si>
  <si>
    <t>51.44146621994605, 5.407874623471239</t>
  </si>
  <si>
    <t>51.441466514094145, 5.407875983394414</t>
  </si>
  <si>
    <t>Obstivision LED unit</t>
  </si>
  <si>
    <t>SON-T 400W</t>
  </si>
  <si>
    <t>Zandkasteel 139</t>
  </si>
  <si>
    <t>{"coordinates":[5.414015008611598,51.44868007199424],"type":"Point"}</t>
  </si>
  <si>
    <t>51.44868007199424, 5.414015008611598</t>
  </si>
  <si>
    <t>51.448680374095325, 5.414016405524062</t>
  </si>
  <si>
    <t>Zandkasteel 143</t>
  </si>
  <si>
    <t>{"coordinates":[5.414077214838316,51.44878428114525],"type":"Point"}</t>
  </si>
  <si>
    <t>51.44878428114525, 5.414077214838316</t>
  </si>
  <si>
    <t>51.448784583340824, 5.414078612325421</t>
  </si>
  <si>
    <t>Zandkasteel 146</t>
  </si>
  <si>
    <t>{"coordinates":[5.4141220572204425,51.448862597957344],"type":"Point"}</t>
  </si>
  <si>
    <t>51.448862597957344, 5.4141220572204425</t>
  </si>
  <si>
    <t>51.4488629002224, 5.414123455140289</t>
  </si>
  <si>
    <t>Zandkasteel 150</t>
  </si>
  <si>
    <t>{"coordinates":[5.414183760617634,51.448967094804914],"type":"Point"}</t>
  </si>
  <si>
    <t>51.448967094804914, 5.414183760617634</t>
  </si>
  <si>
    <t>51.4489673971642, 5.414185159115059</t>
  </si>
  <si>
    <t>Zandkasteel 154</t>
  </si>
  <si>
    <t>{"coordinates":[5.414240112567146,51.44907106253989],"type":"Point"}</t>
  </si>
  <si>
    <t>51.44907106253989, 5.414240112567146</t>
  </si>
  <si>
    <t>51.449071364988896, 5.414241511640983</t>
  </si>
  <si>
    <t>Zandkasteel 155</t>
  </si>
  <si>
    <t>{"coordinates":[5.414256038511962,51.44909733268716],"type":"Point"}</t>
  </si>
  <si>
    <t>51.44909733268716, 5.414256038511962</t>
  </si>
  <si>
    <t>51.449097635160776, 5.414257437731</t>
  </si>
  <si>
    <t>Zandkasteel 156</t>
  </si>
  <si>
    <t>{"coordinates":[5.414271647999497,51.449123611890876],"type":"Point"}</t>
  </si>
  <si>
    <t>51.449123611890876, 5.414271647999497</t>
  </si>
  <si>
    <t>51.44912391439295, 5.414273047362851</t>
  </si>
  <si>
    <t>Zandkasteel 161</t>
  </si>
  <si>
    <t>{"coordinates":[5.414063106862217,51.4486444477226],"type":"Point"}</t>
  </si>
  <si>
    <t>51.4486444477226, 5.414063106862217</t>
  </si>
  <si>
    <t>51.44864474984699, 5.414064503562228</t>
  </si>
  <si>
    <t>Zandkasteel 163</t>
  </si>
  <si>
    <t>{"coordinates":[5.414094324829181,51.4486961702445],"type":"Point"}</t>
  </si>
  <si>
    <t>51.4486961702445, 5.414094324829181</t>
  </si>
  <si>
    <t>51.4486964724161, 5.414095721814348</t>
  </si>
  <si>
    <t>Zandkasteel 164</t>
  </si>
  <si>
    <t>{"coordinates":[5.414109833186247,51.44872210792943],"type":"Point"}</t>
  </si>
  <si>
    <t>51.44872210792943, 5.414109833186247</t>
  </si>
  <si>
    <t>51.448722410124525, 5.414111230314502</t>
  </si>
  <si>
    <t>Zandkasteel 168</t>
  </si>
  <si>
    <t>{"coordinates":[5.4141701555797175,51.44882697364198],"type":"Point"}</t>
  </si>
  <si>
    <t>51.44882697364198, 5.4141701555797175</t>
  </si>
  <si>
    <t>51.448827275930334, 5.414171553287426</t>
  </si>
  <si>
    <t>Zandkasteel 170</t>
  </si>
  <si>
    <t>{"coordinates":[5.41420078413198,51.4488789389664],"type":"Point"}</t>
  </si>
  <si>
    <t>51.4488789389664, 5.41420078413198</t>
  </si>
  <si>
    <t>51.448879241301576, 5.414202182126912</t>
  </si>
  <si>
    <t>Zandkasteel 171</t>
  </si>
  <si>
    <t>{"coordinates":[5.414215933165982,51.44890520031286],"type":"Point"}</t>
  </si>
  <si>
    <t>51.44890520031286, 5.414215933165982</t>
  </si>
  <si>
    <t>51.448905502671444, 5.414217331306188</t>
  </si>
  <si>
    <t>Zandkasteel 172</t>
  </si>
  <si>
    <t>{"coordinates":[5.414231859038819,51.4489314704643],"type":"Point"}</t>
  </si>
  <si>
    <t>51.4489314704643, 5.414231859038819</t>
  </si>
  <si>
    <t>51.448931772846905, 5.4142332573242555</t>
  </si>
  <si>
    <t>Zandkasteel 173</t>
  </si>
  <si>
    <t>{"coordinates":[5.4142437708991045,51.448956932572756],"type":"Point"}</t>
  </si>
  <si>
    <t>51.448956932572756, 5.4142437708991045</t>
  </si>
  <si>
    <t>51.44895723497582, 5.4142451693261</t>
  </si>
  <si>
    <t>Zandkasteel 176</t>
  </si>
  <si>
    <t>{"coordinates":[5.414288211053913,51.4490354381763],"type":"Point"}</t>
  </si>
  <si>
    <t>51.4490354381763, 5.414288211053913</t>
  </si>
  <si>
    <t>51.449035740648625, 5.414289609915866</t>
  </si>
  <si>
    <t>Zandkasteel 178</t>
  </si>
  <si>
    <t>{"coordinates":[5.414319746515548,51.44908798751963],"type":"Point"}</t>
  </si>
  <si>
    <t>51.44908798751963, 5.414319746515548</t>
  </si>
  <si>
    <t>51.44908829003981, 5.414321145668547</t>
  </si>
  <si>
    <t>Zandgolf 205</t>
  </si>
  <si>
    <t>{"coordinates":[5.410690840439024,51.451194620409076],"type":"Point"}</t>
  </si>
  <si>
    <t>51.451194620409076, 5.410690840439024</t>
  </si>
  <si>
    <t>51.45119492097248, 5.410692251994311</t>
  </si>
  <si>
    <t>Zandgolf 206</t>
  </si>
  <si>
    <t>{"coordinates":[5.410723779593821,51.45121239327851],"type":"Point"}</t>
  </si>
  <si>
    <t>51.45121239327851, 5.410723779593821</t>
  </si>
  <si>
    <t>51.4512126938792, 5.410725191242175</t>
  </si>
  <si>
    <t>Zandgolf 209</t>
  </si>
  <si>
    <t>{"coordinates":[5.410826108072441,51.451266915592825],"type":"Point"}</t>
  </si>
  <si>
    <t>51.451266915592825, 5.410826108072441</t>
  </si>
  <si>
    <t>51.45126721630948, 5.410827520006292</t>
  </si>
  <si>
    <t>Zandgolf 212</t>
  </si>
  <si>
    <t>{"coordinates":[5.410926092044167,51.451321833800215],"type":"Point"}</t>
  </si>
  <si>
    <t>51.451321833800215, 5.410926092044167</t>
  </si>
  <si>
    <t>51.45132213463138, 5.410927504266374</t>
  </si>
  <si>
    <t>Zandgolf 215</t>
  </si>
  <si>
    <t>{"coordinates":[5.41102682414995,51.45137638323144],"type":"Point"}</t>
  </si>
  <si>
    <t>51.45137638323144, 5.41102682414995</t>
  </si>
  <si>
    <t>51.45137668417821, 5.411028236658614</t>
  </si>
  <si>
    <t>Zandgolf 220</t>
  </si>
  <si>
    <t>{"coordinates":[5.410659719138074,51.45113084316814],"type":"Point"}</t>
  </si>
  <si>
    <t>51.45113084316814, 5.410659719138074</t>
  </si>
  <si>
    <t>51.45113114367529, 5.410661130345743</t>
  </si>
  <si>
    <t>Zandgolf 227</t>
  </si>
  <si>
    <t>{"coordinates":[5.410893028327654,51.4512583266822],"type":"Point"}</t>
  </si>
  <si>
    <t>51.4512583266822, 5.410893028327654</t>
  </si>
  <si>
    <t>51.45125862745471, 5.4108944402036</t>
  </si>
  <si>
    <t>Zandgolf 228</t>
  </si>
  <si>
    <t>{"coordinates":[5.410927133376521,51.45127703407571],"type":"Point"}</t>
  </si>
  <si>
    <t>51.45127703407571, 5.410927133376521</t>
  </si>
  <si>
    <t>51.45127733488725, 5.410928545350661</t>
  </si>
  <si>
    <t>Zandgolf 230</t>
  </si>
  <si>
    <t>{"coordinates":[5.410994364685975,51.451313280507875],"type":"Point"}</t>
  </si>
  <si>
    <t>51.451313280507875, 5.410994364685975</t>
  </si>
  <si>
    <t>51.45131358139633, 5.41099577685033</t>
  </si>
  <si>
    <t>Zandgolf 232</t>
  </si>
  <si>
    <t>{"coordinates":[5.4110623011785615,51.45134981439256],"type":"Point"}</t>
  </si>
  <si>
    <t>51.45134981439256, 5.4110623011785615</t>
  </si>
  <si>
    <t>51.451350115358785, 5.411063713534702</t>
  </si>
  <si>
    <t>Zandgolf 234</t>
  </si>
  <si>
    <t>{"coordinates":[5.411130683688136,51.451386222303476],"type":"Point"}</t>
  </si>
  <si>
    <t>51.451386222303476, 5.411130683688136</t>
  </si>
  <si>
    <t>51.451386523348155, 5.411132096235422</t>
  </si>
  <si>
    <t>Cellostraat 001</t>
  </si>
  <si>
    <t>2072-03-14</t>
  </si>
  <si>
    <t>{"coordinates":[5.52129019579665,51.43500866265306],"type":"Point"}</t>
  </si>
  <si>
    <t>51.43500866265306, 5.52129019579665</t>
  </si>
  <si>
    <t>51.43500899659943, 5.52129119941238</t>
  </si>
  <si>
    <t>Cellostraat 023</t>
  </si>
  <si>
    <t>{"coordinates":[5.5221475125599,51.43493054962879],"type":"Point"}</t>
  </si>
  <si>
    <t>51.43493054962879, 5.5221475125599</t>
  </si>
  <si>
    <t>51.434930883812264, 5.522148513042845</t>
  </si>
  <si>
    <t>Houtblazersstraat 001</t>
  </si>
  <si>
    <t>{"coordinates":[5.520360485772225,51.434920921145405],"type":"Point"}</t>
  </si>
  <si>
    <t>51.434920921145405, 5.520360485772225</t>
  </si>
  <si>
    <t>51.43492125464334, 5.520361491994793</t>
  </si>
  <si>
    <t>Houtblazersstraat 003</t>
  </si>
  <si>
    <t>{"coordinates":[5.520259426493155,51.43454045595603],"type":"Point"}</t>
  </si>
  <si>
    <t>51.43454045595603, 5.520259426493155</t>
  </si>
  <si>
    <t>51.43454078899729, 5.520260431287212</t>
  </si>
  <si>
    <t>Houtblazersstraat 011</t>
  </si>
  <si>
    <t>{"coordinates":[5.521614591156296,51.433774592454434],"type":"Point"}</t>
  </si>
  <si>
    <t>51.433774592454434, 5.521614591156296</t>
  </si>
  <si>
    <t>51.43377492514026, 5.521615588079246</t>
  </si>
  <si>
    <t>Hobostraat 001</t>
  </si>
  <si>
    <t>{"coordinates":[5.522160781647068,51.43474923259063],"type":"Point"}</t>
  </si>
  <si>
    <t>51.43474923259063, 5.522160781647068</t>
  </si>
  <si>
    <t>51.434749566574396, 5.522161781261183</t>
  </si>
  <si>
    <t>Hobostraat 002</t>
  </si>
  <si>
    <t>{"coordinates":[5.5220825438290895,51.43455319023471],"type":"Point"}</t>
  </si>
  <si>
    <t>51.43455319023471, 5.5220825438290895</t>
  </si>
  <si>
    <t>51.43455352396784, 5.522083542802555</t>
  </si>
  <si>
    <t>Hobostraat 003</t>
  </si>
  <si>
    <t>{"coordinates":[5.5220417488587294,51.43437463240707],"type":"Point"}</t>
  </si>
  <si>
    <t>51.43437463240707, 5.5220417488587294</t>
  </si>
  <si>
    <t>51.43437496592368, 5.522042747149806</t>
  </si>
  <si>
    <t>Hobostraat 004</t>
  </si>
  <si>
    <t>{"coordinates":[5.521988191165536,51.43415959529389],"type":"Point"}</t>
  </si>
  <si>
    <t>51.43415959529389, 5.521988191165536</t>
  </si>
  <si>
    <t>51.43415992854839, 5.52198918864842</t>
  </si>
  <si>
    <t>Hobostraat 006</t>
  </si>
  <si>
    <t>{"coordinates":[5.521904333950747,51.43381326858618],"type":"Point"}</t>
  </si>
  <si>
    <t>51.43381326858618, 5.521904333950747</t>
  </si>
  <si>
    <t>51.43381360142003, 5.521905330122843</t>
  </si>
  <si>
    <t>5404 SCHIMMELT WEST (BOSCHD.) 014</t>
  </si>
  <si>
    <t>{"coordinates":[5.4746455542829535,51.44332908429201],"type":"Point"}</t>
  </si>
  <si>
    <t>51.44332908429201, 5.4746455542829535</t>
  </si>
  <si>
    <t>51.44332941224726, 5.474646772132053</t>
  </si>
  <si>
    <t>Vrijstraat 002</t>
  </si>
  <si>
    <t>{"coordinates":[5.476912655121752,51.43908084163005],"type":"Point"}</t>
  </si>
  <si>
    <t>51.43908084163005, 5.476912655121752</t>
  </si>
  <si>
    <t>51.439081165652055, 5.476913838953122</t>
  </si>
  <si>
    <t>Stadhuisplein 037</t>
  </si>
  <si>
    <t>{"coordinates":[5.48025834399416,51.43573447330198],"type":"Point"}</t>
  </si>
  <si>
    <t>51.43573447330198, 5.48025834399416</t>
  </si>
  <si>
    <t>51.43573479512899, 5.480259496872334</t>
  </si>
  <si>
    <t>Stadhuisplein 041</t>
  </si>
  <si>
    <t>{"coordinates":[5.4800413775545085,51.43565231927225],"type":"Point"}</t>
  </si>
  <si>
    <t>51.43565231927225, 5.4800413775545085</t>
  </si>
  <si>
    <t>51.43565264096168, 5.480042530746569</t>
  </si>
  <si>
    <t>Stadhuisplein 043</t>
  </si>
  <si>
    <t>{"coordinates":[5.4798980120069904,51.43559674868454],"type":"Point"}</t>
  </si>
  <si>
    <t>51.43559674868454, 5.4798980120069904</t>
  </si>
  <si>
    <t>51.43559707028185, 5.4798991653989795</t>
  </si>
  <si>
    <t>Stadhuisplein 051</t>
  </si>
  <si>
    <t>{"coordinates":[5.48062669400304,51.43569226406219],"type":"Point"}</t>
  </si>
  <si>
    <t>51.43569226406219, 5.48062669400304</t>
  </si>
  <si>
    <t>51.43569258595312, 5.480627845326525</t>
  </si>
  <si>
    <t>Stadhuisplein 053</t>
  </si>
  <si>
    <t>{"coordinates":[5.480655748574489,51.435666245491475],"type":"Point"}</t>
  </si>
  <si>
    <t>51.435666245491475, 5.480655748574489</t>
  </si>
  <si>
    <t>51.43566656736624, 5.48065689964792</t>
  </si>
  <si>
    <t>Stadhuisplein 054</t>
  </si>
  <si>
    <t>{"coordinates":[5.480668693920283,51.43565324646229],"type":"Point"}</t>
  </si>
  <si>
    <t>51.43565324646229, 5.480668693920283</t>
  </si>
  <si>
    <t>51.43565356832852, 5.480669844874429</t>
  </si>
  <si>
    <t>Stadhuisplein 035</t>
  </si>
  <si>
    <t>{"coordinates":[5.480382358030655,51.435792476892516],"type":"Point"}</t>
  </si>
  <si>
    <t>51.435792476892516, 5.480382358030655</t>
  </si>
  <si>
    <t>51.43579279880852, 5.480383510791276</t>
  </si>
  <si>
    <t>Clausplein 001</t>
  </si>
  <si>
    <t>{"coordinates":[5.474514310165244,51.43866622015923],"type":"Point"}</t>
  </si>
  <si>
    <t>51.43866622015923, 5.474514310165244</t>
  </si>
  <si>
    <t>51.438666543134886, 5.47451550032998</t>
  </si>
  <si>
    <t>Clausplein 003</t>
  </si>
  <si>
    <t>{"coordinates":[5.474448371930666,51.43863103400622],"type":"Point"}</t>
  </si>
  <si>
    <t>51.43863103400622, 5.474448371930666</t>
  </si>
  <si>
    <t>51.438631356930635, 5.474449562134698</t>
  </si>
  <si>
    <t>Clausplein 004</t>
  </si>
  <si>
    <t>{"coordinates":[5.474406478631188,51.43860967235966],"type":"Point"}</t>
  </si>
  <si>
    <t>51.43860967235966, 5.474406478631188</t>
  </si>
  <si>
    <t>51.43860999525239, 5.474407668865833</t>
  </si>
  <si>
    <t>Clausplein 006</t>
  </si>
  <si>
    <t>{"coordinates":[5.474474355858087,51.43860593612905],"type":"Point"}</t>
  </si>
  <si>
    <t>51.43860593612905, 5.474474355858087</t>
  </si>
  <si>
    <t>51.43860625903723, 5.474475545824139</t>
  </si>
  <si>
    <t>Clausplein 007</t>
  </si>
  <si>
    <t>{"coordinates":[5.474554879478881,51.43859697693833],"type":"Point"}</t>
  </si>
  <si>
    <t>51.43859697693833, 5.474554879478881</t>
  </si>
  <si>
    <t>51.43859729986059, 5.474556069100631</t>
  </si>
  <si>
    <t>Clausplein 008</t>
  </si>
  <si>
    <t>{"coordinates":[5.474513273289891,51.43857534545437],"type":"Point"}</t>
  </si>
  <si>
    <t>51.43857534545437, 5.474513273289891</t>
  </si>
  <si>
    <t>51.43857566834483, 5.474514462939485</t>
  </si>
  <si>
    <t>Clausplein 009</t>
  </si>
  <si>
    <t>{"coordinates":[5.474548315553488,51.438548982351016],"type":"Point"}</t>
  </si>
  <si>
    <t>51.438548982351016, 5.474548315553488</t>
  </si>
  <si>
    <t>51.43854930522665, 5.474549504924968</t>
  </si>
  <si>
    <t>Lichtplein 032</t>
  </si>
  <si>
    <t>{"coordinates":[5.474664203894998,51.44012966124666],"type":"Point"}</t>
  </si>
  <si>
    <t>51.44012966124666, 5.474664203894998</t>
  </si>
  <si>
    <t>51.44012998562986, 5.474665401869096</t>
  </si>
  <si>
    <t>Stadhuisplein 066</t>
  </si>
  <si>
    <t>{"coordinates":[5.480944517636156,51.435459156918974],"type":"Point"}</t>
  </si>
  <si>
    <t>51.435459156918974, 5.480944517636156</t>
  </si>
  <si>
    <t>51.435459478681345, 5.480945666514682</t>
  </si>
  <si>
    <t>Hovenring 027</t>
  </si>
  <si>
    <t>{"coordinates":[5.419329538069054,51.433008333976275],"type":"Point"}</t>
  </si>
  <si>
    <t>51.433008333976275, 5.419329538069054</t>
  </si>
  <si>
    <t>51.43300863357312, 5.419330844643644</t>
  </si>
  <si>
    <t>Hovenring 025</t>
  </si>
  <si>
    <t>{"coordinates":[5.419278552677022,51.43371566709615],"type":"Point"}</t>
  </si>
  <si>
    <t>51.43371566709615, 5.419278552677022</t>
  </si>
  <si>
    <t>51.433715966934116, 5.419279863023616</t>
  </si>
  <si>
    <t>Lichtplein 070</t>
  </si>
  <si>
    <t>{"coordinates":[5.474278929551795,51.43908820793499],"type":"Point"}</t>
  </si>
  <si>
    <t>51.43908820793499, 5.474278929551795</t>
  </si>
  <si>
    <t>51.43908853123888, 5.474280122985762</t>
  </si>
  <si>
    <t>Lichtplein 071</t>
  </si>
  <si>
    <t>{"coordinates":[5.474289652769149,51.439107624433646],"type":"Point"}</t>
  </si>
  <si>
    <t>51.439107624433646, 5.474289652769149</t>
  </si>
  <si>
    <t>51.43910794775866, 5.474290846274951</t>
  </si>
  <si>
    <t>Lichtplein 074</t>
  </si>
  <si>
    <t>{"coordinates":[5.474318887308778,51.439165273879446],"type":"Point"}</t>
  </si>
  <si>
    <t>51.439165273879446, 5.474318887308778</t>
  </si>
  <si>
    <t>51.43916559726644, 5.47432008103717</t>
  </si>
  <si>
    <t>Lichtplein 078</t>
  </si>
  <si>
    <t>{"coordinates":[5.474359812295365,51.4392441547975],"type":"Point"}</t>
  </si>
  <si>
    <t>51.4392441547975, 5.474359812295365</t>
  </si>
  <si>
    <t>51.43924447826959, 5.474361006324874</t>
  </si>
  <si>
    <t>Lichtplein 079</t>
  </si>
  <si>
    <t>{"coordinates":[5.474370539053679,51.439265386997754],"type":"Point"}</t>
  </si>
  <si>
    <t>51.439265386997754, 5.474370539053679</t>
  </si>
  <si>
    <t>51.439265710492656, 5.474371733165322</t>
  </si>
  <si>
    <t>Ten Hagestraat 028</t>
  </si>
  <si>
    <t>{"coordinates":[5.481755140559928,51.437516215709046],"type":"Point"}</t>
  </si>
  <si>
    <t>51.437516215709046, 5.481755140559928</t>
  </si>
  <si>
    <t>51.43751653962211, 5.481756298062077</t>
  </si>
  <si>
    <t>Ten Hagestraat 031</t>
  </si>
  <si>
    <t>{"coordinates":[5.481420259889179,51.43741311747472],"type":"Point"}</t>
  </si>
  <si>
    <t>51.43741311747472, 5.481420259889179</t>
  </si>
  <si>
    <t>51.43741344119699, 5.481421418020328</t>
  </si>
  <si>
    <t>Ten Hagestraat 033</t>
  </si>
  <si>
    <t>{"coordinates":[5.481600037530606,51.43751919998368],"type":"Point"}</t>
  </si>
  <si>
    <t>51.43751919998368, 5.481600037530606</t>
  </si>
  <si>
    <t>51.43751952385575, 5.48160119560847</t>
  </si>
  <si>
    <t>Ten Hagestraat 034</t>
  </si>
  <si>
    <t>{"coordinates":[5.481350979610832,51.43757209328703],"type":"Point"}</t>
  </si>
  <si>
    <t>51.43757209328703, 5.481350979610832</t>
  </si>
  <si>
    <t>51.43757241713829, 5.481352138882844</t>
  </si>
  <si>
    <t>Ten Hagestraat 036</t>
  </si>
  <si>
    <t>{"coordinates":[5.481488673761444,51.43778144491689],"type":"Point"}</t>
  </si>
  <si>
    <t>51.43778144491689, 5.481488673761444</t>
  </si>
  <si>
    <t>51.43778176900251, 5.4814898337103735</t>
  </si>
  <si>
    <t>Stadhuisplein 113</t>
  </si>
  <si>
    <t>2017-01-07</t>
  </si>
  <si>
    <t>{"coordinates":[5.481492836234594,51.43525894974361],"type":"Point"}</t>
  </si>
  <si>
    <t>51.43525894974361, 5.481492836234594</t>
  </si>
  <si>
    <t>51.43525927147331, 5.48149398203208</t>
  </si>
  <si>
    <t>Stadhuisplein 123</t>
  </si>
  <si>
    <t>{"coordinates":[5.48167541676586,51.435312805671145],"type":"Point"}</t>
  </si>
  <si>
    <t>51.435312805671145, 5.48167541676586</t>
  </si>
  <si>
    <t>51.43531312750265, 5.4816765622132</t>
  </si>
  <si>
    <t>Stadhuisplein 118</t>
  </si>
  <si>
    <t>{"coordinates":[5.481563698798926,51.43540796950498],"type":"Point"}</t>
  </si>
  <si>
    <t>51.43540796950498, 5.481563698798926</t>
  </si>
  <si>
    <t>51.435408291393884, 5.481564845178394</t>
  </si>
  <si>
    <t>Stadhuisplein 121</t>
  </si>
  <si>
    <t>PLS 5 W/827/4P</t>
  </si>
  <si>
    <t>{"coordinates":[5.481789377054691,51.43541843792893],"type":"Point"}</t>
  </si>
  <si>
    <t>51.43541843792893, 5.481789377054691</t>
  </si>
  <si>
    <t>51.4354187598913, 5.481790522686628</t>
  </si>
  <si>
    <t>Stadhuisplein 115</t>
  </si>
  <si>
    <t>{"coordinates":[5.481485919131618,51.435439978280726],"type":"Point"}</t>
  </si>
  <si>
    <t>51.435439978280726, 5.481485919131618</t>
  </si>
  <si>
    <t>51.435440300177596, 5.481487065968288</t>
  </si>
  <si>
    <t>Stadhuisplein 117</t>
  </si>
  <si>
    <t>{"coordinates":[5.481579691280219,51.435491623130574],"type":"Point"}</t>
  </si>
  <si>
    <t>51.435491623130574, 5.481579691280219</t>
  </si>
  <si>
    <t>51.43549194510217, 5.481580838071225</t>
  </si>
  <si>
    <t>Luxeon K2 LED 15cd 5</t>
  </si>
  <si>
    <t>color temp</t>
  </si>
  <si>
    <t>&gt; 4000</t>
  </si>
  <si>
    <t>NATURE</t>
  </si>
  <si>
    <t xml:space="preserve">HUMANS </t>
  </si>
  <si>
    <t>EFFICIENCY</t>
  </si>
  <si>
    <t>pole_height</t>
  </si>
  <si>
    <t>&lt; 1</t>
  </si>
  <si>
    <t>&lt; 2</t>
  </si>
  <si>
    <t>&lt; 4.2</t>
  </si>
  <si>
    <t>&lt; 6</t>
  </si>
  <si>
    <t>&lt; 10</t>
  </si>
  <si>
    <t>&gt; 10</t>
  </si>
  <si>
    <t>lumen</t>
  </si>
  <si>
    <t>&gt; 50</t>
  </si>
  <si>
    <t>TYPE_LAMP (Alles zonder kleur temperatuur of 1000 K?)</t>
  </si>
  <si>
    <t>Kleurtemperatuur</t>
  </si>
  <si>
    <t>hier moet zwaailicht op. Groenaandeel in kleurtemperatuur is te hoog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</si>
</sst>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4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9" fontId="2" fillId="0" borderId="0" xfId="1" applyFont="1" applyAlignment="1">
      <alignment horizontal="center" vertical="center" wrapText="1"/>
    </xf>
    <xf numFmtId="9" fontId="0" fillId="0" borderId="0" xfId="1" applyFont="1"/>
    <xf numFmtId="0" fontId="0" fillId="3" borderId="6" xfId="0" applyFill="1" applyBorder="1"/>
    <xf numFmtId="0" fontId="0" fillId="4" borderId="6" xfId="0" applyFill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9" fontId="5" fillId="2" borderId="4" xfId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9" fontId="0" fillId="3" borderId="7" xfId="1" applyFont="1" applyFill="1" applyBorder="1"/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9" fontId="0" fillId="4" borderId="7" xfId="1" applyFont="1" applyFill="1" applyBorder="1"/>
    <xf numFmtId="0" fontId="0" fillId="4" borderId="8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0" fillId="4" borderId="9" xfId="0" applyFill="1" applyBorder="1"/>
    <xf numFmtId="9" fontId="0" fillId="4" borderId="10" xfId="1" applyFont="1" applyFill="1" applyBorder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6" fillId="5" borderId="0" xfId="0" applyFont="1" applyFill="1"/>
    <xf numFmtId="0" fontId="7" fillId="0" borderId="0" xfId="0" applyFont="1"/>
    <xf numFmtId="0" fontId="8" fillId="0" borderId="11" xfId="0" applyFont="1" applyBorder="1"/>
    <xf numFmtId="0" fontId="8" fillId="0" borderId="12" xfId="0" applyFont="1" applyBorder="1"/>
    <xf numFmtId="0" fontId="6" fillId="0" borderId="13" xfId="0" applyFont="1" applyBorder="1"/>
    <xf numFmtId="0" fontId="7" fillId="0" borderId="14" xfId="0" applyFont="1" applyBorder="1"/>
    <xf numFmtId="0" fontId="6" fillId="0" borderId="1" xfId="0" applyFont="1" applyBorder="1"/>
    <xf numFmtId="0" fontId="7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</cellXfs>
  <cellStyles count="2">
    <cellStyle name="Normal" xfId="0" builtinId="0"/>
    <cellStyle name="Percent" xfId="1" builtinId="5"/>
  </cellStyles>
  <dxfs count="11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Data_quality!$E$1</c:f>
              <c:strCache>
                <c:ptCount val="1"/>
                <c:pt idx="0">
                  <c:v>Percent Missing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Data_quality!$A$2:$A$45</c:f>
              <c:strCache>
                <c:ptCount val="44"/>
                <c:pt idx="0">
                  <c:v>straatnaam+identificatie_mast    A</c:v>
                </c:pt>
                <c:pt idx="1">
                  <c:v>OBJECTID                         B</c:v>
                </c:pt>
                <c:pt idx="2">
                  <c:v>STADSDEEL                        C</c:v>
                </c:pt>
                <c:pt idx="3">
                  <c:v>WIJK                              D</c:v>
                </c:pt>
                <c:pt idx="4">
                  <c:v>BUURT                             E</c:v>
                </c:pt>
                <c:pt idx="5">
                  <c:v>STRAATNAAM                        F</c:v>
                </c:pt>
                <c:pt idx="6">
                  <c:v>WEGVAK                            G</c:v>
                </c:pt>
                <c:pt idx="7">
                  <c:v>IDENTIFICATIE                     H</c:v>
                </c:pt>
                <c:pt idx="8">
                  <c:v>LOKATIE                           I</c:v>
                </c:pt>
                <c:pt idx="9">
                  <c:v>EIGENAAR                          J</c:v>
                </c:pt>
                <c:pt idx="10">
                  <c:v>X                                 K</c:v>
                </c:pt>
                <c:pt idx="11">
                  <c:v>Y                                 L</c:v>
                </c:pt>
                <c:pt idx="12">
                  <c:v>IDENTIFICATIE_LAMP                M</c:v>
                </c:pt>
                <c:pt idx="13">
                  <c:v>TYPE_LAMP                         N</c:v>
                </c:pt>
                <c:pt idx="14">
                  <c:v>DATUM_PLAATSING_LAMP              O</c:v>
                </c:pt>
                <c:pt idx="15">
                  <c:v>DATUM_ONDERHOUD_LAMP              P</c:v>
                </c:pt>
                <c:pt idx="16">
                  <c:v>SOORT_LAMP                        Q</c:v>
                </c:pt>
                <c:pt idx="17">
                  <c:v>KLEUR_LAMP                        R</c:v>
                </c:pt>
                <c:pt idx="18">
                  <c:v>WATTAGE_LAMP                      S</c:v>
                </c:pt>
                <c:pt idx="19">
                  <c:v>LUMEN_LAMP                        T</c:v>
                </c:pt>
                <c:pt idx="20">
                  <c:v>RA_WAARDE_LAMP                    U</c:v>
                </c:pt>
                <c:pt idx="21">
                  <c:v>FITTING_LAMP                      V</c:v>
                </c:pt>
                <c:pt idx="22">
                  <c:v>SCHAKELSCHEMA_LAMP                W</c:v>
                </c:pt>
                <c:pt idx="23">
                  <c:v>IDENTIFICATIE_ARMATUUR            X</c:v>
                </c:pt>
                <c:pt idx="24">
                  <c:v>TYPE_ARMATUUR                     Y</c:v>
                </c:pt>
                <c:pt idx="25">
                  <c:v>DATUM_PLAATSING_ARMATUUR          Z</c:v>
                </c:pt>
                <c:pt idx="26">
                  <c:v>DATUM_ONDERHOUD_ARMATUUR          AA</c:v>
                </c:pt>
                <c:pt idx="27">
                  <c:v>LPH_ARMATUUR                      AB</c:v>
                </c:pt>
                <c:pt idx="28">
                  <c:v>BRANDSTAND_ARMATUUR               AC</c:v>
                </c:pt>
                <c:pt idx="29">
                  <c:v>IDENTIFICATIE_DRAGER_MAST         AD</c:v>
                </c:pt>
                <c:pt idx="30">
                  <c:v>TYPE_DRAGER_MAST                  AE</c:v>
                </c:pt>
                <c:pt idx="31">
                  <c:v>DATUM_PLAATSING_DRAGER_MAST       AF</c:v>
                </c:pt>
                <c:pt idx="32">
                  <c:v>DATUM_ONDERHOUD_DRAGER_MAST       AG</c:v>
                </c:pt>
                <c:pt idx="33">
                  <c:v>IDENTIFICATIE_DRAGER_UITHOUDER    AH</c:v>
                </c:pt>
                <c:pt idx="34">
                  <c:v>TYPE_DRAGER_UITHOUDER             AI</c:v>
                </c:pt>
                <c:pt idx="35">
                  <c:v>DATUM_PLAATSING_DRAGER_UITHOUD    AJ</c:v>
                </c:pt>
                <c:pt idx="36">
                  <c:v>DATUM_ONDERHOUD_DRAGER_UITHOUD    AK</c:v>
                </c:pt>
                <c:pt idx="37">
                  <c:v>geo_shape                         AL</c:v>
                </c:pt>
                <c:pt idx="38">
                  <c:v>geo_point_2d                      AM</c:v>
                </c:pt>
                <c:pt idx="39">
                  <c:v>Locat                            AN</c:v>
                </c:pt>
                <c:pt idx="40">
                  <c:v>TYPE_LAMP.1                       AO</c:v>
                </c:pt>
                <c:pt idx="41">
                  <c:v>CK_IN_KELVIN                      AP</c:v>
                </c:pt>
                <c:pt idx="42">
                  <c:v>Manufacturer                      AQ</c:v>
                </c:pt>
                <c:pt idx="43">
                  <c:v>NEW CK_IN_KELVIN                      AU</c:v>
                </c:pt>
              </c:strCache>
            </c:strRef>
          </c:cat>
          <c:val>
            <c:numRef>
              <c:f>Data_quality!$E$2:$E$45</c:f>
              <c:numCache>
                <c:formatCode>0%</c:formatCode>
                <c:ptCount val="44"/>
                <c:pt idx="0">
                  <c:v>0.9999819295614305</c:v>
                </c:pt>
                <c:pt idx="1">
                  <c:v>0</c:v>
                </c:pt>
                <c:pt idx="2">
                  <c:v>0.9999819295614305</c:v>
                </c:pt>
                <c:pt idx="3">
                  <c:v>0.9999819295614305</c:v>
                </c:pt>
                <c:pt idx="4">
                  <c:v>0.9999819295614305</c:v>
                </c:pt>
                <c:pt idx="5">
                  <c:v>0.9999819295614305</c:v>
                </c:pt>
                <c:pt idx="6">
                  <c:v>0.5</c:v>
                </c:pt>
                <c:pt idx="7">
                  <c:v>0.9999819295614305</c:v>
                </c:pt>
                <c:pt idx="8">
                  <c:v>0.99998229148220297</c:v>
                </c:pt>
                <c:pt idx="9">
                  <c:v>0.99998192923488383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0.9999819295614305</c:v>
                </c:pt>
                <c:pt idx="14">
                  <c:v>0.9999819295614305</c:v>
                </c:pt>
                <c:pt idx="15">
                  <c:v>0.9999819305409996</c:v>
                </c:pt>
                <c:pt idx="16">
                  <c:v>0.99998194000469565</c:v>
                </c:pt>
                <c:pt idx="17">
                  <c:v>0.99998222822513283</c:v>
                </c:pt>
                <c:pt idx="18">
                  <c:v>0</c:v>
                </c:pt>
                <c:pt idx="19">
                  <c:v>0</c:v>
                </c:pt>
                <c:pt idx="20">
                  <c:v>0.5</c:v>
                </c:pt>
                <c:pt idx="21">
                  <c:v>0.9999819295614305</c:v>
                </c:pt>
                <c:pt idx="22">
                  <c:v>0.99998193021448833</c:v>
                </c:pt>
                <c:pt idx="23">
                  <c:v>0.99998199852387892</c:v>
                </c:pt>
                <c:pt idx="24">
                  <c:v>0.9999819295614305</c:v>
                </c:pt>
                <c:pt idx="25">
                  <c:v>0.9999819295614305</c:v>
                </c:pt>
                <c:pt idx="26">
                  <c:v>0.9999819295614305</c:v>
                </c:pt>
                <c:pt idx="27">
                  <c:v>0</c:v>
                </c:pt>
                <c:pt idx="28">
                  <c:v>0.99998226101147714</c:v>
                </c:pt>
                <c:pt idx="29">
                  <c:v>0.99994127319708714</c:v>
                </c:pt>
                <c:pt idx="30">
                  <c:v>0.99998193282624803</c:v>
                </c:pt>
                <c:pt idx="31">
                  <c:v>0.99998193282624803</c:v>
                </c:pt>
                <c:pt idx="32">
                  <c:v>0.99998193282624803</c:v>
                </c:pt>
                <c:pt idx="33">
                  <c:v>0.5</c:v>
                </c:pt>
                <c:pt idx="34">
                  <c:v>0.99997677119628336</c:v>
                </c:pt>
                <c:pt idx="35">
                  <c:v>0.99997677119628336</c:v>
                </c:pt>
                <c:pt idx="36">
                  <c:v>0.99997677119628336</c:v>
                </c:pt>
                <c:pt idx="37">
                  <c:v>0.9999819295614305</c:v>
                </c:pt>
                <c:pt idx="38">
                  <c:v>0.9999819295614305</c:v>
                </c:pt>
                <c:pt idx="39">
                  <c:v>0.9999819295614305</c:v>
                </c:pt>
                <c:pt idx="40">
                  <c:v>0.9999819295614305</c:v>
                </c:pt>
                <c:pt idx="41">
                  <c:v>0.99998207274878548</c:v>
                </c:pt>
                <c:pt idx="42">
                  <c:v>0.99998202861045216</c:v>
                </c:pt>
                <c:pt idx="4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8-48F4-804B-0BEB1B5F2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450272"/>
        <c:axId val="982450752"/>
      </c:barChart>
      <c:catAx>
        <c:axId val="9824502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82450752"/>
        <c:crosses val="autoZero"/>
        <c:auto val="1"/>
        <c:lblAlgn val="ctr"/>
        <c:lblOffset val="100"/>
        <c:noMultiLvlLbl val="0"/>
      </c:catAx>
      <c:valAx>
        <c:axId val="982450752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98245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Helper_table!$C$1</c:f>
              <c:strCache>
                <c:ptCount val="1"/>
                <c:pt idx="0">
                  <c:v>Missing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Helper_table!$A$2:$A$57</c:f>
              <c:strCache>
                <c:ptCount val="18"/>
                <c:pt idx="0">
                  <c:v>WEGVAK                            G</c:v>
                </c:pt>
                <c:pt idx="1">
                  <c:v>LOKATIE                           I</c:v>
                </c:pt>
                <c:pt idx="2">
                  <c:v>DATUM_ONDERHOUD_LAMP              P</c:v>
                </c:pt>
                <c:pt idx="3">
                  <c:v>SOORT_LAMP                        Q</c:v>
                </c:pt>
                <c:pt idx="4">
                  <c:v>KLEUR_LAMP                        R</c:v>
                </c:pt>
                <c:pt idx="5">
                  <c:v>RA_WAARDE_LAMP                    U</c:v>
                </c:pt>
                <c:pt idx="6">
                  <c:v>SCHAKELSCHEMA_LAMP                W</c:v>
                </c:pt>
                <c:pt idx="7">
                  <c:v>IDENTIFICATIE_ARMATUUR            X</c:v>
                </c:pt>
                <c:pt idx="8">
                  <c:v>BRANDSTAND_ARMATUUR               AC</c:v>
                </c:pt>
                <c:pt idx="9">
                  <c:v>IDENTIFICATIE_DRAGER_MAST         AD</c:v>
                </c:pt>
                <c:pt idx="10">
                  <c:v>TYPE_DRAGER_MAST                  AE</c:v>
                </c:pt>
                <c:pt idx="11">
                  <c:v>DATUM_PLAATSING_DRAGER_MAST       AF</c:v>
                </c:pt>
                <c:pt idx="12">
                  <c:v>DATUM_ONDERHOUD_DRAGER_MAST       AG</c:v>
                </c:pt>
                <c:pt idx="13">
                  <c:v>IDENTIFICATIE_DRAGER_UITHOUDER    AH</c:v>
                </c:pt>
                <c:pt idx="14">
                  <c:v>TYPE_DRAGER_UITHOUDER             AI</c:v>
                </c:pt>
                <c:pt idx="15">
                  <c:v>DATUM_PLAATSING_DRAGER_UITHOUD    AJ</c:v>
                </c:pt>
                <c:pt idx="16">
                  <c:v>DATUM_ONDERHOUD_DRAGER_UITHOUD    AK</c:v>
                </c:pt>
                <c:pt idx="17">
                  <c:v>CK_IN_KELVIN                      AP</c:v>
                </c:pt>
              </c:strCache>
            </c:strRef>
          </c:cat>
          <c:val>
            <c:numRef>
              <c:f>Helper_table!$C$2:$C$57</c:f>
              <c:numCache>
                <c:formatCode>General</c:formatCode>
                <c:ptCount val="56"/>
                <c:pt idx="0">
                  <c:v>1</c:v>
                </c:pt>
                <c:pt idx="1">
                  <c:v>54747</c:v>
                </c:pt>
                <c:pt idx="2">
                  <c:v>268</c:v>
                </c:pt>
                <c:pt idx="3">
                  <c:v>591</c:v>
                </c:pt>
                <c:pt idx="4">
                  <c:v>12686</c:v>
                </c:pt>
                <c:pt idx="5">
                  <c:v>1</c:v>
                </c:pt>
                <c:pt idx="6">
                  <c:v>188</c:v>
                </c:pt>
                <c:pt idx="7">
                  <c:v>964</c:v>
                </c:pt>
                <c:pt idx="8">
                  <c:v>15386</c:v>
                </c:pt>
                <c:pt idx="9">
                  <c:v>33947</c:v>
                </c:pt>
                <c:pt idx="10">
                  <c:v>78</c:v>
                </c:pt>
                <c:pt idx="11">
                  <c:v>78</c:v>
                </c:pt>
                <c:pt idx="12">
                  <c:v>78</c:v>
                </c:pt>
                <c:pt idx="13">
                  <c:v>42092</c:v>
                </c:pt>
                <c:pt idx="14">
                  <c:v>38505</c:v>
                </c:pt>
                <c:pt idx="15">
                  <c:v>38505</c:v>
                </c:pt>
                <c:pt idx="16">
                  <c:v>38505</c:v>
                </c:pt>
                <c:pt idx="17">
                  <c:v>45876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2-44AC-BD46-F32D9CEABF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49639904"/>
        <c:axId val="1049637024"/>
      </c:barChart>
      <c:catAx>
        <c:axId val="104963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49637024"/>
        <c:crosses val="autoZero"/>
        <c:auto val="1"/>
        <c:lblAlgn val="ctr"/>
        <c:lblOffset val="100"/>
        <c:noMultiLvlLbl val="0"/>
      </c:catAx>
      <c:valAx>
        <c:axId val="1049637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963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Helper_table!$C$1</c:f>
              <c:strCache>
                <c:ptCount val="1"/>
                <c:pt idx="0">
                  <c:v>Missing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Helper_table!$A$2:$A$57</c:f>
              <c:strCache>
                <c:ptCount val="18"/>
                <c:pt idx="0">
                  <c:v>WEGVAK                            G</c:v>
                </c:pt>
                <c:pt idx="1">
                  <c:v>LOKATIE                           I</c:v>
                </c:pt>
                <c:pt idx="2">
                  <c:v>DATUM_ONDERHOUD_LAMP              P</c:v>
                </c:pt>
                <c:pt idx="3">
                  <c:v>SOORT_LAMP                        Q</c:v>
                </c:pt>
                <c:pt idx="4">
                  <c:v>KLEUR_LAMP                        R</c:v>
                </c:pt>
                <c:pt idx="5">
                  <c:v>RA_WAARDE_LAMP                    U</c:v>
                </c:pt>
                <c:pt idx="6">
                  <c:v>SCHAKELSCHEMA_LAMP                W</c:v>
                </c:pt>
                <c:pt idx="7">
                  <c:v>IDENTIFICATIE_ARMATUUR            X</c:v>
                </c:pt>
                <c:pt idx="8">
                  <c:v>BRANDSTAND_ARMATUUR               AC</c:v>
                </c:pt>
                <c:pt idx="9">
                  <c:v>IDENTIFICATIE_DRAGER_MAST         AD</c:v>
                </c:pt>
                <c:pt idx="10">
                  <c:v>TYPE_DRAGER_MAST                  AE</c:v>
                </c:pt>
                <c:pt idx="11">
                  <c:v>DATUM_PLAATSING_DRAGER_MAST       AF</c:v>
                </c:pt>
                <c:pt idx="12">
                  <c:v>DATUM_ONDERHOUD_DRAGER_MAST       AG</c:v>
                </c:pt>
                <c:pt idx="13">
                  <c:v>IDENTIFICATIE_DRAGER_UITHOUDER    AH</c:v>
                </c:pt>
                <c:pt idx="14">
                  <c:v>TYPE_DRAGER_UITHOUDER             AI</c:v>
                </c:pt>
                <c:pt idx="15">
                  <c:v>DATUM_PLAATSING_DRAGER_UITHOUD    AJ</c:v>
                </c:pt>
                <c:pt idx="16">
                  <c:v>DATUM_ONDERHOUD_DRAGER_UITHOUD    AK</c:v>
                </c:pt>
                <c:pt idx="17">
                  <c:v>CK_IN_KELVIN                      AP</c:v>
                </c:pt>
              </c:strCache>
            </c:strRef>
          </c:cat>
          <c:val>
            <c:numRef>
              <c:f>Helper_table!$C$2:$C$57</c:f>
              <c:numCache>
                <c:formatCode>General</c:formatCode>
                <c:ptCount val="56"/>
                <c:pt idx="0">
                  <c:v>1</c:v>
                </c:pt>
                <c:pt idx="1">
                  <c:v>54747</c:v>
                </c:pt>
                <c:pt idx="2">
                  <c:v>268</c:v>
                </c:pt>
                <c:pt idx="3">
                  <c:v>591</c:v>
                </c:pt>
                <c:pt idx="4">
                  <c:v>12686</c:v>
                </c:pt>
                <c:pt idx="5">
                  <c:v>1</c:v>
                </c:pt>
                <c:pt idx="6">
                  <c:v>188</c:v>
                </c:pt>
                <c:pt idx="7">
                  <c:v>964</c:v>
                </c:pt>
                <c:pt idx="8">
                  <c:v>15386</c:v>
                </c:pt>
                <c:pt idx="9">
                  <c:v>33947</c:v>
                </c:pt>
                <c:pt idx="10">
                  <c:v>78</c:v>
                </c:pt>
                <c:pt idx="11">
                  <c:v>78</c:v>
                </c:pt>
                <c:pt idx="12">
                  <c:v>78</c:v>
                </c:pt>
                <c:pt idx="13">
                  <c:v>42092</c:v>
                </c:pt>
                <c:pt idx="14">
                  <c:v>38505</c:v>
                </c:pt>
                <c:pt idx="15">
                  <c:v>38505</c:v>
                </c:pt>
                <c:pt idx="16">
                  <c:v>38505</c:v>
                </c:pt>
                <c:pt idx="17">
                  <c:v>45876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D-4D00-983C-0DD895245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639904"/>
        <c:axId val="1049637024"/>
      </c:barChart>
      <c:catAx>
        <c:axId val="104963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49637024"/>
        <c:crosses val="autoZero"/>
        <c:auto val="1"/>
        <c:lblAlgn val="ctr"/>
        <c:lblOffset val="100"/>
        <c:noMultiLvlLbl val="0"/>
      </c:catAx>
      <c:valAx>
        <c:axId val="104963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4963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0</xdr:row>
      <xdr:rowOff>1076324</xdr:rowOff>
    </xdr:from>
    <xdr:to>
      <xdr:col>14</xdr:col>
      <xdr:colOff>474345</xdr:colOff>
      <xdr:row>33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1BDFF-E6D6-FCD8-A254-FCB7AC4D8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523874</xdr:colOff>
      <xdr:row>0</xdr:row>
      <xdr:rowOff>1038225</xdr:rowOff>
    </xdr:from>
    <xdr:to>
      <xdr:col>23</xdr:col>
      <xdr:colOff>188595</xdr:colOff>
      <xdr:row>20</xdr:row>
      <xdr:rowOff>169545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AD5957-6550-4CA8-B2F0-556ED78DA0C1}"/>
            </a:ext>
            <a:ext uri="{147F2762-F138-4A5C-976F-8EAC2B608ADB}">
              <a16:predDERef xmlns:a16="http://schemas.microsoft.com/office/drawing/2014/main" pred="{D7D1BDFF-E6D6-FCD8-A254-FCB7AC4D8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3</xdr:row>
      <xdr:rowOff>900112</xdr:rowOff>
    </xdr:from>
    <xdr:to>
      <xdr:col>16</xdr:col>
      <xdr:colOff>90487</xdr:colOff>
      <xdr:row>8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BB21BF-EC67-4841-308C-12E70A44F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quality_kleurtemperatuur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quality"/>
      <sheetName val="Helper_table"/>
      <sheetName val="Main_data"/>
      <sheetName val="Cat_helper_table"/>
      <sheetName val="Ellens_additions"/>
    </sheetNames>
    <sheetDataSet>
      <sheetData sheetId="0"/>
      <sheetData sheetId="1"/>
      <sheetData sheetId="2"/>
      <sheetData sheetId="3"/>
      <sheetData sheetId="4">
        <row r="2">
          <cell r="A2" t="str">
            <v>SON-T PIA PLUS 50W</v>
          </cell>
          <cell r="B2">
            <v>2000</v>
          </cell>
        </row>
        <row r="3">
          <cell r="A3" t="str">
            <v>SON PIA PLUS 100W</v>
          </cell>
          <cell r="B3">
            <v>2000</v>
          </cell>
        </row>
        <row r="4">
          <cell r="A4" t="str">
            <v>SOX PSG 55W</v>
          </cell>
          <cell r="B4">
            <v>1800</v>
          </cell>
        </row>
        <row r="5">
          <cell r="A5" t="str">
            <v>PLL 36 W xtra polar</v>
          </cell>
        </row>
        <row r="6">
          <cell r="A6" t="str">
            <v>SON-T PIA PLUS 70W</v>
          </cell>
          <cell r="B6">
            <v>2000</v>
          </cell>
        </row>
        <row r="7">
          <cell r="A7" t="str">
            <v>SON-T  70W</v>
          </cell>
          <cell r="B7">
            <v>2000</v>
          </cell>
        </row>
        <row r="8">
          <cell r="A8" t="str">
            <v>16 LED 19W 350mA (Pi</v>
          </cell>
        </row>
        <row r="9">
          <cell r="A9" t="str">
            <v>Unique-L Cool 36 Wat</v>
          </cell>
        </row>
        <row r="10">
          <cell r="A10" t="str">
            <v>SON PIA PLUS 150W</v>
          </cell>
          <cell r="B10">
            <v>2000</v>
          </cell>
        </row>
        <row r="11">
          <cell r="A11" t="str">
            <v>SON PIA PLUS 70W I</v>
          </cell>
          <cell r="B11">
            <v>2000</v>
          </cell>
        </row>
        <row r="12">
          <cell r="A12" t="str">
            <v>96 LED type II short</v>
          </cell>
        </row>
        <row r="13">
          <cell r="A13" t="str">
            <v>SILL 153 LED Blauw 1</v>
          </cell>
          <cell r="B13" t="str">
            <v>blauw</v>
          </cell>
        </row>
        <row r="14">
          <cell r="A14" t="str">
            <v>120 LED type II shor</v>
          </cell>
        </row>
        <row r="15">
          <cell r="A15" t="str">
            <v>LED upgrade KIT Blue</v>
          </cell>
          <cell r="B15" t="str">
            <v>blauw</v>
          </cell>
        </row>
        <row r="16">
          <cell r="A16" t="str">
            <v>HRIT 250BL</v>
          </cell>
        </row>
        <row r="17">
          <cell r="A17" t="str">
            <v>CDO-TT Plus 150W</v>
          </cell>
          <cell r="B17">
            <v>2800</v>
          </cell>
        </row>
        <row r="18">
          <cell r="A18" t="str">
            <v>CDM-T 150W</v>
          </cell>
        </row>
        <row r="19">
          <cell r="A19" t="str">
            <v>SON-T PIA PLUS 150W</v>
          </cell>
          <cell r="B19">
            <v>2000</v>
          </cell>
        </row>
        <row r="20">
          <cell r="A20" t="str">
            <v>CDM-T  35W</v>
          </cell>
        </row>
        <row r="21">
          <cell r="A21" t="str">
            <v>SON-T 150W</v>
          </cell>
          <cell r="B21">
            <v>2000</v>
          </cell>
        </row>
        <row r="22">
          <cell r="A22" t="str">
            <v>Saled Led PS-L 26W 4</v>
          </cell>
        </row>
        <row r="23">
          <cell r="A23" t="str">
            <v>PLL 55 W</v>
          </cell>
          <cell r="B23">
            <v>3000</v>
          </cell>
        </row>
        <row r="24">
          <cell r="A24" t="str">
            <v>CDO-ET Plus 100W</v>
          </cell>
          <cell r="B24">
            <v>2800</v>
          </cell>
        </row>
        <row r="25">
          <cell r="A25" t="str">
            <v>SON-T PIA PLUS 100W</v>
          </cell>
          <cell r="B25">
            <v>2000</v>
          </cell>
        </row>
        <row r="26">
          <cell r="A26" t="str">
            <v>CPO-TW 60W Xtra</v>
          </cell>
          <cell r="B26">
            <v>2800</v>
          </cell>
        </row>
        <row r="27">
          <cell r="A27" t="str">
            <v>CPO-TW 140W</v>
          </cell>
          <cell r="B27">
            <v>2800</v>
          </cell>
        </row>
        <row r="28">
          <cell r="A28" t="str">
            <v>PLL 55 W xtra polar</v>
          </cell>
          <cell r="B28">
            <v>3000</v>
          </cell>
        </row>
        <row r="29">
          <cell r="A29" t="str">
            <v>Unique-L Cool 55 Wat</v>
          </cell>
        </row>
        <row r="30">
          <cell r="A30" t="str">
            <v>28 LED 45W 5150 Lume</v>
          </cell>
        </row>
        <row r="31">
          <cell r="A31" t="str">
            <v>CPO-T  60W</v>
          </cell>
          <cell r="B31">
            <v>2800</v>
          </cell>
        </row>
        <row r="32">
          <cell r="A32" t="str">
            <v>CPO-TW 90W Xtra</v>
          </cell>
          <cell r="B32">
            <v>2800</v>
          </cell>
        </row>
        <row r="33">
          <cell r="A33" t="str">
            <v>CPO-T 90W</v>
          </cell>
          <cell r="B33">
            <v>2800</v>
          </cell>
        </row>
        <row r="34">
          <cell r="A34" t="str">
            <v>HCI-T 35 W</v>
          </cell>
        </row>
        <row r="35">
          <cell r="A35" t="str">
            <v>24 LED LENSOFLEX2 27</v>
          </cell>
        </row>
        <row r="36">
          <cell r="A36" t="str">
            <v>72 LED LENSOFLEX2 78</v>
          </cell>
        </row>
        <row r="37">
          <cell r="A37" t="str">
            <v>Golden Green 24W 250</v>
          </cell>
          <cell r="B37">
            <v>3000</v>
          </cell>
        </row>
        <row r="38">
          <cell r="A38" t="str">
            <v>56 LED 63W 350mA 780</v>
          </cell>
        </row>
        <row r="39">
          <cell r="A39" t="str">
            <v>Fortimo LED LLM 4500</v>
          </cell>
          <cell r="B39">
            <v>3000</v>
          </cell>
        </row>
        <row r="40">
          <cell r="A40" t="str">
            <v>SCHREDER TECEO 5118</v>
          </cell>
        </row>
        <row r="41">
          <cell r="A41" t="str">
            <v>SON PIA PLUS 50W I</v>
          </cell>
          <cell r="B41">
            <v>2000</v>
          </cell>
        </row>
        <row r="42">
          <cell r="A42" t="str">
            <v>CorePro LED Urban PL</v>
          </cell>
        </row>
        <row r="43">
          <cell r="A43" t="str">
            <v>16 LED LENSOFLEX2 18</v>
          </cell>
        </row>
        <row r="44">
          <cell r="A44" t="str">
            <v>80 LED 129W 9650Lume</v>
          </cell>
        </row>
        <row r="45">
          <cell r="A45" t="str">
            <v>24 LED 31W 350mA</v>
          </cell>
        </row>
        <row r="46">
          <cell r="A46" t="str">
            <v>Teceo S 20LED 280mA</v>
          </cell>
        </row>
        <row r="47">
          <cell r="A47" t="str">
            <v>Teceo-S 10LED 280mA</v>
          </cell>
        </row>
        <row r="48">
          <cell r="A48" t="str">
            <v>CPO-TW 45W</v>
          </cell>
          <cell r="B48">
            <v>2800</v>
          </cell>
        </row>
        <row r="49">
          <cell r="A49" t="str">
            <v>CPO-TW Xtra 45W</v>
          </cell>
          <cell r="B49">
            <v>2800</v>
          </cell>
        </row>
        <row r="50">
          <cell r="A50" t="str">
            <v>LED25/610 DN 10</v>
          </cell>
        </row>
        <row r="51">
          <cell r="A51" t="str">
            <v>SON  50 W I</v>
          </cell>
          <cell r="B51">
            <v>2000</v>
          </cell>
        </row>
        <row r="52">
          <cell r="A52" t="str">
            <v>Industria RetroLed m</v>
          </cell>
        </row>
        <row r="53">
          <cell r="A53" t="str">
            <v>24 LED 28W 350mA Pia</v>
          </cell>
        </row>
        <row r="54">
          <cell r="A54" t="str">
            <v>CDO-TT Plus 70W</v>
          </cell>
          <cell r="B54">
            <v>2800</v>
          </cell>
        </row>
        <row r="55">
          <cell r="A55" t="str">
            <v>SON  70 W I</v>
          </cell>
          <cell r="B55">
            <v>2000</v>
          </cell>
        </row>
        <row r="56">
          <cell r="A56" t="str">
            <v>SON 100 W</v>
          </cell>
          <cell r="B56">
            <v>2000</v>
          </cell>
        </row>
        <row r="57">
          <cell r="A57" t="str">
            <v>Schreder 24 led 5112</v>
          </cell>
        </row>
        <row r="58">
          <cell r="A58" t="str">
            <v>Schreder 16 led 5068</v>
          </cell>
        </row>
        <row r="59">
          <cell r="A59" t="str">
            <v>Saled Led PS-L 18W 4</v>
          </cell>
        </row>
        <row r="60">
          <cell r="A60" t="str">
            <v>SON 150 W</v>
          </cell>
          <cell r="B60">
            <v>2000</v>
          </cell>
        </row>
        <row r="61">
          <cell r="A61" t="str">
            <v>SOX  35 W</v>
          </cell>
          <cell r="B61">
            <v>1800</v>
          </cell>
        </row>
        <row r="62">
          <cell r="A62" t="str">
            <v>SOX PSG 35W</v>
          </cell>
          <cell r="B62">
            <v>1800</v>
          </cell>
        </row>
        <row r="63">
          <cell r="A63" t="str">
            <v>TL-E Circular Super</v>
          </cell>
        </row>
        <row r="64">
          <cell r="A64" t="str">
            <v>SOX  90 W</v>
          </cell>
          <cell r="B64">
            <v>1800</v>
          </cell>
        </row>
        <row r="65">
          <cell r="A65" t="str">
            <v>CDM-TT150W</v>
          </cell>
        </row>
        <row r="66">
          <cell r="A66" t="str">
            <v>SON-T PIA PLUS 250W</v>
          </cell>
          <cell r="B66">
            <v>2000</v>
          </cell>
        </row>
        <row r="67">
          <cell r="A67" t="str">
            <v>Fortimo LED LLM 1800</v>
          </cell>
          <cell r="B67">
            <v>3000</v>
          </cell>
        </row>
        <row r="68">
          <cell r="A68" t="str">
            <v>PLT-X32 W</v>
          </cell>
          <cell r="B68">
            <v>3000</v>
          </cell>
        </row>
        <row r="69">
          <cell r="A69" t="str">
            <v>CPO-T  45W</v>
          </cell>
          <cell r="B69">
            <v>2800</v>
          </cell>
        </row>
        <row r="70">
          <cell r="A70" t="str">
            <v>PLL 18 W</v>
          </cell>
          <cell r="B70">
            <v>3000</v>
          </cell>
        </row>
        <row r="71">
          <cell r="A71" t="str">
            <v>CDO-TT Plus 100W</v>
          </cell>
          <cell r="B71">
            <v>2800</v>
          </cell>
        </row>
        <row r="72">
          <cell r="A72" t="str">
            <v>CDO-TT150W</v>
          </cell>
          <cell r="B72">
            <v>2800</v>
          </cell>
        </row>
        <row r="73">
          <cell r="A73" t="str">
            <v>LED Fortimo LLM 3000</v>
          </cell>
          <cell r="B73">
            <v>3000</v>
          </cell>
        </row>
        <row r="74">
          <cell r="A74" t="str">
            <v>SOX/E 91W</v>
          </cell>
          <cell r="B74">
            <v>1800</v>
          </cell>
        </row>
        <row r="75">
          <cell r="A75" t="str">
            <v>Siteco DL 50 mini</v>
          </cell>
        </row>
        <row r="76">
          <cell r="A76" t="str">
            <v>SOX  55 W</v>
          </cell>
          <cell r="B76">
            <v>1800</v>
          </cell>
        </row>
        <row r="77">
          <cell r="A77" t="str">
            <v>28 LED Retroled unit</v>
          </cell>
        </row>
        <row r="78">
          <cell r="A78" t="str">
            <v>CDO-TT 70W</v>
          </cell>
          <cell r="B78">
            <v>2800</v>
          </cell>
        </row>
        <row r="79">
          <cell r="A79" t="str">
            <v>20 LED Retroled unit</v>
          </cell>
        </row>
        <row r="80">
          <cell r="A80" t="str">
            <v>CDO-ET Plus 70W</v>
          </cell>
          <cell r="B80">
            <v>2800</v>
          </cell>
        </row>
        <row r="81">
          <cell r="A81" t="str">
            <v>CDM-TD150W</v>
          </cell>
        </row>
        <row r="82">
          <cell r="A82" t="str">
            <v>Lightronics PRO LED3</v>
          </cell>
        </row>
        <row r="83">
          <cell r="A83" t="str">
            <v>Lightronics LED CEDE</v>
          </cell>
        </row>
        <row r="84">
          <cell r="A84" t="str">
            <v>12 LED DW10 DD  23,5</v>
          </cell>
        </row>
        <row r="85">
          <cell r="A85" t="str">
            <v>PLL 24 W xtra polar</v>
          </cell>
          <cell r="B85">
            <v>3000</v>
          </cell>
        </row>
        <row r="86">
          <cell r="A86" t="str">
            <v>LED32/3000K L2W PR01</v>
          </cell>
          <cell r="B86">
            <v>3000</v>
          </cell>
        </row>
        <row r="87">
          <cell r="A87" t="str">
            <v>SOX/E 66W</v>
          </cell>
          <cell r="B87">
            <v>1800</v>
          </cell>
        </row>
        <row r="88">
          <cell r="A88" t="str">
            <v>PLL 80 W</v>
          </cell>
          <cell r="B88">
            <v>3000</v>
          </cell>
        </row>
        <row r="89">
          <cell r="A89" t="str">
            <v>TLLL 36 W</v>
          </cell>
        </row>
        <row r="90">
          <cell r="A90" t="str">
            <v>64 LED 23W 3000Lm WW</v>
          </cell>
          <cell r="B90">
            <v>3000</v>
          </cell>
        </row>
        <row r="91">
          <cell r="A91" t="str">
            <v>PLT-X42 W</v>
          </cell>
          <cell r="B91">
            <v>3000</v>
          </cell>
        </row>
        <row r="92">
          <cell r="A92" t="str">
            <v>LED25W WW TB-IO</v>
          </cell>
        </row>
        <row r="93">
          <cell r="A93" t="str">
            <v>TLD XP36 W</v>
          </cell>
        </row>
        <row r="94">
          <cell r="A94" t="str">
            <v>TLM  40 W</v>
          </cell>
        </row>
        <row r="95">
          <cell r="A95" t="str">
            <v>40 LED LXML 4420 Lum</v>
          </cell>
        </row>
        <row r="96">
          <cell r="A96" t="str">
            <v>48 LED 54W 6096Lumen</v>
          </cell>
        </row>
        <row r="97">
          <cell r="A97" t="str">
            <v>32 LED 37W 350mA Pia</v>
          </cell>
        </row>
        <row r="98">
          <cell r="A98" t="str">
            <v>R LED module 22W 400</v>
          </cell>
        </row>
        <row r="99">
          <cell r="A99" t="str">
            <v>CDM-TT 70W</v>
          </cell>
        </row>
        <row r="100">
          <cell r="A100" t="str">
            <v>TL-D SUPER 80 18W/83</v>
          </cell>
          <cell r="B100">
            <v>3000</v>
          </cell>
        </row>
        <row r="101">
          <cell r="A101" t="str">
            <v>24 LED 39W 500mA Pia</v>
          </cell>
        </row>
        <row r="102">
          <cell r="A102" t="str">
            <v>PLL 36 OUT</v>
          </cell>
          <cell r="B102">
            <v>3000</v>
          </cell>
        </row>
        <row r="103">
          <cell r="A103" t="str">
            <v>CDM-T  70W</v>
          </cell>
        </row>
        <row r="104">
          <cell r="A104" t="str">
            <v>Lightronics Ceder A2</v>
          </cell>
        </row>
        <row r="105">
          <cell r="A105" t="str">
            <v>HPI-T 250W/645</v>
          </cell>
          <cell r="B105">
            <v>4200</v>
          </cell>
        </row>
        <row r="106">
          <cell r="A106" t="str">
            <v>Xeon 2 SC1 KNON 3K P</v>
          </cell>
        </row>
        <row r="107">
          <cell r="A107" t="str">
            <v>Saled led PS-T 15W 3</v>
          </cell>
        </row>
        <row r="108">
          <cell r="A108" t="str">
            <v>8 LED 17W WW 2000LM</v>
          </cell>
          <cell r="B108">
            <v>3000</v>
          </cell>
        </row>
        <row r="109">
          <cell r="A109" t="str">
            <v>LW10 ECO 51550 PSD I</v>
          </cell>
        </row>
        <row r="110">
          <cell r="A110" t="str">
            <v>22 LED 25W 2200Lm</v>
          </cell>
        </row>
        <row r="111">
          <cell r="A111" t="str">
            <v>CDO-TT100W</v>
          </cell>
          <cell r="B111">
            <v>2800</v>
          </cell>
        </row>
        <row r="112">
          <cell r="A112" t="str">
            <v>Saled led PS-T 18W 3</v>
          </cell>
        </row>
        <row r="113">
          <cell r="A113" t="str">
            <v>CDO-ET100W</v>
          </cell>
          <cell r="B113">
            <v>2800</v>
          </cell>
        </row>
        <row r="114">
          <cell r="A114" t="str">
            <v>30 LED, 350mA, WW 31</v>
          </cell>
          <cell r="B114">
            <v>3000</v>
          </cell>
        </row>
        <row r="115">
          <cell r="A115" t="str">
            <v>23 LED 38,5W 4600lum</v>
          </cell>
        </row>
        <row r="116">
          <cell r="A116" t="str">
            <v>LW10 GRN20/840 DRW P</v>
          </cell>
          <cell r="B116">
            <v>4000</v>
          </cell>
        </row>
        <row r="117">
          <cell r="A117" t="str">
            <v>3x LED 1W (POLLUX WB</v>
          </cell>
        </row>
        <row r="118">
          <cell r="A118" t="str">
            <v>30 LED 31W WW 4950lu</v>
          </cell>
        </row>
        <row r="119">
          <cell r="A119" t="str">
            <v>Saled led PS-T 13W 3</v>
          </cell>
        </row>
        <row r="120">
          <cell r="A120" t="str">
            <v>18 LED Retroled 18W</v>
          </cell>
        </row>
        <row r="121">
          <cell r="A121" t="str">
            <v>24 LED Retroled unit</v>
          </cell>
        </row>
        <row r="122">
          <cell r="A122" t="str">
            <v>12X 22W NW 2900L GRE</v>
          </cell>
          <cell r="B122">
            <v>4000</v>
          </cell>
        </row>
        <row r="123">
          <cell r="A123" t="str">
            <v>PLL 36/840 Polar</v>
          </cell>
          <cell r="B123">
            <v>4000</v>
          </cell>
        </row>
        <row r="124">
          <cell r="A124" t="str">
            <v>LED</v>
          </cell>
        </row>
        <row r="125">
          <cell r="A125" t="str">
            <v>TL-M RS Super 80 40W</v>
          </cell>
        </row>
        <row r="126">
          <cell r="A126" t="str">
            <v>60 LED RX70156</v>
          </cell>
        </row>
        <row r="127">
          <cell r="A127" t="str">
            <v>HPL-N   80W</v>
          </cell>
          <cell r="B127">
            <v>4200</v>
          </cell>
        </row>
        <row r="128">
          <cell r="A128" t="str">
            <v>12 LED Retroled unit</v>
          </cell>
        </row>
        <row r="129">
          <cell r="A129" t="str">
            <v>Fortimo LED LLM 1100</v>
          </cell>
          <cell r="B129">
            <v>3000</v>
          </cell>
        </row>
        <row r="130">
          <cell r="A130" t="str">
            <v>SON-T 100W</v>
          </cell>
          <cell r="B130">
            <v>2000</v>
          </cell>
        </row>
        <row r="131">
          <cell r="A131" t="str">
            <v>GRN17 /WW PSU CLO SR</v>
          </cell>
        </row>
        <row r="132">
          <cell r="A132" t="str">
            <v>GRN20 /WW PSU CLO SR</v>
          </cell>
        </row>
        <row r="133">
          <cell r="A133" t="str">
            <v>SON PIA PLUS 250W</v>
          </cell>
          <cell r="B133">
            <v>2000</v>
          </cell>
        </row>
        <row r="134">
          <cell r="A134" t="str">
            <v>HCI-T 20 W</v>
          </cell>
        </row>
        <row r="135">
          <cell r="A135" t="str">
            <v>SL EXE 16W</v>
          </cell>
        </row>
        <row r="136">
          <cell r="A136" t="str">
            <v>CDM-TD 70W</v>
          </cell>
        </row>
        <row r="137">
          <cell r="A137" t="str">
            <v>10 LED Golden Green</v>
          </cell>
          <cell r="B137">
            <v>3000</v>
          </cell>
        </row>
        <row r="138">
          <cell r="A138" t="str">
            <v>16 LED X-G3 LENS 18,</v>
          </cell>
        </row>
        <row r="139">
          <cell r="A139" t="str">
            <v>LED17/WW PSD DM50 SL</v>
          </cell>
        </row>
        <row r="140">
          <cell r="A140" t="str">
            <v>19 LED-HB 30W 1170Lm</v>
          </cell>
        </row>
        <row r="141">
          <cell r="A141" t="str">
            <v>40 LED 9000 Lumen /</v>
          </cell>
        </row>
        <row r="142">
          <cell r="A142" t="str">
            <v>PLT  26 W 4P</v>
          </cell>
          <cell r="B142">
            <v>3000</v>
          </cell>
        </row>
        <row r="143">
          <cell r="A143" t="str">
            <v>48 LED 78W 500mA 300</v>
          </cell>
        </row>
        <row r="144">
          <cell r="A144" t="str">
            <v>Saled Led PS-L 13W 4</v>
          </cell>
        </row>
        <row r="145">
          <cell r="A145" t="str">
            <v>Unique-L Cool 24 Wat</v>
          </cell>
        </row>
        <row r="146">
          <cell r="A146" t="str">
            <v>TLD XP18 W</v>
          </cell>
        </row>
        <row r="147">
          <cell r="A147" t="str">
            <v>18 LED 22W 250mA Ste</v>
          </cell>
        </row>
        <row r="148">
          <cell r="A148" t="str">
            <v>LED XR-E WW 32W</v>
          </cell>
          <cell r="B148">
            <v>3000</v>
          </cell>
        </row>
        <row r="149">
          <cell r="A149" t="str">
            <v>TLLL 58 W</v>
          </cell>
        </row>
        <row r="150">
          <cell r="A150" t="str">
            <v>TL-D SUPER 80 58W/83</v>
          </cell>
          <cell r="B150">
            <v>3000</v>
          </cell>
        </row>
        <row r="151">
          <cell r="A151" t="str">
            <v>CDO-ET 70W</v>
          </cell>
          <cell r="B151">
            <v>2800</v>
          </cell>
        </row>
        <row r="152">
          <cell r="A152" t="str">
            <v>PLL 36 W</v>
          </cell>
          <cell r="B152">
            <v>3000</v>
          </cell>
        </row>
        <row r="153">
          <cell r="A153" t="str">
            <v>TLLL 18 W</v>
          </cell>
        </row>
        <row r="154">
          <cell r="A154" t="str">
            <v>LED 3000K met diffus</v>
          </cell>
          <cell r="B154">
            <v>3000</v>
          </cell>
        </row>
        <row r="155">
          <cell r="A155" t="str">
            <v>HPL-N  125W/E40/HG</v>
          </cell>
          <cell r="B155">
            <v>4200</v>
          </cell>
        </row>
        <row r="156">
          <cell r="A156" t="str">
            <v>LW10 12LED WW PSD CL</v>
          </cell>
          <cell r="B156">
            <v>3000</v>
          </cell>
        </row>
        <row r="157">
          <cell r="A157" t="str">
            <v>16 LED Columba 2300L</v>
          </cell>
        </row>
        <row r="158">
          <cell r="A158" t="str">
            <v>Lighttronics Columba</v>
          </cell>
        </row>
        <row r="159">
          <cell r="A159" t="str">
            <v>HPI-T Plus 250W/645</v>
          </cell>
          <cell r="B159">
            <v>4500</v>
          </cell>
        </row>
        <row r="160">
          <cell r="A160" t="str">
            <v>TLE  40 W</v>
          </cell>
        </row>
        <row r="161">
          <cell r="A161" t="str">
            <v>SCHREDER TECEO-S 10L</v>
          </cell>
        </row>
        <row r="162">
          <cell r="A162" t="str">
            <v>Lightronics Columba</v>
          </cell>
        </row>
        <row r="163">
          <cell r="A163" t="str">
            <v>SON-T PIA PLUS 400W</v>
          </cell>
          <cell r="B163">
            <v>2000</v>
          </cell>
        </row>
        <row r="164">
          <cell r="A164" t="str">
            <v>LED Fortimo LLM 2200</v>
          </cell>
          <cell r="B164">
            <v>3000</v>
          </cell>
        </row>
        <row r="165">
          <cell r="A165" t="str">
            <v>HPL-N   50W</v>
          </cell>
          <cell r="B165">
            <v>4200</v>
          </cell>
        </row>
        <row r="166">
          <cell r="A166" t="str">
            <v>LW10 GRN25/840 DRW P</v>
          </cell>
          <cell r="B166">
            <v>4000</v>
          </cell>
        </row>
        <row r="167">
          <cell r="A167" t="str">
            <v>LED2WELL 2150 lumen</v>
          </cell>
        </row>
        <row r="168">
          <cell r="A168" t="str">
            <v>64 LED Economy line</v>
          </cell>
        </row>
        <row r="169">
          <cell r="A169" t="str">
            <v>PLL 24 W</v>
          </cell>
          <cell r="B169">
            <v>3000</v>
          </cell>
        </row>
        <row r="170">
          <cell r="A170" t="str">
            <v>SON-T  50W</v>
          </cell>
          <cell r="B170">
            <v>2000</v>
          </cell>
        </row>
        <row r="171">
          <cell r="A171" t="str">
            <v>SOX/E 26W</v>
          </cell>
          <cell r="B171">
            <v>1800</v>
          </cell>
        </row>
        <row r="172">
          <cell r="A172" t="str">
            <v>8 LED 22W WW 2500LM</v>
          </cell>
          <cell r="B172">
            <v>3000</v>
          </cell>
        </row>
        <row r="173">
          <cell r="A173" t="str">
            <v>GRN23 /WW PSU CLO SR</v>
          </cell>
        </row>
        <row r="174">
          <cell r="A174" t="str">
            <v>48 LED GRN24-S/WW/30</v>
          </cell>
          <cell r="B174">
            <v>3000</v>
          </cell>
        </row>
        <row r="175">
          <cell r="A175" t="str">
            <v>SON-TC150W</v>
          </cell>
          <cell r="B175">
            <v>2000</v>
          </cell>
        </row>
        <row r="176">
          <cell r="A176" t="str">
            <v>LED LXML/WW 31W I MS</v>
          </cell>
          <cell r="B176">
            <v>3000</v>
          </cell>
        </row>
        <row r="177">
          <cell r="A177" t="str">
            <v>Mikana Cercle op vor</v>
          </cell>
        </row>
        <row r="178">
          <cell r="A178" t="str">
            <v>LW10 GRN15/840 DRW P</v>
          </cell>
          <cell r="B178">
            <v>4000</v>
          </cell>
        </row>
        <row r="179">
          <cell r="A179" t="str">
            <v>TLS  20 W</v>
          </cell>
        </row>
        <row r="180">
          <cell r="A180" t="str">
            <v>Aura Universal Therm</v>
          </cell>
        </row>
        <row r="181">
          <cell r="A181" t="str">
            <v>RX210143-V-Angle Str</v>
          </cell>
        </row>
        <row r="182">
          <cell r="A182" t="str">
            <v>Lightronics White Z3</v>
          </cell>
        </row>
        <row r="183">
          <cell r="A183" t="str">
            <v>20 LED GRN22 20W 220</v>
          </cell>
        </row>
        <row r="184">
          <cell r="A184" t="str">
            <v>Tritec LED module 26</v>
          </cell>
        </row>
        <row r="185">
          <cell r="A185" t="str">
            <v>TLD X 58 W</v>
          </cell>
        </row>
        <row r="186">
          <cell r="A186" t="str">
            <v>TL-D SUPER 80 36W/83</v>
          </cell>
        </row>
        <row r="187">
          <cell r="A187" t="str">
            <v>18 LED Retroled 16W</v>
          </cell>
        </row>
        <row r="188">
          <cell r="A188" t="str">
            <v>Saled Led tube T8 Go</v>
          </cell>
        </row>
        <row r="189">
          <cell r="A189" t="str">
            <v>Mikana Cercle 2250 l</v>
          </cell>
        </row>
        <row r="190">
          <cell r="A190" t="str">
            <v>20 LED Philips Rebel</v>
          </cell>
        </row>
        <row r="191">
          <cell r="A191" t="str">
            <v>ColorGraze MX4 Power</v>
          </cell>
        </row>
        <row r="192">
          <cell r="A192" t="str">
            <v>BDP102 PCC LED 20 DR</v>
          </cell>
        </row>
        <row r="193">
          <cell r="A193" t="str">
            <v>TLD 36/77</v>
          </cell>
        </row>
        <row r="194">
          <cell r="A194" t="str">
            <v>Ventego 65</v>
          </cell>
        </row>
        <row r="195">
          <cell r="A195" t="str">
            <v>RX200040-V-Angle Str</v>
          </cell>
        </row>
        <row r="196">
          <cell r="A196" t="str">
            <v>Titan SMD LED 1540Lm</v>
          </cell>
        </row>
        <row r="197">
          <cell r="A197" t="str">
            <v>Modernista Space A-S</v>
          </cell>
        </row>
        <row r="198">
          <cell r="A198" t="str">
            <v>18 LED WRN 18 DS-WW</v>
          </cell>
          <cell r="B198">
            <v>3000</v>
          </cell>
        </row>
        <row r="199">
          <cell r="A199" t="str">
            <v>LW10 BEGA 66453 K3</v>
          </cell>
        </row>
        <row r="200">
          <cell r="A200" t="str">
            <v>288 SMD Led 4000K</v>
          </cell>
          <cell r="B200">
            <v>4000</v>
          </cell>
        </row>
        <row r="201">
          <cell r="A201" t="str">
            <v>LEVO LED 25W 500mA 3</v>
          </cell>
        </row>
        <row r="202">
          <cell r="A202" t="str">
            <v>Saled Led PS-L 9W 4-</v>
          </cell>
        </row>
        <row r="203">
          <cell r="A203" t="str">
            <v>U LED module sym 34W</v>
          </cell>
        </row>
        <row r="204">
          <cell r="A204" t="str">
            <v>LW10 GRN30/840 DRW P</v>
          </cell>
          <cell r="B204">
            <v>4000</v>
          </cell>
        </row>
        <row r="205">
          <cell r="A205" t="str">
            <v>PLT  32 W</v>
          </cell>
          <cell r="B205">
            <v>3000</v>
          </cell>
        </row>
        <row r="206">
          <cell r="A206" t="str">
            <v>PLT  42 W</v>
          </cell>
          <cell r="B206">
            <v>3000</v>
          </cell>
        </row>
        <row r="207">
          <cell r="A207" t="str">
            <v>SDW-T 100W</v>
          </cell>
          <cell r="B207">
            <v>2500</v>
          </cell>
        </row>
        <row r="208">
          <cell r="A208" t="str">
            <v>MHN-TD 70W</v>
          </cell>
        </row>
        <row r="209">
          <cell r="A209" t="str">
            <v>SDW-T  50W</v>
          </cell>
          <cell r="B209">
            <v>2500</v>
          </cell>
        </row>
        <row r="210">
          <cell r="A210" t="str">
            <v>Saled Led PS-L 40W 4</v>
          </cell>
        </row>
        <row r="211">
          <cell r="A211" t="str">
            <v>LED kit LA-Residenza</v>
          </cell>
        </row>
        <row r="212">
          <cell r="A212" t="str">
            <v>12 LED DW10 DD  15W</v>
          </cell>
        </row>
        <row r="213">
          <cell r="A213" t="str">
            <v>TLD   36 W</v>
          </cell>
        </row>
        <row r="214">
          <cell r="A214" t="str">
            <v>TLD  36-1W</v>
          </cell>
        </row>
        <row r="215">
          <cell r="A215" t="str">
            <v>CDM-T 20W</v>
          </cell>
        </row>
        <row r="216">
          <cell r="A216" t="str">
            <v>12 LED Revoled 2550</v>
          </cell>
        </row>
        <row r="217">
          <cell r="A217" t="str">
            <v>104 LED 8488 Lumen 2</v>
          </cell>
        </row>
        <row r="218">
          <cell r="A218" t="str">
            <v>TL 58W/84/4000</v>
          </cell>
          <cell r="B218">
            <v>4000</v>
          </cell>
        </row>
        <row r="219">
          <cell r="A219" t="str">
            <v>MASTER LEDtube VLE 1</v>
          </cell>
        </row>
        <row r="220">
          <cell r="A220" t="str">
            <v>TLD   58 W</v>
          </cell>
        </row>
        <row r="221">
          <cell r="A221" t="str">
            <v>PLT  26 W 2P</v>
          </cell>
          <cell r="B221">
            <v>3000</v>
          </cell>
        </row>
        <row r="222">
          <cell r="A222" t="str">
            <v>HCI-TS 250W Powerbal</v>
          </cell>
        </row>
        <row r="223">
          <cell r="A223" t="str">
            <v>SILL 155 LED Blauw 1</v>
          </cell>
          <cell r="B223" t="str">
            <v>blauw</v>
          </cell>
        </row>
        <row r="224">
          <cell r="A224" t="str">
            <v>SILL 155 LED Blauw 2</v>
          </cell>
          <cell r="B224" t="str">
            <v>blauw</v>
          </cell>
        </row>
        <row r="225">
          <cell r="A225" t="str">
            <v>U LED module sym 22W</v>
          </cell>
        </row>
        <row r="226">
          <cell r="A226" t="str">
            <v>! OMA 16 LED</v>
          </cell>
        </row>
        <row r="227">
          <cell r="A227" t="str">
            <v>SOX/E 18W</v>
          </cell>
          <cell r="B227">
            <v>1800</v>
          </cell>
        </row>
        <row r="228">
          <cell r="A228" t="str">
            <v>16 LED Columba 1200L</v>
          </cell>
        </row>
        <row r="229">
          <cell r="A229" t="str">
            <v>BGP490 LLM2200</v>
          </cell>
        </row>
        <row r="230">
          <cell r="A230" t="str">
            <v>LEVO Q LED 25W 500mA</v>
          </cell>
        </row>
        <row r="231">
          <cell r="A231" t="str">
            <v>BGP761 LED69-4S/840</v>
          </cell>
          <cell r="B231">
            <v>4000</v>
          </cell>
        </row>
        <row r="232">
          <cell r="A232" t="str">
            <v>12 LED Greenline 11W</v>
          </cell>
        </row>
        <row r="233">
          <cell r="A233" t="str">
            <v>CDM-T 250W</v>
          </cell>
        </row>
        <row r="234">
          <cell r="A234" t="str">
            <v>TLM  65 W</v>
          </cell>
        </row>
        <row r="235">
          <cell r="A235" t="str">
            <v>36 LED 73W 6350 Lume</v>
          </cell>
        </row>
        <row r="236">
          <cell r="A236" t="str">
            <v>U LED module sym 18W</v>
          </cell>
        </row>
        <row r="237">
          <cell r="A237" t="str">
            <v>U LED module sym 11W</v>
          </cell>
        </row>
        <row r="238">
          <cell r="A238" t="str">
            <v>LEVO LED 20W 350ma 3</v>
          </cell>
        </row>
        <row r="239">
          <cell r="A239" t="str">
            <v>BEGA 55830</v>
          </cell>
        </row>
        <row r="240">
          <cell r="A240" t="str">
            <v>CDO-ET150W</v>
          </cell>
          <cell r="B240">
            <v>2800</v>
          </cell>
        </row>
        <row r="241">
          <cell r="A241" t="str">
            <v>MHN-TD150W</v>
          </cell>
        </row>
        <row r="242">
          <cell r="A242" t="str">
            <v>BGP760 LW10 LED44/83</v>
          </cell>
          <cell r="B242">
            <v>3000</v>
          </cell>
        </row>
        <row r="243">
          <cell r="A243" t="str">
            <v>Venture HIT 400W EUR</v>
          </cell>
        </row>
        <row r="244">
          <cell r="A244" t="str">
            <v>144 LED LENSOFLEX2 2</v>
          </cell>
        </row>
        <row r="245">
          <cell r="A245" t="str">
            <v>Obstivision LED unit</v>
          </cell>
        </row>
        <row r="246">
          <cell r="A246" t="str">
            <v>20 Leds 23W WW 3000L</v>
          </cell>
          <cell r="B246">
            <v>3000</v>
          </cell>
        </row>
        <row r="247">
          <cell r="A247" t="str">
            <v>SL   18 W</v>
          </cell>
        </row>
        <row r="248">
          <cell r="A248" t="str">
            <v>SON-T 400W</v>
          </cell>
          <cell r="B248">
            <v>2000</v>
          </cell>
        </row>
        <row r="249">
          <cell r="A249" t="str">
            <v>TLD   18 W</v>
          </cell>
        </row>
        <row r="250">
          <cell r="A250" t="str">
            <v>LLM 3100</v>
          </cell>
        </row>
        <row r="251">
          <cell r="A251" t="str">
            <v>Classic LED bulb ND</v>
          </cell>
        </row>
        <row r="252">
          <cell r="A252" t="str">
            <v>Luxeon K2 LED 15cd 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40CD54-3087-46D3-A6A0-EB5E3F37CA7E}" name="Table2" displayName="Table2" ref="A1:F45" totalsRowShown="0" headerRowDxfId="10" dataDxfId="9">
  <autoFilter ref="A1:F45" xr:uid="{8A40CD54-3087-46D3-A6A0-EB5E3F37CA7E}"/>
  <tableColumns count="6">
    <tableColumn id="1" xr3:uid="{A7DA48A9-9F76-491A-B765-91B3F25039B7}" name="A (Column Name)" dataDxfId="8"/>
    <tableColumn id="2" xr3:uid="{2B68391F-2598-43C5-994B-0AE7DCE9E418}" name="B (Excel Column Letter)" dataDxfId="7"/>
    <tableColumn id="3" xr3:uid="{321B5030-D466-42D0-91F7-FB5D2BC0D001}" name="Missing Count" dataDxfId="6">
      <calculatedColumnFormula>COUNTBLANK(INDIRECT("'" &amp; "Main_data" &amp; "'!" &amp; B2 &amp; "2:" &amp; B2 &amp; MATCH("zzz", INDIRECT("'" &amp; "Main_data" &amp; "'!" &amp; B2 &amp; ":" &amp; B2), 1)))</calculatedColumnFormula>
    </tableColumn>
    <tableColumn id="4" xr3:uid="{A1E60118-958C-4FE3-B52E-D238F83D69C5}" name="Total Count">
      <calculatedColumnFormula>COUNTA(INDIRECT("'" &amp; "Sheet1" &amp; "'!" &amp; B2 &amp; "2:" &amp; B2 &amp; "60000"))</calculatedColumnFormula>
    </tableColumn>
    <tableColumn id="5" xr3:uid="{68EC5838-A958-4BA9-9E2D-A4229D5AEECF}" name="Percent Missing" dataDxfId="5">
      <calculatedColumnFormula>IFERROR(C2 / (C2 + D2), 0)</calculatedColumnFormula>
    </tableColumn>
    <tableColumn id="6" xr3:uid="{2D8934D4-67A3-400C-8457-49F1F322D12D}" name="Column1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75EB68-31B5-40AF-BE3D-09022C56C3E3}" name="Table1" displayName="Table1" ref="A1:AQ56865" totalsRowShown="0" headerRowDxfId="3" headerRowBorderDxfId="2" tableBorderDxfId="1">
  <autoFilter ref="A1:AQ56865" xr:uid="{F575EB68-31B5-40AF-BE3D-09022C56C3E3}">
    <filterColumn colId="27">
      <filters>
        <filter val="1000"/>
        <filter val="1050"/>
        <filter val="1100"/>
        <filter val="1200"/>
        <filter val="1300"/>
        <filter val="1400"/>
        <filter val="1500"/>
        <filter val="1550"/>
        <filter val="1600"/>
        <filter val="1800"/>
        <filter val="200"/>
        <filter val="2000"/>
        <filter val="220"/>
        <filter val="240"/>
        <filter val="250"/>
        <filter val="2500"/>
        <filter val="280"/>
        <filter val="300"/>
        <filter val="320"/>
        <filter val="330"/>
        <filter val="340"/>
        <filter val="350"/>
        <filter val="360"/>
        <filter val="370"/>
        <filter val="380"/>
        <filter val="390"/>
        <filter val="400"/>
        <filter val="410"/>
        <filter val="420"/>
        <filter val="430"/>
        <filter val="450"/>
        <filter val="480"/>
        <filter val="4950"/>
        <filter val="500"/>
        <filter val="550"/>
        <filter val="600"/>
        <filter val="620"/>
        <filter val="630"/>
        <filter val="650"/>
        <filter val="700"/>
        <filter val="7000"/>
        <filter val="725"/>
        <filter val="750"/>
        <filter val="800"/>
        <filter val="850"/>
        <filter val="900"/>
        <filter val="950"/>
        <filter val="999"/>
      </filters>
    </filterColumn>
  </autoFilter>
  <sortState xmlns:xlrd2="http://schemas.microsoft.com/office/spreadsheetml/2017/richdata2" ref="A2:AQ56865">
    <sortCondition ref="AC1:AC56865"/>
  </sortState>
  <tableColumns count="43">
    <tableColumn id="1" xr3:uid="{A1EC0668-1958-4B87-B788-29D99E220861}" name="straatnaam+identificatie_mast"/>
    <tableColumn id="2" xr3:uid="{7AF7E3D0-ACFA-48DD-889F-A6B40B9354C9}" name="OBJECTID"/>
    <tableColumn id="3" xr3:uid="{A0CD6556-EFA9-45BE-AE04-BC47D5820E90}" name="STADSDEEL"/>
    <tableColumn id="4" xr3:uid="{539BF95B-4946-430E-BDA5-00D99038DF9A}" name="WIJK"/>
    <tableColumn id="5" xr3:uid="{FF73AB2A-7477-4CE9-8900-CD242E64B23B}" name="BUURT"/>
    <tableColumn id="6" xr3:uid="{25545A2B-378C-4D69-887D-F6E408D228B8}" name="STRAATNAAM"/>
    <tableColumn id="7" xr3:uid="{4116AE82-E85C-4C6A-8798-B48F7B9AA92A}" name="WEGVAK"/>
    <tableColumn id="8" xr3:uid="{602FCBE6-A866-4EAB-9984-FE43429A24AE}" name="IDENTIFICATIE"/>
    <tableColumn id="9" xr3:uid="{1FF466F9-3DDF-4AF7-883F-90635B9453DD}" name="LOKATIE"/>
    <tableColumn id="10" xr3:uid="{6FFAB465-9F08-4068-A798-ABBF693ED3B6}" name="EIGENAAR"/>
    <tableColumn id="11" xr3:uid="{F548EFC5-7AF8-4B5C-9514-74B59D635626}" name="X"/>
    <tableColumn id="12" xr3:uid="{5BFE74EB-8300-423A-9440-AF037B8CED7C}" name="Y"/>
    <tableColumn id="13" xr3:uid="{F65EAC78-F805-40DF-B4B2-09518BC022AA}" name="IDENTIFICATIE_LAMP"/>
    <tableColumn id="14" xr3:uid="{DBC92D4A-6B2F-408A-A79B-6A1DD91A9388}" name="TYPE_LAMP"/>
    <tableColumn id="15" xr3:uid="{11F4DEEB-2FC7-4C5B-8A9A-98C11A267DD8}" name="DATUM_PLAATSING_LAMP"/>
    <tableColumn id="16" xr3:uid="{9D57EB8C-2135-4F24-A00A-9CDB53C1FD77}" name="DATUM_ONDERHOUD_LAMP"/>
    <tableColumn id="17" xr3:uid="{A3D52401-E57C-496D-B610-9A8BE8985677}" name="SOORT_LAMP"/>
    <tableColumn id="18" xr3:uid="{3D1F1BB8-EA7B-4EAB-9B2E-76C31AE84F06}" name="KLEUR_LAMP"/>
    <tableColumn id="19" xr3:uid="{20702B9D-8AEC-4FCF-A4BC-DF301CD6C31B}" name="WATTAGE_LAMP"/>
    <tableColumn id="20" xr3:uid="{33C9ACC9-D107-4140-8F7F-72EC5BC4A842}" name="LUMEN_LAMP"/>
    <tableColumn id="21" xr3:uid="{4D17D30A-05C7-4580-89FF-E9C148E24BFB}" name="RA_WAARDE_LAMP"/>
    <tableColumn id="22" xr3:uid="{D3262297-947F-4165-8445-29D3082DDD7A}" name="FITTING_LAMP"/>
    <tableColumn id="23" xr3:uid="{72FA19C7-616C-44BB-B643-DEC04A0F488F}" name="SCHAKELSCHEMA_LAMP"/>
    <tableColumn id="24" xr3:uid="{BFE4B8E0-C577-454F-B1E7-D9CA71BF096E}" name="IDENTIFICATIE_ARMATUUR"/>
    <tableColumn id="25" xr3:uid="{518DF394-C26A-4611-BCB0-7B13D094AFA8}" name="TYPE_ARMATUUR"/>
    <tableColumn id="26" xr3:uid="{80CA1470-6A88-4842-AAAB-A70485BB0FDD}" name="DATUM_PLAATSING_ARMATUUR"/>
    <tableColumn id="27" xr3:uid="{889C594E-2A36-409F-A6F9-A811227D697F}" name="DATUM_ONDERHOUD_ARMATUUR"/>
    <tableColumn id="28" xr3:uid="{8CEECAF9-2BF5-4AA3-B43E-42AAC46DF2CE}" name="LPH_ARMATUUR"/>
    <tableColumn id="29" xr3:uid="{03818081-6CE7-41C4-91F1-DBF682418D2D}" name="BRANDSTAND_ARMATUUR"/>
    <tableColumn id="30" xr3:uid="{7AC69B5E-6D44-4B7F-9A9C-DCF720C221E1}" name="IDENTIFICATIE_DRAGER_MAST"/>
    <tableColumn id="31" xr3:uid="{A93E1404-DC38-4BA2-B7D1-4DC35C53C815}" name="TYPE_DRAGER_MAST"/>
    <tableColumn id="32" xr3:uid="{C8774BF0-68B5-40D5-933A-4CD55C02FDAD}" name="DATUM_PLAATSING_DRAGER_MAST"/>
    <tableColumn id="33" xr3:uid="{BBAF217A-CA4E-4427-BDD1-BD1184BD226E}" name="DATUM_ONDERHOUD_DRAGER_MAST"/>
    <tableColumn id="34" xr3:uid="{B171ECB2-FA44-4CAA-B0B8-EAE1650F9573}" name="IDENTIFICATIE_DRAGER_UITHOUDER"/>
    <tableColumn id="35" xr3:uid="{AFBB4DDB-8487-4813-8E92-942B56129ED7}" name="TYPE_DRAGER_UITHOUDER"/>
    <tableColumn id="36" xr3:uid="{09291161-CD29-49E2-AF18-A15D26BA6813}" name="DATUM_PLAATSING_DRAGER_UITHOUD"/>
    <tableColumn id="37" xr3:uid="{C401A88A-6E1B-4896-8F19-D331411ADB34}" name="DATUM_ONDERHOUD_DRAGER_UITHOUD"/>
    <tableColumn id="38" xr3:uid="{B59946A1-6395-42F6-A08B-E1455D09CBAB}" name="geo_shape"/>
    <tableColumn id="39" xr3:uid="{0B6E577D-1F03-40CF-8921-6AFD7272718C}" name="geo_point_2d"/>
    <tableColumn id="40" xr3:uid="{EA383047-09E7-464C-8570-4624F1149FEF}" name="Locat"/>
    <tableColumn id="41" xr3:uid="{1FDECD28-F24D-4FEE-9035-FCA862A7724F}" name="TYPE_LAMP.1"/>
    <tableColumn id="43" xr3:uid="{30C3333D-84F5-4C70-BDEA-0E254E049FA0}" name="Column1"/>
    <tableColumn id="46" xr3:uid="{7D221EBB-D1D9-49D3-8F85-A20729656DA8}" name="CK_IN_KELVIN" dataDxfId="0">
      <calculatedColumnFormula>IF(ISBLANK(AP2), IFERROR(IF(VLOOKUP(AO2, Ellens_additions!$A$2:$B$252, 2, FALSE) = "", "", VLOOKUP(AO2, Ellens_additions!$A$2:$B$252, 2, FALSE)), 0), AP2)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3389-D340-4D0F-9894-BC6EACCE991D}">
  <dimension ref="A1:F45"/>
  <sheetViews>
    <sheetView workbookViewId="0">
      <selection activeCell="C45" sqref="C45"/>
    </sheetView>
  </sheetViews>
  <sheetFormatPr defaultRowHeight="14.4" x14ac:dyDescent="0.3"/>
  <cols>
    <col min="1" max="1" width="19" customWidth="1"/>
    <col min="2" max="2" width="5.88671875" customWidth="1"/>
    <col min="3" max="3" width="15.109375" customWidth="1"/>
    <col min="4" max="4" width="12.77734375" customWidth="1"/>
    <col min="5" max="5" width="16.77734375" style="7" customWidth="1"/>
  </cols>
  <sheetData>
    <row r="1" spans="1:6" ht="84.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 ht="28.8" x14ac:dyDescent="0.3">
      <c r="A2" s="4" t="s">
        <v>6</v>
      </c>
      <c r="B2" s="4" t="s">
        <v>7</v>
      </c>
      <c r="C2" s="4">
        <f t="shared" ref="C2:C44" ca="1" si="0">COUNTBLANK(INDIRECT("'" &amp; "Main_data" &amp; "'!" &amp; B2 &amp; "2:" &amp; B2 &amp; MATCH("zzz", INDIRECT("'" &amp; "Main_data" &amp; "'!" &amp; B2 &amp; ":" &amp; B2), 1)))</f>
        <v>55338</v>
      </c>
      <c r="D2">
        <f ca="1">COUNTA(INDIRECT("'" &amp; "Sheet1" &amp; "'!" &amp; B2 &amp; "2:" &amp; B2 &amp; "60000"))</f>
        <v>1</v>
      </c>
      <c r="E2" s="7">
        <f ca="1">IFERROR(C2 / (C2 + D2), 0)</f>
        <v>0.9999819295614305</v>
      </c>
      <c r="F2" s="4"/>
    </row>
    <row r="3" spans="1:6" ht="28.8" x14ac:dyDescent="0.3">
      <c r="A3" s="4" t="s">
        <v>8</v>
      </c>
      <c r="B3" s="4" t="s">
        <v>9</v>
      </c>
      <c r="C3" s="4">
        <f t="shared" ca="1" si="0"/>
        <v>0</v>
      </c>
      <c r="D3">
        <f t="shared" ref="D3:D44" ca="1" si="1">COUNTA(INDIRECT("'" &amp; "Sheet1" &amp; "'!" &amp; B3 &amp; "2:" &amp; B3 &amp; "60000"))</f>
        <v>1</v>
      </c>
      <c r="E3" s="7">
        <f t="shared" ref="E3:E44" ca="1" si="2">IFERROR(C3 / (C3 + D3), 0)</f>
        <v>0</v>
      </c>
      <c r="F3" s="4"/>
    </row>
    <row r="4" spans="1:6" ht="28.8" x14ac:dyDescent="0.3">
      <c r="A4" s="4" t="s">
        <v>10</v>
      </c>
      <c r="B4" s="4" t="s">
        <v>11</v>
      </c>
      <c r="C4" s="4">
        <f t="shared" ca="1" si="0"/>
        <v>55338</v>
      </c>
      <c r="D4">
        <f t="shared" ca="1" si="1"/>
        <v>1</v>
      </c>
      <c r="E4" s="7">
        <f t="shared" ca="1" si="2"/>
        <v>0.9999819295614305</v>
      </c>
      <c r="F4" s="4"/>
    </row>
    <row r="5" spans="1:6" ht="28.8" x14ac:dyDescent="0.3">
      <c r="A5" s="4" t="s">
        <v>12</v>
      </c>
      <c r="B5" s="4" t="s">
        <v>13</v>
      </c>
      <c r="C5" s="4">
        <f t="shared" ca="1" si="0"/>
        <v>55338</v>
      </c>
      <c r="D5">
        <f t="shared" ca="1" si="1"/>
        <v>1</v>
      </c>
      <c r="E5" s="7">
        <f t="shared" ca="1" si="2"/>
        <v>0.9999819295614305</v>
      </c>
      <c r="F5" s="4"/>
    </row>
    <row r="6" spans="1:6" ht="28.8" x14ac:dyDescent="0.3">
      <c r="A6" s="4" t="s">
        <v>14</v>
      </c>
      <c r="B6" s="4" t="s">
        <v>15</v>
      </c>
      <c r="C6" s="4">
        <f t="shared" ca="1" si="0"/>
        <v>55338</v>
      </c>
      <c r="D6">
        <f t="shared" ca="1" si="1"/>
        <v>1</v>
      </c>
      <c r="E6" s="7">
        <f t="shared" ca="1" si="2"/>
        <v>0.9999819295614305</v>
      </c>
      <c r="F6" s="4"/>
    </row>
    <row r="7" spans="1:6" ht="28.8" x14ac:dyDescent="0.3">
      <c r="A7" s="4" t="s">
        <v>16</v>
      </c>
      <c r="B7" s="4" t="s">
        <v>17</v>
      </c>
      <c r="C7" s="4">
        <f t="shared" ca="1" si="0"/>
        <v>55338</v>
      </c>
      <c r="D7">
        <f t="shared" ca="1" si="1"/>
        <v>1</v>
      </c>
      <c r="E7" s="7">
        <f t="shared" ca="1" si="2"/>
        <v>0.9999819295614305</v>
      </c>
      <c r="F7" s="4"/>
    </row>
    <row r="8" spans="1:6" ht="28.8" x14ac:dyDescent="0.3">
      <c r="A8" s="4" t="s">
        <v>18</v>
      </c>
      <c r="B8" s="4" t="s">
        <v>19</v>
      </c>
      <c r="C8" s="4">
        <f t="shared" ca="1" si="0"/>
        <v>1</v>
      </c>
      <c r="D8">
        <f t="shared" ca="1" si="1"/>
        <v>1</v>
      </c>
      <c r="E8" s="7">
        <f t="shared" ca="1" si="2"/>
        <v>0.5</v>
      </c>
      <c r="F8" s="4"/>
    </row>
    <row r="9" spans="1:6" ht="28.8" x14ac:dyDescent="0.3">
      <c r="A9" s="4" t="s">
        <v>20</v>
      </c>
      <c r="B9" s="4" t="s">
        <v>21</v>
      </c>
      <c r="C9" s="4">
        <f t="shared" ca="1" si="0"/>
        <v>55338</v>
      </c>
      <c r="D9">
        <f t="shared" ca="1" si="1"/>
        <v>1</v>
      </c>
      <c r="E9" s="7">
        <f t="shared" ca="1" si="2"/>
        <v>0.9999819295614305</v>
      </c>
      <c r="F9" s="4"/>
    </row>
    <row r="10" spans="1:6" ht="28.8" x14ac:dyDescent="0.3">
      <c r="A10" s="4" t="s">
        <v>22</v>
      </c>
      <c r="B10" s="4" t="s">
        <v>23</v>
      </c>
      <c r="C10" s="4">
        <f t="shared" ca="1" si="0"/>
        <v>56469</v>
      </c>
      <c r="D10">
        <f t="shared" ca="1" si="1"/>
        <v>1</v>
      </c>
      <c r="E10" s="7">
        <f t="shared" ca="1" si="2"/>
        <v>0.99998229148220297</v>
      </c>
      <c r="F10" s="4"/>
    </row>
    <row r="11" spans="1:6" ht="28.8" x14ac:dyDescent="0.3">
      <c r="A11" s="4" t="s">
        <v>24</v>
      </c>
      <c r="B11" s="4" t="s">
        <v>25</v>
      </c>
      <c r="C11" s="4">
        <f t="shared" ca="1" si="0"/>
        <v>55337</v>
      </c>
      <c r="D11">
        <f t="shared" ca="1" si="1"/>
        <v>1</v>
      </c>
      <c r="E11" s="7">
        <f t="shared" ca="1" si="2"/>
        <v>0.99998192923488383</v>
      </c>
      <c r="F11" s="4"/>
    </row>
    <row r="12" spans="1:6" x14ac:dyDescent="0.3">
      <c r="A12" s="4" t="s">
        <v>26</v>
      </c>
      <c r="B12" s="4" t="s">
        <v>27</v>
      </c>
      <c r="C12" s="4">
        <f t="shared" ca="1" si="0"/>
        <v>0</v>
      </c>
      <c r="D12">
        <f t="shared" ca="1" si="1"/>
        <v>1</v>
      </c>
      <c r="E12" s="7">
        <f t="shared" ca="1" si="2"/>
        <v>0</v>
      </c>
      <c r="F12" s="4"/>
    </row>
    <row r="13" spans="1:6" x14ac:dyDescent="0.3">
      <c r="A13" s="4" t="s">
        <v>28</v>
      </c>
      <c r="B13" s="4" t="s">
        <v>29</v>
      </c>
      <c r="C13" s="4">
        <f t="shared" ca="1" si="0"/>
        <v>0</v>
      </c>
      <c r="D13">
        <f t="shared" ca="1" si="1"/>
        <v>1</v>
      </c>
      <c r="E13" s="7">
        <f t="shared" ca="1" si="2"/>
        <v>0</v>
      </c>
      <c r="F13" s="4"/>
    </row>
    <row r="14" spans="1:6" ht="28.8" x14ac:dyDescent="0.3">
      <c r="A14" s="4" t="s">
        <v>30</v>
      </c>
      <c r="B14" s="4" t="s">
        <v>31</v>
      </c>
      <c r="C14" s="4">
        <f t="shared" ca="1" si="0"/>
        <v>0</v>
      </c>
      <c r="D14">
        <f t="shared" ca="1" si="1"/>
        <v>1</v>
      </c>
      <c r="E14" s="7">
        <f t="shared" ca="1" si="2"/>
        <v>0</v>
      </c>
      <c r="F14" s="4"/>
    </row>
    <row r="15" spans="1:6" ht="28.8" x14ac:dyDescent="0.3">
      <c r="A15" s="4" t="s">
        <v>32</v>
      </c>
      <c r="B15" s="4" t="s">
        <v>33</v>
      </c>
      <c r="C15" s="4">
        <f t="shared" ca="1" si="0"/>
        <v>55338</v>
      </c>
      <c r="D15">
        <f t="shared" ca="1" si="1"/>
        <v>1</v>
      </c>
      <c r="E15" s="7">
        <f t="shared" ca="1" si="2"/>
        <v>0.9999819295614305</v>
      </c>
      <c r="F15" s="4"/>
    </row>
    <row r="16" spans="1:6" ht="28.8" x14ac:dyDescent="0.3">
      <c r="A16" s="4" t="s">
        <v>34</v>
      </c>
      <c r="B16" s="4" t="s">
        <v>35</v>
      </c>
      <c r="C16" s="4">
        <f t="shared" ca="1" si="0"/>
        <v>55338</v>
      </c>
      <c r="D16">
        <f t="shared" ca="1" si="1"/>
        <v>1</v>
      </c>
      <c r="E16" s="7">
        <f t="shared" ca="1" si="2"/>
        <v>0.9999819295614305</v>
      </c>
      <c r="F16" s="4"/>
    </row>
    <row r="17" spans="1:6" ht="28.8" x14ac:dyDescent="0.3">
      <c r="A17" s="4" t="s">
        <v>36</v>
      </c>
      <c r="B17" s="4" t="s">
        <v>37</v>
      </c>
      <c r="C17" s="4">
        <f t="shared" ca="1" si="0"/>
        <v>55341</v>
      </c>
      <c r="D17">
        <f t="shared" ca="1" si="1"/>
        <v>1</v>
      </c>
      <c r="E17" s="7">
        <f t="shared" ca="1" si="2"/>
        <v>0.9999819305409996</v>
      </c>
      <c r="F17" s="4"/>
    </row>
    <row r="18" spans="1:6" ht="28.8" x14ac:dyDescent="0.3">
      <c r="A18" s="4" t="s">
        <v>38</v>
      </c>
      <c r="B18" s="4" t="s">
        <v>39</v>
      </c>
      <c r="C18" s="4">
        <f t="shared" ca="1" si="0"/>
        <v>55370</v>
      </c>
      <c r="D18">
        <f t="shared" ca="1" si="1"/>
        <v>1</v>
      </c>
      <c r="E18" s="7">
        <f t="shared" ca="1" si="2"/>
        <v>0.99998194000469565</v>
      </c>
      <c r="F18" s="4"/>
    </row>
    <row r="19" spans="1:6" ht="28.8" x14ac:dyDescent="0.3">
      <c r="A19" s="4" t="s">
        <v>40</v>
      </c>
      <c r="B19" s="4" t="s">
        <v>41</v>
      </c>
      <c r="C19" s="4">
        <f t="shared" ca="1" si="0"/>
        <v>56268</v>
      </c>
      <c r="D19">
        <f t="shared" ca="1" si="1"/>
        <v>1</v>
      </c>
      <c r="E19" s="7">
        <f t="shared" ca="1" si="2"/>
        <v>0.99998222822513283</v>
      </c>
      <c r="F19" s="4"/>
    </row>
    <row r="20" spans="1:6" ht="28.8" x14ac:dyDescent="0.3">
      <c r="A20" s="4" t="s">
        <v>42</v>
      </c>
      <c r="B20" s="4" t="s">
        <v>43</v>
      </c>
      <c r="C20" s="4">
        <f t="shared" ca="1" si="0"/>
        <v>0</v>
      </c>
      <c r="D20">
        <f t="shared" ca="1" si="1"/>
        <v>1</v>
      </c>
      <c r="E20" s="7">
        <f t="shared" ca="1" si="2"/>
        <v>0</v>
      </c>
      <c r="F20" s="4"/>
    </row>
    <row r="21" spans="1:6" ht="28.8" x14ac:dyDescent="0.3">
      <c r="A21" s="4" t="s">
        <v>44</v>
      </c>
      <c r="B21" s="4" t="s">
        <v>45</v>
      </c>
      <c r="C21" s="4">
        <f t="shared" ca="1" si="0"/>
        <v>0</v>
      </c>
      <c r="D21">
        <f t="shared" ca="1" si="1"/>
        <v>1</v>
      </c>
      <c r="E21" s="7">
        <f t="shared" ca="1" si="2"/>
        <v>0</v>
      </c>
      <c r="F21" s="4"/>
    </row>
    <row r="22" spans="1:6" ht="28.8" x14ac:dyDescent="0.3">
      <c r="A22" s="4" t="s">
        <v>46</v>
      </c>
      <c r="B22" s="4" t="s">
        <v>47</v>
      </c>
      <c r="C22" s="4">
        <f t="shared" ca="1" si="0"/>
        <v>1</v>
      </c>
      <c r="D22">
        <f t="shared" ca="1" si="1"/>
        <v>1</v>
      </c>
      <c r="E22" s="7">
        <f t="shared" ca="1" si="2"/>
        <v>0.5</v>
      </c>
      <c r="F22" s="4"/>
    </row>
    <row r="23" spans="1:6" ht="28.8" x14ac:dyDescent="0.3">
      <c r="A23" s="4" t="s">
        <v>48</v>
      </c>
      <c r="B23" s="4" t="s">
        <v>49</v>
      </c>
      <c r="C23" s="4">
        <f t="shared" ca="1" si="0"/>
        <v>55338</v>
      </c>
      <c r="D23">
        <f t="shared" ca="1" si="1"/>
        <v>1</v>
      </c>
      <c r="E23" s="7">
        <f t="shared" ca="1" si="2"/>
        <v>0.9999819295614305</v>
      </c>
      <c r="F23" s="4"/>
    </row>
    <row r="24" spans="1:6" ht="28.8" x14ac:dyDescent="0.3">
      <c r="A24" s="4" t="s">
        <v>50</v>
      </c>
      <c r="B24" s="4" t="s">
        <v>51</v>
      </c>
      <c r="C24" s="4">
        <f t="shared" ca="1" si="0"/>
        <v>55340</v>
      </c>
      <c r="D24">
        <f t="shared" ca="1" si="1"/>
        <v>1</v>
      </c>
      <c r="E24" s="7">
        <f t="shared" ca="1" si="2"/>
        <v>0.99998193021448833</v>
      </c>
      <c r="F24" s="4"/>
    </row>
    <row r="25" spans="1:6" ht="28.8" x14ac:dyDescent="0.3">
      <c r="A25" s="4" t="s">
        <v>52</v>
      </c>
      <c r="B25" s="4" t="s">
        <v>53</v>
      </c>
      <c r="C25" s="4">
        <f t="shared" ca="1" si="0"/>
        <v>55550</v>
      </c>
      <c r="D25">
        <f t="shared" ca="1" si="1"/>
        <v>1</v>
      </c>
      <c r="E25" s="7">
        <f t="shared" ca="1" si="2"/>
        <v>0.99998199852387892</v>
      </c>
      <c r="F25" s="4"/>
    </row>
    <row r="26" spans="1:6" ht="28.8" x14ac:dyDescent="0.3">
      <c r="A26" s="4" t="s">
        <v>54</v>
      </c>
      <c r="B26" s="4" t="s">
        <v>55</v>
      </c>
      <c r="C26" s="4">
        <f t="shared" ca="1" si="0"/>
        <v>55338</v>
      </c>
      <c r="D26">
        <f t="shared" ca="1" si="1"/>
        <v>1</v>
      </c>
      <c r="E26" s="7">
        <f t="shared" ca="1" si="2"/>
        <v>0.9999819295614305</v>
      </c>
      <c r="F26" s="4"/>
    </row>
    <row r="27" spans="1:6" ht="28.8" x14ac:dyDescent="0.3">
      <c r="A27" s="4" t="s">
        <v>56</v>
      </c>
      <c r="B27" s="4" t="s">
        <v>57</v>
      </c>
      <c r="C27" s="4">
        <f t="shared" ca="1" si="0"/>
        <v>55338</v>
      </c>
      <c r="D27">
        <f t="shared" ca="1" si="1"/>
        <v>1</v>
      </c>
      <c r="E27" s="7">
        <f t="shared" ca="1" si="2"/>
        <v>0.9999819295614305</v>
      </c>
      <c r="F27" s="4"/>
    </row>
    <row r="28" spans="1:6" ht="43.2" x14ac:dyDescent="0.3">
      <c r="A28" s="4" t="s">
        <v>58</v>
      </c>
      <c r="B28" s="4" t="s">
        <v>59</v>
      </c>
      <c r="C28" s="4">
        <f t="shared" ca="1" si="0"/>
        <v>55338</v>
      </c>
      <c r="D28">
        <f t="shared" ca="1" si="1"/>
        <v>1</v>
      </c>
      <c r="E28" s="7">
        <f t="shared" ca="1" si="2"/>
        <v>0.9999819295614305</v>
      </c>
      <c r="F28" s="4"/>
    </row>
    <row r="29" spans="1:6" ht="28.8" x14ac:dyDescent="0.3">
      <c r="A29" s="4" t="s">
        <v>60</v>
      </c>
      <c r="B29" s="4" t="s">
        <v>61</v>
      </c>
      <c r="C29" s="4">
        <f t="shared" ca="1" si="0"/>
        <v>0</v>
      </c>
      <c r="D29">
        <f t="shared" ca="1" si="1"/>
        <v>1</v>
      </c>
      <c r="E29" s="7">
        <f t="shared" ca="1" si="2"/>
        <v>0</v>
      </c>
      <c r="F29" s="4"/>
    </row>
    <row r="30" spans="1:6" ht="28.8" x14ac:dyDescent="0.3">
      <c r="A30" s="4" t="s">
        <v>62</v>
      </c>
      <c r="B30" s="4" t="s">
        <v>63</v>
      </c>
      <c r="C30" s="4">
        <f t="shared" ca="1" si="0"/>
        <v>56372</v>
      </c>
      <c r="D30">
        <f t="shared" ca="1" si="1"/>
        <v>1</v>
      </c>
      <c r="E30" s="7">
        <f t="shared" ca="1" si="2"/>
        <v>0.99998226101147714</v>
      </c>
      <c r="F30" s="4"/>
    </row>
    <row r="31" spans="1:6" ht="28.8" x14ac:dyDescent="0.3">
      <c r="A31" s="4" t="s">
        <v>64</v>
      </c>
      <c r="B31" s="4" t="s">
        <v>65</v>
      </c>
      <c r="C31" s="4">
        <f t="shared" ca="1" si="0"/>
        <v>17027</v>
      </c>
      <c r="D31">
        <f t="shared" ca="1" si="1"/>
        <v>1</v>
      </c>
      <c r="E31" s="7">
        <f t="shared" ca="1" si="2"/>
        <v>0.99994127319708714</v>
      </c>
      <c r="F31" s="4"/>
    </row>
    <row r="32" spans="1:6" ht="28.8" x14ac:dyDescent="0.3">
      <c r="A32" s="4" t="s">
        <v>66</v>
      </c>
      <c r="B32" s="4" t="s">
        <v>67</v>
      </c>
      <c r="C32" s="4">
        <f t="shared" ca="1" si="0"/>
        <v>55348</v>
      </c>
      <c r="D32">
        <f t="shared" ca="1" si="1"/>
        <v>1</v>
      </c>
      <c r="E32" s="7">
        <f t="shared" ca="1" si="2"/>
        <v>0.99998193282624803</v>
      </c>
      <c r="F32" s="4"/>
    </row>
    <row r="33" spans="1:6" ht="28.8" x14ac:dyDescent="0.3">
      <c r="A33" s="4" t="s">
        <v>68</v>
      </c>
      <c r="B33" s="4" t="s">
        <v>69</v>
      </c>
      <c r="C33" s="4">
        <f t="shared" ca="1" si="0"/>
        <v>55348</v>
      </c>
      <c r="D33">
        <f t="shared" ca="1" si="1"/>
        <v>1</v>
      </c>
      <c r="E33" s="7">
        <f t="shared" ca="1" si="2"/>
        <v>0.99998193282624803</v>
      </c>
      <c r="F33" s="4"/>
    </row>
    <row r="34" spans="1:6" ht="43.2" x14ac:dyDescent="0.3">
      <c r="A34" s="4" t="s">
        <v>70</v>
      </c>
      <c r="B34" s="4" t="s">
        <v>71</v>
      </c>
      <c r="C34" s="4">
        <f t="shared" ca="1" si="0"/>
        <v>55348</v>
      </c>
      <c r="D34">
        <f t="shared" ca="1" si="1"/>
        <v>1</v>
      </c>
      <c r="E34" s="7">
        <f t="shared" ca="1" si="2"/>
        <v>0.99998193282624803</v>
      </c>
      <c r="F34" s="4"/>
    </row>
    <row r="35" spans="1:6" ht="28.8" x14ac:dyDescent="0.3">
      <c r="A35" s="4" t="s">
        <v>72</v>
      </c>
      <c r="B35" s="4" t="s">
        <v>73</v>
      </c>
      <c r="C35" s="4">
        <f t="shared" ca="1" si="0"/>
        <v>1</v>
      </c>
      <c r="D35">
        <f t="shared" ca="1" si="1"/>
        <v>1</v>
      </c>
      <c r="E35" s="7">
        <f t="shared" ca="1" si="2"/>
        <v>0.5</v>
      </c>
      <c r="F35" s="4"/>
    </row>
    <row r="36" spans="1:6" ht="28.8" x14ac:dyDescent="0.3">
      <c r="A36" s="4" t="s">
        <v>74</v>
      </c>
      <c r="B36" s="4" t="s">
        <v>75</v>
      </c>
      <c r="C36" s="4">
        <f t="shared" ca="1" si="0"/>
        <v>43049</v>
      </c>
      <c r="D36">
        <f t="shared" ca="1" si="1"/>
        <v>1</v>
      </c>
      <c r="E36" s="7">
        <f t="shared" ca="1" si="2"/>
        <v>0.99997677119628336</v>
      </c>
      <c r="F36" s="4"/>
    </row>
    <row r="37" spans="1:6" ht="43.2" x14ac:dyDescent="0.3">
      <c r="A37" s="4" t="s">
        <v>76</v>
      </c>
      <c r="B37" s="4" t="s">
        <v>77</v>
      </c>
      <c r="C37" s="4">
        <f t="shared" ca="1" si="0"/>
        <v>43049</v>
      </c>
      <c r="D37">
        <f t="shared" ca="1" si="1"/>
        <v>1</v>
      </c>
      <c r="E37" s="7">
        <f t="shared" ca="1" si="2"/>
        <v>0.99997677119628336</v>
      </c>
      <c r="F37" s="4"/>
    </row>
    <row r="38" spans="1:6" ht="43.2" x14ac:dyDescent="0.3">
      <c r="A38" s="4" t="s">
        <v>78</v>
      </c>
      <c r="B38" s="4" t="s">
        <v>79</v>
      </c>
      <c r="C38" s="4">
        <f t="shared" ca="1" si="0"/>
        <v>43049</v>
      </c>
      <c r="D38">
        <f t="shared" ca="1" si="1"/>
        <v>1</v>
      </c>
      <c r="E38" s="7">
        <f t="shared" ca="1" si="2"/>
        <v>0.99997677119628336</v>
      </c>
      <c r="F38" s="4"/>
    </row>
    <row r="39" spans="1:6" ht="28.8" x14ac:dyDescent="0.3">
      <c r="A39" s="4" t="s">
        <v>80</v>
      </c>
      <c r="B39" s="4" t="s">
        <v>81</v>
      </c>
      <c r="C39" s="4">
        <f t="shared" ca="1" si="0"/>
        <v>55338</v>
      </c>
      <c r="D39">
        <f t="shared" ca="1" si="1"/>
        <v>1</v>
      </c>
      <c r="E39" s="7">
        <f t="shared" ca="1" si="2"/>
        <v>0.9999819295614305</v>
      </c>
      <c r="F39" s="4"/>
    </row>
    <row r="40" spans="1:6" ht="28.8" x14ac:dyDescent="0.3">
      <c r="A40" s="4" t="s">
        <v>82</v>
      </c>
      <c r="B40" s="4" t="s">
        <v>83</v>
      </c>
      <c r="C40" s="4">
        <f t="shared" ca="1" si="0"/>
        <v>55338</v>
      </c>
      <c r="D40">
        <f t="shared" ca="1" si="1"/>
        <v>1</v>
      </c>
      <c r="E40" s="7">
        <f t="shared" ca="1" si="2"/>
        <v>0.9999819295614305</v>
      </c>
      <c r="F40" s="4"/>
    </row>
    <row r="41" spans="1:6" ht="28.8" x14ac:dyDescent="0.3">
      <c r="A41" s="4" t="s">
        <v>84</v>
      </c>
      <c r="B41" s="4" t="s">
        <v>85</v>
      </c>
      <c r="C41" s="4">
        <f t="shared" ca="1" si="0"/>
        <v>55338</v>
      </c>
      <c r="D41">
        <f t="shared" ca="1" si="1"/>
        <v>1</v>
      </c>
      <c r="E41" s="7">
        <f t="shared" ca="1" si="2"/>
        <v>0.9999819295614305</v>
      </c>
      <c r="F41" s="4"/>
    </row>
    <row r="42" spans="1:6" ht="28.8" x14ac:dyDescent="0.3">
      <c r="A42" s="4" t="s">
        <v>86</v>
      </c>
      <c r="B42" s="4" t="s">
        <v>87</v>
      </c>
      <c r="C42" s="4">
        <f t="shared" ca="1" si="0"/>
        <v>55338</v>
      </c>
      <c r="D42">
        <f t="shared" ca="1" si="1"/>
        <v>1</v>
      </c>
      <c r="E42" s="7">
        <f t="shared" ca="1" si="2"/>
        <v>0.9999819295614305</v>
      </c>
      <c r="F42" s="4"/>
    </row>
    <row r="43" spans="1:6" ht="28.8" x14ac:dyDescent="0.3">
      <c r="A43" s="4" t="s">
        <v>88</v>
      </c>
      <c r="B43" s="4" t="s">
        <v>89</v>
      </c>
      <c r="C43" s="4">
        <f t="shared" ca="1" si="0"/>
        <v>55780</v>
      </c>
      <c r="D43">
        <f t="shared" ca="1" si="1"/>
        <v>1</v>
      </c>
      <c r="E43" s="7">
        <f t="shared" ca="1" si="2"/>
        <v>0.99998207274878548</v>
      </c>
      <c r="F43" s="4"/>
    </row>
    <row r="44" spans="1:6" ht="28.8" x14ac:dyDescent="0.3">
      <c r="A44" s="4" t="s">
        <v>90</v>
      </c>
      <c r="B44" s="4" t="s">
        <v>91</v>
      </c>
      <c r="C44" s="4">
        <f t="shared" ca="1" si="0"/>
        <v>55643</v>
      </c>
      <c r="D44">
        <f t="shared" ca="1" si="1"/>
        <v>1</v>
      </c>
      <c r="E44" s="7">
        <f t="shared" ca="1" si="2"/>
        <v>0.99998202861045216</v>
      </c>
      <c r="F44" s="4"/>
    </row>
    <row r="45" spans="1:6" ht="28.8" x14ac:dyDescent="0.3">
      <c r="A45" s="4" t="s">
        <v>92</v>
      </c>
      <c r="B45" s="4" t="s">
        <v>93</v>
      </c>
      <c r="C45" s="4" t="e">
        <f t="shared" ref="C45" ca="1" si="3">COUNTBLANK(INDIRECT("'" &amp; "Main_data" &amp; "'!" &amp; B45 &amp; "2:" &amp; B45 &amp; MATCH("zzz", INDIRECT("'" &amp; "Main_data" &amp; "'!" &amp; B45 &amp; ":" &amp; B45), 1)))</f>
        <v>#N/A</v>
      </c>
      <c r="D45">
        <f t="shared" ref="D45" ca="1" si="4">COUNTA(INDIRECT("'" &amp; "Sheet1" &amp; "'!" &amp; B45 &amp; "2:" &amp; B45 &amp; "60000"))</f>
        <v>1</v>
      </c>
      <c r="E45" s="7">
        <f t="shared" ref="E45" ca="1" si="5">IFERROR(C45 / (C45 + D45), 0)</f>
        <v>0</v>
      </c>
      <c r="F45" s="4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91F8-A051-4A39-97FB-9A9295662B82}">
  <dimension ref="A1:E57"/>
  <sheetViews>
    <sheetView topLeftCell="A15" workbookViewId="0">
      <selection activeCell="C1" sqref="C1"/>
    </sheetView>
  </sheetViews>
  <sheetFormatPr defaultRowHeight="14.4" x14ac:dyDescent="0.3"/>
  <sheetData>
    <row r="1" spans="1:5" ht="43.8" thickBo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</row>
    <row r="2" spans="1:5" ht="29.4" thickTop="1" x14ac:dyDescent="0.3">
      <c r="A2" s="13" t="s">
        <v>18</v>
      </c>
      <c r="B2" s="14" t="s">
        <v>19</v>
      </c>
      <c r="C2" s="14">
        <v>1</v>
      </c>
      <c r="D2" s="8">
        <v>0</v>
      </c>
      <c r="E2" s="15">
        <v>1</v>
      </c>
    </row>
    <row r="3" spans="1:5" ht="28.8" x14ac:dyDescent="0.3">
      <c r="A3" s="16" t="s">
        <v>22</v>
      </c>
      <c r="B3" s="17" t="s">
        <v>23</v>
      </c>
      <c r="C3" s="17">
        <v>54747</v>
      </c>
      <c r="D3" s="9">
        <v>2007</v>
      </c>
      <c r="E3" s="18">
        <v>0.96463685379004127</v>
      </c>
    </row>
    <row r="4" spans="1:5" ht="72" x14ac:dyDescent="0.3">
      <c r="A4" s="13" t="s">
        <v>36</v>
      </c>
      <c r="B4" s="14" t="s">
        <v>37</v>
      </c>
      <c r="C4" s="14">
        <v>268</v>
      </c>
      <c r="D4" s="8">
        <v>56596</v>
      </c>
      <c r="E4" s="15">
        <v>4.7129994372537981E-3</v>
      </c>
    </row>
    <row r="5" spans="1:5" ht="43.2" x14ac:dyDescent="0.3">
      <c r="A5" s="16" t="s">
        <v>38</v>
      </c>
      <c r="B5" s="17" t="s">
        <v>39</v>
      </c>
      <c r="C5" s="17">
        <v>591</v>
      </c>
      <c r="D5" s="9">
        <v>56273</v>
      </c>
      <c r="E5" s="18">
        <v>1.039321890827237E-2</v>
      </c>
    </row>
    <row r="6" spans="1:5" ht="43.2" x14ac:dyDescent="0.3">
      <c r="A6" s="13" t="s">
        <v>40</v>
      </c>
      <c r="B6" s="14" t="s">
        <v>41</v>
      </c>
      <c r="C6" s="14">
        <v>12686</v>
      </c>
      <c r="D6" s="8">
        <v>44178</v>
      </c>
      <c r="E6" s="15">
        <v>0.2230936972425436</v>
      </c>
    </row>
    <row r="7" spans="1:5" ht="57.6" x14ac:dyDescent="0.3">
      <c r="A7" s="16" t="s">
        <v>46</v>
      </c>
      <c r="B7" s="17" t="s">
        <v>47</v>
      </c>
      <c r="C7" s="17">
        <v>1</v>
      </c>
      <c r="D7" s="9">
        <v>5138</v>
      </c>
      <c r="E7" s="18">
        <v>1.945903872348706E-4</v>
      </c>
    </row>
    <row r="8" spans="1:5" ht="57.6" x14ac:dyDescent="0.3">
      <c r="A8" s="13" t="s">
        <v>50</v>
      </c>
      <c r="B8" s="14" t="s">
        <v>51</v>
      </c>
      <c r="C8" s="14">
        <v>188</v>
      </c>
      <c r="D8" s="8">
        <v>56676</v>
      </c>
      <c r="E8" s="15">
        <v>3.3061339335959481E-3</v>
      </c>
    </row>
    <row r="9" spans="1:5" ht="57.6" x14ac:dyDescent="0.3">
      <c r="A9" s="16" t="s">
        <v>52</v>
      </c>
      <c r="B9" s="17" t="s">
        <v>53</v>
      </c>
      <c r="C9" s="17">
        <v>964</v>
      </c>
      <c r="D9" s="9">
        <v>55900</v>
      </c>
      <c r="E9" s="18">
        <v>1.6952729319077098E-2</v>
      </c>
    </row>
    <row r="10" spans="1:5" ht="57.6" x14ac:dyDescent="0.3">
      <c r="A10" s="13" t="s">
        <v>62</v>
      </c>
      <c r="B10" s="14" t="s">
        <v>63</v>
      </c>
      <c r="C10" s="14">
        <v>15386</v>
      </c>
      <c r="D10" s="8">
        <v>41478</v>
      </c>
      <c r="E10" s="15">
        <v>0.27057540799099605</v>
      </c>
    </row>
    <row r="11" spans="1:5" ht="72" x14ac:dyDescent="0.3">
      <c r="A11" s="16" t="s">
        <v>64</v>
      </c>
      <c r="B11" s="17" t="s">
        <v>65</v>
      </c>
      <c r="C11" s="17">
        <v>33947</v>
      </c>
      <c r="D11" s="9">
        <v>3</v>
      </c>
      <c r="E11" s="18">
        <v>0.99991163475699563</v>
      </c>
    </row>
    <row r="12" spans="1:5" ht="57.6" x14ac:dyDescent="0.3">
      <c r="A12" s="13" t="s">
        <v>66</v>
      </c>
      <c r="B12" s="14" t="s">
        <v>67</v>
      </c>
      <c r="C12" s="14">
        <v>78</v>
      </c>
      <c r="D12" s="8">
        <v>56786</v>
      </c>
      <c r="E12" s="15">
        <v>1.3716938660664041E-3</v>
      </c>
    </row>
    <row r="13" spans="1:5" ht="72" x14ac:dyDescent="0.3">
      <c r="A13" s="16" t="s">
        <v>68</v>
      </c>
      <c r="B13" s="17" t="s">
        <v>69</v>
      </c>
      <c r="C13" s="17">
        <v>78</v>
      </c>
      <c r="D13" s="9">
        <v>56786</v>
      </c>
      <c r="E13" s="18">
        <v>1.3716938660664041E-3</v>
      </c>
    </row>
    <row r="14" spans="1:5" ht="86.4" x14ac:dyDescent="0.3">
      <c r="A14" s="13" t="s">
        <v>70</v>
      </c>
      <c r="B14" s="14" t="s">
        <v>71</v>
      </c>
      <c r="C14" s="14">
        <v>78</v>
      </c>
      <c r="D14" s="8">
        <v>56786</v>
      </c>
      <c r="E14" s="15">
        <v>1.3716938660664041E-3</v>
      </c>
    </row>
    <row r="15" spans="1:5" ht="72" x14ac:dyDescent="0.3">
      <c r="A15" s="16" t="s">
        <v>72</v>
      </c>
      <c r="B15" s="17" t="s">
        <v>73</v>
      </c>
      <c r="C15" s="17">
        <v>42092</v>
      </c>
      <c r="D15" s="9">
        <v>62</v>
      </c>
      <c r="E15" s="18">
        <v>0.99852920244816623</v>
      </c>
    </row>
    <row r="16" spans="1:5" ht="72" x14ac:dyDescent="0.3">
      <c r="A16" s="13" t="s">
        <v>74</v>
      </c>
      <c r="B16" s="14" t="s">
        <v>75</v>
      </c>
      <c r="C16" s="14">
        <v>38505</v>
      </c>
      <c r="D16" s="8">
        <v>18277</v>
      </c>
      <c r="E16" s="15">
        <v>0.67811982670564619</v>
      </c>
    </row>
    <row r="17" spans="1:5" ht="72" x14ac:dyDescent="0.3">
      <c r="A17" s="16" t="s">
        <v>76</v>
      </c>
      <c r="B17" s="17" t="s">
        <v>77</v>
      </c>
      <c r="C17" s="17">
        <v>38505</v>
      </c>
      <c r="D17" s="9">
        <v>18277</v>
      </c>
      <c r="E17" s="18">
        <v>0.67811982670564619</v>
      </c>
    </row>
    <row r="18" spans="1:5" ht="86.4" x14ac:dyDescent="0.3">
      <c r="A18" s="13" t="s">
        <v>78</v>
      </c>
      <c r="B18" s="14" t="s">
        <v>79</v>
      </c>
      <c r="C18" s="14">
        <v>38505</v>
      </c>
      <c r="D18" s="8">
        <v>18277</v>
      </c>
      <c r="E18" s="15">
        <v>0.67811982670564619</v>
      </c>
    </row>
    <row r="19" spans="1:5" ht="43.2" x14ac:dyDescent="0.3">
      <c r="A19" s="19" t="s">
        <v>88</v>
      </c>
      <c r="B19" s="20" t="s">
        <v>89</v>
      </c>
      <c r="C19" s="20">
        <v>45876</v>
      </c>
      <c r="D19" s="21">
        <v>10949</v>
      </c>
      <c r="E19" s="22">
        <v>0.80732072151341838</v>
      </c>
    </row>
    <row r="20" spans="1:5" x14ac:dyDescent="0.3">
      <c r="A20" s="4"/>
      <c r="B20" s="4"/>
    </row>
    <row r="21" spans="1:5" x14ac:dyDescent="0.3">
      <c r="A21" s="4"/>
      <c r="B21" s="4"/>
    </row>
    <row r="22" spans="1:5" x14ac:dyDescent="0.3">
      <c r="A22" s="4"/>
      <c r="B22" s="4"/>
    </row>
    <row r="23" spans="1:5" x14ac:dyDescent="0.3">
      <c r="A23" s="4"/>
      <c r="B23" s="4"/>
    </row>
    <row r="24" spans="1:5" x14ac:dyDescent="0.3">
      <c r="A24" s="4"/>
      <c r="B24" s="4"/>
    </row>
    <row r="25" spans="1:5" x14ac:dyDescent="0.3">
      <c r="A25" s="4"/>
      <c r="B25" s="4"/>
    </row>
    <row r="26" spans="1:5" x14ac:dyDescent="0.3">
      <c r="A26" s="4"/>
      <c r="B26" s="4"/>
    </row>
    <row r="27" spans="1:5" x14ac:dyDescent="0.3">
      <c r="A27" s="4"/>
      <c r="B27" s="4"/>
    </row>
    <row r="28" spans="1:5" x14ac:dyDescent="0.3">
      <c r="A28" s="4"/>
      <c r="B28" s="4"/>
    </row>
    <row r="29" spans="1:5" x14ac:dyDescent="0.3">
      <c r="A29" s="4"/>
      <c r="B29" s="4"/>
    </row>
    <row r="30" spans="1:5" x14ac:dyDescent="0.3">
      <c r="A30" s="4"/>
      <c r="B30" s="4"/>
    </row>
    <row r="31" spans="1:5" x14ac:dyDescent="0.3">
      <c r="A31" s="4"/>
      <c r="B31" s="4"/>
    </row>
    <row r="32" spans="1:5" x14ac:dyDescent="0.3">
      <c r="A32" s="4"/>
      <c r="B32" s="4"/>
    </row>
    <row r="33" spans="1:2" x14ac:dyDescent="0.3">
      <c r="A33" s="4"/>
      <c r="B33" s="4"/>
    </row>
    <row r="34" spans="1:2" x14ac:dyDescent="0.3">
      <c r="A34" s="4"/>
      <c r="B34" s="4"/>
    </row>
    <row r="35" spans="1:2" x14ac:dyDescent="0.3">
      <c r="A35" s="4"/>
      <c r="B35" s="4"/>
    </row>
    <row r="36" spans="1:2" x14ac:dyDescent="0.3">
      <c r="A36" s="4"/>
      <c r="B36" s="4"/>
    </row>
    <row r="37" spans="1:2" x14ac:dyDescent="0.3">
      <c r="A37" s="4"/>
      <c r="B37" s="4"/>
    </row>
    <row r="38" spans="1:2" x14ac:dyDescent="0.3">
      <c r="A38" s="4"/>
      <c r="B38" s="4"/>
    </row>
    <row r="39" spans="1:2" x14ac:dyDescent="0.3">
      <c r="A39" s="4"/>
      <c r="B39" s="4"/>
    </row>
    <row r="40" spans="1:2" x14ac:dyDescent="0.3">
      <c r="A40" s="4"/>
      <c r="B40" s="4"/>
    </row>
    <row r="41" spans="1:2" x14ac:dyDescent="0.3">
      <c r="A41" s="4"/>
      <c r="B41" s="4"/>
    </row>
    <row r="42" spans="1:2" x14ac:dyDescent="0.3">
      <c r="A42" s="4"/>
      <c r="B42" s="4"/>
    </row>
    <row r="43" spans="1:2" x14ac:dyDescent="0.3">
      <c r="A43" s="4"/>
      <c r="B43" s="4"/>
    </row>
    <row r="44" spans="1:2" x14ac:dyDescent="0.3">
      <c r="A44" s="4"/>
      <c r="B44" s="4"/>
    </row>
    <row r="45" spans="1:2" x14ac:dyDescent="0.3">
      <c r="A45" s="4"/>
      <c r="B45" s="4"/>
    </row>
    <row r="46" spans="1:2" x14ac:dyDescent="0.3">
      <c r="A46" s="4"/>
      <c r="B46" s="4"/>
    </row>
    <row r="47" spans="1:2" x14ac:dyDescent="0.3">
      <c r="A47" s="4"/>
      <c r="B47" s="4"/>
    </row>
    <row r="48" spans="1:2" x14ac:dyDescent="0.3">
      <c r="A48" s="4"/>
      <c r="B48" s="4"/>
    </row>
    <row r="49" spans="1:2" x14ac:dyDescent="0.3">
      <c r="A49" s="4"/>
      <c r="B49" s="4"/>
    </row>
    <row r="50" spans="1:2" x14ac:dyDescent="0.3">
      <c r="A50" s="4"/>
      <c r="B50" s="4"/>
    </row>
    <row r="51" spans="1:2" x14ac:dyDescent="0.3">
      <c r="A51" s="4"/>
      <c r="B51" s="4"/>
    </row>
    <row r="52" spans="1:2" x14ac:dyDescent="0.3">
      <c r="A52" s="4"/>
      <c r="B52" s="4"/>
    </row>
    <row r="53" spans="1:2" x14ac:dyDescent="0.3">
      <c r="A53" s="4"/>
      <c r="B53" s="4"/>
    </row>
    <row r="54" spans="1:2" x14ac:dyDescent="0.3">
      <c r="A54" s="4"/>
      <c r="B54" s="4"/>
    </row>
    <row r="55" spans="1:2" x14ac:dyDescent="0.3">
      <c r="A55" s="4"/>
      <c r="B55" s="4"/>
    </row>
    <row r="56" spans="1:2" x14ac:dyDescent="0.3">
      <c r="A56" s="4"/>
      <c r="B56" s="4"/>
    </row>
    <row r="57" spans="1:2" x14ac:dyDescent="0.3">
      <c r="A57" s="4"/>
      <c r="B57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6865"/>
  <sheetViews>
    <sheetView tabSelected="1" zoomScale="66" zoomScaleNormal="40" workbookViewId="0">
      <selection activeCell="D12" sqref="D12"/>
    </sheetView>
  </sheetViews>
  <sheetFormatPr defaultColWidth="8.88671875" defaultRowHeight="15" customHeight="1" x14ac:dyDescent="0.3"/>
  <cols>
    <col min="1" max="1" width="28.44140625" customWidth="1"/>
    <col min="2" max="2" width="10.88671875" customWidth="1"/>
    <col min="3" max="3" width="12.44140625" customWidth="1"/>
    <col min="4" max="4" width="26.44140625" customWidth="1"/>
    <col min="6" max="6" width="15" customWidth="1"/>
    <col min="7" max="7" width="10.44140625" customWidth="1"/>
    <col min="8" max="8" width="14.88671875" customWidth="1"/>
    <col min="9" max="9" width="10" customWidth="1"/>
    <col min="10" max="10" width="11.44140625" customWidth="1"/>
    <col min="13" max="13" width="20.88671875" customWidth="1"/>
    <col min="14" max="14" width="21.21875" customWidth="1"/>
    <col min="15" max="15" width="26" customWidth="1"/>
    <col min="16" max="16" width="27.44140625" customWidth="1"/>
    <col min="17" max="17" width="14.77734375" customWidth="1"/>
    <col min="18" max="18" width="14.21875" customWidth="1"/>
    <col min="19" max="19" width="17.21875" customWidth="1"/>
    <col min="20" max="20" width="21.5546875" customWidth="1"/>
    <col min="21" max="21" width="19.88671875" customWidth="1"/>
    <col min="22" max="22" width="15.44140625" customWidth="1"/>
    <col min="23" max="23" width="28.88671875" customWidth="1"/>
    <col min="24" max="24" width="26" customWidth="1"/>
    <col min="25" max="25" width="18.109375" customWidth="1"/>
    <col min="26" max="26" width="31.109375" customWidth="1"/>
    <col min="27" max="27" width="32.77734375" customWidth="1"/>
    <col min="28" max="28" width="25.109375" customWidth="1"/>
    <col min="29" max="29" width="25.88671875" customWidth="1"/>
    <col min="30" max="30" width="28.88671875" customWidth="1"/>
    <col min="31" max="31" width="20.88671875" customWidth="1"/>
    <col min="32" max="32" width="33.88671875" customWidth="1"/>
    <col min="33" max="33" width="35.44140625" customWidth="1"/>
    <col min="34" max="34" width="33.88671875" customWidth="1"/>
    <col min="35" max="35" width="26" customWidth="1"/>
    <col min="36" max="36" width="36.88671875" customWidth="1"/>
    <col min="37" max="37" width="38.44140625" customWidth="1"/>
    <col min="38" max="38" width="12" customWidth="1"/>
    <col min="39" max="39" width="14.44140625" customWidth="1"/>
    <col min="41" max="41" width="30.77734375" customWidth="1"/>
    <col min="42" max="42" width="13.21875" bestFit="1" customWidth="1"/>
    <col min="43" max="43" width="16.5546875" style="24" bestFit="1" customWidth="1"/>
  </cols>
  <sheetData>
    <row r="1" spans="1:43" ht="14.4" x14ac:dyDescent="0.3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53</v>
      </c>
      <c r="L1" s="1" t="s">
        <v>55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1" t="s">
        <v>110</v>
      </c>
      <c r="T1" s="1" t="s">
        <v>111</v>
      </c>
      <c r="U1" s="1" t="s">
        <v>112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118</v>
      </c>
      <c r="AB1" s="1" t="s">
        <v>119</v>
      </c>
      <c r="AC1" s="1" t="s">
        <v>120</v>
      </c>
      <c r="AD1" s="1" t="s">
        <v>121</v>
      </c>
      <c r="AE1" s="1" t="s">
        <v>122</v>
      </c>
      <c r="AF1" s="1" t="s">
        <v>123</v>
      </c>
      <c r="AG1" s="1" t="s">
        <v>124</v>
      </c>
      <c r="AH1" s="1" t="s">
        <v>125</v>
      </c>
      <c r="AI1" s="1" t="s">
        <v>126</v>
      </c>
      <c r="AJ1" s="1" t="s">
        <v>127</v>
      </c>
      <c r="AK1" s="1" t="s">
        <v>128</v>
      </c>
      <c r="AL1" s="1" t="s">
        <v>129</v>
      </c>
      <c r="AM1" s="1" t="s">
        <v>130</v>
      </c>
      <c r="AN1" s="1" t="s">
        <v>131</v>
      </c>
      <c r="AO1" s="1" t="s">
        <v>132</v>
      </c>
      <c r="AP1" s="1" t="s">
        <v>5</v>
      </c>
      <c r="AQ1" s="23" t="s">
        <v>133</v>
      </c>
    </row>
    <row r="2" spans="1:43" ht="19.95" customHeight="1" x14ac:dyDescent="0.3">
      <c r="A2" t="s">
        <v>134</v>
      </c>
      <c r="B2">
        <v>4935381</v>
      </c>
      <c r="C2" t="s">
        <v>135</v>
      </c>
      <c r="D2" t="s">
        <v>136</v>
      </c>
      <c r="E2" t="s">
        <v>137</v>
      </c>
      <c r="F2" t="s">
        <v>138</v>
      </c>
      <c r="H2" t="s">
        <v>139</v>
      </c>
      <c r="J2" t="s">
        <v>140</v>
      </c>
      <c r="K2">
        <v>153049.07399999999</v>
      </c>
      <c r="L2">
        <v>384691.92700000003</v>
      </c>
      <c r="M2">
        <v>1</v>
      </c>
      <c r="N2" t="s">
        <v>141</v>
      </c>
      <c r="O2" t="s">
        <v>142</v>
      </c>
      <c r="P2" t="s">
        <v>143</v>
      </c>
      <c r="Q2" t="s">
        <v>144</v>
      </c>
      <c r="R2" t="s">
        <v>145</v>
      </c>
      <c r="S2">
        <v>69</v>
      </c>
      <c r="T2">
        <v>11900</v>
      </c>
      <c r="V2" t="s">
        <v>146</v>
      </c>
      <c r="W2" t="s">
        <v>147</v>
      </c>
      <c r="X2" t="s">
        <v>7</v>
      </c>
      <c r="Y2" t="s">
        <v>148</v>
      </c>
      <c r="Z2" t="s">
        <v>142</v>
      </c>
      <c r="AA2" t="s">
        <v>149</v>
      </c>
      <c r="AB2">
        <v>600</v>
      </c>
      <c r="AC2" t="s">
        <v>150</v>
      </c>
      <c r="AE2" t="s">
        <v>151</v>
      </c>
      <c r="AF2" t="s">
        <v>152</v>
      </c>
      <c r="AG2" t="s">
        <v>153</v>
      </c>
      <c r="AI2" t="s">
        <v>154</v>
      </c>
      <c r="AJ2" t="s">
        <v>152</v>
      </c>
      <c r="AK2" t="s">
        <v>153</v>
      </c>
      <c r="AL2" t="s">
        <v>155</v>
      </c>
      <c r="AM2" t="s">
        <v>156</v>
      </c>
      <c r="AN2" t="s">
        <v>157</v>
      </c>
      <c r="AO2" t="s">
        <v>141</v>
      </c>
      <c r="AP2" t="s">
        <v>158</v>
      </c>
      <c r="AQ2" s="24" t="str">
        <f>IF(ISBLANK(AP2), IFERROR(IF(VLOOKUP(AO2, Ellens_additions!$A$2:$B$252, 2, FALSE) = "", "", VLOOKUP(AO2, Ellens_additions!$A$2:$B$252, 2, FALSE)), 0), AP2)</f>
        <v>3000</v>
      </c>
    </row>
    <row r="3" spans="1:43" ht="20.399999999999999" customHeight="1" x14ac:dyDescent="0.3">
      <c r="A3" t="s">
        <v>159</v>
      </c>
      <c r="B3">
        <v>4935383</v>
      </c>
      <c r="C3" t="s">
        <v>135</v>
      </c>
      <c r="D3" t="s">
        <v>136</v>
      </c>
      <c r="E3" t="s">
        <v>137</v>
      </c>
      <c r="F3" t="s">
        <v>138</v>
      </c>
      <c r="H3" t="s">
        <v>160</v>
      </c>
      <c r="J3" t="s">
        <v>140</v>
      </c>
      <c r="K3">
        <v>152954.62</v>
      </c>
      <c r="L3">
        <v>384850.76899999997</v>
      </c>
      <c r="M3">
        <v>1</v>
      </c>
      <c r="N3" t="s">
        <v>141</v>
      </c>
      <c r="O3" t="s">
        <v>142</v>
      </c>
      <c r="P3" t="s">
        <v>143</v>
      </c>
      <c r="Q3" t="s">
        <v>144</v>
      </c>
      <c r="R3" t="s">
        <v>145</v>
      </c>
      <c r="S3">
        <v>69</v>
      </c>
      <c r="T3">
        <v>11900</v>
      </c>
      <c r="V3" t="s">
        <v>146</v>
      </c>
      <c r="W3" t="s">
        <v>147</v>
      </c>
      <c r="X3" t="s">
        <v>7</v>
      </c>
      <c r="Y3" t="s">
        <v>148</v>
      </c>
      <c r="Z3" t="s">
        <v>142</v>
      </c>
      <c r="AA3" t="s">
        <v>149</v>
      </c>
      <c r="AB3">
        <v>600</v>
      </c>
      <c r="AC3" t="s">
        <v>150</v>
      </c>
      <c r="AE3" t="s">
        <v>151</v>
      </c>
      <c r="AF3" t="s">
        <v>152</v>
      </c>
      <c r="AG3" t="s">
        <v>153</v>
      </c>
      <c r="AI3" t="s">
        <v>154</v>
      </c>
      <c r="AJ3" t="s">
        <v>152</v>
      </c>
      <c r="AK3" t="s">
        <v>153</v>
      </c>
      <c r="AL3" t="s">
        <v>161</v>
      </c>
      <c r="AM3" t="s">
        <v>162</v>
      </c>
      <c r="AN3" t="s">
        <v>163</v>
      </c>
      <c r="AO3" t="s">
        <v>141</v>
      </c>
      <c r="AP3" t="s">
        <v>158</v>
      </c>
      <c r="AQ3" s="24" t="str">
        <f>IF(ISBLANK(AP3), IFERROR(IF(VLOOKUP(AO3, Ellens_additions!$A$2:$B$252, 2, FALSE) = "", "", VLOOKUP(AO3, Ellens_additions!$A$2:$B$252, 2, FALSE)), 0), AP3)</f>
        <v>3000</v>
      </c>
    </row>
    <row r="4" spans="1:43" ht="17.399999999999999" customHeight="1" x14ac:dyDescent="0.3">
      <c r="A4" t="s">
        <v>164</v>
      </c>
      <c r="B4">
        <v>4935384</v>
      </c>
      <c r="C4" t="s">
        <v>135</v>
      </c>
      <c r="D4" t="s">
        <v>136</v>
      </c>
      <c r="E4" t="s">
        <v>137</v>
      </c>
      <c r="F4" t="s">
        <v>138</v>
      </c>
      <c r="H4" t="s">
        <v>165</v>
      </c>
      <c r="J4" t="s">
        <v>140</v>
      </c>
      <c r="K4">
        <v>152907.36199999999</v>
      </c>
      <c r="L4">
        <v>384932.69199999998</v>
      </c>
      <c r="M4">
        <v>1</v>
      </c>
      <c r="N4" t="s">
        <v>166</v>
      </c>
      <c r="O4" t="s">
        <v>152</v>
      </c>
      <c r="P4" t="s">
        <v>167</v>
      </c>
      <c r="Q4" t="s">
        <v>144</v>
      </c>
      <c r="S4">
        <v>74</v>
      </c>
      <c r="T4">
        <v>9400</v>
      </c>
      <c r="V4" t="s">
        <v>146</v>
      </c>
      <c r="W4" t="s">
        <v>147</v>
      </c>
      <c r="X4" t="s">
        <v>7</v>
      </c>
      <c r="Y4" t="s">
        <v>168</v>
      </c>
      <c r="Z4" t="s">
        <v>152</v>
      </c>
      <c r="AA4" t="s">
        <v>169</v>
      </c>
      <c r="AB4">
        <v>600</v>
      </c>
      <c r="AC4" t="s">
        <v>150</v>
      </c>
      <c r="AE4" t="s">
        <v>151</v>
      </c>
      <c r="AF4" t="s">
        <v>152</v>
      </c>
      <c r="AG4" t="s">
        <v>153</v>
      </c>
      <c r="AI4" t="s">
        <v>154</v>
      </c>
      <c r="AJ4" t="s">
        <v>152</v>
      </c>
      <c r="AK4" t="s">
        <v>153</v>
      </c>
      <c r="AL4" t="s">
        <v>170</v>
      </c>
      <c r="AM4" t="s">
        <v>171</v>
      </c>
      <c r="AN4" t="s">
        <v>172</v>
      </c>
      <c r="AO4" t="s">
        <v>166</v>
      </c>
      <c r="AP4" t="s">
        <v>158</v>
      </c>
      <c r="AQ4" s="24" t="str">
        <f>IF(ISBLANK(AP4), IFERROR(IF(VLOOKUP(AO4, [1]Ellens_additions!$A$2:$B$252, 2, FALSE) = "", "", VLOOKUP(AO4, Ellens_additions!$A$2:$B$252, 2, FALSE)), 0), AP4)</f>
        <v>3000</v>
      </c>
    </row>
    <row r="5" spans="1:43" ht="14.4" x14ac:dyDescent="0.3">
      <c r="A5" t="s">
        <v>173</v>
      </c>
      <c r="B5">
        <v>4935385</v>
      </c>
      <c r="C5" t="s">
        <v>135</v>
      </c>
      <c r="D5" t="s">
        <v>174</v>
      </c>
      <c r="E5" t="s">
        <v>175</v>
      </c>
      <c r="F5" t="s">
        <v>176</v>
      </c>
      <c r="H5" t="s">
        <v>177</v>
      </c>
      <c r="J5" t="s">
        <v>140</v>
      </c>
      <c r="K5">
        <v>156706.02900000001</v>
      </c>
      <c r="L5">
        <v>387037.29</v>
      </c>
      <c r="M5">
        <v>1</v>
      </c>
      <c r="N5" t="s">
        <v>178</v>
      </c>
      <c r="O5" t="s">
        <v>179</v>
      </c>
      <c r="P5" t="s">
        <v>180</v>
      </c>
      <c r="Q5" t="s">
        <v>181</v>
      </c>
      <c r="R5" t="s">
        <v>182</v>
      </c>
      <c r="S5">
        <v>50</v>
      </c>
      <c r="T5">
        <v>4400</v>
      </c>
      <c r="V5" t="s">
        <v>183</v>
      </c>
      <c r="W5" t="s">
        <v>184</v>
      </c>
      <c r="X5" t="s">
        <v>7</v>
      </c>
      <c r="Y5" t="s">
        <v>185</v>
      </c>
      <c r="Z5" t="s">
        <v>186</v>
      </c>
      <c r="AA5" t="s">
        <v>187</v>
      </c>
      <c r="AB5">
        <v>900</v>
      </c>
      <c r="AC5" t="s">
        <v>150</v>
      </c>
      <c r="AE5" t="s">
        <v>188</v>
      </c>
      <c r="AF5" t="s">
        <v>189</v>
      </c>
      <c r="AG5" t="s">
        <v>190</v>
      </c>
      <c r="AI5" t="s">
        <v>191</v>
      </c>
      <c r="AJ5" t="s">
        <v>189</v>
      </c>
      <c r="AK5" t="s">
        <v>190</v>
      </c>
      <c r="AL5" t="s">
        <v>192</v>
      </c>
      <c r="AM5" t="s">
        <v>193</v>
      </c>
      <c r="AN5" t="s">
        <v>194</v>
      </c>
      <c r="AO5" t="s">
        <v>178</v>
      </c>
      <c r="AQ5" s="24">
        <f>IF(ISBLANK(AP5), IFERROR(IF(VLOOKUP(AO5, Ellens_additions!$A$2:$B$252, 2, FALSE) = "", "", VLOOKUP(AO5, Ellens_additions!$A$2:$B$252, 2, FALSE)), 0), AP5)</f>
        <v>2000</v>
      </c>
    </row>
    <row r="6" spans="1:43" ht="14.4" x14ac:dyDescent="0.3">
      <c r="A6" t="s">
        <v>195</v>
      </c>
      <c r="B6">
        <v>4935387</v>
      </c>
      <c r="C6" t="s">
        <v>135</v>
      </c>
      <c r="D6" t="s">
        <v>174</v>
      </c>
      <c r="E6" t="s">
        <v>175</v>
      </c>
      <c r="F6" t="s">
        <v>196</v>
      </c>
      <c r="H6" t="s">
        <v>197</v>
      </c>
      <c r="J6" t="s">
        <v>140</v>
      </c>
      <c r="K6">
        <v>156655.03099999999</v>
      </c>
      <c r="L6">
        <v>387019.36599999998</v>
      </c>
      <c r="M6">
        <v>1</v>
      </c>
      <c r="N6" t="s">
        <v>198</v>
      </c>
      <c r="O6" t="s">
        <v>199</v>
      </c>
      <c r="P6" t="s">
        <v>200</v>
      </c>
      <c r="Q6" t="s">
        <v>201</v>
      </c>
      <c r="R6" t="s">
        <v>182</v>
      </c>
      <c r="S6">
        <v>100</v>
      </c>
      <c r="T6">
        <v>9700</v>
      </c>
      <c r="V6" t="s">
        <v>202</v>
      </c>
      <c r="W6" t="s">
        <v>147</v>
      </c>
      <c r="X6" t="s">
        <v>7</v>
      </c>
      <c r="Y6" t="s">
        <v>203</v>
      </c>
      <c r="Z6" t="s">
        <v>189</v>
      </c>
      <c r="AA6" t="s">
        <v>204</v>
      </c>
      <c r="AB6">
        <v>900</v>
      </c>
      <c r="AC6" t="s">
        <v>150</v>
      </c>
      <c r="AE6" t="s">
        <v>188</v>
      </c>
      <c r="AF6" t="s">
        <v>189</v>
      </c>
      <c r="AG6" t="s">
        <v>190</v>
      </c>
      <c r="AI6" t="s">
        <v>191</v>
      </c>
      <c r="AJ6" t="s">
        <v>189</v>
      </c>
      <c r="AK6" t="s">
        <v>190</v>
      </c>
      <c r="AL6" t="s">
        <v>205</v>
      </c>
      <c r="AM6" t="s">
        <v>206</v>
      </c>
      <c r="AN6" t="s">
        <v>207</v>
      </c>
      <c r="AO6" t="s">
        <v>198</v>
      </c>
      <c r="AQ6" s="24">
        <f>IF(ISBLANK(AP6), IFERROR(IF(VLOOKUP(AO6, Ellens_additions!$A$2:$B$252, 2, FALSE) = "", "", VLOOKUP(AO6, Ellens_additions!$A$2:$B$252, 2, FALSE)), 0), AP6)</f>
        <v>2000</v>
      </c>
    </row>
    <row r="7" spans="1:43" ht="14.4" x14ac:dyDescent="0.3">
      <c r="A7" t="s">
        <v>208</v>
      </c>
      <c r="B7">
        <v>4935397</v>
      </c>
      <c r="C7" t="s">
        <v>135</v>
      </c>
      <c r="D7" t="s">
        <v>209</v>
      </c>
      <c r="E7" t="s">
        <v>210</v>
      </c>
      <c r="F7" t="s">
        <v>211</v>
      </c>
      <c r="H7" t="s">
        <v>212</v>
      </c>
      <c r="J7" t="s">
        <v>140</v>
      </c>
      <c r="K7">
        <v>159380.15</v>
      </c>
      <c r="L7">
        <v>383386.98</v>
      </c>
      <c r="M7">
        <v>1</v>
      </c>
      <c r="N7" t="s">
        <v>213</v>
      </c>
      <c r="O7" t="s">
        <v>214</v>
      </c>
      <c r="P7" t="s">
        <v>215</v>
      </c>
      <c r="Q7" t="s">
        <v>144</v>
      </c>
      <c r="R7" t="s">
        <v>145</v>
      </c>
      <c r="S7">
        <v>61</v>
      </c>
      <c r="T7">
        <v>9000</v>
      </c>
      <c r="V7" t="s">
        <v>146</v>
      </c>
      <c r="W7" t="s">
        <v>147</v>
      </c>
      <c r="X7" t="s">
        <v>7</v>
      </c>
      <c r="Y7" t="s">
        <v>148</v>
      </c>
      <c r="Z7" t="s">
        <v>216</v>
      </c>
      <c r="AA7" t="s">
        <v>217</v>
      </c>
      <c r="AB7">
        <v>900</v>
      </c>
      <c r="AC7" t="s">
        <v>150</v>
      </c>
      <c r="AE7" t="s">
        <v>218</v>
      </c>
      <c r="AF7" t="s">
        <v>219</v>
      </c>
      <c r="AG7" t="s">
        <v>220</v>
      </c>
      <c r="AI7" t="s">
        <v>221</v>
      </c>
      <c r="AJ7" t="s">
        <v>219</v>
      </c>
      <c r="AK7" t="s">
        <v>220</v>
      </c>
      <c r="AL7" t="s">
        <v>222</v>
      </c>
      <c r="AM7" t="s">
        <v>223</v>
      </c>
      <c r="AN7" t="s">
        <v>224</v>
      </c>
      <c r="AO7" t="s">
        <v>213</v>
      </c>
      <c r="AP7" t="s">
        <v>225</v>
      </c>
      <c r="AQ7" s="24" t="str">
        <f>IF(ISBLANK(AP7), IFERROR(IF(VLOOKUP(AO7, Ellens_additions!$A$2:$B$252, 2, FALSE) = "", "", VLOOKUP(AO7, Ellens_additions!$A$2:$B$252, 2, FALSE)), 0), AP7)</f>
        <v>4000</v>
      </c>
    </row>
    <row r="8" spans="1:43" ht="14.4" x14ac:dyDescent="0.3">
      <c r="A8" t="s">
        <v>226</v>
      </c>
      <c r="B8">
        <v>4935399</v>
      </c>
      <c r="C8" t="s">
        <v>135</v>
      </c>
      <c r="D8" t="s">
        <v>174</v>
      </c>
      <c r="E8" t="s">
        <v>227</v>
      </c>
      <c r="F8" t="s">
        <v>228</v>
      </c>
      <c r="H8" t="s">
        <v>229</v>
      </c>
      <c r="J8" t="s">
        <v>140</v>
      </c>
      <c r="K8">
        <v>159471.32699999999</v>
      </c>
      <c r="L8">
        <v>382450.38299999997</v>
      </c>
      <c r="M8">
        <v>1</v>
      </c>
      <c r="N8" t="s">
        <v>230</v>
      </c>
      <c r="O8" t="s">
        <v>231</v>
      </c>
      <c r="P8" t="s">
        <v>232</v>
      </c>
      <c r="Q8" t="s">
        <v>144</v>
      </c>
      <c r="S8">
        <v>150</v>
      </c>
      <c r="T8">
        <v>24000</v>
      </c>
      <c r="V8" t="s">
        <v>146</v>
      </c>
      <c r="W8" t="s">
        <v>233</v>
      </c>
      <c r="X8" t="s">
        <v>7</v>
      </c>
      <c r="Y8" t="s">
        <v>234</v>
      </c>
      <c r="Z8" t="s">
        <v>231</v>
      </c>
      <c r="AA8" t="s">
        <v>235</v>
      </c>
      <c r="AB8">
        <v>1300</v>
      </c>
      <c r="AC8" t="s">
        <v>150</v>
      </c>
      <c r="AE8" t="s">
        <v>236</v>
      </c>
      <c r="AF8" t="s">
        <v>237</v>
      </c>
      <c r="AG8" t="s">
        <v>238</v>
      </c>
      <c r="AI8" t="s">
        <v>239</v>
      </c>
      <c r="AJ8" t="s">
        <v>237</v>
      </c>
      <c r="AK8" t="s">
        <v>238</v>
      </c>
      <c r="AL8" t="s">
        <v>240</v>
      </c>
      <c r="AM8" t="s">
        <v>241</v>
      </c>
      <c r="AN8" t="s">
        <v>242</v>
      </c>
      <c r="AO8" t="s">
        <v>230</v>
      </c>
      <c r="AP8" t="s">
        <v>225</v>
      </c>
      <c r="AQ8" s="24" t="str">
        <f>IF(ISBLANK(AP8), IFERROR(IF(VLOOKUP(AO8, Ellens_additions!$A$2:$B$252, 2, FALSE) = "", "", VLOOKUP(AO8, Ellens_additions!$A$2:$B$252, 2, FALSE)), 0), AP8)</f>
        <v>4000</v>
      </c>
    </row>
    <row r="9" spans="1:43" ht="14.4" x14ac:dyDescent="0.3">
      <c r="A9" t="s">
        <v>243</v>
      </c>
      <c r="B9">
        <v>4935403</v>
      </c>
      <c r="C9" t="s">
        <v>135</v>
      </c>
      <c r="D9" t="s">
        <v>174</v>
      </c>
      <c r="E9" t="s">
        <v>227</v>
      </c>
      <c r="F9" t="s">
        <v>228</v>
      </c>
      <c r="H9" t="s">
        <v>244</v>
      </c>
      <c r="J9" t="s">
        <v>140</v>
      </c>
      <c r="K9">
        <v>159405.39300000001</v>
      </c>
      <c r="L9">
        <v>382588.97200000001</v>
      </c>
      <c r="M9">
        <v>1</v>
      </c>
      <c r="N9" t="s">
        <v>230</v>
      </c>
      <c r="O9" t="s">
        <v>231</v>
      </c>
      <c r="P9" t="s">
        <v>232</v>
      </c>
      <c r="Q9" t="s">
        <v>144</v>
      </c>
      <c r="S9">
        <v>150</v>
      </c>
      <c r="T9">
        <v>24000</v>
      </c>
      <c r="V9" t="s">
        <v>146</v>
      </c>
      <c r="W9" t="s">
        <v>233</v>
      </c>
      <c r="X9" t="s">
        <v>7</v>
      </c>
      <c r="Y9" t="s">
        <v>234</v>
      </c>
      <c r="Z9" t="s">
        <v>231</v>
      </c>
      <c r="AA9" t="s">
        <v>235</v>
      </c>
      <c r="AB9">
        <v>1300</v>
      </c>
      <c r="AC9" t="s">
        <v>150</v>
      </c>
      <c r="AE9" t="s">
        <v>236</v>
      </c>
      <c r="AF9" t="s">
        <v>245</v>
      </c>
      <c r="AG9" t="s">
        <v>246</v>
      </c>
      <c r="AI9" t="s">
        <v>239</v>
      </c>
      <c r="AJ9" t="s">
        <v>245</v>
      </c>
      <c r="AK9" t="s">
        <v>246</v>
      </c>
      <c r="AL9" t="s">
        <v>247</v>
      </c>
      <c r="AM9" t="s">
        <v>248</v>
      </c>
      <c r="AN9" t="s">
        <v>249</v>
      </c>
      <c r="AO9" t="s">
        <v>230</v>
      </c>
      <c r="AP9" t="s">
        <v>225</v>
      </c>
      <c r="AQ9" s="24" t="str">
        <f>IF(ISBLANK(AP9), IFERROR(IF(VLOOKUP(AO9, Ellens_additions!$A$2:$B$252, 2, FALSE) = "", "", VLOOKUP(AO9, Ellens_additions!$A$2:$B$252, 2, FALSE)), 0), AP9)</f>
        <v>4000</v>
      </c>
    </row>
    <row r="10" spans="1:43" ht="14.4" x14ac:dyDescent="0.3">
      <c r="A10" t="s">
        <v>250</v>
      </c>
      <c r="B10">
        <v>4935405</v>
      </c>
      <c r="C10" t="s">
        <v>135</v>
      </c>
      <c r="D10" t="s">
        <v>174</v>
      </c>
      <c r="E10" t="s">
        <v>227</v>
      </c>
      <c r="F10" t="s">
        <v>228</v>
      </c>
      <c r="H10" t="s">
        <v>251</v>
      </c>
      <c r="J10" t="s">
        <v>140</v>
      </c>
      <c r="K10">
        <v>159362.247</v>
      </c>
      <c r="L10">
        <v>382684.01400000002</v>
      </c>
      <c r="M10">
        <v>1</v>
      </c>
      <c r="N10" t="s">
        <v>230</v>
      </c>
      <c r="O10" t="s">
        <v>231</v>
      </c>
      <c r="P10" t="s">
        <v>232</v>
      </c>
      <c r="Q10" t="s">
        <v>144</v>
      </c>
      <c r="S10">
        <v>150</v>
      </c>
      <c r="T10">
        <v>24000</v>
      </c>
      <c r="V10" t="s">
        <v>146</v>
      </c>
      <c r="W10" t="s">
        <v>233</v>
      </c>
      <c r="X10" t="s">
        <v>7</v>
      </c>
      <c r="Y10" t="s">
        <v>234</v>
      </c>
      <c r="Z10" t="s">
        <v>231</v>
      </c>
      <c r="AA10" t="s">
        <v>235</v>
      </c>
      <c r="AB10">
        <v>1300</v>
      </c>
      <c r="AC10" t="s">
        <v>150</v>
      </c>
      <c r="AE10" t="s">
        <v>236</v>
      </c>
      <c r="AF10" t="s">
        <v>245</v>
      </c>
      <c r="AG10" t="s">
        <v>246</v>
      </c>
      <c r="AI10" t="s">
        <v>239</v>
      </c>
      <c r="AJ10" t="s">
        <v>245</v>
      </c>
      <c r="AK10" t="s">
        <v>246</v>
      </c>
      <c r="AL10" t="s">
        <v>252</v>
      </c>
      <c r="AM10" t="s">
        <v>253</v>
      </c>
      <c r="AN10" t="s">
        <v>254</v>
      </c>
      <c r="AO10" t="s">
        <v>230</v>
      </c>
      <c r="AP10" t="s">
        <v>225</v>
      </c>
      <c r="AQ10" s="24" t="str">
        <f>IF(ISBLANK(AP10), IFERROR(IF(VLOOKUP(AO10, Ellens_additions!$A$2:$B$252, 2, FALSE) = "", "", VLOOKUP(AO10, Ellens_additions!$A$2:$B$252, 2, FALSE)), 0), AP10)</f>
        <v>4000</v>
      </c>
    </row>
    <row r="11" spans="1:43" ht="14.4" x14ac:dyDescent="0.3"/>
    <row r="12" spans="1:43" ht="14.4" x14ac:dyDescent="0.3"/>
    <row r="13" spans="1:43" ht="14.4" x14ac:dyDescent="0.3"/>
    <row r="14" spans="1:43" ht="14.4" x14ac:dyDescent="0.3"/>
    <row r="15" spans="1:43" ht="14.4" x14ac:dyDescent="0.3"/>
    <row r="16" spans="1:43" ht="14.4" x14ac:dyDescent="0.3"/>
    <row r="17" spans="10:10" ht="14.4" x14ac:dyDescent="0.3"/>
    <row r="18" spans="10:10" ht="14.4" x14ac:dyDescent="0.3"/>
    <row r="19" spans="10:10" ht="14.4" x14ac:dyDescent="0.3"/>
    <row r="20" spans="10:10" ht="14.4" x14ac:dyDescent="0.3"/>
    <row r="21" spans="10:10" ht="14.4" x14ac:dyDescent="0.3"/>
    <row r="22" spans="10:10" ht="14.4" x14ac:dyDescent="0.3"/>
    <row r="23" spans="10:10" ht="14.4" x14ac:dyDescent="0.3"/>
    <row r="24" spans="10:10" ht="14.4" x14ac:dyDescent="0.3"/>
    <row r="25" spans="10:10" ht="14.4" x14ac:dyDescent="0.3"/>
    <row r="26" spans="10:10" ht="14.4" x14ac:dyDescent="0.3"/>
    <row r="27" spans="10:10" ht="14.4" x14ac:dyDescent="0.3">
      <c r="J27" t="s">
        <v>43</v>
      </c>
    </row>
    <row r="28" spans="10:10" ht="14.4" x14ac:dyDescent="0.3"/>
    <row r="29" spans="10:10" ht="14.4" x14ac:dyDescent="0.3"/>
    <row r="30" spans="10:10" ht="14.4" x14ac:dyDescent="0.3"/>
    <row r="31" spans="10:10" ht="14.4" x14ac:dyDescent="0.3"/>
    <row r="32" spans="10:10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  <row r="72" ht="14.4" x14ac:dyDescent="0.3"/>
    <row r="73" ht="14.4" x14ac:dyDescent="0.3"/>
    <row r="74" ht="14.4" x14ac:dyDescent="0.3"/>
    <row r="75" ht="14.4" x14ac:dyDescent="0.3"/>
    <row r="76" ht="14.4" x14ac:dyDescent="0.3"/>
    <row r="77" ht="14.4" x14ac:dyDescent="0.3"/>
    <row r="78" ht="14.4" x14ac:dyDescent="0.3"/>
    <row r="79" ht="14.4" x14ac:dyDescent="0.3"/>
    <row r="80" ht="14.4" x14ac:dyDescent="0.3"/>
    <row r="81" ht="14.4" x14ac:dyDescent="0.3"/>
    <row r="82" ht="14.4" x14ac:dyDescent="0.3"/>
    <row r="83" ht="14.4" x14ac:dyDescent="0.3"/>
    <row r="84" ht="14.4" x14ac:dyDescent="0.3"/>
    <row r="85" ht="14.4" x14ac:dyDescent="0.3"/>
    <row r="86" ht="14.4" x14ac:dyDescent="0.3"/>
    <row r="87" ht="14.4" x14ac:dyDescent="0.3"/>
    <row r="88" ht="14.4" x14ac:dyDescent="0.3"/>
    <row r="89" ht="14.4" x14ac:dyDescent="0.3"/>
    <row r="90" ht="14.4" x14ac:dyDescent="0.3"/>
    <row r="91" ht="14.4" x14ac:dyDescent="0.3"/>
    <row r="92" ht="14.4" x14ac:dyDescent="0.3"/>
    <row r="93" ht="14.4" x14ac:dyDescent="0.3"/>
    <row r="94" ht="14.4" x14ac:dyDescent="0.3"/>
    <row r="95" ht="14.4" x14ac:dyDescent="0.3"/>
    <row r="96" ht="14.4" x14ac:dyDescent="0.3"/>
    <row r="97" ht="14.4" x14ac:dyDescent="0.3"/>
    <row r="98" ht="14.4" x14ac:dyDescent="0.3"/>
    <row r="99" ht="14.4" x14ac:dyDescent="0.3"/>
    <row r="100" ht="14.4" x14ac:dyDescent="0.3"/>
    <row r="101" ht="14.4" x14ac:dyDescent="0.3"/>
    <row r="102" ht="14.4" x14ac:dyDescent="0.3"/>
    <row r="103" ht="14.4" x14ac:dyDescent="0.3"/>
    <row r="104" ht="14.4" x14ac:dyDescent="0.3"/>
    <row r="105" ht="14.4" x14ac:dyDescent="0.3"/>
    <row r="106" ht="14.4" x14ac:dyDescent="0.3"/>
    <row r="107" ht="14.4" x14ac:dyDescent="0.3"/>
    <row r="108" ht="14.4" x14ac:dyDescent="0.3"/>
    <row r="109" ht="14.4" x14ac:dyDescent="0.3"/>
    <row r="110" ht="14.4" x14ac:dyDescent="0.3"/>
    <row r="111" ht="14.4" x14ac:dyDescent="0.3"/>
    <row r="112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spans="1:43" ht="14.4" x14ac:dyDescent="0.3"/>
    <row r="466" spans="1:43" ht="14.4" x14ac:dyDescent="0.3"/>
    <row r="467" spans="1:43" ht="14.4" x14ac:dyDescent="0.3"/>
    <row r="468" spans="1:43" ht="14.4" x14ac:dyDescent="0.3"/>
    <row r="469" spans="1:43" ht="14.4" x14ac:dyDescent="0.3"/>
    <row r="470" spans="1:43" ht="14.4" x14ac:dyDescent="0.3"/>
    <row r="471" spans="1:43" ht="14.4" hidden="1" x14ac:dyDescent="0.3">
      <c r="A471" t="s">
        <v>492</v>
      </c>
      <c r="B471">
        <v>4936828</v>
      </c>
      <c r="C471" t="s">
        <v>135</v>
      </c>
      <c r="D471" t="s">
        <v>209</v>
      </c>
      <c r="E471" t="s">
        <v>493</v>
      </c>
      <c r="F471" t="s">
        <v>494</v>
      </c>
      <c r="H471" t="s">
        <v>377</v>
      </c>
      <c r="J471" t="s">
        <v>495</v>
      </c>
      <c r="K471">
        <v>159844.45800000001</v>
      </c>
      <c r="L471">
        <v>384338.06300000002</v>
      </c>
      <c r="M471">
        <v>1</v>
      </c>
      <c r="N471" t="s">
        <v>496</v>
      </c>
      <c r="O471" t="s">
        <v>497</v>
      </c>
      <c r="P471" t="s">
        <v>498</v>
      </c>
      <c r="Q471" t="s">
        <v>144</v>
      </c>
      <c r="R471" t="s">
        <v>145</v>
      </c>
      <c r="S471">
        <v>27</v>
      </c>
      <c r="T471">
        <v>3600</v>
      </c>
      <c r="V471" t="s">
        <v>146</v>
      </c>
      <c r="W471" t="s">
        <v>415</v>
      </c>
      <c r="X471" t="s">
        <v>7</v>
      </c>
      <c r="Y471" t="s">
        <v>499</v>
      </c>
      <c r="Z471" t="s">
        <v>497</v>
      </c>
      <c r="AA471" t="s">
        <v>500</v>
      </c>
      <c r="AB471">
        <v>60</v>
      </c>
      <c r="AE471" t="s">
        <v>501</v>
      </c>
      <c r="AF471" t="s">
        <v>497</v>
      </c>
      <c r="AG471" t="s">
        <v>502</v>
      </c>
      <c r="AI471" t="s">
        <v>503</v>
      </c>
      <c r="AJ471" t="s">
        <v>497</v>
      </c>
      <c r="AK471" t="s">
        <v>502</v>
      </c>
      <c r="AL471" t="s">
        <v>504</v>
      </c>
      <c r="AM471" t="s">
        <v>505</v>
      </c>
      <c r="AN471" t="s">
        <v>506</v>
      </c>
      <c r="AO471" t="s">
        <v>496</v>
      </c>
      <c r="AQ471" t="str">
        <f>IF(ISBLANK(AP471), IFERROR(IF(VLOOKUP(AO471, Ellens_additions!$A$2:$B$252, 2, FALSE) = "", "", VLOOKUP(AO471, Ellens_additions!$A$2:$B$252, 2, FALSE)), 0), AP471)</f>
        <v/>
      </c>
    </row>
    <row r="472" spans="1:43" ht="14.4" x14ac:dyDescent="0.3"/>
    <row r="473" spans="1:43" ht="14.4" x14ac:dyDescent="0.3"/>
    <row r="474" spans="1:43" ht="14.4" x14ac:dyDescent="0.3"/>
    <row r="475" spans="1:43" ht="14.4" x14ac:dyDescent="0.3"/>
    <row r="476" spans="1:43" ht="14.4" x14ac:dyDescent="0.3"/>
    <row r="477" spans="1:43" ht="14.4" x14ac:dyDescent="0.3"/>
    <row r="478" spans="1:43" ht="14.4" x14ac:dyDescent="0.3"/>
    <row r="479" spans="1:43" ht="14.4" x14ac:dyDescent="0.3"/>
    <row r="480" spans="1:43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4.4" x14ac:dyDescent="0.3"/>
    <row r="499" ht="14.4" x14ac:dyDescent="0.3"/>
    <row r="500" ht="14.4" x14ac:dyDescent="0.3"/>
    <row r="501" ht="14.4" x14ac:dyDescent="0.3"/>
    <row r="502" ht="14.4" x14ac:dyDescent="0.3"/>
    <row r="503" ht="14.4" x14ac:dyDescent="0.3"/>
    <row r="504" ht="14.4" x14ac:dyDescent="0.3"/>
    <row r="505" ht="14.4" x14ac:dyDescent="0.3"/>
    <row r="506" ht="14.4" x14ac:dyDescent="0.3"/>
    <row r="507" ht="14.4" x14ac:dyDescent="0.3"/>
    <row r="508" ht="14.4" x14ac:dyDescent="0.3"/>
    <row r="509" ht="14.4" x14ac:dyDescent="0.3"/>
    <row r="510" ht="14.4" x14ac:dyDescent="0.3"/>
    <row r="511" ht="14.4" x14ac:dyDescent="0.3"/>
    <row r="512" ht="14.4" x14ac:dyDescent="0.3"/>
    <row r="513" ht="14.4" x14ac:dyDescent="0.3"/>
    <row r="514" ht="14.4" x14ac:dyDescent="0.3"/>
    <row r="515" ht="14.4" x14ac:dyDescent="0.3"/>
    <row r="516" ht="14.4" x14ac:dyDescent="0.3"/>
    <row r="517" ht="14.4" x14ac:dyDescent="0.3"/>
    <row r="518" ht="14.4" x14ac:dyDescent="0.3"/>
    <row r="519" ht="14.4" x14ac:dyDescent="0.3"/>
    <row r="520" ht="14.4" x14ac:dyDescent="0.3"/>
    <row r="521" ht="14.4" x14ac:dyDescent="0.3"/>
    <row r="522" ht="14.4" x14ac:dyDescent="0.3"/>
    <row r="523" ht="14.4" x14ac:dyDescent="0.3"/>
    <row r="524" ht="14.4" x14ac:dyDescent="0.3"/>
    <row r="525" ht="14.4" x14ac:dyDescent="0.3"/>
    <row r="526" ht="14.4" x14ac:dyDescent="0.3"/>
    <row r="527" ht="14.4" x14ac:dyDescent="0.3"/>
    <row r="528" ht="14.4" x14ac:dyDescent="0.3"/>
    <row r="529" ht="14.4" x14ac:dyDescent="0.3"/>
    <row r="530" ht="14.4" x14ac:dyDescent="0.3"/>
    <row r="531" ht="14.4" x14ac:dyDescent="0.3"/>
    <row r="532" ht="14.4" x14ac:dyDescent="0.3"/>
    <row r="533" ht="14.4" x14ac:dyDescent="0.3"/>
    <row r="534" ht="14.4" x14ac:dyDescent="0.3"/>
    <row r="535" ht="14.4" x14ac:dyDescent="0.3"/>
    <row r="536" ht="14.4" x14ac:dyDescent="0.3"/>
    <row r="537" ht="14.4" x14ac:dyDescent="0.3"/>
    <row r="538" ht="14.4" x14ac:dyDescent="0.3"/>
    <row r="539" ht="14.4" x14ac:dyDescent="0.3"/>
    <row r="540" ht="14.4" x14ac:dyDescent="0.3"/>
    <row r="541" ht="14.4" x14ac:dyDescent="0.3"/>
    <row r="542" ht="14.4" x14ac:dyDescent="0.3"/>
    <row r="543" ht="14.4" x14ac:dyDescent="0.3"/>
    <row r="544" ht="14.4" x14ac:dyDescent="0.3"/>
    <row r="545" ht="14.4" x14ac:dyDescent="0.3"/>
    <row r="546" ht="14.4" x14ac:dyDescent="0.3"/>
    <row r="547" ht="14.4" x14ac:dyDescent="0.3"/>
    <row r="548" ht="14.4" x14ac:dyDescent="0.3"/>
    <row r="549" ht="14.4" x14ac:dyDescent="0.3"/>
    <row r="550" ht="14.4" x14ac:dyDescent="0.3"/>
    <row r="551" ht="14.4" x14ac:dyDescent="0.3"/>
    <row r="552" ht="14.4" x14ac:dyDescent="0.3"/>
    <row r="553" ht="14.4" x14ac:dyDescent="0.3"/>
    <row r="554" ht="14.4" x14ac:dyDescent="0.3"/>
    <row r="555" ht="14.4" x14ac:dyDescent="0.3"/>
    <row r="556" ht="14.4" x14ac:dyDescent="0.3"/>
    <row r="557" ht="14.4" x14ac:dyDescent="0.3"/>
    <row r="558" ht="14.4" x14ac:dyDescent="0.3"/>
    <row r="559" ht="14.4" x14ac:dyDescent="0.3"/>
    <row r="560" ht="14.4" x14ac:dyDescent="0.3"/>
    <row r="561" ht="14.4" x14ac:dyDescent="0.3"/>
    <row r="562" ht="14.4" x14ac:dyDescent="0.3"/>
    <row r="563" ht="14.4" x14ac:dyDescent="0.3"/>
    <row r="564" ht="14.4" x14ac:dyDescent="0.3"/>
    <row r="565" ht="14.4" x14ac:dyDescent="0.3"/>
    <row r="566" ht="14.4" x14ac:dyDescent="0.3"/>
    <row r="567" ht="14.4" x14ac:dyDescent="0.3"/>
    <row r="568" ht="14.4" x14ac:dyDescent="0.3"/>
    <row r="569" ht="14.4" x14ac:dyDescent="0.3"/>
    <row r="570" ht="14.4" x14ac:dyDescent="0.3"/>
    <row r="571" ht="14.4" x14ac:dyDescent="0.3"/>
    <row r="572" ht="14.4" x14ac:dyDescent="0.3"/>
    <row r="573" ht="14.4" x14ac:dyDescent="0.3"/>
    <row r="574" ht="14.4" x14ac:dyDescent="0.3"/>
    <row r="575" ht="14.4" x14ac:dyDescent="0.3"/>
    <row r="576" ht="14.4" x14ac:dyDescent="0.3"/>
    <row r="577" ht="14.4" x14ac:dyDescent="0.3"/>
    <row r="578" ht="14.4" x14ac:dyDescent="0.3"/>
    <row r="579" ht="14.4" x14ac:dyDescent="0.3"/>
    <row r="580" ht="14.4" x14ac:dyDescent="0.3"/>
    <row r="581" ht="14.4" x14ac:dyDescent="0.3"/>
    <row r="582" ht="14.4" x14ac:dyDescent="0.3"/>
    <row r="583" ht="14.4" x14ac:dyDescent="0.3"/>
    <row r="584" ht="14.4" x14ac:dyDescent="0.3"/>
    <row r="585" ht="14.4" x14ac:dyDescent="0.3"/>
    <row r="586" ht="14.4" x14ac:dyDescent="0.3"/>
    <row r="587" ht="14.4" x14ac:dyDescent="0.3"/>
    <row r="588" ht="14.4" x14ac:dyDescent="0.3"/>
    <row r="589" ht="14.4" x14ac:dyDescent="0.3"/>
    <row r="590" ht="14.4" x14ac:dyDescent="0.3"/>
    <row r="591" ht="14.4" x14ac:dyDescent="0.3"/>
    <row r="592" ht="14.4" x14ac:dyDescent="0.3"/>
    <row r="593" ht="14.4" x14ac:dyDescent="0.3"/>
    <row r="594" ht="14.4" x14ac:dyDescent="0.3"/>
    <row r="595" ht="14.4" x14ac:dyDescent="0.3"/>
    <row r="596" ht="14.4" x14ac:dyDescent="0.3"/>
    <row r="597" ht="14.4" x14ac:dyDescent="0.3"/>
    <row r="598" ht="14.4" x14ac:dyDescent="0.3"/>
    <row r="599" ht="14.4" x14ac:dyDescent="0.3"/>
    <row r="600" ht="14.4" x14ac:dyDescent="0.3"/>
    <row r="601" ht="14.4" x14ac:dyDescent="0.3"/>
    <row r="602" ht="14.4" x14ac:dyDescent="0.3"/>
    <row r="603" ht="14.4" x14ac:dyDescent="0.3"/>
    <row r="604" ht="14.4" x14ac:dyDescent="0.3"/>
    <row r="605" ht="14.4" x14ac:dyDescent="0.3"/>
    <row r="606" ht="14.4" x14ac:dyDescent="0.3"/>
    <row r="607" ht="14.4" x14ac:dyDescent="0.3"/>
    <row r="608" ht="14.4" x14ac:dyDescent="0.3"/>
    <row r="609" ht="14.4" x14ac:dyDescent="0.3"/>
    <row r="610" ht="14.4" x14ac:dyDescent="0.3"/>
    <row r="611" ht="14.4" x14ac:dyDescent="0.3"/>
    <row r="612" ht="14.4" x14ac:dyDescent="0.3"/>
    <row r="613" ht="14.4" x14ac:dyDescent="0.3"/>
    <row r="614" ht="14.4" x14ac:dyDescent="0.3"/>
    <row r="615" ht="14.4" x14ac:dyDescent="0.3"/>
    <row r="616" ht="14.4" x14ac:dyDescent="0.3"/>
    <row r="617" ht="14.4" x14ac:dyDescent="0.3"/>
    <row r="618" ht="14.4" x14ac:dyDescent="0.3"/>
    <row r="619" ht="14.4" x14ac:dyDescent="0.3"/>
    <row r="620" ht="14.4" x14ac:dyDescent="0.3"/>
    <row r="621" ht="14.4" x14ac:dyDescent="0.3"/>
    <row r="622" ht="14.4" x14ac:dyDescent="0.3"/>
    <row r="623" ht="14.4" x14ac:dyDescent="0.3"/>
    <row r="624" ht="14.4" x14ac:dyDescent="0.3"/>
    <row r="625" ht="14.4" x14ac:dyDescent="0.3"/>
    <row r="626" ht="14.4" x14ac:dyDescent="0.3"/>
    <row r="627" ht="14.4" x14ac:dyDescent="0.3"/>
    <row r="628" ht="14.4" x14ac:dyDescent="0.3"/>
    <row r="629" ht="14.4" x14ac:dyDescent="0.3"/>
    <row r="630" ht="14.4" x14ac:dyDescent="0.3"/>
    <row r="631" ht="14.4" x14ac:dyDescent="0.3"/>
    <row r="632" ht="14.4" x14ac:dyDescent="0.3"/>
    <row r="633" ht="14.4" x14ac:dyDescent="0.3"/>
    <row r="634" ht="14.4" x14ac:dyDescent="0.3"/>
    <row r="635" ht="14.4" x14ac:dyDescent="0.3"/>
    <row r="636" ht="14.4" x14ac:dyDescent="0.3"/>
    <row r="637" ht="14.4" x14ac:dyDescent="0.3"/>
    <row r="638" ht="14.4" x14ac:dyDescent="0.3"/>
    <row r="639" ht="14.4" x14ac:dyDescent="0.3"/>
    <row r="640" ht="14.4" x14ac:dyDescent="0.3"/>
    <row r="641" ht="14.4" x14ac:dyDescent="0.3"/>
    <row r="642" ht="14.4" x14ac:dyDescent="0.3"/>
    <row r="643" ht="14.4" x14ac:dyDescent="0.3"/>
    <row r="644" ht="14.4" x14ac:dyDescent="0.3"/>
    <row r="645" ht="14.4" x14ac:dyDescent="0.3"/>
    <row r="646" ht="14.4" x14ac:dyDescent="0.3"/>
    <row r="647" ht="14.4" x14ac:dyDescent="0.3"/>
    <row r="648" ht="14.4" x14ac:dyDescent="0.3"/>
    <row r="649" ht="14.4" x14ac:dyDescent="0.3"/>
    <row r="650" ht="14.4" x14ac:dyDescent="0.3"/>
    <row r="651" ht="14.4" x14ac:dyDescent="0.3"/>
    <row r="652" ht="14.4" x14ac:dyDescent="0.3"/>
    <row r="653" ht="14.4" x14ac:dyDescent="0.3"/>
    <row r="654" ht="14.4" x14ac:dyDescent="0.3"/>
    <row r="655" ht="14.4" x14ac:dyDescent="0.3"/>
    <row r="656" ht="14.4" x14ac:dyDescent="0.3"/>
    <row r="657" ht="14.4" x14ac:dyDescent="0.3"/>
    <row r="658" ht="14.4" x14ac:dyDescent="0.3"/>
    <row r="659" ht="14.4" x14ac:dyDescent="0.3"/>
    <row r="660" ht="14.4" x14ac:dyDescent="0.3"/>
    <row r="661" ht="14.4" x14ac:dyDescent="0.3"/>
    <row r="662" ht="14.4" x14ac:dyDescent="0.3"/>
    <row r="663" ht="14.4" x14ac:dyDescent="0.3"/>
    <row r="664" ht="14.4" x14ac:dyDescent="0.3"/>
    <row r="665" ht="14.4" x14ac:dyDescent="0.3"/>
    <row r="666" ht="14.4" x14ac:dyDescent="0.3"/>
    <row r="667" ht="14.4" x14ac:dyDescent="0.3"/>
    <row r="668" ht="14.4" x14ac:dyDescent="0.3"/>
    <row r="669" ht="14.4" x14ac:dyDescent="0.3"/>
    <row r="670" ht="14.4" x14ac:dyDescent="0.3"/>
    <row r="671" ht="14.4" x14ac:dyDescent="0.3"/>
    <row r="672" ht="14.4" x14ac:dyDescent="0.3"/>
    <row r="673" ht="14.4" x14ac:dyDescent="0.3"/>
    <row r="674" ht="14.4" x14ac:dyDescent="0.3"/>
    <row r="675" ht="14.4" x14ac:dyDescent="0.3"/>
    <row r="676" ht="14.4" x14ac:dyDescent="0.3"/>
    <row r="677" ht="14.4" x14ac:dyDescent="0.3"/>
    <row r="678" ht="14.4" x14ac:dyDescent="0.3"/>
    <row r="679" ht="14.4" x14ac:dyDescent="0.3"/>
    <row r="680" ht="14.4" x14ac:dyDescent="0.3"/>
    <row r="681" ht="14.4" x14ac:dyDescent="0.3"/>
    <row r="682" ht="14.4" x14ac:dyDescent="0.3"/>
    <row r="683" ht="14.4" x14ac:dyDescent="0.3"/>
    <row r="684" ht="14.4" x14ac:dyDescent="0.3"/>
    <row r="685" ht="14.4" x14ac:dyDescent="0.3"/>
    <row r="686" ht="14.4" x14ac:dyDescent="0.3"/>
    <row r="687" ht="14.4" x14ac:dyDescent="0.3"/>
    <row r="688" ht="14.4" x14ac:dyDescent="0.3"/>
    <row r="689" ht="14.4" x14ac:dyDescent="0.3"/>
    <row r="690" ht="14.4" x14ac:dyDescent="0.3"/>
    <row r="691" ht="14.4" x14ac:dyDescent="0.3"/>
    <row r="692" ht="14.4" x14ac:dyDescent="0.3"/>
    <row r="693" ht="14.4" x14ac:dyDescent="0.3"/>
    <row r="694" ht="14.4" x14ac:dyDescent="0.3"/>
    <row r="695" ht="14.4" x14ac:dyDescent="0.3"/>
    <row r="696" ht="14.4" x14ac:dyDescent="0.3"/>
    <row r="697" ht="14.4" x14ac:dyDescent="0.3"/>
    <row r="698" ht="14.4" x14ac:dyDescent="0.3"/>
    <row r="699" ht="14.4" x14ac:dyDescent="0.3"/>
    <row r="700" ht="14.4" x14ac:dyDescent="0.3"/>
    <row r="701" ht="14.4" x14ac:dyDescent="0.3"/>
    <row r="702" ht="14.4" x14ac:dyDescent="0.3"/>
    <row r="703" ht="14.4" x14ac:dyDescent="0.3"/>
    <row r="704" ht="14.4" x14ac:dyDescent="0.3"/>
    <row r="705" ht="14.4" x14ac:dyDescent="0.3"/>
    <row r="706" ht="14.4" x14ac:dyDescent="0.3"/>
    <row r="707" ht="14.4" x14ac:dyDescent="0.3"/>
    <row r="708" ht="14.4" x14ac:dyDescent="0.3"/>
    <row r="709" ht="14.4" x14ac:dyDescent="0.3"/>
    <row r="710" ht="14.4" x14ac:dyDescent="0.3"/>
    <row r="711" ht="14.4" x14ac:dyDescent="0.3"/>
    <row r="712" ht="14.4" x14ac:dyDescent="0.3"/>
    <row r="713" ht="14.4" x14ac:dyDescent="0.3"/>
    <row r="714" ht="14.4" x14ac:dyDescent="0.3"/>
    <row r="715" ht="14.4" x14ac:dyDescent="0.3"/>
    <row r="716" ht="14.4" x14ac:dyDescent="0.3"/>
    <row r="717" ht="14.4" x14ac:dyDescent="0.3"/>
    <row r="718" ht="14.4" x14ac:dyDescent="0.3"/>
    <row r="719" ht="14.4" x14ac:dyDescent="0.3"/>
    <row r="720" ht="14.4" x14ac:dyDescent="0.3"/>
    <row r="721" ht="14.4" x14ac:dyDescent="0.3"/>
    <row r="722" ht="14.4" x14ac:dyDescent="0.3"/>
    <row r="723" ht="14.4" x14ac:dyDescent="0.3"/>
    <row r="724" ht="14.4" x14ac:dyDescent="0.3"/>
    <row r="725" ht="14.4" x14ac:dyDescent="0.3"/>
    <row r="726" ht="14.4" x14ac:dyDescent="0.3"/>
    <row r="727" ht="14.4" x14ac:dyDescent="0.3"/>
    <row r="728" ht="14.4" x14ac:dyDescent="0.3"/>
    <row r="729" ht="14.4" x14ac:dyDescent="0.3"/>
    <row r="730" ht="14.4" x14ac:dyDescent="0.3"/>
    <row r="731" ht="14.4" x14ac:dyDescent="0.3"/>
    <row r="732" ht="14.4" x14ac:dyDescent="0.3"/>
    <row r="733" ht="14.4" x14ac:dyDescent="0.3"/>
    <row r="734" ht="14.4" x14ac:dyDescent="0.3"/>
    <row r="735" ht="14.4" x14ac:dyDescent="0.3"/>
    <row r="736" ht="14.4" x14ac:dyDescent="0.3"/>
    <row r="737" ht="14.4" x14ac:dyDescent="0.3"/>
    <row r="738" ht="14.4" x14ac:dyDescent="0.3"/>
    <row r="739" ht="14.4" x14ac:dyDescent="0.3"/>
    <row r="740" ht="14.4" x14ac:dyDescent="0.3"/>
    <row r="741" ht="14.4" x14ac:dyDescent="0.3"/>
    <row r="742" ht="14.4" x14ac:dyDescent="0.3"/>
    <row r="743" ht="14.4" x14ac:dyDescent="0.3"/>
    <row r="744" ht="14.4" x14ac:dyDescent="0.3"/>
    <row r="745" ht="14.4" x14ac:dyDescent="0.3"/>
    <row r="746" ht="14.4" x14ac:dyDescent="0.3"/>
    <row r="747" ht="14.4" x14ac:dyDescent="0.3"/>
    <row r="748" ht="14.4" x14ac:dyDescent="0.3"/>
    <row r="749" ht="14.4" x14ac:dyDescent="0.3"/>
    <row r="750" ht="14.4" x14ac:dyDescent="0.3"/>
    <row r="751" ht="14.4" x14ac:dyDescent="0.3"/>
    <row r="752" ht="14.4" x14ac:dyDescent="0.3"/>
    <row r="753" ht="14.4" x14ac:dyDescent="0.3"/>
    <row r="754" ht="14.4" x14ac:dyDescent="0.3"/>
    <row r="755" ht="14.4" x14ac:dyDescent="0.3"/>
    <row r="756" ht="14.4" x14ac:dyDescent="0.3"/>
    <row r="757" ht="14.4" x14ac:dyDescent="0.3"/>
    <row r="758" ht="14.4" x14ac:dyDescent="0.3"/>
    <row r="759" ht="14.4" x14ac:dyDescent="0.3"/>
    <row r="760" ht="14.4" x14ac:dyDescent="0.3"/>
    <row r="761" ht="14.4" x14ac:dyDescent="0.3"/>
    <row r="762" ht="14.4" x14ac:dyDescent="0.3"/>
    <row r="763" ht="14.4" x14ac:dyDescent="0.3"/>
    <row r="764" ht="14.4" x14ac:dyDescent="0.3"/>
    <row r="765" ht="14.4" x14ac:dyDescent="0.3"/>
    <row r="766" ht="14.4" x14ac:dyDescent="0.3"/>
    <row r="767" ht="14.4" x14ac:dyDescent="0.3"/>
    <row r="768" ht="14.4" x14ac:dyDescent="0.3"/>
    <row r="769" ht="14.4" x14ac:dyDescent="0.3"/>
    <row r="770" ht="14.4" x14ac:dyDescent="0.3"/>
    <row r="771" ht="14.4" x14ac:dyDescent="0.3"/>
    <row r="772" ht="14.4" x14ac:dyDescent="0.3"/>
    <row r="773" ht="14.4" x14ac:dyDescent="0.3"/>
    <row r="774" ht="14.4" x14ac:dyDescent="0.3"/>
    <row r="775" ht="14.4" x14ac:dyDescent="0.3"/>
    <row r="776" ht="14.4" x14ac:dyDescent="0.3"/>
    <row r="777" ht="14.4" x14ac:dyDescent="0.3"/>
    <row r="778" ht="14.4" x14ac:dyDescent="0.3"/>
    <row r="779" ht="14.4" x14ac:dyDescent="0.3"/>
    <row r="780" ht="14.4" x14ac:dyDescent="0.3"/>
    <row r="781" ht="14.4" x14ac:dyDescent="0.3"/>
    <row r="782" ht="14.4" x14ac:dyDescent="0.3"/>
    <row r="783" ht="14.4" x14ac:dyDescent="0.3"/>
    <row r="784" ht="14.4" x14ac:dyDescent="0.3"/>
    <row r="785" ht="14.4" x14ac:dyDescent="0.3"/>
    <row r="786" ht="14.4" x14ac:dyDescent="0.3"/>
    <row r="787" ht="14.4" x14ac:dyDescent="0.3"/>
    <row r="788" ht="14.4" x14ac:dyDescent="0.3"/>
    <row r="789" ht="14.4" x14ac:dyDescent="0.3"/>
    <row r="790" ht="14.4" x14ac:dyDescent="0.3"/>
    <row r="791" ht="14.4" x14ac:dyDescent="0.3"/>
    <row r="792" ht="14.4" x14ac:dyDescent="0.3"/>
    <row r="793" ht="14.4" x14ac:dyDescent="0.3"/>
    <row r="794" ht="14.4" x14ac:dyDescent="0.3"/>
    <row r="795" ht="14.4" x14ac:dyDescent="0.3"/>
    <row r="796" ht="14.4" x14ac:dyDescent="0.3"/>
    <row r="797" ht="14.4" x14ac:dyDescent="0.3"/>
    <row r="798" ht="14.4" x14ac:dyDescent="0.3"/>
    <row r="799" ht="14.4" x14ac:dyDescent="0.3"/>
    <row r="800" ht="14.4" x14ac:dyDescent="0.3"/>
    <row r="801" ht="14.4" x14ac:dyDescent="0.3"/>
    <row r="802" ht="14.4" x14ac:dyDescent="0.3"/>
    <row r="803" ht="14.4" x14ac:dyDescent="0.3"/>
    <row r="804" ht="14.4" x14ac:dyDescent="0.3"/>
    <row r="805" ht="14.4" x14ac:dyDescent="0.3"/>
    <row r="806" ht="14.4" x14ac:dyDescent="0.3"/>
    <row r="807" ht="14.4" x14ac:dyDescent="0.3"/>
    <row r="808" ht="14.4" x14ac:dyDescent="0.3"/>
    <row r="809" ht="14.4" x14ac:dyDescent="0.3"/>
    <row r="810" ht="14.4" x14ac:dyDescent="0.3"/>
    <row r="811" ht="14.4" x14ac:dyDescent="0.3"/>
    <row r="812" ht="14.4" x14ac:dyDescent="0.3"/>
    <row r="813" ht="14.4" x14ac:dyDescent="0.3"/>
    <row r="814" ht="14.4" x14ac:dyDescent="0.3"/>
    <row r="815" ht="14.4" x14ac:dyDescent="0.3"/>
    <row r="816" ht="14.4" x14ac:dyDescent="0.3"/>
    <row r="817" spans="1:43" ht="14.4" x14ac:dyDescent="0.3"/>
    <row r="818" spans="1:43" ht="14.4" x14ac:dyDescent="0.3"/>
    <row r="819" spans="1:43" ht="14.4" x14ac:dyDescent="0.3"/>
    <row r="820" spans="1:43" ht="14.4" x14ac:dyDescent="0.3"/>
    <row r="821" spans="1:43" ht="14.4" x14ac:dyDescent="0.3"/>
    <row r="822" spans="1:43" ht="14.4" hidden="1" x14ac:dyDescent="0.3">
      <c r="A822" t="s">
        <v>586</v>
      </c>
      <c r="B822">
        <v>4944954</v>
      </c>
      <c r="C822" t="s">
        <v>424</v>
      </c>
      <c r="D822" t="s">
        <v>425</v>
      </c>
      <c r="E822" t="s">
        <v>436</v>
      </c>
      <c r="F822" t="s">
        <v>437</v>
      </c>
      <c r="H822" t="s">
        <v>274</v>
      </c>
      <c r="J822" t="s">
        <v>140</v>
      </c>
      <c r="K822">
        <v>158896.19200000001</v>
      </c>
      <c r="L822">
        <v>387231.88400000002</v>
      </c>
      <c r="N822" t="s">
        <v>587</v>
      </c>
      <c r="O822" t="s">
        <v>588</v>
      </c>
      <c r="P822" t="s">
        <v>589</v>
      </c>
      <c r="Q822" t="s">
        <v>144</v>
      </c>
      <c r="S822">
        <v>106</v>
      </c>
      <c r="T822">
        <v>14000</v>
      </c>
      <c r="V822" t="s">
        <v>146</v>
      </c>
      <c r="W822" t="s">
        <v>147</v>
      </c>
      <c r="Y822" t="s">
        <v>398</v>
      </c>
      <c r="Z822" t="s">
        <v>588</v>
      </c>
      <c r="AA822" t="s">
        <v>590</v>
      </c>
      <c r="AB822">
        <v>0</v>
      </c>
      <c r="AE822" t="s">
        <v>333</v>
      </c>
      <c r="AF822" t="s">
        <v>588</v>
      </c>
      <c r="AG822" t="s">
        <v>591</v>
      </c>
      <c r="AI822" t="s">
        <v>304</v>
      </c>
      <c r="AJ822" t="s">
        <v>588</v>
      </c>
      <c r="AK822" t="s">
        <v>592</v>
      </c>
      <c r="AL822" t="s">
        <v>593</v>
      </c>
      <c r="AM822" t="s">
        <v>594</v>
      </c>
      <c r="AN822" t="s">
        <v>595</v>
      </c>
      <c r="AO822" t="s">
        <v>587</v>
      </c>
      <c r="AP822" t="s">
        <v>158</v>
      </c>
      <c r="AQ822" t="str">
        <f>IF(ISBLANK(AP822), IFERROR(IF(VLOOKUP(AO822, Ellens_additions!$A$2:$B$252, 2, FALSE) = "", "", VLOOKUP(AO822, Ellens_additions!$A$2:$B$252, 2, FALSE)), 0), AP822)</f>
        <v>3000</v>
      </c>
    </row>
    <row r="823" spans="1:43" ht="14.4" x14ac:dyDescent="0.3"/>
    <row r="824" spans="1:43" ht="14.4" hidden="1" x14ac:dyDescent="0.3">
      <c r="A824" t="s">
        <v>596</v>
      </c>
      <c r="B824">
        <v>4944959</v>
      </c>
      <c r="C824" t="s">
        <v>424</v>
      </c>
      <c r="D824" t="s">
        <v>425</v>
      </c>
      <c r="E824" t="s">
        <v>436</v>
      </c>
      <c r="F824" t="s">
        <v>437</v>
      </c>
      <c r="H824" t="s">
        <v>295</v>
      </c>
      <c r="J824" t="s">
        <v>140</v>
      </c>
      <c r="K824">
        <v>159037.91099999999</v>
      </c>
      <c r="L824">
        <v>387318.82699999999</v>
      </c>
      <c r="N824" t="s">
        <v>587</v>
      </c>
      <c r="O824" t="s">
        <v>588</v>
      </c>
      <c r="P824" t="s">
        <v>589</v>
      </c>
      <c r="Q824" t="s">
        <v>144</v>
      </c>
      <c r="S824">
        <v>106</v>
      </c>
      <c r="T824">
        <v>14000</v>
      </c>
      <c r="V824" t="s">
        <v>146</v>
      </c>
      <c r="W824" t="s">
        <v>147</v>
      </c>
      <c r="Y824" t="s">
        <v>398</v>
      </c>
      <c r="Z824" t="s">
        <v>588</v>
      </c>
      <c r="AA824" t="s">
        <v>590</v>
      </c>
      <c r="AB824">
        <v>0</v>
      </c>
      <c r="AE824" t="s">
        <v>333</v>
      </c>
      <c r="AF824" t="s">
        <v>588</v>
      </c>
      <c r="AG824" t="s">
        <v>591</v>
      </c>
      <c r="AI824" t="s">
        <v>304</v>
      </c>
      <c r="AJ824" t="s">
        <v>588</v>
      </c>
      <c r="AK824" t="s">
        <v>592</v>
      </c>
      <c r="AL824" t="s">
        <v>597</v>
      </c>
      <c r="AM824" t="s">
        <v>598</v>
      </c>
      <c r="AN824" t="s">
        <v>599</v>
      </c>
      <c r="AO824" t="s">
        <v>587</v>
      </c>
      <c r="AP824" t="s">
        <v>158</v>
      </c>
      <c r="AQ824" t="str">
        <f>IF(ISBLANK(AP824), IFERROR(IF(VLOOKUP(AO824, Ellens_additions!$A$2:$B$252, 2, FALSE) = "", "", VLOOKUP(AO824, Ellens_additions!$A$2:$B$252, 2, FALSE)), 0), AP824)</f>
        <v>3000</v>
      </c>
    </row>
    <row r="825" spans="1:43" ht="14.4" x14ac:dyDescent="0.3"/>
    <row r="826" spans="1:43" ht="14.4" hidden="1" x14ac:dyDescent="0.3">
      <c r="A826" t="s">
        <v>601</v>
      </c>
      <c r="B826">
        <v>4944960</v>
      </c>
      <c r="C826" t="s">
        <v>424</v>
      </c>
      <c r="D826" t="s">
        <v>425</v>
      </c>
      <c r="E826" t="s">
        <v>436</v>
      </c>
      <c r="F826" t="s">
        <v>437</v>
      </c>
      <c r="H826" t="s">
        <v>407</v>
      </c>
      <c r="J826" t="s">
        <v>140</v>
      </c>
      <c r="K826">
        <v>159067.448</v>
      </c>
      <c r="L826">
        <v>387334.74099999998</v>
      </c>
      <c r="N826" t="s">
        <v>587</v>
      </c>
      <c r="O826" t="s">
        <v>588</v>
      </c>
      <c r="P826" t="s">
        <v>589</v>
      </c>
      <c r="Q826" t="s">
        <v>144</v>
      </c>
      <c r="S826">
        <v>106</v>
      </c>
      <c r="T826">
        <v>14000</v>
      </c>
      <c r="V826" t="s">
        <v>146</v>
      </c>
      <c r="W826" t="s">
        <v>147</v>
      </c>
      <c r="Y826" t="s">
        <v>398</v>
      </c>
      <c r="Z826" t="s">
        <v>588</v>
      </c>
      <c r="AA826" t="s">
        <v>590</v>
      </c>
      <c r="AB826">
        <v>0</v>
      </c>
      <c r="AE826" t="s">
        <v>333</v>
      </c>
      <c r="AF826" t="s">
        <v>588</v>
      </c>
      <c r="AG826" t="s">
        <v>591</v>
      </c>
      <c r="AI826" t="s">
        <v>304</v>
      </c>
      <c r="AJ826" t="s">
        <v>588</v>
      </c>
      <c r="AK826" t="s">
        <v>592</v>
      </c>
      <c r="AL826" t="s">
        <v>602</v>
      </c>
      <c r="AM826" t="s">
        <v>603</v>
      </c>
      <c r="AN826" t="s">
        <v>604</v>
      </c>
      <c r="AO826" t="s">
        <v>587</v>
      </c>
      <c r="AP826" t="s">
        <v>158</v>
      </c>
      <c r="AQ826" t="str">
        <f>IF(ISBLANK(AP826), IFERROR(IF(VLOOKUP(AO826, Ellens_additions!$A$2:$B$252, 2, FALSE) = "", "", VLOOKUP(AO826, Ellens_additions!$A$2:$B$252, 2, FALSE)), 0), AP826)</f>
        <v>3000</v>
      </c>
    </row>
    <row r="827" spans="1:43" ht="14.4" x14ac:dyDescent="0.3"/>
    <row r="828" spans="1:43" ht="14.4" x14ac:dyDescent="0.3"/>
    <row r="829" spans="1:43" ht="14.4" x14ac:dyDescent="0.3"/>
    <row r="830" spans="1:43" ht="14.4" x14ac:dyDescent="0.3"/>
    <row r="831" spans="1:43" ht="14.4" x14ac:dyDescent="0.3"/>
    <row r="832" spans="1:43" ht="14.4" hidden="1" x14ac:dyDescent="0.3">
      <c r="A832" t="s">
        <v>605</v>
      </c>
      <c r="B832">
        <v>4944965</v>
      </c>
      <c r="C832" t="s">
        <v>424</v>
      </c>
      <c r="D832" t="s">
        <v>425</v>
      </c>
      <c r="E832" t="s">
        <v>436</v>
      </c>
      <c r="F832" t="s">
        <v>437</v>
      </c>
      <c r="H832" t="s">
        <v>578</v>
      </c>
      <c r="J832" t="s">
        <v>140</v>
      </c>
      <c r="K832">
        <v>159667.323</v>
      </c>
      <c r="L832">
        <v>387689.114</v>
      </c>
      <c r="N832" t="s">
        <v>606</v>
      </c>
      <c r="O832" t="s">
        <v>588</v>
      </c>
      <c r="P832" t="s">
        <v>589</v>
      </c>
      <c r="Q832" t="s">
        <v>144</v>
      </c>
      <c r="R832" t="s">
        <v>145</v>
      </c>
      <c r="S832">
        <v>59</v>
      </c>
      <c r="T832">
        <v>7600</v>
      </c>
      <c r="V832" t="s">
        <v>146</v>
      </c>
      <c r="W832" t="s">
        <v>147</v>
      </c>
      <c r="X832" t="s">
        <v>7</v>
      </c>
      <c r="Y832" t="s">
        <v>398</v>
      </c>
      <c r="Z832" t="s">
        <v>588</v>
      </c>
      <c r="AA832" t="s">
        <v>590</v>
      </c>
      <c r="AB832">
        <v>0</v>
      </c>
      <c r="AE832" t="s">
        <v>333</v>
      </c>
      <c r="AF832" t="s">
        <v>588</v>
      </c>
      <c r="AG832" t="s">
        <v>591</v>
      </c>
      <c r="AI832" t="s">
        <v>477</v>
      </c>
      <c r="AJ832" t="s">
        <v>588</v>
      </c>
      <c r="AK832" t="s">
        <v>592</v>
      </c>
      <c r="AL832" t="s">
        <v>607</v>
      </c>
      <c r="AM832" t="s">
        <v>608</v>
      </c>
      <c r="AN832" t="s">
        <v>609</v>
      </c>
      <c r="AO832" t="s">
        <v>606</v>
      </c>
      <c r="AP832" t="s">
        <v>158</v>
      </c>
      <c r="AQ832" t="str">
        <f>IF(ISBLANK(AP832), IFERROR(IF(VLOOKUP(AO832, Ellens_additions!$A$2:$B$252, 2, FALSE) = "", "", VLOOKUP(AO832, Ellens_additions!$A$2:$B$252, 2, FALSE)), 0), AP832)</f>
        <v>3000</v>
      </c>
    </row>
    <row r="833" spans="1:43" ht="14.4" x14ac:dyDescent="0.3"/>
    <row r="834" spans="1:43" ht="14.4" hidden="1" x14ac:dyDescent="0.3">
      <c r="A834" t="s">
        <v>605</v>
      </c>
      <c r="B834">
        <v>4944966</v>
      </c>
      <c r="C834" t="s">
        <v>424</v>
      </c>
      <c r="D834" t="s">
        <v>425</v>
      </c>
      <c r="E834" t="s">
        <v>436</v>
      </c>
      <c r="F834" t="s">
        <v>437</v>
      </c>
      <c r="H834" t="s">
        <v>578</v>
      </c>
      <c r="J834" t="s">
        <v>140</v>
      </c>
      <c r="K834">
        <v>159667.323</v>
      </c>
      <c r="L834">
        <v>387689.114</v>
      </c>
      <c r="N834" t="s">
        <v>606</v>
      </c>
      <c r="O834" t="s">
        <v>588</v>
      </c>
      <c r="P834" t="s">
        <v>589</v>
      </c>
      <c r="Q834" t="s">
        <v>144</v>
      </c>
      <c r="R834" t="s">
        <v>145</v>
      </c>
      <c r="S834">
        <v>59</v>
      </c>
      <c r="T834">
        <v>7600</v>
      </c>
      <c r="V834" t="s">
        <v>146</v>
      </c>
      <c r="W834" t="s">
        <v>147</v>
      </c>
      <c r="X834" t="s">
        <v>9</v>
      </c>
      <c r="Y834" t="s">
        <v>398</v>
      </c>
      <c r="Z834" t="s">
        <v>588</v>
      </c>
      <c r="AA834" t="s">
        <v>590</v>
      </c>
      <c r="AB834">
        <v>0</v>
      </c>
      <c r="AE834" t="s">
        <v>333</v>
      </c>
      <c r="AF834" t="s">
        <v>588</v>
      </c>
      <c r="AG834" t="s">
        <v>591</v>
      </c>
      <c r="AI834" t="s">
        <v>477</v>
      </c>
      <c r="AJ834" t="s">
        <v>588</v>
      </c>
      <c r="AK834" t="s">
        <v>592</v>
      </c>
      <c r="AL834" t="s">
        <v>607</v>
      </c>
      <c r="AM834" t="s">
        <v>608</v>
      </c>
      <c r="AN834" t="s">
        <v>609</v>
      </c>
      <c r="AO834" t="s">
        <v>606</v>
      </c>
      <c r="AP834" t="s">
        <v>158</v>
      </c>
      <c r="AQ834" t="str">
        <f>IF(ISBLANK(AP834), IFERROR(IF(VLOOKUP(AO834, Ellens_additions!$A$2:$B$252, 2, FALSE) = "", "", VLOOKUP(AO834, Ellens_additions!$A$2:$B$252, 2, FALSE)), 0), AP834)</f>
        <v>3000</v>
      </c>
    </row>
    <row r="835" spans="1:43" ht="14.4" x14ac:dyDescent="0.3"/>
    <row r="836" spans="1:43" ht="14.4" x14ac:dyDescent="0.3"/>
    <row r="837" spans="1:43" ht="14.4" x14ac:dyDescent="0.3"/>
    <row r="838" spans="1:43" ht="14.4" x14ac:dyDescent="0.3"/>
    <row r="839" spans="1:43" ht="14.4" x14ac:dyDescent="0.3"/>
    <row r="840" spans="1:43" ht="14.4" x14ac:dyDescent="0.3"/>
    <row r="841" spans="1:43" ht="14.4" x14ac:dyDescent="0.3"/>
    <row r="842" spans="1:43" ht="14.4" x14ac:dyDescent="0.3"/>
    <row r="843" spans="1:43" ht="14.4" x14ac:dyDescent="0.3"/>
    <row r="844" spans="1:43" ht="14.4" x14ac:dyDescent="0.3"/>
    <row r="845" spans="1:43" ht="14.4" x14ac:dyDescent="0.3"/>
    <row r="846" spans="1:43" ht="14.4" x14ac:dyDescent="0.3"/>
    <row r="847" spans="1:43" ht="14.4" x14ac:dyDescent="0.3"/>
    <row r="848" spans="1:43" ht="14.4" x14ac:dyDescent="0.3"/>
    <row r="849" ht="14.4" x14ac:dyDescent="0.3"/>
    <row r="850" ht="14.4" x14ac:dyDescent="0.3"/>
    <row r="851" ht="14.4" x14ac:dyDescent="0.3"/>
    <row r="852" ht="14.4" x14ac:dyDescent="0.3"/>
    <row r="853" ht="14.4" x14ac:dyDescent="0.3"/>
    <row r="854" ht="14.4" x14ac:dyDescent="0.3"/>
    <row r="855" ht="14.4" x14ac:dyDescent="0.3"/>
    <row r="856" ht="14.4" x14ac:dyDescent="0.3"/>
    <row r="857" ht="14.4" x14ac:dyDescent="0.3"/>
    <row r="858" ht="14.4" x14ac:dyDescent="0.3"/>
    <row r="859" ht="14.4" x14ac:dyDescent="0.3"/>
    <row r="860" ht="14.4" x14ac:dyDescent="0.3"/>
    <row r="861" ht="14.4" x14ac:dyDescent="0.3"/>
    <row r="862" ht="14.4" x14ac:dyDescent="0.3"/>
    <row r="863" ht="14.4" x14ac:dyDescent="0.3"/>
    <row r="864" ht="14.4" x14ac:dyDescent="0.3"/>
    <row r="865" ht="14.4" x14ac:dyDescent="0.3"/>
    <row r="866" ht="14.4" x14ac:dyDescent="0.3"/>
    <row r="867" ht="14.4" x14ac:dyDescent="0.3"/>
    <row r="868" ht="14.4" x14ac:dyDescent="0.3"/>
    <row r="869" ht="14.4" x14ac:dyDescent="0.3"/>
    <row r="870" ht="14.4" x14ac:dyDescent="0.3"/>
    <row r="871" ht="14.4" x14ac:dyDescent="0.3"/>
    <row r="872" ht="14.4" x14ac:dyDescent="0.3"/>
    <row r="873" ht="14.4" x14ac:dyDescent="0.3"/>
    <row r="874" ht="14.4" x14ac:dyDescent="0.3"/>
    <row r="875" ht="14.4" x14ac:dyDescent="0.3"/>
    <row r="876" ht="14.4" x14ac:dyDescent="0.3"/>
    <row r="877" ht="14.4" x14ac:dyDescent="0.3"/>
    <row r="878" ht="14.4" x14ac:dyDescent="0.3"/>
    <row r="879" ht="14.4" x14ac:dyDescent="0.3"/>
    <row r="880" ht="14.4" x14ac:dyDescent="0.3"/>
    <row r="881" spans="1:43" ht="14.4" x14ac:dyDescent="0.3"/>
    <row r="882" spans="1:43" ht="14.4" x14ac:dyDescent="0.3"/>
    <row r="883" spans="1:43" ht="14.4" x14ac:dyDescent="0.3"/>
    <row r="884" spans="1:43" ht="14.4" x14ac:dyDescent="0.3"/>
    <row r="885" spans="1:43" ht="14.4" x14ac:dyDescent="0.3"/>
    <row r="886" spans="1:43" ht="14.4" hidden="1" x14ac:dyDescent="0.3">
      <c r="A886" t="s">
        <v>618</v>
      </c>
      <c r="B886">
        <v>4945050</v>
      </c>
      <c r="C886" t="s">
        <v>424</v>
      </c>
      <c r="D886" t="s">
        <v>428</v>
      </c>
      <c r="E886" t="s">
        <v>619</v>
      </c>
      <c r="F886" t="s">
        <v>620</v>
      </c>
      <c r="H886" t="s">
        <v>400</v>
      </c>
      <c r="J886" t="s">
        <v>140</v>
      </c>
      <c r="K886">
        <v>162658.18950000001</v>
      </c>
      <c r="L886">
        <v>389631.82459999999</v>
      </c>
      <c r="N886" t="s">
        <v>621</v>
      </c>
      <c r="O886" t="s">
        <v>622</v>
      </c>
      <c r="P886" t="s">
        <v>623</v>
      </c>
      <c r="S886">
        <v>22</v>
      </c>
      <c r="T886">
        <v>3300</v>
      </c>
      <c r="V886" t="s">
        <v>146</v>
      </c>
      <c r="W886" t="s">
        <v>147</v>
      </c>
      <c r="X886" t="s">
        <v>7</v>
      </c>
      <c r="Y886" t="s">
        <v>283</v>
      </c>
      <c r="Z886" t="s">
        <v>622</v>
      </c>
      <c r="AA886" t="s">
        <v>624</v>
      </c>
      <c r="AB886">
        <v>0</v>
      </c>
      <c r="AE886" t="s">
        <v>444</v>
      </c>
      <c r="AF886" t="s">
        <v>622</v>
      </c>
      <c r="AG886" t="s">
        <v>625</v>
      </c>
      <c r="AI886" t="s">
        <v>626</v>
      </c>
      <c r="AJ886" t="s">
        <v>622</v>
      </c>
      <c r="AK886" t="s">
        <v>625</v>
      </c>
      <c r="AL886" t="s">
        <v>627</v>
      </c>
      <c r="AM886" t="s">
        <v>628</v>
      </c>
      <c r="AN886" t="s">
        <v>629</v>
      </c>
      <c r="AO886" t="s">
        <v>621</v>
      </c>
      <c r="AP886" t="s">
        <v>158</v>
      </c>
      <c r="AQ886" t="str">
        <f>IF(ISBLANK(AP886), IFERROR(IF(VLOOKUP(AO886, Ellens_additions!$A$2:$B$252, 2, FALSE) = "", "", VLOOKUP(AO886, Ellens_additions!$A$2:$B$252, 2, FALSE)), 0), AP886)</f>
        <v>3000</v>
      </c>
    </row>
    <row r="887" spans="1:43" ht="14.4" x14ac:dyDescent="0.3"/>
    <row r="888" spans="1:43" ht="14.4" x14ac:dyDescent="0.3"/>
    <row r="889" spans="1:43" ht="14.4" x14ac:dyDescent="0.3"/>
    <row r="890" spans="1:43" ht="14.4" x14ac:dyDescent="0.3"/>
    <row r="891" spans="1:43" ht="14.4" x14ac:dyDescent="0.3"/>
    <row r="892" spans="1:43" ht="14.4" x14ac:dyDescent="0.3"/>
    <row r="893" spans="1:43" ht="14.4" x14ac:dyDescent="0.3"/>
    <row r="894" spans="1:43" ht="14.4" x14ac:dyDescent="0.3"/>
    <row r="895" spans="1:43" ht="14.4" x14ac:dyDescent="0.3"/>
    <row r="896" spans="1:43" ht="14.4" x14ac:dyDescent="0.3"/>
    <row r="897" ht="14.4" x14ac:dyDescent="0.3"/>
    <row r="898" ht="14.4" x14ac:dyDescent="0.3"/>
    <row r="899" ht="14.4" x14ac:dyDescent="0.3"/>
    <row r="900" ht="14.4" x14ac:dyDescent="0.3"/>
    <row r="901" ht="14.4" x14ac:dyDescent="0.3"/>
    <row r="902" ht="14.4" x14ac:dyDescent="0.3"/>
    <row r="903" ht="14.4" x14ac:dyDescent="0.3"/>
    <row r="904" ht="14.4" x14ac:dyDescent="0.3"/>
    <row r="905" ht="14.4" x14ac:dyDescent="0.3"/>
    <row r="906" ht="14.4" x14ac:dyDescent="0.3"/>
    <row r="907" ht="14.4" x14ac:dyDescent="0.3"/>
    <row r="908" ht="14.4" x14ac:dyDescent="0.3"/>
    <row r="909" ht="14.4" x14ac:dyDescent="0.3"/>
    <row r="910" ht="14.4" x14ac:dyDescent="0.3"/>
    <row r="911" ht="14.4" x14ac:dyDescent="0.3"/>
    <row r="912" ht="14.4" x14ac:dyDescent="0.3"/>
    <row r="913" ht="14.4" x14ac:dyDescent="0.3"/>
    <row r="914" ht="14.4" x14ac:dyDescent="0.3"/>
    <row r="915" ht="14.4" x14ac:dyDescent="0.3"/>
    <row r="916" ht="14.4" x14ac:dyDescent="0.3"/>
    <row r="917" ht="14.4" x14ac:dyDescent="0.3"/>
    <row r="918" ht="14.4" x14ac:dyDescent="0.3"/>
    <row r="919" ht="14.4" x14ac:dyDescent="0.3"/>
    <row r="920" ht="14.4" x14ac:dyDescent="0.3"/>
    <row r="921" ht="14.4" x14ac:dyDescent="0.3"/>
    <row r="922" ht="14.4" x14ac:dyDescent="0.3"/>
    <row r="923" ht="14.4" x14ac:dyDescent="0.3"/>
    <row r="924" ht="14.4" x14ac:dyDescent="0.3"/>
    <row r="925" ht="14.4" x14ac:dyDescent="0.3"/>
    <row r="926" ht="14.4" x14ac:dyDescent="0.3"/>
    <row r="927" ht="14.4" x14ac:dyDescent="0.3"/>
    <row r="928" ht="14.4" x14ac:dyDescent="0.3"/>
    <row r="929" ht="14.4" x14ac:dyDescent="0.3"/>
    <row r="930" ht="14.4" x14ac:dyDescent="0.3"/>
    <row r="931" ht="14.4" x14ac:dyDescent="0.3"/>
    <row r="932" ht="14.4" x14ac:dyDescent="0.3"/>
    <row r="933" ht="14.4" x14ac:dyDescent="0.3"/>
    <row r="934" ht="14.4" x14ac:dyDescent="0.3"/>
    <row r="935" ht="14.4" x14ac:dyDescent="0.3"/>
    <row r="936" ht="14.4" x14ac:dyDescent="0.3"/>
    <row r="937" ht="14.4" x14ac:dyDescent="0.3"/>
    <row r="938" ht="14.4" x14ac:dyDescent="0.3"/>
    <row r="939" ht="14.4" x14ac:dyDescent="0.3"/>
    <row r="940" ht="14.4" x14ac:dyDescent="0.3"/>
    <row r="941" ht="14.4" x14ac:dyDescent="0.3"/>
    <row r="942" ht="14.4" x14ac:dyDescent="0.3"/>
    <row r="943" ht="14.4" x14ac:dyDescent="0.3"/>
    <row r="944" ht="14.4" x14ac:dyDescent="0.3"/>
    <row r="945" spans="1:43" ht="14.4" x14ac:dyDescent="0.3"/>
    <row r="946" spans="1:43" ht="14.4" x14ac:dyDescent="0.3"/>
    <row r="947" spans="1:43" ht="14.4" x14ac:dyDescent="0.3"/>
    <row r="948" spans="1:43" ht="14.4" x14ac:dyDescent="0.3"/>
    <row r="949" spans="1:43" ht="14.4" x14ac:dyDescent="0.3"/>
    <row r="950" spans="1:43" ht="14.4" hidden="1" x14ac:dyDescent="0.3">
      <c r="A950" t="s">
        <v>634</v>
      </c>
      <c r="B950">
        <v>4945142</v>
      </c>
      <c r="C950" t="s">
        <v>445</v>
      </c>
      <c r="D950" t="s">
        <v>451</v>
      </c>
      <c r="E950" t="s">
        <v>452</v>
      </c>
      <c r="F950" t="s">
        <v>635</v>
      </c>
      <c r="H950" t="s">
        <v>275</v>
      </c>
      <c r="J950" t="s">
        <v>140</v>
      </c>
      <c r="K950">
        <v>162737.59099999999</v>
      </c>
      <c r="L950">
        <v>386273.804</v>
      </c>
      <c r="M950">
        <v>1</v>
      </c>
      <c r="N950" t="s">
        <v>636</v>
      </c>
      <c r="O950" t="s">
        <v>179</v>
      </c>
      <c r="P950" t="s">
        <v>637</v>
      </c>
      <c r="Q950" t="s">
        <v>144</v>
      </c>
      <c r="S950">
        <v>28</v>
      </c>
      <c r="T950">
        <v>3400</v>
      </c>
      <c r="V950" t="s">
        <v>146</v>
      </c>
      <c r="W950" t="s">
        <v>147</v>
      </c>
      <c r="X950" t="s">
        <v>7</v>
      </c>
      <c r="Y950" t="s">
        <v>283</v>
      </c>
      <c r="Z950" t="s">
        <v>179</v>
      </c>
      <c r="AA950" t="s">
        <v>638</v>
      </c>
      <c r="AB950">
        <v>0</v>
      </c>
      <c r="AE950" t="s">
        <v>444</v>
      </c>
      <c r="AF950" t="s">
        <v>179</v>
      </c>
      <c r="AG950" t="s">
        <v>639</v>
      </c>
      <c r="AI950" t="s">
        <v>626</v>
      </c>
      <c r="AJ950" t="s">
        <v>179</v>
      </c>
      <c r="AK950" t="s">
        <v>639</v>
      </c>
      <c r="AL950" t="s">
        <v>640</v>
      </c>
      <c r="AM950" t="s">
        <v>641</v>
      </c>
      <c r="AN950" t="s">
        <v>642</v>
      </c>
      <c r="AO950" t="s">
        <v>636</v>
      </c>
      <c r="AP950" t="s">
        <v>158</v>
      </c>
      <c r="AQ950" t="str">
        <f>IF(ISBLANK(AP950), IFERROR(IF(VLOOKUP(AO950, Ellens_additions!$A$2:$B$252, 2, FALSE) = "", "", VLOOKUP(AO950, Ellens_additions!$A$2:$B$252, 2, FALSE)), 0), AP950)</f>
        <v>3000</v>
      </c>
    </row>
    <row r="951" spans="1:43" ht="14.4" x14ac:dyDescent="0.3"/>
    <row r="952" spans="1:43" ht="14.4" hidden="1" x14ac:dyDescent="0.3">
      <c r="A952" t="s">
        <v>643</v>
      </c>
      <c r="B952">
        <v>4945144</v>
      </c>
      <c r="C952" t="s">
        <v>445</v>
      </c>
      <c r="D952" t="s">
        <v>451</v>
      </c>
      <c r="E952" t="s">
        <v>452</v>
      </c>
      <c r="F952" t="s">
        <v>635</v>
      </c>
      <c r="H952" t="s">
        <v>303</v>
      </c>
      <c r="J952" t="s">
        <v>140</v>
      </c>
      <c r="K952">
        <v>162776.201</v>
      </c>
      <c r="L952">
        <v>386248.44699999999</v>
      </c>
      <c r="M952">
        <v>1</v>
      </c>
      <c r="N952" t="s">
        <v>636</v>
      </c>
      <c r="O952" t="s">
        <v>179</v>
      </c>
      <c r="P952" t="s">
        <v>637</v>
      </c>
      <c r="Q952" t="s">
        <v>144</v>
      </c>
      <c r="S952">
        <v>28</v>
      </c>
      <c r="T952">
        <v>3400</v>
      </c>
      <c r="V952" t="s">
        <v>146</v>
      </c>
      <c r="W952" t="s">
        <v>147</v>
      </c>
      <c r="X952" t="s">
        <v>7</v>
      </c>
      <c r="Y952" t="s">
        <v>283</v>
      </c>
      <c r="Z952" t="s">
        <v>179</v>
      </c>
      <c r="AA952" t="s">
        <v>638</v>
      </c>
      <c r="AB952">
        <v>0</v>
      </c>
      <c r="AE952" t="s">
        <v>444</v>
      </c>
      <c r="AF952" t="s">
        <v>179</v>
      </c>
      <c r="AG952" t="s">
        <v>639</v>
      </c>
      <c r="AI952" t="s">
        <v>626</v>
      </c>
      <c r="AJ952" t="s">
        <v>179</v>
      </c>
      <c r="AK952" t="s">
        <v>639</v>
      </c>
      <c r="AL952" t="s">
        <v>644</v>
      </c>
      <c r="AM952" t="s">
        <v>645</v>
      </c>
      <c r="AN952" t="s">
        <v>646</v>
      </c>
      <c r="AO952" t="s">
        <v>636</v>
      </c>
      <c r="AP952" t="s">
        <v>158</v>
      </c>
      <c r="AQ952" t="str">
        <f>IF(ISBLANK(AP952), IFERROR(IF(VLOOKUP(AO952, Ellens_additions!$A$2:$B$252, 2, FALSE) = "", "", VLOOKUP(AO952, Ellens_additions!$A$2:$B$252, 2, FALSE)), 0), AP952)</f>
        <v>3000</v>
      </c>
    </row>
    <row r="953" spans="1:43" ht="14.4" x14ac:dyDescent="0.3"/>
    <row r="954" spans="1:43" ht="14.4" hidden="1" x14ac:dyDescent="0.3">
      <c r="A954" t="s">
        <v>647</v>
      </c>
      <c r="B954">
        <v>4945146</v>
      </c>
      <c r="C954" t="s">
        <v>445</v>
      </c>
      <c r="D954" t="s">
        <v>451</v>
      </c>
      <c r="E954" t="s">
        <v>452</v>
      </c>
      <c r="F954" t="s">
        <v>635</v>
      </c>
      <c r="H954" t="s">
        <v>256</v>
      </c>
      <c r="J954" t="s">
        <v>140</v>
      </c>
      <c r="K954">
        <v>162812.14499999999</v>
      </c>
      <c r="L954">
        <v>386225.28700000001</v>
      </c>
      <c r="M954">
        <v>1</v>
      </c>
      <c r="N954" t="s">
        <v>636</v>
      </c>
      <c r="O954" t="s">
        <v>179</v>
      </c>
      <c r="P954" t="s">
        <v>637</v>
      </c>
      <c r="Q954" t="s">
        <v>144</v>
      </c>
      <c r="S954">
        <v>28</v>
      </c>
      <c r="T954">
        <v>3400</v>
      </c>
      <c r="V954" t="s">
        <v>146</v>
      </c>
      <c r="W954" t="s">
        <v>147</v>
      </c>
      <c r="X954" t="s">
        <v>7</v>
      </c>
      <c r="Y954" t="s">
        <v>283</v>
      </c>
      <c r="Z954" t="s">
        <v>179</v>
      </c>
      <c r="AA954" t="s">
        <v>638</v>
      </c>
      <c r="AB954">
        <v>0</v>
      </c>
      <c r="AE954" t="s">
        <v>444</v>
      </c>
      <c r="AF954" t="s">
        <v>179</v>
      </c>
      <c r="AG954" t="s">
        <v>639</v>
      </c>
      <c r="AI954" t="s">
        <v>626</v>
      </c>
      <c r="AJ954" t="s">
        <v>179</v>
      </c>
      <c r="AK954" t="s">
        <v>639</v>
      </c>
      <c r="AL954" t="s">
        <v>648</v>
      </c>
      <c r="AM954" t="s">
        <v>649</v>
      </c>
      <c r="AN954" t="s">
        <v>650</v>
      </c>
      <c r="AO954" t="s">
        <v>636</v>
      </c>
      <c r="AP954" t="s">
        <v>158</v>
      </c>
      <c r="AQ954" t="str">
        <f>IF(ISBLANK(AP954), IFERROR(IF(VLOOKUP(AO954, Ellens_additions!$A$2:$B$252, 2, FALSE) = "", "", VLOOKUP(AO954, Ellens_additions!$A$2:$B$252, 2, FALSE)), 0), AP954)</f>
        <v>3000</v>
      </c>
    </row>
    <row r="955" spans="1:43" ht="14.4" x14ac:dyDescent="0.3"/>
    <row r="956" spans="1:43" ht="14.4" x14ac:dyDescent="0.3"/>
    <row r="957" spans="1:43" ht="14.4" x14ac:dyDescent="0.3"/>
    <row r="958" spans="1:43" ht="14.4" x14ac:dyDescent="0.3"/>
    <row r="959" spans="1:43" ht="14.4" x14ac:dyDescent="0.3"/>
    <row r="960" spans="1:43" ht="14.4" x14ac:dyDescent="0.3"/>
    <row r="961" ht="14.4" x14ac:dyDescent="0.3"/>
    <row r="962" ht="14.4" x14ac:dyDescent="0.3"/>
    <row r="963" ht="14.4" x14ac:dyDescent="0.3"/>
    <row r="964" ht="14.4" x14ac:dyDescent="0.3"/>
    <row r="965" ht="14.4" x14ac:dyDescent="0.3"/>
    <row r="966" ht="14.4" x14ac:dyDescent="0.3"/>
    <row r="967" ht="14.4" x14ac:dyDescent="0.3"/>
    <row r="968" ht="14.4" x14ac:dyDescent="0.3"/>
    <row r="969" ht="14.4" x14ac:dyDescent="0.3"/>
    <row r="970" ht="14.4" x14ac:dyDescent="0.3"/>
    <row r="971" ht="14.4" x14ac:dyDescent="0.3"/>
    <row r="972" ht="14.4" x14ac:dyDescent="0.3"/>
    <row r="973" ht="14.4" x14ac:dyDescent="0.3"/>
    <row r="974" ht="14.4" x14ac:dyDescent="0.3"/>
    <row r="975" ht="14.4" x14ac:dyDescent="0.3"/>
    <row r="976" ht="14.4" x14ac:dyDescent="0.3"/>
    <row r="977" ht="14.4" x14ac:dyDescent="0.3"/>
    <row r="978" ht="14.4" x14ac:dyDescent="0.3"/>
    <row r="979" ht="14.4" x14ac:dyDescent="0.3"/>
    <row r="980" ht="14.4" x14ac:dyDescent="0.3"/>
    <row r="981" ht="14.4" x14ac:dyDescent="0.3"/>
    <row r="982" ht="14.4" x14ac:dyDescent="0.3"/>
    <row r="983" ht="14.4" x14ac:dyDescent="0.3"/>
    <row r="984" ht="14.4" x14ac:dyDescent="0.3"/>
    <row r="985" ht="14.4" x14ac:dyDescent="0.3"/>
    <row r="986" ht="14.4" x14ac:dyDescent="0.3"/>
    <row r="987" ht="14.4" x14ac:dyDescent="0.3"/>
    <row r="988" ht="14.4" x14ac:dyDescent="0.3"/>
    <row r="989" ht="14.4" x14ac:dyDescent="0.3"/>
    <row r="990" ht="14.4" x14ac:dyDescent="0.3"/>
    <row r="991" ht="14.4" x14ac:dyDescent="0.3"/>
    <row r="992" ht="14.4" x14ac:dyDescent="0.3"/>
    <row r="993" ht="14.4" x14ac:dyDescent="0.3"/>
    <row r="994" ht="14.4" x14ac:dyDescent="0.3"/>
    <row r="995" ht="14.4" x14ac:dyDescent="0.3"/>
    <row r="996" ht="14.4" x14ac:dyDescent="0.3"/>
    <row r="997" ht="14.4" x14ac:dyDescent="0.3"/>
    <row r="998" ht="14.4" x14ac:dyDescent="0.3"/>
    <row r="999" ht="14.4" x14ac:dyDescent="0.3"/>
    <row r="1000" ht="14.4" x14ac:dyDescent="0.3"/>
    <row r="1001" ht="14.4" x14ac:dyDescent="0.3"/>
    <row r="1002" ht="14.4" x14ac:dyDescent="0.3"/>
    <row r="1003" ht="14.4" x14ac:dyDescent="0.3"/>
    <row r="1004" ht="14.4" x14ac:dyDescent="0.3"/>
    <row r="1005" ht="14.4" x14ac:dyDescent="0.3"/>
    <row r="1006" ht="14.4" x14ac:dyDescent="0.3"/>
    <row r="1007" ht="14.4" x14ac:dyDescent="0.3"/>
    <row r="1008" ht="14.4" x14ac:dyDescent="0.3"/>
    <row r="1009" ht="14.4" x14ac:dyDescent="0.3"/>
    <row r="1010" ht="14.4" x14ac:dyDescent="0.3"/>
    <row r="1011" ht="14.4" x14ac:dyDescent="0.3"/>
    <row r="1012" ht="14.4" x14ac:dyDescent="0.3"/>
    <row r="1013" ht="14.4" x14ac:dyDescent="0.3"/>
    <row r="1014" ht="14.4" x14ac:dyDescent="0.3"/>
    <row r="1015" ht="14.4" x14ac:dyDescent="0.3"/>
    <row r="1016" ht="14.4" x14ac:dyDescent="0.3"/>
    <row r="1017" ht="14.4" x14ac:dyDescent="0.3"/>
    <row r="1018" ht="14.4" x14ac:dyDescent="0.3"/>
    <row r="1019" ht="14.4" x14ac:dyDescent="0.3"/>
    <row r="1020" ht="14.4" x14ac:dyDescent="0.3"/>
    <row r="1021" ht="14.4" x14ac:dyDescent="0.3"/>
    <row r="1022" ht="14.4" x14ac:dyDescent="0.3"/>
    <row r="1023" ht="14.4" x14ac:dyDescent="0.3"/>
    <row r="1024" ht="14.4" x14ac:dyDescent="0.3"/>
    <row r="1025" ht="14.4" x14ac:dyDescent="0.3"/>
    <row r="1026" ht="14.4" x14ac:dyDescent="0.3"/>
    <row r="1027" ht="14.4" x14ac:dyDescent="0.3"/>
    <row r="1028" ht="14.4" x14ac:dyDescent="0.3"/>
    <row r="1029" ht="14.4" x14ac:dyDescent="0.3"/>
    <row r="1030" ht="14.4" x14ac:dyDescent="0.3"/>
    <row r="1031" ht="14.4" x14ac:dyDescent="0.3"/>
    <row r="1032" ht="14.4" x14ac:dyDescent="0.3"/>
    <row r="1033" ht="14.4" x14ac:dyDescent="0.3"/>
    <row r="1034" ht="14.4" x14ac:dyDescent="0.3"/>
    <row r="1035" ht="14.4" x14ac:dyDescent="0.3"/>
    <row r="1036" ht="14.4" x14ac:dyDescent="0.3"/>
    <row r="1037" ht="14.4" x14ac:dyDescent="0.3"/>
    <row r="1038" ht="14.4" x14ac:dyDescent="0.3"/>
    <row r="1039" ht="14.4" x14ac:dyDescent="0.3"/>
    <row r="1040" ht="14.4" x14ac:dyDescent="0.3"/>
    <row r="1041" ht="14.4" x14ac:dyDescent="0.3"/>
    <row r="1042" ht="14.4" x14ac:dyDescent="0.3"/>
    <row r="1043" ht="14.4" x14ac:dyDescent="0.3"/>
    <row r="1044" ht="14.4" x14ac:dyDescent="0.3"/>
    <row r="1045" ht="14.4" x14ac:dyDescent="0.3"/>
    <row r="1046" ht="14.4" x14ac:dyDescent="0.3"/>
    <row r="1047" ht="14.4" x14ac:dyDescent="0.3"/>
    <row r="1048" ht="14.4" x14ac:dyDescent="0.3"/>
    <row r="1049" ht="14.4" x14ac:dyDescent="0.3"/>
    <row r="1050" ht="14.4" x14ac:dyDescent="0.3"/>
    <row r="1051" ht="14.4" x14ac:dyDescent="0.3"/>
    <row r="1052" ht="14.4" x14ac:dyDescent="0.3"/>
    <row r="1053" ht="14.4" x14ac:dyDescent="0.3"/>
    <row r="1054" ht="14.4" x14ac:dyDescent="0.3"/>
    <row r="1055" ht="14.4" x14ac:dyDescent="0.3"/>
    <row r="1056" ht="14.4" x14ac:dyDescent="0.3"/>
    <row r="1057" ht="14.4" x14ac:dyDescent="0.3"/>
    <row r="1058" ht="14.4" x14ac:dyDescent="0.3"/>
    <row r="1059" ht="14.4" x14ac:dyDescent="0.3"/>
    <row r="1060" ht="14.4" x14ac:dyDescent="0.3"/>
    <row r="1061" ht="14.4" x14ac:dyDescent="0.3"/>
    <row r="1062" ht="14.4" x14ac:dyDescent="0.3"/>
    <row r="1063" ht="14.4" x14ac:dyDescent="0.3"/>
    <row r="1064" ht="14.4" x14ac:dyDescent="0.3"/>
    <row r="1065" ht="14.4" x14ac:dyDescent="0.3"/>
    <row r="1066" ht="14.4" x14ac:dyDescent="0.3"/>
    <row r="1067" ht="14.4" x14ac:dyDescent="0.3"/>
    <row r="1068" ht="14.4" x14ac:dyDescent="0.3"/>
    <row r="1069" ht="14.4" x14ac:dyDescent="0.3"/>
    <row r="1070" ht="14.4" x14ac:dyDescent="0.3"/>
    <row r="1071" ht="14.4" x14ac:dyDescent="0.3"/>
    <row r="1072" ht="14.4" x14ac:dyDescent="0.3"/>
    <row r="1073" ht="14.4" x14ac:dyDescent="0.3"/>
    <row r="1074" ht="14.4" x14ac:dyDescent="0.3"/>
    <row r="1075" ht="14.4" x14ac:dyDescent="0.3"/>
    <row r="1076" ht="14.4" x14ac:dyDescent="0.3"/>
    <row r="1077" ht="14.4" x14ac:dyDescent="0.3"/>
    <row r="1078" ht="14.4" x14ac:dyDescent="0.3"/>
    <row r="1079" ht="14.4" x14ac:dyDescent="0.3"/>
    <row r="1080" ht="14.4" x14ac:dyDescent="0.3"/>
    <row r="1081" ht="14.4" x14ac:dyDescent="0.3"/>
    <row r="1082" ht="14.4" x14ac:dyDescent="0.3"/>
    <row r="1083" ht="14.4" x14ac:dyDescent="0.3"/>
    <row r="1084" ht="14.4" x14ac:dyDescent="0.3"/>
    <row r="1085" ht="14.4" x14ac:dyDescent="0.3"/>
    <row r="1086" ht="14.4" x14ac:dyDescent="0.3"/>
    <row r="1087" ht="14.4" x14ac:dyDescent="0.3"/>
    <row r="1088" ht="14.4" x14ac:dyDescent="0.3"/>
    <row r="1089" ht="14.4" x14ac:dyDescent="0.3"/>
    <row r="1090" ht="14.4" x14ac:dyDescent="0.3"/>
    <row r="1091" ht="14.4" x14ac:dyDescent="0.3"/>
    <row r="1092" ht="14.4" x14ac:dyDescent="0.3"/>
    <row r="1093" ht="14.4" x14ac:dyDescent="0.3"/>
    <row r="1094" ht="14.4" x14ac:dyDescent="0.3"/>
    <row r="1095" ht="14.4" x14ac:dyDescent="0.3"/>
    <row r="1096" ht="14.4" x14ac:dyDescent="0.3"/>
    <row r="1097" ht="14.4" x14ac:dyDescent="0.3"/>
    <row r="1098" ht="14.4" x14ac:dyDescent="0.3"/>
    <row r="1099" ht="14.4" x14ac:dyDescent="0.3"/>
    <row r="1100" ht="14.4" x14ac:dyDescent="0.3"/>
    <row r="1101" ht="14.4" x14ac:dyDescent="0.3"/>
    <row r="1102" ht="14.4" x14ac:dyDescent="0.3"/>
    <row r="1103" ht="14.4" x14ac:dyDescent="0.3"/>
    <row r="1104" ht="14.4" x14ac:dyDescent="0.3"/>
    <row r="1105" ht="14.4" x14ac:dyDescent="0.3"/>
    <row r="1106" ht="14.4" x14ac:dyDescent="0.3"/>
    <row r="1107" ht="14.4" x14ac:dyDescent="0.3"/>
    <row r="1108" ht="14.4" x14ac:dyDescent="0.3"/>
    <row r="1109" ht="14.4" x14ac:dyDescent="0.3"/>
    <row r="1110" ht="14.4" x14ac:dyDescent="0.3"/>
    <row r="1111" ht="14.4" x14ac:dyDescent="0.3"/>
    <row r="1112" ht="14.4" x14ac:dyDescent="0.3"/>
    <row r="1113" ht="14.4" x14ac:dyDescent="0.3"/>
    <row r="1114" ht="14.4" x14ac:dyDescent="0.3"/>
    <row r="1115" ht="14.4" x14ac:dyDescent="0.3"/>
    <row r="1116" ht="14.4" x14ac:dyDescent="0.3"/>
    <row r="1117" ht="14.4" x14ac:dyDescent="0.3"/>
    <row r="1118" ht="14.4" x14ac:dyDescent="0.3"/>
    <row r="1119" ht="14.4" x14ac:dyDescent="0.3"/>
    <row r="1120" ht="14.4" x14ac:dyDescent="0.3"/>
    <row r="1121" ht="14.4" x14ac:dyDescent="0.3"/>
    <row r="1122" ht="14.4" x14ac:dyDescent="0.3"/>
    <row r="1123" ht="14.4" x14ac:dyDescent="0.3"/>
    <row r="1124" ht="14.4" x14ac:dyDescent="0.3"/>
    <row r="1125" ht="14.4" x14ac:dyDescent="0.3"/>
    <row r="1126" ht="14.4" x14ac:dyDescent="0.3"/>
    <row r="1127" ht="14.4" x14ac:dyDescent="0.3"/>
    <row r="1128" ht="14.4" x14ac:dyDescent="0.3"/>
    <row r="1129" ht="14.4" x14ac:dyDescent="0.3"/>
    <row r="1130" ht="14.4" x14ac:dyDescent="0.3"/>
    <row r="1131" ht="14.4" x14ac:dyDescent="0.3"/>
    <row r="1132" ht="14.4" x14ac:dyDescent="0.3"/>
    <row r="1133" ht="14.4" x14ac:dyDescent="0.3"/>
    <row r="1134" ht="14.4" x14ac:dyDescent="0.3"/>
    <row r="1135" ht="14.4" x14ac:dyDescent="0.3"/>
    <row r="1136" ht="14.4" x14ac:dyDescent="0.3"/>
    <row r="1137" ht="14.4" x14ac:dyDescent="0.3"/>
    <row r="1138" ht="14.4" x14ac:dyDescent="0.3"/>
    <row r="1139" ht="14.4" x14ac:dyDescent="0.3"/>
    <row r="1140" ht="14.4" x14ac:dyDescent="0.3"/>
    <row r="1141" ht="14.4" x14ac:dyDescent="0.3"/>
    <row r="1142" ht="14.4" x14ac:dyDescent="0.3"/>
    <row r="1143" ht="14.4" x14ac:dyDescent="0.3"/>
    <row r="1144" ht="14.4" x14ac:dyDescent="0.3"/>
    <row r="1145" ht="14.4" x14ac:dyDescent="0.3"/>
    <row r="1146" ht="14.4" x14ac:dyDescent="0.3"/>
    <row r="1147" ht="14.4" x14ac:dyDescent="0.3"/>
    <row r="1148" ht="14.4" x14ac:dyDescent="0.3"/>
    <row r="1149" ht="14.4" x14ac:dyDescent="0.3"/>
    <row r="1150" ht="14.4" x14ac:dyDescent="0.3"/>
    <row r="1151" ht="14.4" x14ac:dyDescent="0.3"/>
    <row r="1152" ht="14.4" x14ac:dyDescent="0.3"/>
    <row r="1153" ht="14.4" x14ac:dyDescent="0.3"/>
    <row r="1154" ht="14.4" x14ac:dyDescent="0.3"/>
    <row r="1155" ht="14.4" x14ac:dyDescent="0.3"/>
    <row r="1156" ht="14.4" x14ac:dyDescent="0.3"/>
    <row r="1157" ht="14.4" x14ac:dyDescent="0.3"/>
    <row r="1158" ht="14.4" x14ac:dyDescent="0.3"/>
    <row r="1159" ht="14.4" x14ac:dyDescent="0.3"/>
    <row r="1160" ht="14.4" x14ac:dyDescent="0.3"/>
    <row r="1161" ht="14.4" x14ac:dyDescent="0.3"/>
    <row r="1162" ht="14.4" x14ac:dyDescent="0.3"/>
    <row r="1163" ht="14.4" x14ac:dyDescent="0.3"/>
    <row r="1164" ht="14.4" x14ac:dyDescent="0.3"/>
    <row r="1165" ht="14.4" x14ac:dyDescent="0.3"/>
    <row r="1166" ht="14.4" x14ac:dyDescent="0.3"/>
    <row r="1167" ht="14.4" x14ac:dyDescent="0.3"/>
    <row r="1168" ht="14.4" x14ac:dyDescent="0.3"/>
    <row r="1169" ht="14.4" x14ac:dyDescent="0.3"/>
    <row r="1170" ht="14.4" x14ac:dyDescent="0.3"/>
    <row r="1171" ht="14.4" x14ac:dyDescent="0.3"/>
    <row r="1172" ht="14.4" x14ac:dyDescent="0.3"/>
    <row r="1173" ht="14.4" x14ac:dyDescent="0.3"/>
    <row r="1174" ht="14.4" x14ac:dyDescent="0.3"/>
    <row r="1175" ht="14.4" x14ac:dyDescent="0.3"/>
    <row r="1176" ht="14.4" x14ac:dyDescent="0.3"/>
    <row r="1177" ht="14.4" x14ac:dyDescent="0.3"/>
    <row r="1178" ht="14.4" x14ac:dyDescent="0.3"/>
    <row r="1179" ht="14.4" x14ac:dyDescent="0.3"/>
    <row r="1180" ht="14.4" x14ac:dyDescent="0.3"/>
    <row r="1181" ht="14.4" x14ac:dyDescent="0.3"/>
    <row r="1182" ht="14.4" x14ac:dyDescent="0.3"/>
    <row r="1183" ht="14.4" x14ac:dyDescent="0.3"/>
    <row r="1184" ht="14.4" x14ac:dyDescent="0.3"/>
    <row r="1185" ht="14.4" x14ac:dyDescent="0.3"/>
    <row r="1186" ht="14.4" x14ac:dyDescent="0.3"/>
    <row r="1187" ht="14.4" x14ac:dyDescent="0.3"/>
    <row r="1188" ht="14.4" x14ac:dyDescent="0.3"/>
    <row r="1189" ht="14.4" x14ac:dyDescent="0.3"/>
    <row r="1190" ht="14.4" x14ac:dyDescent="0.3"/>
    <row r="1191" ht="14.4" x14ac:dyDescent="0.3"/>
    <row r="1192" ht="14.4" x14ac:dyDescent="0.3"/>
    <row r="1193" ht="14.4" x14ac:dyDescent="0.3"/>
    <row r="1194" ht="14.4" x14ac:dyDescent="0.3"/>
    <row r="1195" ht="14.4" x14ac:dyDescent="0.3"/>
    <row r="1196" ht="14.4" x14ac:dyDescent="0.3"/>
    <row r="1197" ht="14.4" x14ac:dyDescent="0.3"/>
    <row r="1198" ht="14.4" x14ac:dyDescent="0.3"/>
    <row r="1199" ht="14.4" x14ac:dyDescent="0.3"/>
    <row r="1200" ht="14.4" x14ac:dyDescent="0.3"/>
    <row r="1201" ht="14.4" x14ac:dyDescent="0.3"/>
    <row r="1202" ht="14.4" x14ac:dyDescent="0.3"/>
    <row r="1203" ht="14.4" x14ac:dyDescent="0.3"/>
    <row r="1204" ht="14.4" x14ac:dyDescent="0.3"/>
    <row r="1205" ht="14.4" x14ac:dyDescent="0.3"/>
    <row r="1206" ht="14.4" x14ac:dyDescent="0.3"/>
    <row r="1207" ht="14.4" x14ac:dyDescent="0.3"/>
    <row r="1208" ht="14.4" x14ac:dyDescent="0.3"/>
    <row r="1209" ht="14.4" x14ac:dyDescent="0.3"/>
    <row r="1210" ht="14.4" x14ac:dyDescent="0.3"/>
    <row r="1211" ht="14.4" x14ac:dyDescent="0.3"/>
    <row r="1212" ht="14.4" x14ac:dyDescent="0.3"/>
    <row r="1213" ht="14.4" x14ac:dyDescent="0.3"/>
    <row r="1214" ht="14.4" x14ac:dyDescent="0.3"/>
    <row r="1215" ht="14.4" x14ac:dyDescent="0.3"/>
    <row r="1216" ht="14.4" x14ac:dyDescent="0.3"/>
    <row r="1217" ht="14.4" x14ac:dyDescent="0.3"/>
    <row r="1218" ht="14.4" x14ac:dyDescent="0.3"/>
    <row r="1219" ht="14.4" x14ac:dyDescent="0.3"/>
    <row r="1220" ht="14.4" x14ac:dyDescent="0.3"/>
    <row r="1221" ht="14.4" x14ac:dyDescent="0.3"/>
    <row r="1222" ht="14.4" x14ac:dyDescent="0.3"/>
    <row r="1223" ht="14.4" x14ac:dyDescent="0.3"/>
    <row r="1224" ht="14.4" x14ac:dyDescent="0.3"/>
    <row r="1225" ht="14.4" x14ac:dyDescent="0.3"/>
    <row r="1226" ht="14.4" x14ac:dyDescent="0.3"/>
    <row r="1227" ht="14.4" x14ac:dyDescent="0.3"/>
    <row r="1228" ht="14.4" x14ac:dyDescent="0.3"/>
    <row r="1229" ht="14.4" x14ac:dyDescent="0.3"/>
    <row r="1230" ht="14.4" x14ac:dyDescent="0.3"/>
    <row r="1231" ht="14.4" x14ac:dyDescent="0.3"/>
    <row r="1232" ht="14.4" x14ac:dyDescent="0.3"/>
    <row r="1233" ht="14.4" x14ac:dyDescent="0.3"/>
    <row r="1234" ht="14.4" x14ac:dyDescent="0.3"/>
    <row r="1235" ht="14.4" x14ac:dyDescent="0.3"/>
    <row r="1236" ht="14.4" x14ac:dyDescent="0.3"/>
    <row r="1237" ht="14.4" x14ac:dyDescent="0.3"/>
    <row r="1238" ht="14.4" x14ac:dyDescent="0.3"/>
    <row r="1239" ht="14.4" x14ac:dyDescent="0.3"/>
    <row r="1240" ht="14.4" x14ac:dyDescent="0.3"/>
    <row r="1241" ht="14.4" x14ac:dyDescent="0.3"/>
    <row r="1242" ht="14.4" x14ac:dyDescent="0.3"/>
    <row r="1243" ht="14.4" x14ac:dyDescent="0.3"/>
    <row r="1244" ht="14.4" x14ac:dyDescent="0.3"/>
    <row r="1245" ht="14.4" x14ac:dyDescent="0.3"/>
    <row r="1246" ht="14.4" x14ac:dyDescent="0.3"/>
    <row r="1247" ht="14.4" x14ac:dyDescent="0.3"/>
    <row r="1248" ht="14.4" x14ac:dyDescent="0.3"/>
    <row r="1249" ht="14.4" x14ac:dyDescent="0.3"/>
    <row r="1250" ht="14.4" x14ac:dyDescent="0.3"/>
    <row r="1251" ht="14.4" x14ac:dyDescent="0.3"/>
    <row r="1252" ht="14.4" x14ac:dyDescent="0.3"/>
    <row r="1253" ht="14.4" x14ac:dyDescent="0.3"/>
    <row r="1254" ht="14.4" x14ac:dyDescent="0.3"/>
    <row r="1255" ht="14.4" x14ac:dyDescent="0.3"/>
    <row r="1256" ht="14.4" x14ac:dyDescent="0.3"/>
    <row r="1257" ht="14.4" x14ac:dyDescent="0.3"/>
    <row r="1258" ht="14.4" x14ac:dyDescent="0.3"/>
    <row r="1259" ht="14.4" x14ac:dyDescent="0.3"/>
    <row r="1260" ht="14.4" x14ac:dyDescent="0.3"/>
    <row r="1261" ht="14.4" x14ac:dyDescent="0.3"/>
    <row r="1262" ht="14.4" x14ac:dyDescent="0.3"/>
    <row r="1263" ht="14.4" x14ac:dyDescent="0.3"/>
    <row r="1264" ht="14.4" x14ac:dyDescent="0.3"/>
    <row r="1265" ht="14.4" x14ac:dyDescent="0.3"/>
    <row r="1266" ht="14.4" x14ac:dyDescent="0.3"/>
    <row r="1267" ht="14.4" x14ac:dyDescent="0.3"/>
    <row r="1268" ht="14.4" x14ac:dyDescent="0.3"/>
    <row r="1269" ht="14.4" x14ac:dyDescent="0.3"/>
    <row r="1270" ht="14.4" x14ac:dyDescent="0.3"/>
    <row r="1271" ht="14.4" x14ac:dyDescent="0.3"/>
    <row r="1272" ht="14.4" x14ac:dyDescent="0.3"/>
    <row r="1273" ht="14.4" x14ac:dyDescent="0.3"/>
    <row r="1274" ht="14.4" x14ac:dyDescent="0.3"/>
    <row r="1275" ht="14.4" x14ac:dyDescent="0.3"/>
    <row r="1276" ht="14.4" x14ac:dyDescent="0.3"/>
    <row r="1277" ht="14.4" x14ac:dyDescent="0.3"/>
    <row r="1278" ht="14.4" x14ac:dyDescent="0.3"/>
    <row r="1279" ht="14.4" x14ac:dyDescent="0.3"/>
    <row r="1280" ht="14.4" x14ac:dyDescent="0.3"/>
    <row r="1281" ht="14.4" x14ac:dyDescent="0.3"/>
    <row r="1282" ht="14.4" x14ac:dyDescent="0.3"/>
    <row r="1283" ht="14.4" x14ac:dyDescent="0.3"/>
    <row r="1284" ht="14.4" x14ac:dyDescent="0.3"/>
    <row r="1285" ht="14.4" x14ac:dyDescent="0.3"/>
    <row r="1286" ht="14.4" x14ac:dyDescent="0.3"/>
    <row r="1287" ht="14.4" x14ac:dyDescent="0.3"/>
    <row r="1288" ht="14.4" x14ac:dyDescent="0.3"/>
    <row r="1289" ht="14.4" x14ac:dyDescent="0.3"/>
    <row r="1290" ht="14.4" x14ac:dyDescent="0.3"/>
    <row r="1291" ht="14.4" x14ac:dyDescent="0.3"/>
    <row r="1292" ht="14.4" x14ac:dyDescent="0.3"/>
    <row r="1293" ht="14.4" x14ac:dyDescent="0.3"/>
    <row r="1294" ht="14.4" x14ac:dyDescent="0.3"/>
    <row r="1295" ht="14.4" x14ac:dyDescent="0.3"/>
    <row r="1296" ht="14.4" x14ac:dyDescent="0.3"/>
    <row r="1297" spans="1:43" ht="14.4" x14ac:dyDescent="0.3"/>
    <row r="1298" spans="1:43" ht="14.4" x14ac:dyDescent="0.3"/>
    <row r="1299" spans="1:43" ht="14.4" x14ac:dyDescent="0.3"/>
    <row r="1300" spans="1:43" ht="14.4" x14ac:dyDescent="0.3"/>
    <row r="1301" spans="1:43" ht="14.4" x14ac:dyDescent="0.3"/>
    <row r="1302" spans="1:43" ht="14.4" x14ac:dyDescent="0.3"/>
    <row r="1303" spans="1:43" ht="14.4" hidden="1" x14ac:dyDescent="0.3">
      <c r="A1303" t="s">
        <v>694</v>
      </c>
      <c r="B1303">
        <v>4938488</v>
      </c>
      <c r="C1303" t="s">
        <v>135</v>
      </c>
      <c r="D1303" t="s">
        <v>174</v>
      </c>
      <c r="E1303" t="s">
        <v>261</v>
      </c>
      <c r="F1303" t="s">
        <v>695</v>
      </c>
      <c r="H1303" t="s">
        <v>212</v>
      </c>
      <c r="J1303" t="s">
        <v>140</v>
      </c>
      <c r="K1303">
        <v>159043.79999999999</v>
      </c>
      <c r="L1303">
        <v>384616.92</v>
      </c>
      <c r="M1303">
        <v>1</v>
      </c>
      <c r="N1303" t="s">
        <v>696</v>
      </c>
      <c r="O1303" t="s">
        <v>528</v>
      </c>
      <c r="P1303" t="s">
        <v>697</v>
      </c>
      <c r="Q1303" t="s">
        <v>144</v>
      </c>
      <c r="S1303">
        <v>6.8</v>
      </c>
      <c r="T1303">
        <v>800</v>
      </c>
      <c r="V1303" t="s">
        <v>146</v>
      </c>
      <c r="W1303" t="s">
        <v>184</v>
      </c>
      <c r="X1303" t="s">
        <v>7</v>
      </c>
      <c r="Y1303" t="s">
        <v>698</v>
      </c>
      <c r="Z1303" t="s">
        <v>528</v>
      </c>
      <c r="AA1303" t="s">
        <v>312</v>
      </c>
      <c r="AB1303">
        <v>0</v>
      </c>
      <c r="AE1303" t="s">
        <v>550</v>
      </c>
      <c r="AF1303" t="s">
        <v>528</v>
      </c>
      <c r="AG1303" t="s">
        <v>313</v>
      </c>
      <c r="AI1303" t="s">
        <v>699</v>
      </c>
      <c r="AJ1303" t="s">
        <v>528</v>
      </c>
      <c r="AK1303" t="s">
        <v>313</v>
      </c>
      <c r="AL1303" t="s">
        <v>700</v>
      </c>
      <c r="AM1303" t="s">
        <v>701</v>
      </c>
      <c r="AN1303" t="s">
        <v>702</v>
      </c>
      <c r="AO1303" t="s">
        <v>696</v>
      </c>
      <c r="AP1303" t="s">
        <v>158</v>
      </c>
      <c r="AQ1303" t="str">
        <f>IF(ISBLANK(AP1303), IFERROR(IF(VLOOKUP(AO1303, Ellens_additions!$A$2:$B$252, 2, FALSE) = "", "", VLOOKUP(AO1303, Ellens_additions!$A$2:$B$252, 2, FALSE)), 0), AP1303)</f>
        <v>3000</v>
      </c>
    </row>
    <row r="1304" spans="1:43" ht="14.4" x14ac:dyDescent="0.3"/>
    <row r="1305" spans="1:43" ht="14.4" x14ac:dyDescent="0.3"/>
    <row r="1306" spans="1:43" ht="14.4" x14ac:dyDescent="0.3"/>
    <row r="1307" spans="1:43" ht="14.4" hidden="1" x14ac:dyDescent="0.3">
      <c r="A1307" t="s">
        <v>703</v>
      </c>
      <c r="B1307">
        <v>4938492</v>
      </c>
      <c r="C1307" t="s">
        <v>135</v>
      </c>
      <c r="D1307" t="s">
        <v>174</v>
      </c>
      <c r="E1307" t="s">
        <v>261</v>
      </c>
      <c r="F1307" t="s">
        <v>695</v>
      </c>
      <c r="H1307" t="s">
        <v>457</v>
      </c>
      <c r="J1307" t="s">
        <v>140</v>
      </c>
      <c r="K1307">
        <v>159065.32999999999</v>
      </c>
      <c r="L1307">
        <v>384627.77</v>
      </c>
      <c r="M1307">
        <v>1</v>
      </c>
      <c r="N1307" t="s">
        <v>696</v>
      </c>
      <c r="O1307" t="s">
        <v>528</v>
      </c>
      <c r="P1307" t="s">
        <v>697</v>
      </c>
      <c r="Q1307" t="s">
        <v>144</v>
      </c>
      <c r="S1307">
        <v>6.8</v>
      </c>
      <c r="T1307">
        <v>800</v>
      </c>
      <c r="V1307" t="s">
        <v>146</v>
      </c>
      <c r="W1307" t="s">
        <v>184</v>
      </c>
      <c r="X1307" t="s">
        <v>7</v>
      </c>
      <c r="Y1307" t="s">
        <v>698</v>
      </c>
      <c r="Z1307" t="s">
        <v>528</v>
      </c>
      <c r="AA1307" t="s">
        <v>312</v>
      </c>
      <c r="AB1307">
        <v>0</v>
      </c>
      <c r="AE1307" t="s">
        <v>550</v>
      </c>
      <c r="AF1307" t="s">
        <v>528</v>
      </c>
      <c r="AG1307" t="s">
        <v>313</v>
      </c>
      <c r="AI1307" t="s">
        <v>699</v>
      </c>
      <c r="AJ1307" t="s">
        <v>528</v>
      </c>
      <c r="AK1307" t="s">
        <v>313</v>
      </c>
      <c r="AL1307" t="s">
        <v>704</v>
      </c>
      <c r="AM1307" t="s">
        <v>705</v>
      </c>
      <c r="AN1307" t="s">
        <v>706</v>
      </c>
      <c r="AO1307" t="s">
        <v>696</v>
      </c>
      <c r="AP1307" t="s">
        <v>158</v>
      </c>
      <c r="AQ1307" t="str">
        <f>IF(ISBLANK(AP1307), IFERROR(IF(VLOOKUP(AO1307, Ellens_additions!$A$2:$B$252, 2, FALSE) = "", "", VLOOKUP(AO1307, Ellens_additions!$A$2:$B$252, 2, FALSE)), 0), AP1307)</f>
        <v>3000</v>
      </c>
    </row>
    <row r="1308" spans="1:43" ht="14.4" x14ac:dyDescent="0.3"/>
    <row r="1309" spans="1:43" ht="14.4" x14ac:dyDescent="0.3"/>
    <row r="1310" spans="1:43" ht="14.4" x14ac:dyDescent="0.3"/>
    <row r="1311" spans="1:43" ht="14.4" x14ac:dyDescent="0.3"/>
    <row r="1312" spans="1:43" ht="14.4" x14ac:dyDescent="0.3"/>
    <row r="1313" spans="1:43" ht="14.4" x14ac:dyDescent="0.3"/>
    <row r="1314" spans="1:43" ht="14.4" x14ac:dyDescent="0.3"/>
    <row r="1315" spans="1:43" ht="14.4" x14ac:dyDescent="0.3"/>
    <row r="1316" spans="1:43" ht="14.4" x14ac:dyDescent="0.3"/>
    <row r="1317" spans="1:43" ht="14.4" hidden="1" x14ac:dyDescent="0.3">
      <c r="A1317" t="s">
        <v>707</v>
      </c>
      <c r="B1317">
        <v>4938505</v>
      </c>
      <c r="C1317" t="s">
        <v>135</v>
      </c>
      <c r="D1317" t="s">
        <v>174</v>
      </c>
      <c r="E1317" t="s">
        <v>175</v>
      </c>
      <c r="F1317" t="s">
        <v>394</v>
      </c>
      <c r="H1317" t="s">
        <v>687</v>
      </c>
      <c r="J1317" t="s">
        <v>140</v>
      </c>
      <c r="K1317">
        <v>157206.08799999999</v>
      </c>
      <c r="L1317">
        <v>386956.06800000003</v>
      </c>
      <c r="N1317" t="s">
        <v>708</v>
      </c>
      <c r="O1317" t="s">
        <v>548</v>
      </c>
      <c r="P1317" t="s">
        <v>709</v>
      </c>
      <c r="S1317">
        <v>6.9</v>
      </c>
      <c r="T1317">
        <v>600</v>
      </c>
      <c r="V1317" t="s">
        <v>146</v>
      </c>
      <c r="W1317" t="s">
        <v>147</v>
      </c>
      <c r="X1317" t="s">
        <v>7</v>
      </c>
      <c r="Y1317" t="s">
        <v>396</v>
      </c>
      <c r="Z1317" t="s">
        <v>548</v>
      </c>
      <c r="AA1317" t="s">
        <v>710</v>
      </c>
      <c r="AB1317">
        <v>0</v>
      </c>
      <c r="AE1317" t="s">
        <v>444</v>
      </c>
      <c r="AF1317" t="s">
        <v>548</v>
      </c>
      <c r="AG1317" t="s">
        <v>711</v>
      </c>
      <c r="AI1317" t="s">
        <v>443</v>
      </c>
      <c r="AJ1317" t="s">
        <v>548</v>
      </c>
      <c r="AK1317" t="s">
        <v>711</v>
      </c>
      <c r="AL1317" t="s">
        <v>712</v>
      </c>
      <c r="AM1317" t="s">
        <v>713</v>
      </c>
      <c r="AN1317" t="s">
        <v>714</v>
      </c>
      <c r="AO1317" t="s">
        <v>708</v>
      </c>
      <c r="AP1317" t="s">
        <v>158</v>
      </c>
      <c r="AQ1317" t="str">
        <f>IF(ISBLANK(AP1317), IFERROR(IF(VLOOKUP(AO1317, Ellens_additions!$A$2:$B$252, 2, FALSE) = "", "", VLOOKUP(AO1317, Ellens_additions!$A$2:$B$252, 2, FALSE)), 0), AP1317)</f>
        <v>3000</v>
      </c>
    </row>
    <row r="1318" spans="1:43" ht="14.4" x14ac:dyDescent="0.3"/>
    <row r="1319" spans="1:43" ht="14.4" hidden="1" x14ac:dyDescent="0.3">
      <c r="A1319" t="s">
        <v>715</v>
      </c>
      <c r="B1319">
        <v>4938507</v>
      </c>
      <c r="C1319" t="s">
        <v>135</v>
      </c>
      <c r="D1319" t="s">
        <v>174</v>
      </c>
      <c r="E1319" t="s">
        <v>175</v>
      </c>
      <c r="F1319" t="s">
        <v>394</v>
      </c>
      <c r="H1319" t="s">
        <v>688</v>
      </c>
      <c r="J1319" t="s">
        <v>140</v>
      </c>
      <c r="K1319">
        <v>157149.94</v>
      </c>
      <c r="L1319">
        <v>387028.45</v>
      </c>
      <c r="N1319" t="s">
        <v>708</v>
      </c>
      <c r="O1319" t="s">
        <v>548</v>
      </c>
      <c r="P1319" t="s">
        <v>709</v>
      </c>
      <c r="S1319">
        <v>6.9</v>
      </c>
      <c r="T1319">
        <v>600</v>
      </c>
      <c r="V1319" t="s">
        <v>146</v>
      </c>
      <c r="W1319" t="s">
        <v>147</v>
      </c>
      <c r="X1319" t="s">
        <v>7</v>
      </c>
      <c r="Y1319" t="s">
        <v>396</v>
      </c>
      <c r="Z1319" t="s">
        <v>548</v>
      </c>
      <c r="AA1319" t="s">
        <v>710</v>
      </c>
      <c r="AB1319">
        <v>0</v>
      </c>
      <c r="AE1319" t="s">
        <v>444</v>
      </c>
      <c r="AF1319" t="s">
        <v>548</v>
      </c>
      <c r="AG1319" t="s">
        <v>711</v>
      </c>
      <c r="AI1319" t="s">
        <v>443</v>
      </c>
      <c r="AJ1319" t="s">
        <v>548</v>
      </c>
      <c r="AK1319" t="s">
        <v>711</v>
      </c>
      <c r="AL1319" t="s">
        <v>716</v>
      </c>
      <c r="AM1319" t="s">
        <v>717</v>
      </c>
      <c r="AN1319" t="s">
        <v>718</v>
      </c>
      <c r="AO1319" t="s">
        <v>708</v>
      </c>
      <c r="AP1319" t="s">
        <v>158</v>
      </c>
      <c r="AQ1319" t="str">
        <f>IF(ISBLANK(AP1319), IFERROR(IF(VLOOKUP(AO1319, Ellens_additions!$A$2:$B$252, 2, FALSE) = "", "", VLOOKUP(AO1319, Ellens_additions!$A$2:$B$252, 2, FALSE)), 0), AP1319)</f>
        <v>3000</v>
      </c>
    </row>
    <row r="1320" spans="1:43" ht="14.4" x14ac:dyDescent="0.3"/>
    <row r="1321" spans="1:43" ht="14.4" hidden="1" x14ac:dyDescent="0.3">
      <c r="A1321" t="s">
        <v>719</v>
      </c>
      <c r="B1321">
        <v>4938508</v>
      </c>
      <c r="C1321" t="s">
        <v>135</v>
      </c>
      <c r="D1321" t="s">
        <v>174</v>
      </c>
      <c r="E1321" t="s">
        <v>175</v>
      </c>
      <c r="F1321" t="s">
        <v>394</v>
      </c>
      <c r="H1321" t="s">
        <v>690</v>
      </c>
      <c r="J1321" t="s">
        <v>140</v>
      </c>
      <c r="K1321">
        <v>157126.77100000001</v>
      </c>
      <c r="L1321">
        <v>387052.22899999999</v>
      </c>
      <c r="N1321" t="s">
        <v>708</v>
      </c>
      <c r="O1321" t="s">
        <v>548</v>
      </c>
      <c r="P1321" t="s">
        <v>709</v>
      </c>
      <c r="S1321">
        <v>6.9</v>
      </c>
      <c r="T1321">
        <v>600</v>
      </c>
      <c r="V1321" t="s">
        <v>146</v>
      </c>
      <c r="W1321" t="s">
        <v>147</v>
      </c>
      <c r="X1321" t="s">
        <v>7</v>
      </c>
      <c r="Y1321" t="s">
        <v>396</v>
      </c>
      <c r="Z1321" t="s">
        <v>548</v>
      </c>
      <c r="AA1321" t="s">
        <v>710</v>
      </c>
      <c r="AB1321">
        <v>0</v>
      </c>
      <c r="AE1321" t="s">
        <v>444</v>
      </c>
      <c r="AF1321" t="s">
        <v>548</v>
      </c>
      <c r="AG1321" t="s">
        <v>711</v>
      </c>
      <c r="AI1321" t="s">
        <v>443</v>
      </c>
      <c r="AJ1321" t="s">
        <v>548</v>
      </c>
      <c r="AK1321" t="s">
        <v>711</v>
      </c>
      <c r="AL1321" t="s">
        <v>720</v>
      </c>
      <c r="AM1321" t="s">
        <v>721</v>
      </c>
      <c r="AN1321" t="s">
        <v>722</v>
      </c>
      <c r="AO1321" t="s">
        <v>708</v>
      </c>
      <c r="AP1321" t="s">
        <v>158</v>
      </c>
      <c r="AQ1321" t="str">
        <f>IF(ISBLANK(AP1321), IFERROR(IF(VLOOKUP(AO1321, Ellens_additions!$A$2:$B$252, 2, FALSE) = "", "", VLOOKUP(AO1321, Ellens_additions!$A$2:$B$252, 2, FALSE)), 0), AP1321)</f>
        <v>3000</v>
      </c>
    </row>
    <row r="1322" spans="1:43" ht="14.4" x14ac:dyDescent="0.3"/>
    <row r="1323" spans="1:43" ht="14.4" hidden="1" x14ac:dyDescent="0.3">
      <c r="A1323" t="s">
        <v>724</v>
      </c>
      <c r="B1323">
        <v>4938509</v>
      </c>
      <c r="C1323" t="s">
        <v>135</v>
      </c>
      <c r="D1323" t="s">
        <v>174</v>
      </c>
      <c r="E1323" t="s">
        <v>175</v>
      </c>
      <c r="F1323" t="s">
        <v>394</v>
      </c>
      <c r="H1323" t="s">
        <v>725</v>
      </c>
      <c r="J1323" t="s">
        <v>140</v>
      </c>
      <c r="K1323">
        <v>157106.57699999999</v>
      </c>
      <c r="L1323">
        <v>387076.77</v>
      </c>
      <c r="N1323" t="s">
        <v>708</v>
      </c>
      <c r="O1323" t="s">
        <v>548</v>
      </c>
      <c r="P1323" t="s">
        <v>709</v>
      </c>
      <c r="S1323">
        <v>6.9</v>
      </c>
      <c r="T1323">
        <v>600</v>
      </c>
      <c r="V1323" t="s">
        <v>146</v>
      </c>
      <c r="W1323" t="s">
        <v>147</v>
      </c>
      <c r="X1323" t="s">
        <v>7</v>
      </c>
      <c r="Y1323" t="s">
        <v>396</v>
      </c>
      <c r="Z1323" t="s">
        <v>548</v>
      </c>
      <c r="AA1323" t="s">
        <v>710</v>
      </c>
      <c r="AB1323">
        <v>0</v>
      </c>
      <c r="AE1323" t="s">
        <v>444</v>
      </c>
      <c r="AF1323" t="s">
        <v>548</v>
      </c>
      <c r="AG1323" t="s">
        <v>711</v>
      </c>
      <c r="AI1323" t="s">
        <v>443</v>
      </c>
      <c r="AJ1323" t="s">
        <v>548</v>
      </c>
      <c r="AK1323" t="s">
        <v>711</v>
      </c>
      <c r="AL1323" t="s">
        <v>726</v>
      </c>
      <c r="AM1323" t="s">
        <v>727</v>
      </c>
      <c r="AN1323" t="s">
        <v>728</v>
      </c>
      <c r="AO1323" t="s">
        <v>708</v>
      </c>
      <c r="AP1323" t="s">
        <v>158</v>
      </c>
      <c r="AQ1323" t="str">
        <f>IF(ISBLANK(AP1323), IFERROR(IF(VLOOKUP(AO1323, Ellens_additions!$A$2:$B$252, 2, FALSE) = "", "", VLOOKUP(AO1323, Ellens_additions!$A$2:$B$252, 2, FALSE)), 0), AP1323)</f>
        <v>3000</v>
      </c>
    </row>
    <row r="1324" spans="1:43" ht="14.4" x14ac:dyDescent="0.3"/>
    <row r="1325" spans="1:43" ht="14.4" x14ac:dyDescent="0.3"/>
    <row r="1326" spans="1:43" ht="14.4" x14ac:dyDescent="0.3"/>
    <row r="1327" spans="1:43" ht="14.4" x14ac:dyDescent="0.3"/>
    <row r="1328" spans="1:43" ht="14.4" x14ac:dyDescent="0.3"/>
    <row r="1329" ht="14.4" x14ac:dyDescent="0.3"/>
    <row r="1330" ht="14.4" x14ac:dyDescent="0.3"/>
    <row r="1331" ht="14.4" x14ac:dyDescent="0.3"/>
    <row r="1332" ht="14.4" x14ac:dyDescent="0.3"/>
    <row r="1333" ht="14.4" x14ac:dyDescent="0.3"/>
    <row r="1334" ht="14.4" x14ac:dyDescent="0.3"/>
    <row r="1335" ht="14.4" x14ac:dyDescent="0.3"/>
    <row r="1336" ht="14.4" x14ac:dyDescent="0.3"/>
    <row r="1337" ht="14.4" x14ac:dyDescent="0.3"/>
    <row r="1338" ht="14.4" x14ac:dyDescent="0.3"/>
    <row r="1339" ht="14.4" x14ac:dyDescent="0.3"/>
    <row r="1340" ht="14.4" x14ac:dyDescent="0.3"/>
    <row r="1341" ht="14.4" x14ac:dyDescent="0.3"/>
    <row r="1342" ht="14.4" x14ac:dyDescent="0.3"/>
    <row r="1343" ht="14.4" x14ac:dyDescent="0.3"/>
    <row r="1344" ht="14.4" x14ac:dyDescent="0.3"/>
    <row r="1345" ht="14.4" x14ac:dyDescent="0.3"/>
    <row r="1346" ht="14.4" x14ac:dyDescent="0.3"/>
    <row r="1347" ht="14.4" x14ac:dyDescent="0.3"/>
    <row r="1348" ht="14.4" x14ac:dyDescent="0.3"/>
    <row r="1349" ht="14.4" x14ac:dyDescent="0.3"/>
    <row r="1350" ht="14.4" x14ac:dyDescent="0.3"/>
    <row r="1351" ht="14.4" x14ac:dyDescent="0.3"/>
    <row r="1352" ht="14.4" x14ac:dyDescent="0.3"/>
    <row r="1353" ht="14.4" x14ac:dyDescent="0.3"/>
    <row r="1354" ht="14.4" x14ac:dyDescent="0.3"/>
    <row r="1355" ht="14.4" x14ac:dyDescent="0.3"/>
    <row r="1356" ht="14.4" x14ac:dyDescent="0.3"/>
    <row r="1357" ht="14.4" x14ac:dyDescent="0.3"/>
    <row r="1358" ht="14.4" x14ac:dyDescent="0.3"/>
    <row r="1359" ht="14.4" x14ac:dyDescent="0.3"/>
    <row r="1360" ht="14.4" x14ac:dyDescent="0.3"/>
    <row r="1361" ht="14.4" x14ac:dyDescent="0.3"/>
    <row r="1362" ht="14.4" x14ac:dyDescent="0.3"/>
    <row r="1363" ht="14.4" x14ac:dyDescent="0.3"/>
    <row r="1364" ht="14.4" x14ac:dyDescent="0.3"/>
    <row r="1365" ht="14.4" x14ac:dyDescent="0.3"/>
    <row r="1366" ht="14.4" x14ac:dyDescent="0.3"/>
    <row r="1367" ht="14.4" x14ac:dyDescent="0.3"/>
    <row r="1368" ht="14.4" x14ac:dyDescent="0.3"/>
    <row r="1369" ht="14.4" x14ac:dyDescent="0.3"/>
    <row r="1370" ht="14.4" x14ac:dyDescent="0.3"/>
    <row r="1371" ht="14.4" x14ac:dyDescent="0.3"/>
    <row r="1372" ht="14.4" x14ac:dyDescent="0.3"/>
    <row r="1373" ht="14.4" x14ac:dyDescent="0.3"/>
    <row r="1374" ht="14.4" x14ac:dyDescent="0.3"/>
    <row r="1375" ht="14.4" x14ac:dyDescent="0.3"/>
    <row r="1376" ht="14.4" x14ac:dyDescent="0.3"/>
    <row r="1377" ht="14.4" x14ac:dyDescent="0.3"/>
    <row r="1378" ht="14.4" x14ac:dyDescent="0.3"/>
    <row r="1379" ht="14.4" x14ac:dyDescent="0.3"/>
    <row r="1380" ht="14.4" x14ac:dyDescent="0.3"/>
    <row r="1381" ht="14.4" x14ac:dyDescent="0.3"/>
    <row r="1382" ht="14.4" x14ac:dyDescent="0.3"/>
    <row r="1383" ht="14.4" x14ac:dyDescent="0.3"/>
    <row r="1384" ht="14.4" x14ac:dyDescent="0.3"/>
    <row r="1385" ht="14.4" x14ac:dyDescent="0.3"/>
    <row r="1386" ht="14.4" x14ac:dyDescent="0.3"/>
    <row r="1387" ht="14.4" x14ac:dyDescent="0.3"/>
    <row r="1388" ht="14.4" x14ac:dyDescent="0.3"/>
    <row r="1389" ht="14.4" x14ac:dyDescent="0.3"/>
    <row r="1390" ht="14.4" x14ac:dyDescent="0.3"/>
    <row r="1391" ht="14.4" x14ac:dyDescent="0.3"/>
    <row r="1392" ht="14.4" x14ac:dyDescent="0.3"/>
    <row r="1393" ht="14.4" x14ac:dyDescent="0.3"/>
    <row r="1394" ht="14.4" x14ac:dyDescent="0.3"/>
    <row r="1395" ht="14.4" x14ac:dyDescent="0.3"/>
    <row r="1396" ht="14.4" x14ac:dyDescent="0.3"/>
    <row r="1397" ht="14.4" x14ac:dyDescent="0.3"/>
    <row r="1398" ht="14.4" x14ac:dyDescent="0.3"/>
    <row r="1399" ht="14.4" x14ac:dyDescent="0.3"/>
    <row r="1400" ht="14.4" x14ac:dyDescent="0.3"/>
    <row r="1401" ht="14.4" x14ac:dyDescent="0.3"/>
    <row r="1402" ht="14.4" x14ac:dyDescent="0.3"/>
    <row r="1403" ht="14.4" x14ac:dyDescent="0.3"/>
    <row r="1404" ht="14.4" x14ac:dyDescent="0.3"/>
    <row r="1405" ht="14.4" x14ac:dyDescent="0.3"/>
    <row r="1406" ht="14.4" x14ac:dyDescent="0.3"/>
    <row r="1407" ht="14.4" x14ac:dyDescent="0.3"/>
    <row r="1408" ht="14.4" x14ac:dyDescent="0.3"/>
    <row r="1409" ht="14.4" x14ac:dyDescent="0.3"/>
    <row r="1410" ht="14.4" x14ac:dyDescent="0.3"/>
    <row r="1411" ht="14.4" x14ac:dyDescent="0.3"/>
    <row r="1412" ht="14.4" x14ac:dyDescent="0.3"/>
    <row r="1413" ht="14.4" x14ac:dyDescent="0.3"/>
    <row r="1414" ht="14.4" x14ac:dyDescent="0.3"/>
    <row r="1415" ht="14.4" x14ac:dyDescent="0.3"/>
    <row r="1416" ht="14.4" x14ac:dyDescent="0.3"/>
    <row r="1417" ht="14.4" x14ac:dyDescent="0.3"/>
    <row r="1418" ht="14.4" x14ac:dyDescent="0.3"/>
    <row r="1419" ht="14.4" x14ac:dyDescent="0.3"/>
    <row r="1420" ht="14.4" x14ac:dyDescent="0.3"/>
    <row r="1421" ht="14.4" x14ac:dyDescent="0.3"/>
    <row r="1422" ht="14.4" x14ac:dyDescent="0.3"/>
    <row r="1423" ht="14.4" x14ac:dyDescent="0.3"/>
    <row r="1424" ht="14.4" x14ac:dyDescent="0.3"/>
    <row r="1425" ht="14.4" x14ac:dyDescent="0.3"/>
    <row r="1426" ht="14.4" x14ac:dyDescent="0.3"/>
    <row r="1427" ht="14.4" x14ac:dyDescent="0.3"/>
    <row r="1428" ht="14.4" x14ac:dyDescent="0.3"/>
    <row r="1429" ht="14.4" x14ac:dyDescent="0.3"/>
    <row r="1430" ht="14.4" x14ac:dyDescent="0.3"/>
    <row r="1431" ht="14.4" x14ac:dyDescent="0.3"/>
    <row r="1432" ht="14.4" x14ac:dyDescent="0.3"/>
    <row r="1433" ht="14.4" x14ac:dyDescent="0.3"/>
    <row r="1434" ht="14.4" x14ac:dyDescent="0.3"/>
    <row r="1435" ht="14.4" x14ac:dyDescent="0.3"/>
    <row r="1436" ht="14.4" x14ac:dyDescent="0.3"/>
    <row r="1437" ht="14.4" x14ac:dyDescent="0.3"/>
    <row r="1438" ht="14.4" x14ac:dyDescent="0.3"/>
    <row r="1439" ht="14.4" x14ac:dyDescent="0.3"/>
    <row r="1440" ht="14.4" x14ac:dyDescent="0.3"/>
    <row r="1441" ht="14.4" x14ac:dyDescent="0.3"/>
    <row r="1442" ht="14.4" x14ac:dyDescent="0.3"/>
    <row r="1443" ht="14.4" x14ac:dyDescent="0.3"/>
    <row r="1444" ht="14.4" x14ac:dyDescent="0.3"/>
    <row r="1445" ht="14.4" x14ac:dyDescent="0.3"/>
    <row r="1446" ht="14.4" x14ac:dyDescent="0.3"/>
    <row r="1447" ht="14.4" x14ac:dyDescent="0.3"/>
    <row r="1448" ht="14.4" x14ac:dyDescent="0.3"/>
    <row r="1449" ht="14.4" x14ac:dyDescent="0.3"/>
    <row r="1450" ht="14.4" x14ac:dyDescent="0.3"/>
    <row r="1451" ht="14.4" x14ac:dyDescent="0.3"/>
    <row r="1452" ht="14.4" x14ac:dyDescent="0.3"/>
    <row r="1453" ht="14.4" x14ac:dyDescent="0.3"/>
    <row r="1454" ht="14.4" x14ac:dyDescent="0.3"/>
    <row r="1455" ht="14.4" x14ac:dyDescent="0.3"/>
    <row r="1456" ht="14.4" x14ac:dyDescent="0.3"/>
    <row r="1457" ht="14.4" x14ac:dyDescent="0.3"/>
    <row r="1458" ht="14.4" x14ac:dyDescent="0.3"/>
    <row r="1459" ht="14.4" x14ac:dyDescent="0.3"/>
    <row r="1460" ht="14.4" x14ac:dyDescent="0.3"/>
    <row r="1461" ht="14.4" x14ac:dyDescent="0.3"/>
    <row r="1462" ht="14.4" x14ac:dyDescent="0.3"/>
    <row r="1463" ht="14.4" x14ac:dyDescent="0.3"/>
    <row r="1464" ht="14.4" x14ac:dyDescent="0.3"/>
    <row r="1465" ht="14.4" x14ac:dyDescent="0.3"/>
    <row r="1466" ht="14.4" x14ac:dyDescent="0.3"/>
    <row r="1467" ht="14.4" x14ac:dyDescent="0.3"/>
    <row r="1468" ht="14.4" x14ac:dyDescent="0.3"/>
    <row r="1469" ht="14.4" x14ac:dyDescent="0.3"/>
    <row r="1470" ht="14.4" x14ac:dyDescent="0.3"/>
    <row r="1471" ht="14.4" x14ac:dyDescent="0.3"/>
    <row r="1472" ht="14.4" x14ac:dyDescent="0.3"/>
    <row r="1473" ht="14.4" x14ac:dyDescent="0.3"/>
    <row r="1474" ht="14.4" x14ac:dyDescent="0.3"/>
    <row r="1475" ht="14.4" x14ac:dyDescent="0.3"/>
    <row r="1476" ht="14.4" x14ac:dyDescent="0.3"/>
    <row r="1477" ht="14.4" x14ac:dyDescent="0.3"/>
    <row r="1478" ht="14.4" x14ac:dyDescent="0.3"/>
    <row r="1479" ht="14.4" x14ac:dyDescent="0.3"/>
    <row r="1480" ht="14.4" x14ac:dyDescent="0.3"/>
    <row r="1481" ht="14.4" x14ac:dyDescent="0.3"/>
    <row r="1482" ht="14.4" x14ac:dyDescent="0.3"/>
    <row r="1483" ht="14.4" x14ac:dyDescent="0.3"/>
    <row r="1484" ht="14.4" x14ac:dyDescent="0.3"/>
    <row r="1485" ht="14.4" x14ac:dyDescent="0.3"/>
    <row r="1486" ht="14.4" x14ac:dyDescent="0.3"/>
    <row r="1487" ht="14.4" x14ac:dyDescent="0.3"/>
    <row r="1488" ht="14.4" x14ac:dyDescent="0.3"/>
    <row r="1489" ht="14.4" x14ac:dyDescent="0.3"/>
    <row r="1490" ht="14.4" x14ac:dyDescent="0.3"/>
    <row r="1491" ht="14.4" x14ac:dyDescent="0.3"/>
    <row r="1492" ht="14.4" x14ac:dyDescent="0.3"/>
    <row r="1493" ht="14.4" x14ac:dyDescent="0.3"/>
    <row r="1494" ht="14.4" x14ac:dyDescent="0.3"/>
    <row r="1495" ht="14.4" x14ac:dyDescent="0.3"/>
    <row r="1496" ht="14.4" x14ac:dyDescent="0.3"/>
    <row r="1497" ht="14.4" x14ac:dyDescent="0.3"/>
    <row r="1498" ht="14.4" x14ac:dyDescent="0.3"/>
    <row r="1499" ht="14.4" x14ac:dyDescent="0.3"/>
    <row r="1500" ht="14.4" x14ac:dyDescent="0.3"/>
    <row r="1501" ht="14.4" x14ac:dyDescent="0.3"/>
    <row r="1502" ht="14.4" x14ac:dyDescent="0.3"/>
    <row r="1503" ht="14.4" x14ac:dyDescent="0.3"/>
    <row r="1504" ht="14.4" x14ac:dyDescent="0.3"/>
    <row r="1505" ht="14.4" x14ac:dyDescent="0.3"/>
    <row r="1506" ht="14.4" x14ac:dyDescent="0.3"/>
    <row r="1507" ht="14.4" x14ac:dyDescent="0.3"/>
    <row r="1508" ht="14.4" x14ac:dyDescent="0.3"/>
    <row r="1509" ht="14.4" x14ac:dyDescent="0.3"/>
    <row r="1510" ht="14.4" x14ac:dyDescent="0.3"/>
    <row r="1511" ht="14.4" x14ac:dyDescent="0.3"/>
    <row r="1512" ht="14.4" x14ac:dyDescent="0.3"/>
    <row r="1513" ht="14.4" x14ac:dyDescent="0.3"/>
    <row r="1514" ht="14.4" x14ac:dyDescent="0.3"/>
    <row r="1515" ht="14.4" x14ac:dyDescent="0.3"/>
    <row r="1516" ht="14.4" x14ac:dyDescent="0.3"/>
    <row r="1517" ht="14.4" x14ac:dyDescent="0.3"/>
    <row r="1518" ht="14.4" x14ac:dyDescent="0.3"/>
    <row r="1519" ht="14.4" x14ac:dyDescent="0.3"/>
    <row r="1520" ht="14.4" x14ac:dyDescent="0.3"/>
    <row r="1521" ht="14.4" x14ac:dyDescent="0.3"/>
    <row r="1522" ht="14.4" x14ac:dyDescent="0.3"/>
    <row r="1523" ht="14.4" x14ac:dyDescent="0.3"/>
    <row r="1524" ht="14.4" x14ac:dyDescent="0.3"/>
    <row r="1525" ht="14.4" x14ac:dyDescent="0.3"/>
    <row r="1526" ht="14.4" x14ac:dyDescent="0.3"/>
    <row r="1527" ht="14.4" x14ac:dyDescent="0.3"/>
    <row r="1528" ht="14.4" x14ac:dyDescent="0.3"/>
    <row r="1529" ht="14.4" x14ac:dyDescent="0.3"/>
    <row r="1530" ht="14.4" x14ac:dyDescent="0.3"/>
    <row r="1531" ht="14.4" x14ac:dyDescent="0.3"/>
    <row r="1532" ht="14.4" x14ac:dyDescent="0.3"/>
    <row r="1533" ht="14.4" x14ac:dyDescent="0.3"/>
    <row r="1534" ht="14.4" x14ac:dyDescent="0.3"/>
    <row r="1535" ht="14.4" x14ac:dyDescent="0.3"/>
    <row r="1536" ht="14.4" x14ac:dyDescent="0.3"/>
    <row r="1537" ht="14.4" x14ac:dyDescent="0.3"/>
    <row r="1538" ht="14.4" x14ac:dyDescent="0.3"/>
    <row r="1539" ht="14.4" x14ac:dyDescent="0.3"/>
    <row r="1540" ht="14.4" x14ac:dyDescent="0.3"/>
    <row r="1541" ht="14.4" x14ac:dyDescent="0.3"/>
    <row r="1542" ht="14.4" x14ac:dyDescent="0.3"/>
    <row r="1543" ht="14.4" x14ac:dyDescent="0.3"/>
    <row r="1544" ht="14.4" x14ac:dyDescent="0.3"/>
    <row r="1545" ht="14.4" x14ac:dyDescent="0.3"/>
    <row r="1546" ht="14.4" x14ac:dyDescent="0.3"/>
    <row r="1547" ht="14.4" x14ac:dyDescent="0.3"/>
    <row r="1548" ht="14.4" x14ac:dyDescent="0.3"/>
    <row r="1549" ht="14.4" x14ac:dyDescent="0.3"/>
    <row r="1550" ht="14.4" x14ac:dyDescent="0.3"/>
    <row r="1551" ht="14.4" x14ac:dyDescent="0.3"/>
    <row r="1552" ht="14.4" x14ac:dyDescent="0.3"/>
    <row r="1553" ht="14.4" x14ac:dyDescent="0.3"/>
    <row r="1554" ht="14.4" x14ac:dyDescent="0.3"/>
    <row r="1555" ht="14.4" x14ac:dyDescent="0.3"/>
    <row r="1556" ht="14.4" x14ac:dyDescent="0.3"/>
    <row r="1557" ht="14.4" x14ac:dyDescent="0.3"/>
    <row r="1558" ht="14.4" x14ac:dyDescent="0.3"/>
    <row r="1559" ht="14.4" x14ac:dyDescent="0.3"/>
    <row r="1560" ht="14.4" x14ac:dyDescent="0.3"/>
    <row r="1561" ht="14.4" x14ac:dyDescent="0.3"/>
    <row r="1562" ht="14.4" x14ac:dyDescent="0.3"/>
    <row r="1563" ht="14.4" x14ac:dyDescent="0.3"/>
    <row r="1564" ht="14.4" x14ac:dyDescent="0.3"/>
    <row r="1565" ht="14.4" x14ac:dyDescent="0.3"/>
    <row r="1566" ht="14.4" x14ac:dyDescent="0.3"/>
    <row r="1567" ht="14.4" x14ac:dyDescent="0.3"/>
    <row r="1568" ht="14.4" x14ac:dyDescent="0.3"/>
    <row r="1569" ht="14.4" x14ac:dyDescent="0.3"/>
    <row r="1570" ht="14.4" x14ac:dyDescent="0.3"/>
    <row r="1571" ht="14.4" x14ac:dyDescent="0.3"/>
    <row r="1572" ht="14.4" x14ac:dyDescent="0.3"/>
    <row r="1573" ht="14.4" x14ac:dyDescent="0.3"/>
    <row r="1574" ht="14.4" x14ac:dyDescent="0.3"/>
    <row r="1575" ht="14.4" x14ac:dyDescent="0.3"/>
    <row r="1576" ht="14.4" x14ac:dyDescent="0.3"/>
    <row r="1577" ht="14.4" x14ac:dyDescent="0.3"/>
    <row r="1578" ht="14.4" x14ac:dyDescent="0.3"/>
    <row r="1579" ht="14.4" x14ac:dyDescent="0.3"/>
    <row r="1580" ht="14.4" x14ac:dyDescent="0.3"/>
    <row r="1581" ht="14.4" x14ac:dyDescent="0.3"/>
    <row r="1582" ht="14.4" x14ac:dyDescent="0.3"/>
    <row r="1583" ht="14.4" x14ac:dyDescent="0.3"/>
    <row r="1584" ht="14.4" x14ac:dyDescent="0.3"/>
    <row r="1585" ht="14.4" x14ac:dyDescent="0.3"/>
    <row r="1586" ht="14.4" x14ac:dyDescent="0.3"/>
    <row r="1587" ht="14.4" x14ac:dyDescent="0.3"/>
    <row r="1588" ht="14.4" x14ac:dyDescent="0.3"/>
    <row r="1589" ht="14.4" x14ac:dyDescent="0.3"/>
    <row r="1590" ht="14.4" x14ac:dyDescent="0.3"/>
    <row r="1591" ht="14.4" x14ac:dyDescent="0.3"/>
    <row r="1592" ht="14.4" x14ac:dyDescent="0.3"/>
    <row r="1593" ht="14.4" x14ac:dyDescent="0.3"/>
    <row r="1594" ht="14.4" x14ac:dyDescent="0.3"/>
    <row r="1595" ht="14.4" x14ac:dyDescent="0.3"/>
    <row r="1596" ht="14.4" x14ac:dyDescent="0.3"/>
    <row r="1597" ht="14.4" x14ac:dyDescent="0.3"/>
    <row r="1598" ht="14.4" x14ac:dyDescent="0.3"/>
    <row r="1599" ht="14.4" x14ac:dyDescent="0.3"/>
    <row r="1600" ht="14.4" x14ac:dyDescent="0.3"/>
    <row r="1601" ht="14.4" x14ac:dyDescent="0.3"/>
    <row r="1602" ht="14.4" x14ac:dyDescent="0.3"/>
    <row r="1603" ht="14.4" x14ac:dyDescent="0.3"/>
    <row r="1604" ht="14.4" x14ac:dyDescent="0.3"/>
    <row r="1605" ht="14.4" x14ac:dyDescent="0.3"/>
    <row r="1606" ht="14.4" x14ac:dyDescent="0.3"/>
    <row r="1607" ht="14.4" x14ac:dyDescent="0.3"/>
    <row r="1608" ht="14.4" x14ac:dyDescent="0.3"/>
    <row r="1609" ht="14.4" x14ac:dyDescent="0.3"/>
    <row r="1610" ht="14.4" x14ac:dyDescent="0.3"/>
    <row r="1611" ht="14.4" x14ac:dyDescent="0.3"/>
    <row r="1612" ht="14.4" x14ac:dyDescent="0.3"/>
    <row r="1613" ht="14.4" x14ac:dyDescent="0.3"/>
    <row r="1614" ht="14.4" x14ac:dyDescent="0.3"/>
    <row r="1615" ht="14.4" x14ac:dyDescent="0.3"/>
    <row r="1616" ht="14.4" x14ac:dyDescent="0.3"/>
    <row r="1617" ht="14.4" x14ac:dyDescent="0.3"/>
    <row r="1618" ht="14.4" x14ac:dyDescent="0.3"/>
    <row r="1619" ht="14.4" x14ac:dyDescent="0.3"/>
    <row r="1620" ht="14.4" x14ac:dyDescent="0.3"/>
    <row r="1621" ht="14.4" x14ac:dyDescent="0.3"/>
    <row r="1622" ht="14.4" x14ac:dyDescent="0.3"/>
    <row r="1623" ht="14.4" x14ac:dyDescent="0.3"/>
    <row r="1624" ht="14.4" x14ac:dyDescent="0.3"/>
    <row r="1625" ht="14.4" x14ac:dyDescent="0.3"/>
    <row r="1626" ht="14.4" x14ac:dyDescent="0.3"/>
    <row r="1627" ht="14.4" x14ac:dyDescent="0.3"/>
    <row r="1628" ht="14.4" x14ac:dyDescent="0.3"/>
    <row r="1629" ht="14.4" x14ac:dyDescent="0.3"/>
    <row r="1630" ht="14.4" x14ac:dyDescent="0.3"/>
    <row r="1631" ht="14.4" x14ac:dyDescent="0.3"/>
    <row r="1632" ht="14.4" x14ac:dyDescent="0.3"/>
    <row r="1633" ht="14.4" x14ac:dyDescent="0.3"/>
    <row r="1634" ht="14.4" x14ac:dyDescent="0.3"/>
    <row r="1635" ht="14.4" x14ac:dyDescent="0.3"/>
    <row r="1636" ht="14.4" x14ac:dyDescent="0.3"/>
    <row r="1637" ht="14.4" x14ac:dyDescent="0.3"/>
    <row r="1638" ht="14.4" x14ac:dyDescent="0.3"/>
    <row r="1639" ht="14.4" x14ac:dyDescent="0.3"/>
    <row r="1640" ht="14.4" x14ac:dyDescent="0.3"/>
    <row r="1641" ht="14.4" x14ac:dyDescent="0.3"/>
    <row r="1642" ht="14.4" x14ac:dyDescent="0.3"/>
    <row r="1643" ht="14.4" x14ac:dyDescent="0.3"/>
    <row r="1644" ht="14.4" x14ac:dyDescent="0.3"/>
    <row r="1645" ht="14.4" x14ac:dyDescent="0.3"/>
    <row r="1646" ht="14.4" x14ac:dyDescent="0.3"/>
    <row r="1647" ht="14.4" x14ac:dyDescent="0.3"/>
    <row r="1648" ht="14.4" x14ac:dyDescent="0.3"/>
    <row r="1649" ht="14.4" x14ac:dyDescent="0.3"/>
    <row r="1650" ht="14.4" x14ac:dyDescent="0.3"/>
    <row r="1651" ht="14.4" x14ac:dyDescent="0.3"/>
    <row r="1652" ht="14.4" x14ac:dyDescent="0.3"/>
    <row r="1653" ht="14.4" x14ac:dyDescent="0.3"/>
    <row r="1654" ht="14.4" x14ac:dyDescent="0.3"/>
    <row r="1655" ht="14.4" x14ac:dyDescent="0.3"/>
    <row r="1656" ht="14.4" x14ac:dyDescent="0.3"/>
    <row r="1657" ht="14.4" x14ac:dyDescent="0.3"/>
    <row r="1658" ht="14.4" x14ac:dyDescent="0.3"/>
    <row r="1659" ht="14.4" x14ac:dyDescent="0.3"/>
    <row r="1660" ht="14.4" x14ac:dyDescent="0.3"/>
    <row r="1661" ht="14.4" x14ac:dyDescent="0.3"/>
    <row r="1662" ht="14.4" x14ac:dyDescent="0.3"/>
    <row r="1663" ht="14.4" x14ac:dyDescent="0.3"/>
    <row r="1664" ht="14.4" x14ac:dyDescent="0.3"/>
    <row r="1665" ht="14.4" x14ac:dyDescent="0.3"/>
    <row r="1666" ht="14.4" x14ac:dyDescent="0.3"/>
    <row r="1667" ht="14.4" x14ac:dyDescent="0.3"/>
    <row r="1668" ht="14.4" x14ac:dyDescent="0.3"/>
    <row r="1669" ht="14.4" x14ac:dyDescent="0.3"/>
    <row r="1670" ht="14.4" x14ac:dyDescent="0.3"/>
    <row r="1671" ht="14.4" x14ac:dyDescent="0.3"/>
    <row r="1672" ht="14.4" x14ac:dyDescent="0.3"/>
    <row r="1673" ht="14.4" x14ac:dyDescent="0.3"/>
    <row r="1674" ht="14.4" x14ac:dyDescent="0.3"/>
    <row r="1675" ht="14.4" x14ac:dyDescent="0.3"/>
    <row r="1676" ht="14.4" x14ac:dyDescent="0.3"/>
    <row r="1677" ht="14.4" x14ac:dyDescent="0.3"/>
    <row r="1678" ht="14.4" x14ac:dyDescent="0.3"/>
    <row r="1679" ht="14.4" x14ac:dyDescent="0.3"/>
    <row r="1680" ht="14.4" x14ac:dyDescent="0.3"/>
    <row r="1681" ht="14.4" x14ac:dyDescent="0.3"/>
    <row r="1682" ht="14.4" x14ac:dyDescent="0.3"/>
    <row r="1683" ht="14.4" x14ac:dyDescent="0.3"/>
    <row r="1684" ht="14.4" x14ac:dyDescent="0.3"/>
    <row r="1685" ht="14.4" x14ac:dyDescent="0.3"/>
    <row r="1686" ht="14.4" x14ac:dyDescent="0.3"/>
    <row r="1687" ht="14.4" x14ac:dyDescent="0.3"/>
    <row r="1688" ht="14.4" x14ac:dyDescent="0.3"/>
    <row r="1689" ht="14.4" x14ac:dyDescent="0.3"/>
    <row r="1690" ht="14.4" x14ac:dyDescent="0.3"/>
    <row r="1691" ht="14.4" x14ac:dyDescent="0.3"/>
    <row r="1692" ht="14.4" x14ac:dyDescent="0.3"/>
    <row r="1693" ht="14.4" x14ac:dyDescent="0.3"/>
    <row r="1694" ht="14.4" x14ac:dyDescent="0.3"/>
    <row r="1695" ht="14.4" x14ac:dyDescent="0.3"/>
    <row r="1696" ht="14.4" x14ac:dyDescent="0.3"/>
    <row r="1697" ht="14.4" x14ac:dyDescent="0.3"/>
    <row r="1698" ht="14.4" x14ac:dyDescent="0.3"/>
    <row r="1699" ht="14.4" x14ac:dyDescent="0.3"/>
    <row r="1700" ht="14.4" x14ac:dyDescent="0.3"/>
    <row r="1701" ht="14.4" x14ac:dyDescent="0.3"/>
    <row r="1702" ht="14.4" x14ac:dyDescent="0.3"/>
    <row r="1703" ht="14.4" x14ac:dyDescent="0.3"/>
    <row r="1704" ht="14.4" x14ac:dyDescent="0.3"/>
    <row r="1705" ht="14.4" x14ac:dyDescent="0.3"/>
    <row r="1706" ht="14.4" x14ac:dyDescent="0.3"/>
    <row r="1707" ht="14.4" x14ac:dyDescent="0.3"/>
    <row r="1708" ht="14.4" x14ac:dyDescent="0.3"/>
    <row r="1709" ht="14.4" x14ac:dyDescent="0.3"/>
    <row r="1710" ht="14.4" x14ac:dyDescent="0.3"/>
    <row r="1711" ht="14.4" x14ac:dyDescent="0.3"/>
    <row r="1712" ht="14.4" x14ac:dyDescent="0.3"/>
    <row r="1713" ht="14.4" x14ac:dyDescent="0.3"/>
    <row r="1714" ht="14.4" x14ac:dyDescent="0.3"/>
    <row r="1715" ht="14.4" x14ac:dyDescent="0.3"/>
    <row r="1716" ht="14.4" x14ac:dyDescent="0.3"/>
    <row r="1717" ht="14.4" x14ac:dyDescent="0.3"/>
    <row r="1718" ht="14.4" x14ac:dyDescent="0.3"/>
    <row r="1719" ht="14.4" x14ac:dyDescent="0.3"/>
    <row r="1720" ht="14.4" x14ac:dyDescent="0.3"/>
    <row r="1721" ht="14.4" x14ac:dyDescent="0.3"/>
    <row r="1722" ht="14.4" x14ac:dyDescent="0.3"/>
    <row r="1723" ht="14.4" x14ac:dyDescent="0.3"/>
    <row r="1724" ht="14.4" x14ac:dyDescent="0.3"/>
    <row r="1725" ht="14.4" x14ac:dyDescent="0.3"/>
    <row r="1726" ht="14.4" x14ac:dyDescent="0.3"/>
    <row r="1727" ht="14.4" x14ac:dyDescent="0.3"/>
    <row r="1728" ht="14.4" x14ac:dyDescent="0.3"/>
    <row r="1729" ht="14.4" x14ac:dyDescent="0.3"/>
    <row r="1730" ht="14.4" x14ac:dyDescent="0.3"/>
    <row r="1731" ht="14.4" x14ac:dyDescent="0.3"/>
    <row r="1732" ht="14.4" x14ac:dyDescent="0.3"/>
    <row r="1733" ht="14.4" x14ac:dyDescent="0.3"/>
    <row r="1734" ht="14.4" x14ac:dyDescent="0.3"/>
    <row r="1735" ht="14.4" x14ac:dyDescent="0.3"/>
    <row r="1736" ht="14.4" x14ac:dyDescent="0.3"/>
    <row r="1737" ht="14.4" x14ac:dyDescent="0.3"/>
    <row r="1738" ht="14.4" x14ac:dyDescent="0.3"/>
    <row r="1739" ht="14.4" x14ac:dyDescent="0.3"/>
    <row r="1740" ht="14.4" x14ac:dyDescent="0.3"/>
    <row r="1741" ht="14.4" x14ac:dyDescent="0.3"/>
    <row r="1742" ht="14.4" x14ac:dyDescent="0.3"/>
    <row r="1743" ht="14.4" x14ac:dyDescent="0.3"/>
    <row r="1744" ht="14.4" x14ac:dyDescent="0.3"/>
    <row r="1745" ht="14.4" x14ac:dyDescent="0.3"/>
    <row r="1746" ht="14.4" x14ac:dyDescent="0.3"/>
    <row r="1747" ht="14.4" x14ac:dyDescent="0.3"/>
    <row r="1748" ht="14.4" x14ac:dyDescent="0.3"/>
    <row r="1749" ht="14.4" x14ac:dyDescent="0.3"/>
    <row r="1750" ht="14.4" x14ac:dyDescent="0.3"/>
    <row r="1751" ht="14.4" x14ac:dyDescent="0.3"/>
    <row r="1752" ht="14.4" x14ac:dyDescent="0.3"/>
    <row r="1753" ht="14.4" x14ac:dyDescent="0.3"/>
    <row r="1754" ht="14.4" x14ac:dyDescent="0.3"/>
    <row r="1755" ht="14.4" x14ac:dyDescent="0.3"/>
    <row r="1756" ht="14.4" x14ac:dyDescent="0.3"/>
    <row r="1757" ht="14.4" x14ac:dyDescent="0.3"/>
    <row r="1758" ht="14.4" x14ac:dyDescent="0.3"/>
    <row r="1759" ht="14.4" x14ac:dyDescent="0.3"/>
    <row r="1760" ht="14.4" x14ac:dyDescent="0.3"/>
    <row r="1761" ht="14.4" x14ac:dyDescent="0.3"/>
    <row r="1762" ht="14.4" x14ac:dyDescent="0.3"/>
    <row r="1763" ht="14.4" x14ac:dyDescent="0.3"/>
    <row r="1764" ht="14.4" x14ac:dyDescent="0.3"/>
    <row r="1765" ht="14.4" x14ac:dyDescent="0.3"/>
    <row r="1766" ht="14.4" x14ac:dyDescent="0.3"/>
    <row r="1767" ht="14.4" x14ac:dyDescent="0.3"/>
    <row r="1768" ht="14.4" x14ac:dyDescent="0.3"/>
    <row r="1769" ht="14.4" x14ac:dyDescent="0.3"/>
    <row r="1770" ht="14.4" x14ac:dyDescent="0.3"/>
    <row r="1771" ht="14.4" x14ac:dyDescent="0.3"/>
    <row r="1772" ht="14.4" x14ac:dyDescent="0.3"/>
    <row r="1773" ht="14.4" x14ac:dyDescent="0.3"/>
    <row r="1774" ht="14.4" x14ac:dyDescent="0.3"/>
    <row r="1775" ht="14.4" x14ac:dyDescent="0.3"/>
    <row r="1776" ht="14.4" x14ac:dyDescent="0.3"/>
    <row r="1777" ht="14.4" x14ac:dyDescent="0.3"/>
    <row r="1778" ht="14.4" x14ac:dyDescent="0.3"/>
    <row r="1779" ht="14.4" x14ac:dyDescent="0.3"/>
    <row r="1780" ht="14.4" x14ac:dyDescent="0.3"/>
    <row r="1781" ht="14.4" x14ac:dyDescent="0.3"/>
    <row r="1782" ht="14.4" x14ac:dyDescent="0.3"/>
    <row r="1783" ht="14.4" x14ac:dyDescent="0.3"/>
    <row r="1784" ht="14.4" x14ac:dyDescent="0.3"/>
    <row r="1785" ht="14.4" x14ac:dyDescent="0.3"/>
    <row r="1786" ht="14.4" x14ac:dyDescent="0.3"/>
    <row r="1787" ht="14.4" x14ac:dyDescent="0.3"/>
    <row r="1788" ht="14.4" x14ac:dyDescent="0.3"/>
    <row r="1789" ht="14.4" x14ac:dyDescent="0.3"/>
    <row r="1790" ht="14.4" x14ac:dyDescent="0.3"/>
    <row r="1791" ht="14.4" x14ac:dyDescent="0.3"/>
    <row r="1792" ht="14.4" x14ac:dyDescent="0.3"/>
    <row r="1793" ht="14.4" x14ac:dyDescent="0.3"/>
    <row r="1794" ht="14.4" x14ac:dyDescent="0.3"/>
    <row r="1795" ht="14.4" x14ac:dyDescent="0.3"/>
    <row r="1796" ht="14.4" x14ac:dyDescent="0.3"/>
    <row r="1797" ht="14.4" x14ac:dyDescent="0.3"/>
    <row r="1798" ht="14.4" x14ac:dyDescent="0.3"/>
    <row r="1799" ht="14.4" x14ac:dyDescent="0.3"/>
    <row r="1800" ht="14.4" x14ac:dyDescent="0.3"/>
    <row r="1801" ht="14.4" x14ac:dyDescent="0.3"/>
    <row r="1802" ht="14.4" x14ac:dyDescent="0.3"/>
    <row r="1803" ht="14.4" x14ac:dyDescent="0.3"/>
    <row r="1804" ht="14.4" x14ac:dyDescent="0.3"/>
    <row r="1805" ht="14.4" x14ac:dyDescent="0.3"/>
    <row r="1806" ht="14.4" x14ac:dyDescent="0.3"/>
    <row r="1807" ht="14.4" x14ac:dyDescent="0.3"/>
    <row r="1808" ht="14.4" x14ac:dyDescent="0.3"/>
    <row r="1809" ht="14.4" x14ac:dyDescent="0.3"/>
    <row r="1810" ht="14.4" x14ac:dyDescent="0.3"/>
    <row r="1811" ht="14.4" x14ac:dyDescent="0.3"/>
    <row r="1812" ht="14.4" x14ac:dyDescent="0.3"/>
    <row r="1813" ht="14.4" x14ac:dyDescent="0.3"/>
    <row r="1814" ht="14.4" x14ac:dyDescent="0.3"/>
    <row r="1815" ht="14.4" x14ac:dyDescent="0.3"/>
    <row r="1816" ht="14.4" x14ac:dyDescent="0.3"/>
    <row r="1817" ht="14.4" x14ac:dyDescent="0.3"/>
    <row r="1818" ht="14.4" x14ac:dyDescent="0.3"/>
    <row r="1819" ht="14.4" x14ac:dyDescent="0.3"/>
    <row r="1820" ht="14.4" x14ac:dyDescent="0.3"/>
    <row r="1821" ht="14.4" x14ac:dyDescent="0.3"/>
    <row r="1822" ht="14.4" x14ac:dyDescent="0.3"/>
    <row r="1823" ht="14.4" x14ac:dyDescent="0.3"/>
    <row r="1824" ht="14.4" x14ac:dyDescent="0.3"/>
    <row r="1825" ht="14.4" x14ac:dyDescent="0.3"/>
    <row r="1826" ht="14.4" x14ac:dyDescent="0.3"/>
    <row r="1827" ht="14.4" x14ac:dyDescent="0.3"/>
    <row r="1828" ht="14.4" x14ac:dyDescent="0.3"/>
    <row r="1829" ht="14.4" x14ac:dyDescent="0.3"/>
    <row r="1830" ht="14.4" x14ac:dyDescent="0.3"/>
    <row r="1831" ht="14.4" x14ac:dyDescent="0.3"/>
    <row r="1832" ht="14.4" x14ac:dyDescent="0.3"/>
    <row r="1833" ht="14.4" x14ac:dyDescent="0.3"/>
    <row r="1834" ht="14.4" x14ac:dyDescent="0.3"/>
    <row r="1835" ht="14.4" x14ac:dyDescent="0.3"/>
    <row r="1836" ht="14.4" x14ac:dyDescent="0.3"/>
    <row r="1837" ht="14.4" x14ac:dyDescent="0.3"/>
    <row r="1838" ht="14.4" x14ac:dyDescent="0.3"/>
    <row r="1839" ht="14.4" x14ac:dyDescent="0.3"/>
    <row r="1840" ht="14.4" x14ac:dyDescent="0.3"/>
    <row r="1841" ht="14.4" x14ac:dyDescent="0.3"/>
    <row r="1842" ht="14.4" x14ac:dyDescent="0.3"/>
    <row r="1843" ht="14.4" x14ac:dyDescent="0.3"/>
    <row r="1844" ht="14.4" x14ac:dyDescent="0.3"/>
    <row r="1845" ht="14.4" x14ac:dyDescent="0.3"/>
    <row r="1846" ht="14.4" x14ac:dyDescent="0.3"/>
    <row r="1847" ht="14.4" x14ac:dyDescent="0.3"/>
    <row r="1848" ht="14.4" x14ac:dyDescent="0.3"/>
    <row r="1849" ht="14.4" x14ac:dyDescent="0.3"/>
    <row r="1850" ht="14.4" x14ac:dyDescent="0.3"/>
    <row r="1851" ht="14.4" x14ac:dyDescent="0.3"/>
    <row r="1852" ht="14.4" x14ac:dyDescent="0.3"/>
    <row r="1853" ht="14.4" x14ac:dyDescent="0.3"/>
    <row r="1854" ht="14.4" x14ac:dyDescent="0.3"/>
    <row r="1855" ht="14.4" x14ac:dyDescent="0.3"/>
    <row r="1856" ht="14.4" x14ac:dyDescent="0.3"/>
    <row r="1857" ht="14.4" x14ac:dyDescent="0.3"/>
    <row r="1858" ht="14.4" x14ac:dyDescent="0.3"/>
    <row r="1859" ht="14.4" x14ac:dyDescent="0.3"/>
    <row r="1860" ht="14.4" x14ac:dyDescent="0.3"/>
    <row r="1861" ht="14.4" x14ac:dyDescent="0.3"/>
    <row r="1862" ht="14.4" x14ac:dyDescent="0.3"/>
    <row r="1863" ht="14.4" x14ac:dyDescent="0.3"/>
    <row r="1864" ht="14.4" x14ac:dyDescent="0.3"/>
    <row r="1865" ht="14.4" x14ac:dyDescent="0.3"/>
    <row r="1866" ht="14.4" x14ac:dyDescent="0.3"/>
    <row r="1867" ht="14.4" x14ac:dyDescent="0.3"/>
    <row r="1868" ht="14.4" x14ac:dyDescent="0.3"/>
    <row r="1869" ht="14.4" x14ac:dyDescent="0.3"/>
    <row r="1870" ht="14.4" x14ac:dyDescent="0.3"/>
    <row r="1871" ht="14.4" x14ac:dyDescent="0.3"/>
    <row r="1872" ht="14.4" x14ac:dyDescent="0.3"/>
    <row r="1873" ht="14.4" x14ac:dyDescent="0.3"/>
    <row r="1874" ht="14.4" x14ac:dyDescent="0.3"/>
    <row r="1875" ht="14.4" x14ac:dyDescent="0.3"/>
    <row r="1876" ht="14.4" x14ac:dyDescent="0.3"/>
    <row r="1877" ht="14.4" x14ac:dyDescent="0.3"/>
    <row r="1878" ht="14.4" x14ac:dyDescent="0.3"/>
    <row r="1879" ht="14.4" x14ac:dyDescent="0.3"/>
    <row r="1880" ht="14.4" x14ac:dyDescent="0.3"/>
    <row r="1881" ht="14.4" x14ac:dyDescent="0.3"/>
    <row r="1882" ht="14.4" x14ac:dyDescent="0.3"/>
    <row r="1883" ht="14.4" x14ac:dyDescent="0.3"/>
    <row r="1884" ht="14.4" x14ac:dyDescent="0.3"/>
    <row r="1885" ht="14.4" x14ac:dyDescent="0.3"/>
    <row r="1886" ht="14.4" x14ac:dyDescent="0.3"/>
    <row r="1887" ht="14.4" x14ac:dyDescent="0.3"/>
    <row r="1888" ht="14.4" x14ac:dyDescent="0.3"/>
    <row r="1889" ht="14.4" x14ac:dyDescent="0.3"/>
    <row r="1890" ht="14.4" x14ac:dyDescent="0.3"/>
    <row r="1891" ht="14.4" x14ac:dyDescent="0.3"/>
    <row r="1892" ht="14.4" x14ac:dyDescent="0.3"/>
    <row r="1893" ht="14.4" x14ac:dyDescent="0.3"/>
    <row r="1894" ht="14.4" x14ac:dyDescent="0.3"/>
    <row r="1895" ht="14.4" x14ac:dyDescent="0.3"/>
    <row r="1896" ht="14.4" x14ac:dyDescent="0.3"/>
    <row r="1897" ht="14.4" x14ac:dyDescent="0.3"/>
    <row r="1898" ht="14.4" x14ac:dyDescent="0.3"/>
    <row r="1899" ht="14.4" x14ac:dyDescent="0.3"/>
    <row r="1900" ht="14.4" x14ac:dyDescent="0.3"/>
    <row r="1901" ht="14.4" x14ac:dyDescent="0.3"/>
    <row r="1902" ht="14.4" x14ac:dyDescent="0.3"/>
    <row r="1903" ht="14.4" x14ac:dyDescent="0.3"/>
    <row r="1904" ht="14.4" x14ac:dyDescent="0.3"/>
    <row r="1905" ht="14.4" x14ac:dyDescent="0.3"/>
    <row r="1906" ht="14.4" x14ac:dyDescent="0.3"/>
    <row r="1907" ht="14.4" x14ac:dyDescent="0.3"/>
    <row r="1908" ht="14.4" x14ac:dyDescent="0.3"/>
    <row r="1909" ht="14.4" x14ac:dyDescent="0.3"/>
    <row r="1910" ht="14.4" x14ac:dyDescent="0.3"/>
    <row r="1911" ht="14.4" x14ac:dyDescent="0.3"/>
    <row r="1912" ht="14.4" x14ac:dyDescent="0.3"/>
    <row r="1913" ht="14.4" x14ac:dyDescent="0.3"/>
    <row r="1914" ht="14.4" x14ac:dyDescent="0.3"/>
    <row r="1915" ht="14.4" x14ac:dyDescent="0.3"/>
    <row r="1916" ht="14.4" x14ac:dyDescent="0.3"/>
    <row r="1917" ht="14.4" x14ac:dyDescent="0.3"/>
    <row r="1918" ht="14.4" x14ac:dyDescent="0.3"/>
    <row r="1919" ht="14.4" x14ac:dyDescent="0.3"/>
    <row r="1920" ht="14.4" x14ac:dyDescent="0.3"/>
    <row r="1921" ht="14.4" x14ac:dyDescent="0.3"/>
    <row r="1922" ht="14.4" x14ac:dyDescent="0.3"/>
    <row r="1923" ht="14.4" x14ac:dyDescent="0.3"/>
    <row r="1924" ht="14.4" x14ac:dyDescent="0.3"/>
    <row r="1925" ht="14.4" x14ac:dyDescent="0.3"/>
    <row r="1926" ht="14.4" x14ac:dyDescent="0.3"/>
    <row r="1927" ht="14.4" x14ac:dyDescent="0.3"/>
    <row r="1928" ht="14.4" x14ac:dyDescent="0.3"/>
    <row r="1929" ht="14.4" x14ac:dyDescent="0.3"/>
    <row r="1930" ht="14.4" x14ac:dyDescent="0.3"/>
    <row r="1931" ht="14.4" x14ac:dyDescent="0.3"/>
    <row r="1932" ht="14.4" x14ac:dyDescent="0.3"/>
    <row r="1933" ht="14.4" x14ac:dyDescent="0.3"/>
    <row r="1934" ht="14.4" x14ac:dyDescent="0.3"/>
    <row r="1935" ht="14.4" x14ac:dyDescent="0.3"/>
    <row r="1936" ht="14.4" x14ac:dyDescent="0.3"/>
    <row r="1937" ht="14.4" x14ac:dyDescent="0.3"/>
    <row r="1938" ht="14.4" x14ac:dyDescent="0.3"/>
    <row r="1939" ht="14.4" x14ac:dyDescent="0.3"/>
    <row r="1940" ht="14.4" x14ac:dyDescent="0.3"/>
    <row r="1941" ht="14.4" x14ac:dyDescent="0.3"/>
    <row r="1942" ht="14.4" x14ac:dyDescent="0.3"/>
    <row r="1943" ht="14.4" x14ac:dyDescent="0.3"/>
    <row r="1944" ht="14.4" x14ac:dyDescent="0.3"/>
    <row r="1945" ht="14.4" x14ac:dyDescent="0.3"/>
    <row r="1946" ht="14.4" x14ac:dyDescent="0.3"/>
    <row r="1947" ht="14.4" x14ac:dyDescent="0.3"/>
    <row r="1948" ht="14.4" x14ac:dyDescent="0.3"/>
    <row r="1949" ht="14.4" x14ac:dyDescent="0.3"/>
    <row r="1950" ht="14.4" x14ac:dyDescent="0.3"/>
    <row r="1951" ht="14.4" x14ac:dyDescent="0.3"/>
    <row r="1952" ht="14.4" x14ac:dyDescent="0.3"/>
    <row r="1953" ht="14.4" x14ac:dyDescent="0.3"/>
    <row r="1954" ht="14.4" x14ac:dyDescent="0.3"/>
    <row r="1955" ht="14.4" x14ac:dyDescent="0.3"/>
    <row r="1956" ht="14.4" x14ac:dyDescent="0.3"/>
    <row r="1957" ht="14.4" x14ac:dyDescent="0.3"/>
    <row r="1958" ht="14.4" x14ac:dyDescent="0.3"/>
    <row r="1959" ht="14.4" x14ac:dyDescent="0.3"/>
    <row r="1960" ht="14.4" x14ac:dyDescent="0.3"/>
    <row r="1961" ht="14.4" x14ac:dyDescent="0.3"/>
    <row r="1962" ht="14.4" x14ac:dyDescent="0.3"/>
    <row r="1963" ht="14.4" x14ac:dyDescent="0.3"/>
    <row r="1964" ht="14.4" x14ac:dyDescent="0.3"/>
    <row r="1965" ht="14.4" x14ac:dyDescent="0.3"/>
    <row r="1966" ht="14.4" x14ac:dyDescent="0.3"/>
    <row r="1967" ht="14.4" x14ac:dyDescent="0.3"/>
    <row r="1968" ht="14.4" x14ac:dyDescent="0.3"/>
    <row r="1969" ht="14.4" x14ac:dyDescent="0.3"/>
    <row r="1970" ht="14.4" x14ac:dyDescent="0.3"/>
    <row r="1971" ht="14.4" x14ac:dyDescent="0.3"/>
    <row r="1972" ht="14.4" x14ac:dyDescent="0.3"/>
    <row r="1973" ht="14.4" x14ac:dyDescent="0.3"/>
    <row r="1974" ht="14.4" x14ac:dyDescent="0.3"/>
    <row r="1975" ht="14.4" x14ac:dyDescent="0.3"/>
    <row r="1976" ht="14.4" x14ac:dyDescent="0.3"/>
    <row r="1977" ht="14.4" x14ac:dyDescent="0.3"/>
    <row r="1978" ht="14.4" x14ac:dyDescent="0.3"/>
    <row r="1979" ht="14.4" x14ac:dyDescent="0.3"/>
    <row r="1980" ht="14.4" x14ac:dyDescent="0.3"/>
    <row r="1981" ht="14.4" x14ac:dyDescent="0.3"/>
    <row r="1982" ht="14.4" x14ac:dyDescent="0.3"/>
    <row r="1983" ht="14.4" x14ac:dyDescent="0.3"/>
    <row r="1984" ht="14.4" x14ac:dyDescent="0.3"/>
    <row r="1985" ht="14.4" x14ac:dyDescent="0.3"/>
    <row r="1986" ht="14.4" x14ac:dyDescent="0.3"/>
    <row r="1987" ht="14.4" x14ac:dyDescent="0.3"/>
    <row r="1988" ht="14.4" x14ac:dyDescent="0.3"/>
    <row r="1989" ht="14.4" x14ac:dyDescent="0.3"/>
    <row r="1990" ht="14.4" x14ac:dyDescent="0.3"/>
    <row r="1991" ht="14.4" x14ac:dyDescent="0.3"/>
    <row r="1992" ht="14.4" x14ac:dyDescent="0.3"/>
    <row r="1993" ht="14.4" x14ac:dyDescent="0.3"/>
    <row r="1994" ht="14.4" x14ac:dyDescent="0.3"/>
    <row r="1995" ht="14.4" x14ac:dyDescent="0.3"/>
    <row r="1996" ht="14.4" x14ac:dyDescent="0.3"/>
    <row r="1997" ht="14.4" x14ac:dyDescent="0.3"/>
    <row r="1998" ht="14.4" x14ac:dyDescent="0.3"/>
    <row r="1999" ht="14.4" x14ac:dyDescent="0.3"/>
    <row r="2000" ht="14.4" x14ac:dyDescent="0.3"/>
    <row r="2001" spans="1:43" ht="14.4" x14ac:dyDescent="0.3"/>
    <row r="2002" spans="1:43" ht="14.4" x14ac:dyDescent="0.3"/>
    <row r="2003" spans="1:43" ht="14.4" x14ac:dyDescent="0.3"/>
    <row r="2004" spans="1:43" ht="14.4" x14ac:dyDescent="0.3"/>
    <row r="2005" spans="1:43" ht="14.4" x14ac:dyDescent="0.3"/>
    <row r="2006" spans="1:43" ht="14.4" x14ac:dyDescent="0.3"/>
    <row r="2007" spans="1:43" ht="14.4" x14ac:dyDescent="0.3"/>
    <row r="2008" spans="1:43" ht="14.4" x14ac:dyDescent="0.3"/>
    <row r="2009" spans="1:43" ht="14.4" x14ac:dyDescent="0.3"/>
    <row r="2010" spans="1:43" ht="14.4" x14ac:dyDescent="0.3"/>
    <row r="2011" spans="1:43" ht="14.4" x14ac:dyDescent="0.3"/>
    <row r="2012" spans="1:43" ht="14.4" hidden="1" x14ac:dyDescent="0.3">
      <c r="A2012" t="s">
        <v>809</v>
      </c>
      <c r="B2012">
        <v>4946635</v>
      </c>
      <c r="C2012" t="s">
        <v>445</v>
      </c>
      <c r="D2012" t="s">
        <v>451</v>
      </c>
      <c r="E2012" t="s">
        <v>810</v>
      </c>
      <c r="F2012" t="s">
        <v>459</v>
      </c>
      <c r="H2012" t="s">
        <v>377</v>
      </c>
      <c r="J2012" t="s">
        <v>140</v>
      </c>
      <c r="K2012">
        <v>162916.67000000001</v>
      </c>
      <c r="L2012">
        <v>386221.09</v>
      </c>
      <c r="M2012">
        <v>1</v>
      </c>
      <c r="N2012" t="s">
        <v>636</v>
      </c>
      <c r="O2012" t="s">
        <v>179</v>
      </c>
      <c r="P2012" t="s">
        <v>637</v>
      </c>
      <c r="Q2012" t="s">
        <v>144</v>
      </c>
      <c r="S2012">
        <v>28</v>
      </c>
      <c r="T2012">
        <v>3400</v>
      </c>
      <c r="V2012" t="s">
        <v>146</v>
      </c>
      <c r="W2012" t="s">
        <v>147</v>
      </c>
      <c r="X2012" t="s">
        <v>7</v>
      </c>
      <c r="Y2012" t="s">
        <v>283</v>
      </c>
      <c r="Z2012" t="s">
        <v>179</v>
      </c>
      <c r="AA2012" t="s">
        <v>638</v>
      </c>
      <c r="AB2012">
        <v>0</v>
      </c>
      <c r="AE2012" t="s">
        <v>444</v>
      </c>
      <c r="AF2012" t="s">
        <v>179</v>
      </c>
      <c r="AG2012" t="s">
        <v>639</v>
      </c>
      <c r="AI2012" t="s">
        <v>626</v>
      </c>
      <c r="AJ2012" t="s">
        <v>179</v>
      </c>
      <c r="AK2012" t="s">
        <v>639</v>
      </c>
      <c r="AL2012" t="s">
        <v>811</v>
      </c>
      <c r="AM2012" t="s">
        <v>812</v>
      </c>
      <c r="AN2012" t="s">
        <v>813</v>
      </c>
      <c r="AO2012" t="s">
        <v>636</v>
      </c>
      <c r="AP2012" t="s">
        <v>158</v>
      </c>
      <c r="AQ2012" t="str">
        <f>IF(ISBLANK(AP2012), IFERROR(IF(VLOOKUP(AO2012, Ellens_additions!$A$2:$B$252, 2, FALSE) = "", "", VLOOKUP(AO2012, Ellens_additions!$A$2:$B$252, 2, FALSE)), 0), AP2012)</f>
        <v>3000</v>
      </c>
    </row>
    <row r="2013" spans="1:43" ht="14.4" x14ac:dyDescent="0.3"/>
    <row r="2014" spans="1:43" ht="14.4" x14ac:dyDescent="0.3"/>
    <row r="2015" spans="1:43" ht="14.4" x14ac:dyDescent="0.3"/>
    <row r="2016" spans="1:43" ht="14.4" x14ac:dyDescent="0.3"/>
    <row r="2017" ht="14.4" x14ac:dyDescent="0.3"/>
    <row r="2018" ht="14.4" x14ac:dyDescent="0.3"/>
    <row r="2019" ht="14.4" x14ac:dyDescent="0.3"/>
    <row r="2020" ht="14.4" x14ac:dyDescent="0.3"/>
    <row r="2021" ht="14.4" x14ac:dyDescent="0.3"/>
    <row r="2022" ht="14.4" x14ac:dyDescent="0.3"/>
    <row r="2023" ht="14.4" x14ac:dyDescent="0.3"/>
    <row r="2024" ht="14.4" x14ac:dyDescent="0.3"/>
    <row r="2025" ht="14.4" x14ac:dyDescent="0.3"/>
    <row r="2026" ht="14.4" x14ac:dyDescent="0.3"/>
    <row r="2027" ht="14.4" x14ac:dyDescent="0.3"/>
    <row r="2028" ht="14.4" x14ac:dyDescent="0.3"/>
    <row r="2029" ht="14.4" x14ac:dyDescent="0.3"/>
    <row r="2030" ht="14.4" x14ac:dyDescent="0.3"/>
    <row r="2031" ht="14.4" x14ac:dyDescent="0.3"/>
    <row r="2032" ht="14.4" x14ac:dyDescent="0.3"/>
    <row r="2033" ht="14.4" x14ac:dyDescent="0.3"/>
    <row r="2034" ht="14.4" x14ac:dyDescent="0.3"/>
    <row r="2035" ht="14.4" x14ac:dyDescent="0.3"/>
    <row r="2036" ht="14.4" x14ac:dyDescent="0.3"/>
    <row r="2037" ht="14.4" x14ac:dyDescent="0.3"/>
    <row r="2038" ht="14.4" x14ac:dyDescent="0.3"/>
    <row r="2039" ht="14.4" x14ac:dyDescent="0.3"/>
    <row r="2040" ht="14.4" x14ac:dyDescent="0.3"/>
    <row r="2041" ht="14.4" x14ac:dyDescent="0.3"/>
    <row r="2042" ht="14.4" x14ac:dyDescent="0.3"/>
    <row r="2043" ht="14.4" x14ac:dyDescent="0.3"/>
    <row r="2044" ht="14.4" x14ac:dyDescent="0.3"/>
    <row r="2045" ht="14.4" x14ac:dyDescent="0.3"/>
    <row r="2046" ht="14.4" x14ac:dyDescent="0.3"/>
    <row r="2047" ht="14.4" x14ac:dyDescent="0.3"/>
    <row r="2048" ht="14.4" x14ac:dyDescent="0.3"/>
    <row r="2049" ht="14.4" x14ac:dyDescent="0.3"/>
    <row r="2050" ht="14.4" x14ac:dyDescent="0.3"/>
    <row r="2051" ht="14.4" x14ac:dyDescent="0.3"/>
    <row r="2052" ht="14.4" x14ac:dyDescent="0.3"/>
    <row r="2053" ht="14.4" x14ac:dyDescent="0.3"/>
    <row r="2054" ht="14.4" x14ac:dyDescent="0.3"/>
    <row r="2055" ht="14.4" x14ac:dyDescent="0.3"/>
    <row r="2056" ht="14.4" x14ac:dyDescent="0.3"/>
    <row r="2057" ht="14.4" x14ac:dyDescent="0.3"/>
    <row r="2058" ht="14.4" x14ac:dyDescent="0.3"/>
    <row r="2059" ht="14.4" x14ac:dyDescent="0.3"/>
    <row r="2060" ht="14.4" x14ac:dyDescent="0.3"/>
    <row r="2061" ht="14.4" x14ac:dyDescent="0.3"/>
    <row r="2062" ht="14.4" x14ac:dyDescent="0.3"/>
    <row r="2063" ht="14.4" x14ac:dyDescent="0.3"/>
    <row r="2064" ht="14.4" x14ac:dyDescent="0.3"/>
    <row r="2065" ht="14.4" x14ac:dyDescent="0.3"/>
    <row r="2066" ht="14.4" x14ac:dyDescent="0.3"/>
    <row r="2067" ht="14.4" x14ac:dyDescent="0.3"/>
    <row r="2068" ht="14.4" x14ac:dyDescent="0.3"/>
    <row r="2069" ht="14.4" x14ac:dyDescent="0.3"/>
    <row r="2070" ht="14.4" x14ac:dyDescent="0.3"/>
    <row r="2071" ht="14.4" x14ac:dyDescent="0.3"/>
    <row r="2072" ht="14.4" x14ac:dyDescent="0.3"/>
    <row r="2073" ht="14.4" x14ac:dyDescent="0.3"/>
    <row r="2074" ht="14.4" x14ac:dyDescent="0.3"/>
    <row r="2075" ht="14.4" x14ac:dyDescent="0.3"/>
    <row r="2076" ht="14.4" x14ac:dyDescent="0.3"/>
    <row r="2077" ht="14.4" x14ac:dyDescent="0.3"/>
    <row r="2078" ht="14.4" x14ac:dyDescent="0.3"/>
    <row r="2079" ht="14.4" x14ac:dyDescent="0.3"/>
    <row r="2080" ht="14.4" x14ac:dyDescent="0.3"/>
    <row r="2081" ht="14.4" x14ac:dyDescent="0.3"/>
    <row r="2082" ht="14.4" x14ac:dyDescent="0.3"/>
    <row r="2083" ht="14.4" x14ac:dyDescent="0.3"/>
    <row r="2084" ht="14.4" x14ac:dyDescent="0.3"/>
    <row r="2085" ht="14.4" x14ac:dyDescent="0.3"/>
    <row r="2086" ht="14.4" x14ac:dyDescent="0.3"/>
    <row r="2087" ht="14.4" x14ac:dyDescent="0.3"/>
    <row r="2088" ht="14.4" x14ac:dyDescent="0.3"/>
    <row r="2089" ht="14.4" x14ac:dyDescent="0.3"/>
    <row r="2090" ht="14.4" x14ac:dyDescent="0.3"/>
    <row r="2091" ht="14.4" x14ac:dyDescent="0.3"/>
    <row r="2092" ht="14.4" x14ac:dyDescent="0.3"/>
    <row r="2093" ht="14.4" x14ac:dyDescent="0.3"/>
    <row r="2094" ht="14.4" x14ac:dyDescent="0.3"/>
    <row r="2095" ht="14.4" x14ac:dyDescent="0.3"/>
    <row r="2096" ht="14.4" x14ac:dyDescent="0.3"/>
    <row r="2097" ht="14.4" x14ac:dyDescent="0.3"/>
    <row r="2098" ht="14.4" x14ac:dyDescent="0.3"/>
    <row r="2099" ht="14.4" x14ac:dyDescent="0.3"/>
    <row r="2100" ht="14.4" x14ac:dyDescent="0.3"/>
    <row r="2101" ht="14.4" x14ac:dyDescent="0.3"/>
    <row r="2102" ht="14.4" x14ac:dyDescent="0.3"/>
    <row r="2103" ht="14.4" x14ac:dyDescent="0.3"/>
    <row r="2104" ht="14.4" x14ac:dyDescent="0.3"/>
    <row r="2105" ht="14.4" x14ac:dyDescent="0.3"/>
    <row r="2106" ht="14.4" x14ac:dyDescent="0.3"/>
    <row r="2107" ht="14.4" x14ac:dyDescent="0.3"/>
    <row r="2108" ht="14.4" x14ac:dyDescent="0.3"/>
    <row r="2109" ht="14.4" x14ac:dyDescent="0.3"/>
    <row r="2110" ht="14.4" x14ac:dyDescent="0.3"/>
    <row r="2111" ht="14.4" x14ac:dyDescent="0.3"/>
    <row r="2112" ht="14.4" x14ac:dyDescent="0.3"/>
    <row r="2113" ht="14.4" x14ac:dyDescent="0.3"/>
    <row r="2114" ht="14.4" x14ac:dyDescent="0.3"/>
    <row r="2115" ht="14.4" x14ac:dyDescent="0.3"/>
    <row r="2116" ht="14.4" x14ac:dyDescent="0.3"/>
    <row r="2117" ht="14.4" x14ac:dyDescent="0.3"/>
    <row r="2118" ht="14.4" x14ac:dyDescent="0.3"/>
    <row r="2119" ht="14.4" x14ac:dyDescent="0.3"/>
    <row r="2120" ht="14.4" x14ac:dyDescent="0.3"/>
    <row r="2121" ht="14.4" x14ac:dyDescent="0.3"/>
    <row r="2122" ht="14.4" x14ac:dyDescent="0.3"/>
    <row r="2123" ht="14.4" x14ac:dyDescent="0.3"/>
    <row r="2124" ht="14.4" x14ac:dyDescent="0.3"/>
    <row r="2125" ht="14.4" x14ac:dyDescent="0.3"/>
    <row r="2126" ht="14.4" x14ac:dyDescent="0.3"/>
    <row r="2127" ht="14.4" x14ac:dyDescent="0.3"/>
    <row r="2128" ht="14.4" x14ac:dyDescent="0.3"/>
    <row r="2129" ht="14.4" x14ac:dyDescent="0.3"/>
    <row r="2130" ht="14.4" x14ac:dyDescent="0.3"/>
    <row r="2131" ht="14.4" x14ac:dyDescent="0.3"/>
    <row r="2132" ht="14.4" x14ac:dyDescent="0.3"/>
    <row r="2133" ht="14.4" x14ac:dyDescent="0.3"/>
    <row r="2134" ht="14.4" x14ac:dyDescent="0.3"/>
    <row r="2135" ht="14.4" x14ac:dyDescent="0.3"/>
    <row r="2136" ht="14.4" x14ac:dyDescent="0.3"/>
    <row r="2137" ht="14.4" x14ac:dyDescent="0.3"/>
    <row r="2138" ht="14.4" x14ac:dyDescent="0.3"/>
    <row r="2139" ht="14.4" x14ac:dyDescent="0.3"/>
    <row r="2140" ht="14.4" x14ac:dyDescent="0.3"/>
    <row r="2141" ht="14.4" x14ac:dyDescent="0.3"/>
    <row r="2142" ht="14.4" x14ac:dyDescent="0.3"/>
    <row r="2143" ht="14.4" x14ac:dyDescent="0.3"/>
    <row r="2144" ht="14.4" x14ac:dyDescent="0.3"/>
    <row r="2145" ht="14.4" x14ac:dyDescent="0.3"/>
    <row r="2146" ht="14.4" x14ac:dyDescent="0.3"/>
    <row r="2147" ht="14.4" x14ac:dyDescent="0.3"/>
    <row r="2148" ht="14.4" x14ac:dyDescent="0.3"/>
    <row r="2149" ht="14.4" x14ac:dyDescent="0.3"/>
    <row r="2150" ht="14.4" x14ac:dyDescent="0.3"/>
    <row r="2151" ht="14.4" x14ac:dyDescent="0.3"/>
    <row r="2152" ht="14.4" x14ac:dyDescent="0.3"/>
    <row r="2153" ht="14.4" x14ac:dyDescent="0.3"/>
    <row r="2154" ht="14.4" x14ac:dyDescent="0.3"/>
    <row r="2155" ht="14.4" x14ac:dyDescent="0.3"/>
    <row r="2156" ht="14.4" x14ac:dyDescent="0.3"/>
    <row r="2157" ht="14.4" x14ac:dyDescent="0.3"/>
    <row r="2158" ht="14.4" x14ac:dyDescent="0.3"/>
    <row r="2159" ht="14.4" x14ac:dyDescent="0.3"/>
    <row r="2160" ht="14.4" x14ac:dyDescent="0.3"/>
    <row r="2161" ht="14.4" x14ac:dyDescent="0.3"/>
    <row r="2162" ht="14.4" x14ac:dyDescent="0.3"/>
    <row r="2163" ht="14.4" x14ac:dyDescent="0.3"/>
    <row r="2164" ht="14.4" x14ac:dyDescent="0.3"/>
    <row r="2165" ht="14.4" x14ac:dyDescent="0.3"/>
    <row r="2166" ht="14.4" x14ac:dyDescent="0.3"/>
    <row r="2167" ht="14.4" x14ac:dyDescent="0.3"/>
    <row r="2168" ht="14.4" x14ac:dyDescent="0.3"/>
    <row r="2169" ht="14.4" x14ac:dyDescent="0.3"/>
    <row r="2170" ht="14.4" x14ac:dyDescent="0.3"/>
    <row r="2171" ht="14.4" x14ac:dyDescent="0.3"/>
    <row r="2172" ht="14.4" x14ac:dyDescent="0.3"/>
    <row r="2173" ht="14.4" x14ac:dyDescent="0.3"/>
    <row r="2174" ht="14.4" x14ac:dyDescent="0.3"/>
    <row r="2175" ht="14.4" x14ac:dyDescent="0.3"/>
    <row r="2176" ht="14.4" x14ac:dyDescent="0.3"/>
    <row r="2177" ht="14.4" x14ac:dyDescent="0.3"/>
    <row r="2178" ht="14.4" x14ac:dyDescent="0.3"/>
    <row r="2179" ht="14.4" x14ac:dyDescent="0.3"/>
    <row r="2180" ht="14.4" x14ac:dyDescent="0.3"/>
    <row r="2181" ht="14.4" x14ac:dyDescent="0.3"/>
    <row r="2182" ht="14.4" x14ac:dyDescent="0.3"/>
    <row r="2183" ht="14.4" x14ac:dyDescent="0.3"/>
    <row r="2184" ht="14.4" x14ac:dyDescent="0.3"/>
    <row r="2185" ht="14.4" x14ac:dyDescent="0.3"/>
    <row r="2186" ht="14.4" x14ac:dyDescent="0.3"/>
    <row r="2187" ht="14.4" x14ac:dyDescent="0.3"/>
    <row r="2188" ht="14.4" x14ac:dyDescent="0.3"/>
    <row r="2189" ht="14.4" x14ac:dyDescent="0.3"/>
    <row r="2190" ht="14.4" x14ac:dyDescent="0.3"/>
    <row r="2191" ht="14.4" x14ac:dyDescent="0.3"/>
    <row r="2192" ht="14.4" x14ac:dyDescent="0.3"/>
    <row r="2193" ht="14.4" x14ac:dyDescent="0.3"/>
    <row r="2194" ht="14.4" x14ac:dyDescent="0.3"/>
    <row r="2195" ht="14.4" x14ac:dyDescent="0.3"/>
    <row r="2196" ht="14.4" x14ac:dyDescent="0.3"/>
    <row r="2197" ht="14.4" x14ac:dyDescent="0.3"/>
    <row r="2198" ht="14.4" x14ac:dyDescent="0.3"/>
    <row r="2199" ht="14.4" x14ac:dyDescent="0.3"/>
    <row r="2200" ht="14.4" x14ac:dyDescent="0.3"/>
    <row r="2201" ht="14.4" x14ac:dyDescent="0.3"/>
    <row r="2202" ht="14.4" x14ac:dyDescent="0.3"/>
    <row r="2203" ht="14.4" x14ac:dyDescent="0.3"/>
    <row r="2204" ht="14.4" x14ac:dyDescent="0.3"/>
    <row r="2205" ht="14.4" x14ac:dyDescent="0.3"/>
    <row r="2206" ht="14.4" x14ac:dyDescent="0.3"/>
    <row r="2207" ht="14.4" x14ac:dyDescent="0.3"/>
    <row r="2208" ht="14.4" x14ac:dyDescent="0.3"/>
    <row r="2209" ht="14.4" x14ac:dyDescent="0.3"/>
    <row r="2210" ht="14.4" x14ac:dyDescent="0.3"/>
    <row r="2211" ht="14.4" x14ac:dyDescent="0.3"/>
    <row r="2212" ht="14.4" x14ac:dyDescent="0.3"/>
    <row r="2213" ht="14.4" x14ac:dyDescent="0.3"/>
    <row r="2214" ht="14.4" x14ac:dyDescent="0.3"/>
    <row r="2215" ht="14.4" x14ac:dyDescent="0.3"/>
    <row r="2216" ht="14.4" x14ac:dyDescent="0.3"/>
    <row r="2217" ht="14.4" x14ac:dyDescent="0.3"/>
    <row r="2218" ht="14.4" x14ac:dyDescent="0.3"/>
    <row r="2219" ht="14.4" x14ac:dyDescent="0.3"/>
    <row r="2220" ht="14.4" x14ac:dyDescent="0.3"/>
    <row r="2221" ht="14.4" x14ac:dyDescent="0.3"/>
    <row r="2222" ht="14.4" x14ac:dyDescent="0.3"/>
    <row r="2223" ht="14.4" x14ac:dyDescent="0.3"/>
    <row r="2224" ht="14.4" x14ac:dyDescent="0.3"/>
    <row r="2225" ht="14.4" x14ac:dyDescent="0.3"/>
    <row r="2226" ht="14.4" x14ac:dyDescent="0.3"/>
    <row r="2227" ht="14.4" x14ac:dyDescent="0.3"/>
    <row r="2228" ht="14.4" x14ac:dyDescent="0.3"/>
    <row r="2229" ht="14.4" x14ac:dyDescent="0.3"/>
    <row r="2230" ht="14.4" x14ac:dyDescent="0.3"/>
    <row r="2231" ht="14.4" x14ac:dyDescent="0.3"/>
    <row r="2232" ht="14.4" x14ac:dyDescent="0.3"/>
    <row r="2233" ht="14.4" x14ac:dyDescent="0.3"/>
    <row r="2234" ht="14.4" x14ac:dyDescent="0.3"/>
    <row r="2235" ht="14.4" x14ac:dyDescent="0.3"/>
    <row r="2236" ht="14.4" x14ac:dyDescent="0.3"/>
    <row r="2237" ht="14.4" x14ac:dyDescent="0.3"/>
    <row r="2238" ht="14.4" x14ac:dyDescent="0.3"/>
    <row r="2239" ht="14.4" x14ac:dyDescent="0.3"/>
    <row r="2240" ht="14.4" x14ac:dyDescent="0.3"/>
    <row r="2241" ht="14.4" x14ac:dyDescent="0.3"/>
    <row r="2242" ht="14.4" x14ac:dyDescent="0.3"/>
    <row r="2243" ht="14.4" x14ac:dyDescent="0.3"/>
    <row r="2244" ht="14.4" x14ac:dyDescent="0.3"/>
    <row r="2245" ht="14.4" x14ac:dyDescent="0.3"/>
    <row r="2246" ht="14.4" x14ac:dyDescent="0.3"/>
    <row r="2247" ht="14.4" x14ac:dyDescent="0.3"/>
    <row r="2248" ht="14.4" x14ac:dyDescent="0.3"/>
    <row r="2249" ht="14.4" x14ac:dyDescent="0.3"/>
    <row r="2250" ht="14.4" x14ac:dyDescent="0.3"/>
    <row r="2251" ht="14.4" x14ac:dyDescent="0.3"/>
    <row r="2252" ht="14.4" x14ac:dyDescent="0.3"/>
    <row r="2253" ht="14.4" x14ac:dyDescent="0.3"/>
    <row r="2254" ht="14.4" x14ac:dyDescent="0.3"/>
    <row r="2255" ht="14.4" x14ac:dyDescent="0.3"/>
    <row r="2256" ht="14.4" x14ac:dyDescent="0.3"/>
    <row r="2257" ht="14.4" x14ac:dyDescent="0.3"/>
    <row r="2258" ht="14.4" x14ac:dyDescent="0.3"/>
    <row r="2259" ht="14.4" x14ac:dyDescent="0.3"/>
    <row r="2260" ht="14.4" x14ac:dyDescent="0.3"/>
    <row r="2261" ht="14.4" x14ac:dyDescent="0.3"/>
    <row r="2262" ht="14.4" x14ac:dyDescent="0.3"/>
    <row r="2263" ht="14.4" x14ac:dyDescent="0.3"/>
    <row r="2264" ht="14.4" x14ac:dyDescent="0.3"/>
    <row r="2265" ht="14.4" x14ac:dyDescent="0.3"/>
    <row r="2266" ht="14.4" x14ac:dyDescent="0.3"/>
    <row r="2267" ht="14.4" x14ac:dyDescent="0.3"/>
    <row r="2268" ht="14.4" x14ac:dyDescent="0.3"/>
    <row r="2269" ht="14.4" x14ac:dyDescent="0.3"/>
    <row r="2270" ht="14.4" x14ac:dyDescent="0.3"/>
    <row r="2271" ht="14.4" x14ac:dyDescent="0.3"/>
    <row r="2272" ht="14.4" x14ac:dyDescent="0.3"/>
    <row r="2273" ht="14.4" x14ac:dyDescent="0.3"/>
    <row r="2274" ht="14.4" x14ac:dyDescent="0.3"/>
    <row r="2275" ht="14.4" x14ac:dyDescent="0.3"/>
    <row r="2276" ht="14.4" x14ac:dyDescent="0.3"/>
    <row r="2277" ht="14.4" x14ac:dyDescent="0.3"/>
    <row r="2278" ht="14.4" x14ac:dyDescent="0.3"/>
    <row r="2279" ht="14.4" x14ac:dyDescent="0.3"/>
    <row r="2280" ht="14.4" x14ac:dyDescent="0.3"/>
    <row r="2281" ht="14.4" x14ac:dyDescent="0.3"/>
    <row r="2282" ht="14.4" x14ac:dyDescent="0.3"/>
    <row r="2283" ht="14.4" x14ac:dyDescent="0.3"/>
    <row r="2284" ht="14.4" x14ac:dyDescent="0.3"/>
    <row r="2285" ht="14.4" x14ac:dyDescent="0.3"/>
    <row r="2286" ht="14.4" x14ac:dyDescent="0.3"/>
    <row r="2287" ht="14.4" x14ac:dyDescent="0.3"/>
    <row r="2288" ht="14.4" x14ac:dyDescent="0.3"/>
    <row r="2289" ht="14.4" x14ac:dyDescent="0.3"/>
    <row r="2290" ht="14.4" x14ac:dyDescent="0.3"/>
    <row r="2291" ht="14.4" x14ac:dyDescent="0.3"/>
    <row r="2292" ht="14.4" x14ac:dyDescent="0.3"/>
    <row r="2293" ht="14.4" x14ac:dyDescent="0.3"/>
    <row r="2294" ht="14.4" x14ac:dyDescent="0.3"/>
    <row r="2295" ht="14.4" x14ac:dyDescent="0.3"/>
    <row r="2296" ht="14.4" x14ac:dyDescent="0.3"/>
    <row r="2297" ht="14.4" x14ac:dyDescent="0.3"/>
    <row r="2298" ht="14.4" x14ac:dyDescent="0.3"/>
    <row r="2299" ht="14.4" x14ac:dyDescent="0.3"/>
    <row r="2300" ht="14.4" x14ac:dyDescent="0.3"/>
    <row r="2301" ht="14.4" x14ac:dyDescent="0.3"/>
    <row r="2302" ht="14.4" x14ac:dyDescent="0.3"/>
    <row r="2303" ht="14.4" x14ac:dyDescent="0.3"/>
    <row r="2304" ht="14.4" x14ac:dyDescent="0.3"/>
    <row r="2305" ht="14.4" x14ac:dyDescent="0.3"/>
    <row r="2306" ht="14.4" x14ac:dyDescent="0.3"/>
    <row r="2307" ht="14.4" x14ac:dyDescent="0.3"/>
    <row r="2308" ht="14.4" x14ac:dyDescent="0.3"/>
    <row r="2309" ht="14.4" x14ac:dyDescent="0.3"/>
    <row r="2310" ht="14.4" x14ac:dyDescent="0.3"/>
    <row r="2311" ht="14.4" x14ac:dyDescent="0.3"/>
    <row r="2312" ht="14.4" x14ac:dyDescent="0.3"/>
    <row r="2313" ht="14.4" x14ac:dyDescent="0.3"/>
    <row r="2314" ht="14.4" x14ac:dyDescent="0.3"/>
    <row r="2315" ht="14.4" x14ac:dyDescent="0.3"/>
    <row r="2316" ht="14.4" x14ac:dyDescent="0.3"/>
    <row r="2317" ht="14.4" x14ac:dyDescent="0.3"/>
    <row r="2318" ht="14.4" x14ac:dyDescent="0.3"/>
    <row r="2319" ht="14.4" x14ac:dyDescent="0.3"/>
    <row r="2320" ht="14.4" x14ac:dyDescent="0.3"/>
    <row r="2321" ht="14.4" x14ac:dyDescent="0.3"/>
    <row r="2322" ht="14.4" x14ac:dyDescent="0.3"/>
    <row r="2323" ht="14.4" x14ac:dyDescent="0.3"/>
    <row r="2324" ht="14.4" x14ac:dyDescent="0.3"/>
    <row r="2325" ht="14.4" x14ac:dyDescent="0.3"/>
    <row r="2326" ht="14.4" x14ac:dyDescent="0.3"/>
    <row r="2327" ht="14.4" x14ac:dyDescent="0.3"/>
    <row r="2328" ht="14.4" x14ac:dyDescent="0.3"/>
    <row r="2329" ht="14.4" x14ac:dyDescent="0.3"/>
    <row r="2330" ht="14.4" x14ac:dyDescent="0.3"/>
    <row r="2331" ht="14.4" x14ac:dyDescent="0.3"/>
    <row r="2332" ht="14.4" x14ac:dyDescent="0.3"/>
    <row r="2333" ht="14.4" x14ac:dyDescent="0.3"/>
    <row r="2334" ht="14.4" x14ac:dyDescent="0.3"/>
    <row r="2335" ht="14.4" x14ac:dyDescent="0.3"/>
    <row r="2336" ht="14.4" x14ac:dyDescent="0.3"/>
    <row r="2337" ht="14.4" x14ac:dyDescent="0.3"/>
    <row r="2338" ht="14.4" x14ac:dyDescent="0.3"/>
    <row r="2339" ht="14.4" x14ac:dyDescent="0.3"/>
    <row r="2340" ht="14.4" x14ac:dyDescent="0.3"/>
    <row r="2341" ht="14.4" x14ac:dyDescent="0.3"/>
    <row r="2342" ht="14.4" x14ac:dyDescent="0.3"/>
    <row r="2343" ht="14.4" x14ac:dyDescent="0.3"/>
    <row r="2344" ht="14.4" x14ac:dyDescent="0.3"/>
    <row r="2345" ht="14.4" x14ac:dyDescent="0.3"/>
    <row r="2346" ht="14.4" x14ac:dyDescent="0.3"/>
    <row r="2347" ht="14.4" x14ac:dyDescent="0.3"/>
    <row r="2348" ht="14.4" x14ac:dyDescent="0.3"/>
    <row r="2349" ht="14.4" x14ac:dyDescent="0.3"/>
    <row r="2350" ht="14.4" x14ac:dyDescent="0.3"/>
    <row r="2351" ht="14.4" x14ac:dyDescent="0.3"/>
    <row r="2352" ht="14.4" x14ac:dyDescent="0.3"/>
    <row r="2353" ht="14.4" x14ac:dyDescent="0.3"/>
    <row r="2354" ht="14.4" x14ac:dyDescent="0.3"/>
    <row r="2355" ht="14.4" x14ac:dyDescent="0.3"/>
    <row r="2356" ht="14.4" x14ac:dyDescent="0.3"/>
    <row r="2357" ht="14.4" x14ac:dyDescent="0.3"/>
    <row r="2358" ht="14.4" x14ac:dyDescent="0.3"/>
    <row r="2359" ht="14.4" x14ac:dyDescent="0.3"/>
    <row r="2360" ht="14.4" x14ac:dyDescent="0.3"/>
    <row r="2361" ht="14.4" x14ac:dyDescent="0.3"/>
    <row r="2362" ht="14.4" x14ac:dyDescent="0.3"/>
    <row r="2363" ht="14.4" x14ac:dyDescent="0.3"/>
    <row r="2364" ht="14.4" x14ac:dyDescent="0.3"/>
    <row r="2365" ht="14.4" x14ac:dyDescent="0.3"/>
    <row r="2366" ht="14.4" x14ac:dyDescent="0.3"/>
    <row r="2367" ht="14.4" x14ac:dyDescent="0.3"/>
    <row r="2368" ht="14.4" x14ac:dyDescent="0.3"/>
    <row r="2369" ht="14.4" x14ac:dyDescent="0.3"/>
    <row r="2370" ht="14.4" x14ac:dyDescent="0.3"/>
    <row r="2371" ht="14.4" x14ac:dyDescent="0.3"/>
    <row r="2372" ht="14.4" x14ac:dyDescent="0.3"/>
    <row r="2373" ht="14.4" x14ac:dyDescent="0.3"/>
    <row r="2374" ht="14.4" x14ac:dyDescent="0.3"/>
    <row r="2375" ht="14.4" x14ac:dyDescent="0.3"/>
    <row r="2376" ht="14.4" x14ac:dyDescent="0.3"/>
    <row r="2377" ht="14.4" x14ac:dyDescent="0.3"/>
    <row r="2378" ht="14.4" x14ac:dyDescent="0.3"/>
    <row r="2379" ht="14.4" x14ac:dyDescent="0.3"/>
    <row r="2380" ht="14.4" x14ac:dyDescent="0.3"/>
    <row r="2381" ht="14.4" x14ac:dyDescent="0.3"/>
    <row r="2382" ht="14.4" x14ac:dyDescent="0.3"/>
    <row r="2383" ht="14.4" x14ac:dyDescent="0.3"/>
    <row r="2384" ht="14.4" x14ac:dyDescent="0.3"/>
    <row r="2385" ht="14.4" x14ac:dyDescent="0.3"/>
    <row r="2386" ht="14.4" x14ac:dyDescent="0.3"/>
    <row r="2387" ht="14.4" x14ac:dyDescent="0.3"/>
    <row r="2388" ht="14.4" x14ac:dyDescent="0.3"/>
    <row r="2389" ht="14.4" x14ac:dyDescent="0.3"/>
    <row r="2390" ht="14.4" x14ac:dyDescent="0.3"/>
    <row r="2391" ht="14.4" x14ac:dyDescent="0.3"/>
    <row r="2392" ht="14.4" x14ac:dyDescent="0.3"/>
    <row r="2393" ht="14.4" x14ac:dyDescent="0.3"/>
    <row r="2394" ht="14.4" x14ac:dyDescent="0.3"/>
    <row r="2395" ht="14.4" x14ac:dyDescent="0.3"/>
    <row r="2396" ht="14.4" x14ac:dyDescent="0.3"/>
    <row r="2397" ht="14.4" x14ac:dyDescent="0.3"/>
    <row r="2398" ht="14.4" x14ac:dyDescent="0.3"/>
    <row r="2399" ht="14.4" x14ac:dyDescent="0.3"/>
    <row r="2400" ht="14.4" x14ac:dyDescent="0.3"/>
    <row r="2401" ht="14.4" x14ac:dyDescent="0.3"/>
    <row r="2402" ht="14.4" x14ac:dyDescent="0.3"/>
    <row r="2403" ht="14.4" x14ac:dyDescent="0.3"/>
    <row r="2404" ht="14.4" x14ac:dyDescent="0.3"/>
    <row r="2405" ht="14.4" x14ac:dyDescent="0.3"/>
    <row r="2406" ht="14.4" x14ac:dyDescent="0.3"/>
    <row r="2407" ht="14.4" x14ac:dyDescent="0.3"/>
    <row r="2408" ht="14.4" x14ac:dyDescent="0.3"/>
    <row r="2409" ht="14.4" x14ac:dyDescent="0.3"/>
    <row r="2410" ht="14.4" x14ac:dyDescent="0.3"/>
    <row r="2411" ht="14.4" x14ac:dyDescent="0.3"/>
    <row r="2412" ht="14.4" x14ac:dyDescent="0.3"/>
    <row r="2413" ht="14.4" x14ac:dyDescent="0.3"/>
    <row r="2414" ht="14.4" x14ac:dyDescent="0.3"/>
    <row r="2415" ht="14.4" x14ac:dyDescent="0.3"/>
    <row r="2416" ht="14.4" x14ac:dyDescent="0.3"/>
    <row r="2417" ht="14.4" x14ac:dyDescent="0.3"/>
    <row r="2418" ht="14.4" x14ac:dyDescent="0.3"/>
    <row r="2419" ht="14.4" x14ac:dyDescent="0.3"/>
    <row r="2420" ht="14.4" x14ac:dyDescent="0.3"/>
    <row r="2421" ht="14.4" x14ac:dyDescent="0.3"/>
    <row r="2422" ht="14.4" x14ac:dyDescent="0.3"/>
    <row r="2423" ht="14.4" x14ac:dyDescent="0.3"/>
    <row r="2424" ht="14.4" x14ac:dyDescent="0.3"/>
    <row r="2425" ht="14.4" x14ac:dyDescent="0.3"/>
    <row r="2426" ht="14.4" x14ac:dyDescent="0.3"/>
    <row r="2427" ht="14.4" x14ac:dyDescent="0.3"/>
    <row r="2428" ht="14.4" x14ac:dyDescent="0.3"/>
    <row r="2429" ht="14.4" x14ac:dyDescent="0.3"/>
    <row r="2430" ht="14.4" x14ac:dyDescent="0.3"/>
    <row r="2431" ht="14.4" x14ac:dyDescent="0.3"/>
    <row r="2432" ht="14.4" x14ac:dyDescent="0.3"/>
    <row r="2433" ht="14.4" x14ac:dyDescent="0.3"/>
    <row r="2434" ht="14.4" x14ac:dyDescent="0.3"/>
    <row r="2435" ht="14.4" x14ac:dyDescent="0.3"/>
    <row r="2436" ht="14.4" x14ac:dyDescent="0.3"/>
    <row r="2437" ht="14.4" x14ac:dyDescent="0.3"/>
    <row r="2438" ht="14.4" x14ac:dyDescent="0.3"/>
    <row r="2439" ht="14.4" x14ac:dyDescent="0.3"/>
    <row r="2440" ht="14.4" x14ac:dyDescent="0.3"/>
    <row r="2441" ht="14.4" x14ac:dyDescent="0.3"/>
    <row r="2442" ht="14.4" x14ac:dyDescent="0.3"/>
    <row r="2443" ht="14.4" x14ac:dyDescent="0.3"/>
    <row r="2444" ht="14.4" x14ac:dyDescent="0.3"/>
    <row r="2445" ht="14.4" x14ac:dyDescent="0.3"/>
    <row r="2446" ht="14.4" x14ac:dyDescent="0.3"/>
    <row r="2447" ht="14.4" x14ac:dyDescent="0.3"/>
    <row r="2448" ht="14.4" x14ac:dyDescent="0.3"/>
    <row r="2449" ht="14.4" x14ac:dyDescent="0.3"/>
    <row r="2450" ht="14.4" x14ac:dyDescent="0.3"/>
    <row r="2451" ht="14.4" x14ac:dyDescent="0.3"/>
    <row r="2452" ht="14.4" x14ac:dyDescent="0.3"/>
    <row r="2453" ht="14.4" x14ac:dyDescent="0.3"/>
    <row r="2454" ht="14.4" x14ac:dyDescent="0.3"/>
    <row r="2455" ht="14.4" x14ac:dyDescent="0.3"/>
    <row r="2456" ht="14.4" x14ac:dyDescent="0.3"/>
    <row r="2457" ht="14.4" x14ac:dyDescent="0.3"/>
    <row r="2458" ht="14.4" x14ac:dyDescent="0.3"/>
    <row r="2459" ht="14.4" x14ac:dyDescent="0.3"/>
    <row r="2460" ht="14.4" x14ac:dyDescent="0.3"/>
    <row r="2461" ht="14.4" x14ac:dyDescent="0.3"/>
    <row r="2462" ht="14.4" x14ac:dyDescent="0.3"/>
    <row r="2463" ht="14.4" x14ac:dyDescent="0.3"/>
    <row r="2464" ht="14.4" x14ac:dyDescent="0.3"/>
    <row r="2465" ht="14.4" x14ac:dyDescent="0.3"/>
    <row r="2466" ht="14.4" x14ac:dyDescent="0.3"/>
    <row r="2467" ht="14.4" x14ac:dyDescent="0.3"/>
    <row r="2468" ht="14.4" x14ac:dyDescent="0.3"/>
    <row r="2469" ht="14.4" x14ac:dyDescent="0.3"/>
    <row r="2470" ht="14.4" x14ac:dyDescent="0.3"/>
    <row r="2471" ht="14.4" x14ac:dyDescent="0.3"/>
    <row r="2472" ht="14.4" x14ac:dyDescent="0.3"/>
    <row r="2473" ht="14.4" x14ac:dyDescent="0.3"/>
    <row r="2474" ht="14.4" x14ac:dyDescent="0.3"/>
    <row r="2475" ht="14.4" x14ac:dyDescent="0.3"/>
    <row r="2476" ht="14.4" x14ac:dyDescent="0.3"/>
    <row r="2477" ht="14.4" x14ac:dyDescent="0.3"/>
    <row r="2478" ht="14.4" x14ac:dyDescent="0.3"/>
    <row r="2479" ht="14.4" x14ac:dyDescent="0.3"/>
    <row r="2480" ht="14.4" x14ac:dyDescent="0.3"/>
    <row r="2481" ht="14.4" x14ac:dyDescent="0.3"/>
    <row r="2482" ht="14.4" x14ac:dyDescent="0.3"/>
    <row r="2483" ht="14.4" x14ac:dyDescent="0.3"/>
    <row r="2484" ht="14.4" x14ac:dyDescent="0.3"/>
    <row r="2485" ht="14.4" x14ac:dyDescent="0.3"/>
    <row r="2486" ht="14.4" x14ac:dyDescent="0.3"/>
    <row r="2487" ht="14.4" x14ac:dyDescent="0.3"/>
    <row r="2488" ht="14.4" x14ac:dyDescent="0.3"/>
    <row r="2489" ht="14.4" x14ac:dyDescent="0.3"/>
    <row r="2490" ht="14.4" x14ac:dyDescent="0.3"/>
    <row r="2491" ht="14.4" x14ac:dyDescent="0.3"/>
    <row r="2492" ht="14.4" x14ac:dyDescent="0.3"/>
    <row r="2493" ht="14.4" x14ac:dyDescent="0.3"/>
    <row r="2494" ht="14.4" x14ac:dyDescent="0.3"/>
    <row r="2495" ht="14.4" x14ac:dyDescent="0.3"/>
    <row r="2496" ht="14.4" x14ac:dyDescent="0.3"/>
    <row r="2497" ht="14.4" x14ac:dyDescent="0.3"/>
    <row r="2498" ht="14.4" x14ac:dyDescent="0.3"/>
    <row r="2499" ht="14.4" x14ac:dyDescent="0.3"/>
    <row r="2500" ht="14.4" x14ac:dyDescent="0.3"/>
    <row r="2501" ht="14.4" x14ac:dyDescent="0.3"/>
    <row r="2502" ht="14.4" x14ac:dyDescent="0.3"/>
    <row r="2503" ht="14.4" x14ac:dyDescent="0.3"/>
    <row r="2504" ht="14.4" x14ac:dyDescent="0.3"/>
    <row r="2505" ht="14.4" x14ac:dyDescent="0.3"/>
    <row r="2506" ht="14.4" x14ac:dyDescent="0.3"/>
    <row r="2507" ht="14.4" x14ac:dyDescent="0.3"/>
    <row r="2508" ht="14.4" x14ac:dyDescent="0.3"/>
    <row r="2509" ht="14.4" x14ac:dyDescent="0.3"/>
    <row r="2510" ht="14.4" x14ac:dyDescent="0.3"/>
    <row r="2511" ht="14.4" x14ac:dyDescent="0.3"/>
    <row r="2512" ht="14.4" x14ac:dyDescent="0.3"/>
    <row r="2513" spans="1:43" ht="14.4" x14ac:dyDescent="0.3"/>
    <row r="2514" spans="1:43" ht="14.4" x14ac:dyDescent="0.3"/>
    <row r="2515" spans="1:43" ht="14.4" x14ac:dyDescent="0.3"/>
    <row r="2516" spans="1:43" ht="14.4" x14ac:dyDescent="0.3"/>
    <row r="2517" spans="1:43" ht="14.4" x14ac:dyDescent="0.3"/>
    <row r="2518" spans="1:43" ht="14.4" x14ac:dyDescent="0.3"/>
    <row r="2519" spans="1:43" ht="14.4" x14ac:dyDescent="0.3"/>
    <row r="2520" spans="1:43" ht="14.4" x14ac:dyDescent="0.3"/>
    <row r="2521" spans="1:43" ht="14.4" x14ac:dyDescent="0.3"/>
    <row r="2522" spans="1:43" ht="14.4" x14ac:dyDescent="0.3"/>
    <row r="2523" spans="1:43" ht="14.4" hidden="1" x14ac:dyDescent="0.3">
      <c r="A2523" t="s">
        <v>878</v>
      </c>
      <c r="B2523">
        <v>4940180</v>
      </c>
      <c r="C2523" t="s">
        <v>538</v>
      </c>
      <c r="D2523" t="s">
        <v>539</v>
      </c>
      <c r="E2523" t="s">
        <v>571</v>
      </c>
      <c r="F2523" t="s">
        <v>574</v>
      </c>
      <c r="H2523" t="s">
        <v>295</v>
      </c>
      <c r="J2523" t="s">
        <v>140</v>
      </c>
      <c r="K2523">
        <v>164103.67050000001</v>
      </c>
      <c r="L2523">
        <v>384483.10279999999</v>
      </c>
      <c r="M2523">
        <v>1</v>
      </c>
      <c r="N2523" t="s">
        <v>744</v>
      </c>
      <c r="O2523" t="s">
        <v>746</v>
      </c>
      <c r="P2523" t="s">
        <v>879</v>
      </c>
      <c r="Q2523" t="s">
        <v>144</v>
      </c>
      <c r="S2523">
        <v>38</v>
      </c>
      <c r="T2523">
        <v>5000</v>
      </c>
      <c r="U2523">
        <v>80</v>
      </c>
      <c r="V2523" t="s">
        <v>146</v>
      </c>
      <c r="W2523" t="s">
        <v>147</v>
      </c>
      <c r="X2523" t="s">
        <v>7</v>
      </c>
      <c r="Y2523" t="s">
        <v>148</v>
      </c>
      <c r="Z2523" t="s">
        <v>746</v>
      </c>
      <c r="AA2523" t="s">
        <v>747</v>
      </c>
      <c r="AB2523">
        <v>0</v>
      </c>
      <c r="AE2523" t="s">
        <v>444</v>
      </c>
      <c r="AF2523" t="s">
        <v>746</v>
      </c>
      <c r="AG2523" t="s">
        <v>748</v>
      </c>
      <c r="AI2523" t="s">
        <v>749</v>
      </c>
      <c r="AJ2523" t="s">
        <v>746</v>
      </c>
      <c r="AK2523" t="s">
        <v>747</v>
      </c>
      <c r="AL2523" t="s">
        <v>880</v>
      </c>
      <c r="AM2523" t="s">
        <v>881</v>
      </c>
      <c r="AN2523" t="s">
        <v>882</v>
      </c>
      <c r="AO2523" t="s">
        <v>744</v>
      </c>
      <c r="AP2523" t="s">
        <v>158</v>
      </c>
      <c r="AQ2523" t="str">
        <f>IF(ISBLANK(AP2523), IFERROR(IF(VLOOKUP(AO2523, Ellens_additions!$A$2:$B$252, 2, FALSE) = "", "", VLOOKUP(AO2523, Ellens_additions!$A$2:$B$252, 2, FALSE)), 0), AP2523)</f>
        <v>3000</v>
      </c>
    </row>
    <row r="2524" spans="1:43" ht="14.4" x14ac:dyDescent="0.3"/>
    <row r="2525" spans="1:43" ht="14.4" hidden="1" x14ac:dyDescent="0.3">
      <c r="A2525" t="s">
        <v>883</v>
      </c>
      <c r="B2525">
        <v>4940183</v>
      </c>
      <c r="C2525" t="s">
        <v>538</v>
      </c>
      <c r="D2525" t="s">
        <v>539</v>
      </c>
      <c r="E2525" t="s">
        <v>571</v>
      </c>
      <c r="F2525" t="s">
        <v>574</v>
      </c>
      <c r="H2525" t="s">
        <v>279</v>
      </c>
      <c r="J2525" t="s">
        <v>140</v>
      </c>
      <c r="K2525">
        <v>164167.34400000001</v>
      </c>
      <c r="L2525">
        <v>384509.4731</v>
      </c>
      <c r="M2525">
        <v>1</v>
      </c>
      <c r="N2525" t="s">
        <v>744</v>
      </c>
      <c r="O2525" t="s">
        <v>746</v>
      </c>
      <c r="P2525" t="s">
        <v>879</v>
      </c>
      <c r="Q2525" t="s">
        <v>144</v>
      </c>
      <c r="S2525">
        <v>38</v>
      </c>
      <c r="T2525">
        <v>5000</v>
      </c>
      <c r="U2525">
        <v>80</v>
      </c>
      <c r="V2525" t="s">
        <v>146</v>
      </c>
      <c r="W2525" t="s">
        <v>147</v>
      </c>
      <c r="X2525" t="s">
        <v>7</v>
      </c>
      <c r="Y2525" t="s">
        <v>148</v>
      </c>
      <c r="Z2525" t="s">
        <v>746</v>
      </c>
      <c r="AA2525" t="s">
        <v>747</v>
      </c>
      <c r="AB2525">
        <v>0</v>
      </c>
      <c r="AE2525" t="s">
        <v>444</v>
      </c>
      <c r="AF2525" t="s">
        <v>746</v>
      </c>
      <c r="AG2525" t="s">
        <v>748</v>
      </c>
      <c r="AI2525" t="s">
        <v>749</v>
      </c>
      <c r="AJ2525" t="s">
        <v>746</v>
      </c>
      <c r="AK2525" t="s">
        <v>747</v>
      </c>
      <c r="AL2525" t="s">
        <v>884</v>
      </c>
      <c r="AM2525" t="s">
        <v>885</v>
      </c>
      <c r="AN2525" t="s">
        <v>886</v>
      </c>
      <c r="AO2525" t="s">
        <v>744</v>
      </c>
      <c r="AP2525" t="s">
        <v>158</v>
      </c>
      <c r="AQ2525" t="str">
        <f>IF(ISBLANK(AP2525), IFERROR(IF(VLOOKUP(AO2525, Ellens_additions!$A$2:$B$252, 2, FALSE) = "", "", VLOOKUP(AO2525, Ellens_additions!$A$2:$B$252, 2, FALSE)), 0), AP2525)</f>
        <v>3000</v>
      </c>
    </row>
    <row r="2526" spans="1:43" ht="14.4" x14ac:dyDescent="0.3"/>
    <row r="2527" spans="1:43" ht="14.4" hidden="1" x14ac:dyDescent="0.3">
      <c r="A2527" t="s">
        <v>887</v>
      </c>
      <c r="B2527">
        <v>4940185</v>
      </c>
      <c r="C2527" t="s">
        <v>538</v>
      </c>
      <c r="D2527" t="s">
        <v>539</v>
      </c>
      <c r="E2527" t="s">
        <v>571</v>
      </c>
      <c r="F2527" t="s">
        <v>574</v>
      </c>
      <c r="H2527" t="s">
        <v>299</v>
      </c>
      <c r="J2527" t="s">
        <v>140</v>
      </c>
      <c r="K2527">
        <v>164225.0338</v>
      </c>
      <c r="L2527">
        <v>384519.47940000001</v>
      </c>
      <c r="M2527">
        <v>1</v>
      </c>
      <c r="N2527" t="s">
        <v>744</v>
      </c>
      <c r="O2527" t="s">
        <v>746</v>
      </c>
      <c r="P2527" t="s">
        <v>879</v>
      </c>
      <c r="Q2527" t="s">
        <v>144</v>
      </c>
      <c r="S2527">
        <v>38</v>
      </c>
      <c r="T2527">
        <v>5000</v>
      </c>
      <c r="U2527">
        <v>80</v>
      </c>
      <c r="V2527" t="s">
        <v>146</v>
      </c>
      <c r="W2527" t="s">
        <v>147</v>
      </c>
      <c r="X2527" t="s">
        <v>7</v>
      </c>
      <c r="Y2527" t="s">
        <v>148</v>
      </c>
      <c r="Z2527" t="s">
        <v>746</v>
      </c>
      <c r="AA2527" t="s">
        <v>747</v>
      </c>
      <c r="AB2527">
        <v>0</v>
      </c>
      <c r="AE2527" t="s">
        <v>444</v>
      </c>
      <c r="AF2527" t="s">
        <v>746</v>
      </c>
      <c r="AG2527" t="s">
        <v>748</v>
      </c>
      <c r="AI2527" t="s">
        <v>749</v>
      </c>
      <c r="AJ2527" t="s">
        <v>746</v>
      </c>
      <c r="AK2527" t="s">
        <v>747</v>
      </c>
      <c r="AL2527" t="s">
        <v>888</v>
      </c>
      <c r="AM2527" t="s">
        <v>889</v>
      </c>
      <c r="AN2527" t="s">
        <v>890</v>
      </c>
      <c r="AO2527" t="s">
        <v>744</v>
      </c>
      <c r="AP2527" t="s">
        <v>158</v>
      </c>
      <c r="AQ2527" t="str">
        <f>IF(ISBLANK(AP2527), IFERROR(IF(VLOOKUP(AO2527, Ellens_additions!$A$2:$B$252, 2, FALSE) = "", "", VLOOKUP(AO2527, Ellens_additions!$A$2:$B$252, 2, FALSE)), 0), AP2527)</f>
        <v>3000</v>
      </c>
    </row>
    <row r="2528" spans="1:43" ht="14.4" x14ac:dyDescent="0.3"/>
    <row r="2529" spans="1:43" ht="14.4" hidden="1" x14ac:dyDescent="0.3">
      <c r="A2529" t="s">
        <v>891</v>
      </c>
      <c r="B2529">
        <v>4940186</v>
      </c>
      <c r="C2529" t="s">
        <v>538</v>
      </c>
      <c r="D2529" t="s">
        <v>539</v>
      </c>
      <c r="E2529" t="s">
        <v>571</v>
      </c>
      <c r="F2529" t="s">
        <v>574</v>
      </c>
      <c r="H2529" t="s">
        <v>457</v>
      </c>
      <c r="J2529" t="s">
        <v>140</v>
      </c>
      <c r="K2529">
        <v>164257.99400000001</v>
      </c>
      <c r="L2529">
        <v>384513.47639999999</v>
      </c>
      <c r="M2529">
        <v>1</v>
      </c>
      <c r="N2529" t="s">
        <v>744</v>
      </c>
      <c r="O2529" t="s">
        <v>746</v>
      </c>
      <c r="P2529" t="s">
        <v>879</v>
      </c>
      <c r="Q2529" t="s">
        <v>144</v>
      </c>
      <c r="S2529">
        <v>38</v>
      </c>
      <c r="T2529">
        <v>5000</v>
      </c>
      <c r="U2529">
        <v>80</v>
      </c>
      <c r="V2529" t="s">
        <v>146</v>
      </c>
      <c r="W2529" t="s">
        <v>147</v>
      </c>
      <c r="X2529" t="s">
        <v>7</v>
      </c>
      <c r="Y2529" t="s">
        <v>148</v>
      </c>
      <c r="Z2529" t="s">
        <v>746</v>
      </c>
      <c r="AA2529" t="s">
        <v>747</v>
      </c>
      <c r="AB2529">
        <v>0</v>
      </c>
      <c r="AE2529" t="s">
        <v>444</v>
      </c>
      <c r="AF2529" t="s">
        <v>746</v>
      </c>
      <c r="AG2529" t="s">
        <v>748</v>
      </c>
      <c r="AI2529" t="s">
        <v>749</v>
      </c>
      <c r="AJ2529" t="s">
        <v>746</v>
      </c>
      <c r="AK2529" t="s">
        <v>747</v>
      </c>
      <c r="AL2529" t="s">
        <v>892</v>
      </c>
      <c r="AM2529" t="s">
        <v>893</v>
      </c>
      <c r="AN2529" t="s">
        <v>894</v>
      </c>
      <c r="AO2529" t="s">
        <v>744</v>
      </c>
      <c r="AP2529" t="s">
        <v>158</v>
      </c>
      <c r="AQ2529" t="str">
        <f>IF(ISBLANK(AP2529), IFERROR(IF(VLOOKUP(AO2529, Ellens_additions!$A$2:$B$252, 2, FALSE) = "", "", VLOOKUP(AO2529, Ellens_additions!$A$2:$B$252, 2, FALSE)), 0), AP2529)</f>
        <v>3000</v>
      </c>
    </row>
    <row r="2530" spans="1:43" ht="14.4" x14ac:dyDescent="0.3"/>
    <row r="2531" spans="1:43" ht="14.4" hidden="1" x14ac:dyDescent="0.3">
      <c r="A2531" t="s">
        <v>895</v>
      </c>
      <c r="B2531">
        <v>4940190</v>
      </c>
      <c r="C2531" t="s">
        <v>538</v>
      </c>
      <c r="D2531" t="s">
        <v>539</v>
      </c>
      <c r="E2531" t="s">
        <v>571</v>
      </c>
      <c r="F2531" t="s">
        <v>896</v>
      </c>
      <c r="H2531" t="s">
        <v>229</v>
      </c>
      <c r="J2531" t="s">
        <v>140</v>
      </c>
      <c r="K2531">
        <v>164371.17790000001</v>
      </c>
      <c r="L2531">
        <v>384551.23320000002</v>
      </c>
      <c r="N2531" t="s">
        <v>897</v>
      </c>
      <c r="O2531" t="s">
        <v>898</v>
      </c>
      <c r="P2531" t="s">
        <v>580</v>
      </c>
      <c r="Q2531" t="s">
        <v>144</v>
      </c>
      <c r="S2531">
        <v>12</v>
      </c>
      <c r="T2531">
        <v>3724</v>
      </c>
      <c r="U2531">
        <v>70</v>
      </c>
      <c r="V2531" t="s">
        <v>146</v>
      </c>
      <c r="W2531" t="s">
        <v>899</v>
      </c>
      <c r="Y2531" t="s">
        <v>900</v>
      </c>
      <c r="Z2531" t="s">
        <v>898</v>
      </c>
      <c r="AA2531" t="s">
        <v>901</v>
      </c>
      <c r="AB2531">
        <v>0</v>
      </c>
      <c r="AE2531" t="s">
        <v>902</v>
      </c>
      <c r="AF2531" t="s">
        <v>898</v>
      </c>
      <c r="AG2531" t="s">
        <v>903</v>
      </c>
      <c r="AI2531" t="s">
        <v>904</v>
      </c>
      <c r="AJ2531" t="s">
        <v>898</v>
      </c>
      <c r="AK2531" t="s">
        <v>901</v>
      </c>
      <c r="AL2531" t="s">
        <v>905</v>
      </c>
      <c r="AM2531" t="s">
        <v>906</v>
      </c>
      <c r="AN2531" t="s">
        <v>907</v>
      </c>
      <c r="AO2531" t="s">
        <v>897</v>
      </c>
      <c r="AQ2531">
        <f>IF(ISBLANK(AP2531), IFERROR(IF(VLOOKUP(AO2531, Ellens_additions!$A$2:$B$252, 2, FALSE) = "", "", VLOOKUP(AO2531, Ellens_additions!$A$2:$B$252, 2, FALSE)), 0), AP2531)</f>
        <v>0</v>
      </c>
    </row>
    <row r="2532" spans="1:43" ht="14.4" x14ac:dyDescent="0.3"/>
    <row r="2533" spans="1:43" ht="14.4" hidden="1" x14ac:dyDescent="0.3">
      <c r="A2533" t="s">
        <v>908</v>
      </c>
      <c r="B2533">
        <v>4940191</v>
      </c>
      <c r="C2533" t="s">
        <v>538</v>
      </c>
      <c r="D2533" t="s">
        <v>539</v>
      </c>
      <c r="E2533" t="s">
        <v>571</v>
      </c>
      <c r="F2533" t="s">
        <v>896</v>
      </c>
      <c r="H2533" t="s">
        <v>296</v>
      </c>
      <c r="J2533" t="s">
        <v>140</v>
      </c>
      <c r="K2533">
        <v>164389.46520000001</v>
      </c>
      <c r="L2533">
        <v>384562.54129999998</v>
      </c>
      <c r="N2533" t="s">
        <v>897</v>
      </c>
      <c r="O2533" t="s">
        <v>898</v>
      </c>
      <c r="P2533" t="s">
        <v>580</v>
      </c>
      <c r="Q2533" t="s">
        <v>144</v>
      </c>
      <c r="S2533">
        <v>12</v>
      </c>
      <c r="T2533">
        <v>3724</v>
      </c>
      <c r="U2533">
        <v>70</v>
      </c>
      <c r="V2533" t="s">
        <v>146</v>
      </c>
      <c r="W2533" t="s">
        <v>899</v>
      </c>
      <c r="Y2533" t="s">
        <v>900</v>
      </c>
      <c r="Z2533" t="s">
        <v>898</v>
      </c>
      <c r="AA2533" t="s">
        <v>901</v>
      </c>
      <c r="AB2533">
        <v>0</v>
      </c>
      <c r="AE2533" t="s">
        <v>902</v>
      </c>
      <c r="AF2533" t="s">
        <v>898</v>
      </c>
      <c r="AG2533" t="s">
        <v>903</v>
      </c>
      <c r="AI2533" t="s">
        <v>904</v>
      </c>
      <c r="AJ2533" t="s">
        <v>898</v>
      </c>
      <c r="AK2533" t="s">
        <v>901</v>
      </c>
      <c r="AL2533" t="s">
        <v>909</v>
      </c>
      <c r="AM2533" t="s">
        <v>910</v>
      </c>
      <c r="AN2533" t="s">
        <v>911</v>
      </c>
      <c r="AO2533" t="s">
        <v>897</v>
      </c>
      <c r="AQ2533">
        <f>IF(ISBLANK(AP2533), IFERROR(IF(VLOOKUP(AO2533, Ellens_additions!$A$2:$B$252, 2, FALSE) = "", "", VLOOKUP(AO2533, Ellens_additions!$A$2:$B$252, 2, FALSE)), 0), AP2533)</f>
        <v>0</v>
      </c>
    </row>
    <row r="2534" spans="1:43" ht="14.4" x14ac:dyDescent="0.3"/>
    <row r="2535" spans="1:43" ht="14.4" hidden="1" x14ac:dyDescent="0.3">
      <c r="A2535" t="s">
        <v>912</v>
      </c>
      <c r="B2535">
        <v>4940192</v>
      </c>
      <c r="C2535" t="s">
        <v>538</v>
      </c>
      <c r="D2535" t="s">
        <v>539</v>
      </c>
      <c r="E2535" t="s">
        <v>571</v>
      </c>
      <c r="F2535" t="s">
        <v>896</v>
      </c>
      <c r="H2535" t="s">
        <v>274</v>
      </c>
      <c r="J2535" t="s">
        <v>140</v>
      </c>
      <c r="K2535">
        <v>164415.72630000001</v>
      </c>
      <c r="L2535">
        <v>384561.85690000001</v>
      </c>
      <c r="N2535" t="s">
        <v>897</v>
      </c>
      <c r="O2535" t="s">
        <v>898</v>
      </c>
      <c r="P2535" t="s">
        <v>580</v>
      </c>
      <c r="Q2535" t="s">
        <v>144</v>
      </c>
      <c r="S2535">
        <v>12</v>
      </c>
      <c r="T2535">
        <v>3724</v>
      </c>
      <c r="U2535">
        <v>70</v>
      </c>
      <c r="V2535" t="s">
        <v>146</v>
      </c>
      <c r="W2535" t="s">
        <v>899</v>
      </c>
      <c r="Y2535" t="s">
        <v>900</v>
      </c>
      <c r="Z2535" t="s">
        <v>898</v>
      </c>
      <c r="AA2535" t="s">
        <v>901</v>
      </c>
      <c r="AB2535">
        <v>0</v>
      </c>
      <c r="AE2535" t="s">
        <v>902</v>
      </c>
      <c r="AF2535" t="s">
        <v>898</v>
      </c>
      <c r="AG2535" t="s">
        <v>903</v>
      </c>
      <c r="AI2535" t="s">
        <v>904</v>
      </c>
      <c r="AJ2535" t="s">
        <v>898</v>
      </c>
      <c r="AK2535" t="s">
        <v>901</v>
      </c>
      <c r="AL2535" t="s">
        <v>913</v>
      </c>
      <c r="AM2535" t="s">
        <v>914</v>
      </c>
      <c r="AN2535" t="s">
        <v>915</v>
      </c>
      <c r="AO2535" t="s">
        <v>897</v>
      </c>
      <c r="AQ2535">
        <f>IF(ISBLANK(AP2535), IFERROR(IF(VLOOKUP(AO2535, Ellens_additions!$A$2:$B$252, 2, FALSE) = "", "", VLOOKUP(AO2535, Ellens_additions!$A$2:$B$252, 2, FALSE)), 0), AP2535)</f>
        <v>0</v>
      </c>
    </row>
    <row r="2536" spans="1:43" ht="14.4" x14ac:dyDescent="0.3"/>
    <row r="2537" spans="1:43" ht="14.4" hidden="1" x14ac:dyDescent="0.3">
      <c r="A2537" t="s">
        <v>916</v>
      </c>
      <c r="B2537">
        <v>4940195</v>
      </c>
      <c r="C2537" t="s">
        <v>538</v>
      </c>
      <c r="D2537" t="s">
        <v>539</v>
      </c>
      <c r="E2537" t="s">
        <v>571</v>
      </c>
      <c r="F2537" t="s">
        <v>896</v>
      </c>
      <c r="H2537" t="s">
        <v>302</v>
      </c>
      <c r="J2537" t="s">
        <v>140</v>
      </c>
      <c r="K2537">
        <v>164997.4227</v>
      </c>
      <c r="L2537">
        <v>384505.22659999999</v>
      </c>
      <c r="N2537" t="s">
        <v>897</v>
      </c>
      <c r="O2537" t="s">
        <v>917</v>
      </c>
      <c r="P2537" t="s">
        <v>918</v>
      </c>
      <c r="Q2537" t="s">
        <v>144</v>
      </c>
      <c r="S2537">
        <v>12</v>
      </c>
      <c r="T2537">
        <v>3724</v>
      </c>
      <c r="U2537">
        <v>70</v>
      </c>
      <c r="V2537" t="s">
        <v>146</v>
      </c>
      <c r="W2537" t="s">
        <v>899</v>
      </c>
      <c r="Y2537" t="s">
        <v>900</v>
      </c>
      <c r="Z2537" t="s">
        <v>917</v>
      </c>
      <c r="AA2537" t="s">
        <v>919</v>
      </c>
      <c r="AB2537">
        <v>0</v>
      </c>
      <c r="AE2537" t="s">
        <v>902</v>
      </c>
      <c r="AF2537" t="s">
        <v>917</v>
      </c>
      <c r="AG2537" t="s">
        <v>920</v>
      </c>
      <c r="AI2537" t="s">
        <v>904</v>
      </c>
      <c r="AJ2537" t="s">
        <v>917</v>
      </c>
      <c r="AK2537" t="s">
        <v>919</v>
      </c>
      <c r="AL2537" t="s">
        <v>921</v>
      </c>
      <c r="AM2537" t="s">
        <v>922</v>
      </c>
      <c r="AN2537" t="s">
        <v>923</v>
      </c>
      <c r="AO2537" t="s">
        <v>897</v>
      </c>
      <c r="AQ2537">
        <f>IF(ISBLANK(AP2537), IFERROR(IF(VLOOKUP(AO2537, Ellens_additions!$A$2:$B$252, 2, FALSE) = "", "", VLOOKUP(AO2537, Ellens_additions!$A$2:$B$252, 2, FALSE)), 0), AP2537)</f>
        <v>0</v>
      </c>
    </row>
    <row r="2538" spans="1:43" ht="14.4" x14ac:dyDescent="0.3"/>
    <row r="2539" spans="1:43" ht="14.4" hidden="1" x14ac:dyDescent="0.3">
      <c r="A2539" t="s">
        <v>924</v>
      </c>
      <c r="B2539">
        <v>4940196</v>
      </c>
      <c r="C2539" t="s">
        <v>538</v>
      </c>
      <c r="D2539" t="s">
        <v>539</v>
      </c>
      <c r="E2539" t="s">
        <v>571</v>
      </c>
      <c r="F2539" t="s">
        <v>896</v>
      </c>
      <c r="H2539" t="s">
        <v>483</v>
      </c>
      <c r="J2539" t="s">
        <v>140</v>
      </c>
      <c r="K2539">
        <v>165024.228</v>
      </c>
      <c r="L2539">
        <v>384485.78940000001</v>
      </c>
      <c r="N2539" t="s">
        <v>897</v>
      </c>
      <c r="O2539" t="s">
        <v>917</v>
      </c>
      <c r="P2539" t="s">
        <v>918</v>
      </c>
      <c r="Q2539" t="s">
        <v>144</v>
      </c>
      <c r="S2539">
        <v>12</v>
      </c>
      <c r="T2539">
        <v>3724</v>
      </c>
      <c r="U2539">
        <v>70</v>
      </c>
      <c r="V2539" t="s">
        <v>146</v>
      </c>
      <c r="W2539" t="s">
        <v>899</v>
      </c>
      <c r="Y2539" t="s">
        <v>900</v>
      </c>
      <c r="Z2539" t="s">
        <v>917</v>
      </c>
      <c r="AA2539" t="s">
        <v>919</v>
      </c>
      <c r="AB2539">
        <v>0</v>
      </c>
      <c r="AE2539" t="s">
        <v>902</v>
      </c>
      <c r="AF2539" t="s">
        <v>917</v>
      </c>
      <c r="AG2539" t="s">
        <v>920</v>
      </c>
      <c r="AI2539" t="s">
        <v>904</v>
      </c>
      <c r="AJ2539" t="s">
        <v>917</v>
      </c>
      <c r="AK2539" t="s">
        <v>919</v>
      </c>
      <c r="AL2539" t="s">
        <v>925</v>
      </c>
      <c r="AM2539" t="s">
        <v>926</v>
      </c>
      <c r="AN2539" t="s">
        <v>927</v>
      </c>
      <c r="AO2539" t="s">
        <v>897</v>
      </c>
      <c r="AQ2539">
        <f>IF(ISBLANK(AP2539), IFERROR(IF(VLOOKUP(AO2539, Ellens_additions!$A$2:$B$252, 2, FALSE) = "", "", VLOOKUP(AO2539, Ellens_additions!$A$2:$B$252, 2, FALSE)), 0), AP2539)</f>
        <v>0</v>
      </c>
    </row>
    <row r="2540" spans="1:43" ht="14.4" x14ac:dyDescent="0.3"/>
    <row r="2541" spans="1:43" ht="14.4" hidden="1" x14ac:dyDescent="0.3">
      <c r="A2541" t="s">
        <v>928</v>
      </c>
      <c r="B2541">
        <v>4940199</v>
      </c>
      <c r="C2541" t="s">
        <v>538</v>
      </c>
      <c r="D2541" t="s">
        <v>539</v>
      </c>
      <c r="E2541" t="s">
        <v>571</v>
      </c>
      <c r="F2541" t="s">
        <v>896</v>
      </c>
      <c r="H2541" t="s">
        <v>139</v>
      </c>
      <c r="J2541" t="s">
        <v>140</v>
      </c>
      <c r="K2541">
        <v>165044.29579999999</v>
      </c>
      <c r="L2541">
        <v>384467.27130000002</v>
      </c>
      <c r="N2541" t="s">
        <v>897</v>
      </c>
      <c r="O2541" t="s">
        <v>917</v>
      </c>
      <c r="P2541" t="s">
        <v>918</v>
      </c>
      <c r="Q2541" t="s">
        <v>144</v>
      </c>
      <c r="S2541">
        <v>12</v>
      </c>
      <c r="T2541">
        <v>3724</v>
      </c>
      <c r="U2541">
        <v>70</v>
      </c>
      <c r="V2541" t="s">
        <v>146</v>
      </c>
      <c r="W2541" t="s">
        <v>899</v>
      </c>
      <c r="Y2541" t="s">
        <v>900</v>
      </c>
      <c r="Z2541" t="s">
        <v>917</v>
      </c>
      <c r="AA2541" t="s">
        <v>919</v>
      </c>
      <c r="AB2541">
        <v>0</v>
      </c>
      <c r="AE2541" t="s">
        <v>902</v>
      </c>
      <c r="AF2541" t="s">
        <v>917</v>
      </c>
      <c r="AG2541" t="s">
        <v>920</v>
      </c>
      <c r="AI2541" t="s">
        <v>904</v>
      </c>
      <c r="AJ2541" t="s">
        <v>917</v>
      </c>
      <c r="AK2541" t="s">
        <v>919</v>
      </c>
      <c r="AL2541" t="s">
        <v>929</v>
      </c>
      <c r="AM2541" t="s">
        <v>930</v>
      </c>
      <c r="AN2541" t="s">
        <v>931</v>
      </c>
      <c r="AO2541" t="s">
        <v>897</v>
      </c>
      <c r="AQ2541">
        <f>IF(ISBLANK(AP2541), IFERROR(IF(VLOOKUP(AO2541, Ellens_additions!$A$2:$B$252, 2, FALSE) = "", "", VLOOKUP(AO2541, Ellens_additions!$A$2:$B$252, 2, FALSE)), 0), AP2541)</f>
        <v>0</v>
      </c>
    </row>
    <row r="2542" spans="1:43" ht="14.4" x14ac:dyDescent="0.3"/>
    <row r="2543" spans="1:43" ht="14.4" hidden="1" x14ac:dyDescent="0.3">
      <c r="A2543" t="s">
        <v>932</v>
      </c>
      <c r="B2543">
        <v>4940203</v>
      </c>
      <c r="C2543" t="s">
        <v>538</v>
      </c>
      <c r="D2543" t="s">
        <v>539</v>
      </c>
      <c r="E2543" t="s">
        <v>571</v>
      </c>
      <c r="F2543" t="s">
        <v>896</v>
      </c>
      <c r="H2543" t="s">
        <v>278</v>
      </c>
      <c r="J2543" t="s">
        <v>140</v>
      </c>
      <c r="K2543">
        <v>164492.3124</v>
      </c>
      <c r="L2543">
        <v>384586.47649999999</v>
      </c>
      <c r="N2543" t="s">
        <v>897</v>
      </c>
      <c r="O2543" t="s">
        <v>898</v>
      </c>
      <c r="P2543" t="s">
        <v>580</v>
      </c>
      <c r="Q2543" t="s">
        <v>144</v>
      </c>
      <c r="S2543">
        <v>12</v>
      </c>
      <c r="T2543">
        <v>3724</v>
      </c>
      <c r="U2543">
        <v>70</v>
      </c>
      <c r="V2543" t="s">
        <v>146</v>
      </c>
      <c r="W2543" t="s">
        <v>899</v>
      </c>
      <c r="X2543" t="s">
        <v>9</v>
      </c>
      <c r="Y2543" t="s">
        <v>900</v>
      </c>
      <c r="Z2543" t="s">
        <v>898</v>
      </c>
      <c r="AA2543" t="s">
        <v>901</v>
      </c>
      <c r="AB2543">
        <v>0</v>
      </c>
      <c r="AI2543" t="s">
        <v>904</v>
      </c>
      <c r="AJ2543" t="s">
        <v>898</v>
      </c>
      <c r="AK2543" t="s">
        <v>901</v>
      </c>
      <c r="AL2543" t="s">
        <v>933</v>
      </c>
      <c r="AM2543" t="s">
        <v>934</v>
      </c>
      <c r="AN2543" t="s">
        <v>935</v>
      </c>
      <c r="AO2543" t="s">
        <v>897</v>
      </c>
      <c r="AQ2543">
        <f>IF(ISBLANK(AP2543), IFERROR(IF(VLOOKUP(AO2543, Ellens_additions!$A$2:$B$252, 2, FALSE) = "", "", VLOOKUP(AO2543, Ellens_additions!$A$2:$B$252, 2, FALSE)), 0), AP2543)</f>
        <v>0</v>
      </c>
    </row>
    <row r="2544" spans="1:43" ht="14.4" x14ac:dyDescent="0.3"/>
    <row r="2545" spans="1:43" ht="14.4" hidden="1" x14ac:dyDescent="0.3">
      <c r="A2545" t="s">
        <v>937</v>
      </c>
      <c r="B2545">
        <v>4940212</v>
      </c>
      <c r="C2545" t="s">
        <v>538</v>
      </c>
      <c r="D2545" t="s">
        <v>539</v>
      </c>
      <c r="E2545" t="s">
        <v>571</v>
      </c>
      <c r="F2545" t="s">
        <v>896</v>
      </c>
      <c r="H2545" t="s">
        <v>299</v>
      </c>
      <c r="J2545" t="s">
        <v>140</v>
      </c>
      <c r="K2545">
        <v>164674.32019999999</v>
      </c>
      <c r="L2545">
        <v>384617.42090000003</v>
      </c>
      <c r="N2545" t="s">
        <v>897</v>
      </c>
      <c r="O2545" t="s">
        <v>796</v>
      </c>
      <c r="P2545" t="s">
        <v>659</v>
      </c>
      <c r="Q2545" t="s">
        <v>144</v>
      </c>
      <c r="S2545">
        <v>12</v>
      </c>
      <c r="T2545">
        <v>3724</v>
      </c>
      <c r="U2545">
        <v>70</v>
      </c>
      <c r="V2545" t="s">
        <v>146</v>
      </c>
      <c r="W2545" t="s">
        <v>899</v>
      </c>
      <c r="Y2545" t="s">
        <v>900</v>
      </c>
      <c r="Z2545" t="s">
        <v>796</v>
      </c>
      <c r="AA2545" t="s">
        <v>655</v>
      </c>
      <c r="AB2545">
        <v>0</v>
      </c>
      <c r="AE2545" t="s">
        <v>902</v>
      </c>
      <c r="AF2545" t="s">
        <v>796</v>
      </c>
      <c r="AG2545" t="s">
        <v>938</v>
      </c>
      <c r="AI2545" t="s">
        <v>904</v>
      </c>
      <c r="AJ2545" t="s">
        <v>796</v>
      </c>
      <c r="AK2545" t="s">
        <v>655</v>
      </c>
      <c r="AL2545" t="s">
        <v>939</v>
      </c>
      <c r="AM2545" t="s">
        <v>940</v>
      </c>
      <c r="AN2545" t="s">
        <v>941</v>
      </c>
      <c r="AO2545" t="s">
        <v>897</v>
      </c>
      <c r="AQ2545">
        <f>IF(ISBLANK(AP2545), IFERROR(IF(VLOOKUP(AO2545, Ellens_additions!$A$2:$B$252, 2, FALSE) = "", "", VLOOKUP(AO2545, Ellens_additions!$A$2:$B$252, 2, FALSE)), 0), AP2545)</f>
        <v>0</v>
      </c>
    </row>
    <row r="2546" spans="1:43" ht="14.4" x14ac:dyDescent="0.3"/>
    <row r="2547" spans="1:43" ht="14.4" hidden="1" x14ac:dyDescent="0.3">
      <c r="A2547" t="s">
        <v>942</v>
      </c>
      <c r="B2547">
        <v>4940213</v>
      </c>
      <c r="C2547" t="s">
        <v>538</v>
      </c>
      <c r="D2547" t="s">
        <v>539</v>
      </c>
      <c r="E2547" t="s">
        <v>571</v>
      </c>
      <c r="F2547" t="s">
        <v>896</v>
      </c>
      <c r="H2547" t="s">
        <v>381</v>
      </c>
      <c r="J2547" t="s">
        <v>140</v>
      </c>
      <c r="K2547">
        <v>165063.70670000001</v>
      </c>
      <c r="L2547">
        <v>384449.1692</v>
      </c>
      <c r="N2547" t="s">
        <v>897</v>
      </c>
      <c r="O2547" t="s">
        <v>917</v>
      </c>
      <c r="P2547" t="s">
        <v>918</v>
      </c>
      <c r="Q2547" t="s">
        <v>144</v>
      </c>
      <c r="S2547">
        <v>12</v>
      </c>
      <c r="T2547">
        <v>3724</v>
      </c>
      <c r="U2547">
        <v>70</v>
      </c>
      <c r="V2547" t="s">
        <v>146</v>
      </c>
      <c r="W2547" t="s">
        <v>899</v>
      </c>
      <c r="Y2547" t="s">
        <v>900</v>
      </c>
      <c r="Z2547" t="s">
        <v>917</v>
      </c>
      <c r="AA2547" t="s">
        <v>919</v>
      </c>
      <c r="AB2547">
        <v>0</v>
      </c>
      <c r="AE2547" t="s">
        <v>902</v>
      </c>
      <c r="AF2547" t="s">
        <v>917</v>
      </c>
      <c r="AG2547" t="s">
        <v>920</v>
      </c>
      <c r="AI2547" t="s">
        <v>904</v>
      </c>
      <c r="AJ2547" t="s">
        <v>917</v>
      </c>
      <c r="AK2547" t="s">
        <v>919</v>
      </c>
      <c r="AL2547" t="s">
        <v>943</v>
      </c>
      <c r="AM2547" t="s">
        <v>944</v>
      </c>
      <c r="AN2547" t="s">
        <v>945</v>
      </c>
      <c r="AO2547" t="s">
        <v>897</v>
      </c>
      <c r="AQ2547">
        <f>IF(ISBLANK(AP2547), IFERROR(IF(VLOOKUP(AO2547, Ellens_additions!$A$2:$B$252, 2, FALSE) = "", "", VLOOKUP(AO2547, Ellens_additions!$A$2:$B$252, 2, FALSE)), 0), AP2547)</f>
        <v>0</v>
      </c>
    </row>
    <row r="2548" spans="1:43" ht="14.4" x14ac:dyDescent="0.3"/>
    <row r="2549" spans="1:43" ht="14.4" hidden="1" x14ac:dyDescent="0.3">
      <c r="A2549" t="s">
        <v>946</v>
      </c>
      <c r="B2549">
        <v>4940219</v>
      </c>
      <c r="C2549" t="s">
        <v>538</v>
      </c>
      <c r="D2549" t="s">
        <v>539</v>
      </c>
      <c r="E2549" t="s">
        <v>571</v>
      </c>
      <c r="F2549" t="s">
        <v>896</v>
      </c>
      <c r="H2549" t="s">
        <v>177</v>
      </c>
      <c r="J2549" t="s">
        <v>140</v>
      </c>
      <c r="K2549">
        <v>164866.86660000001</v>
      </c>
      <c r="L2549">
        <v>384584.01010000001</v>
      </c>
      <c r="N2549" t="s">
        <v>897</v>
      </c>
      <c r="O2549" t="s">
        <v>947</v>
      </c>
      <c r="P2549" t="s">
        <v>948</v>
      </c>
      <c r="Q2549" t="s">
        <v>144</v>
      </c>
      <c r="S2549">
        <v>12</v>
      </c>
      <c r="T2549">
        <v>3724</v>
      </c>
      <c r="U2549">
        <v>70</v>
      </c>
      <c r="V2549" t="s">
        <v>146</v>
      </c>
      <c r="W2549" t="s">
        <v>899</v>
      </c>
      <c r="Y2549" t="s">
        <v>900</v>
      </c>
      <c r="Z2549" t="s">
        <v>947</v>
      </c>
      <c r="AA2549" t="s">
        <v>949</v>
      </c>
      <c r="AB2549">
        <v>0</v>
      </c>
      <c r="AE2549" t="s">
        <v>902</v>
      </c>
      <c r="AF2549" t="s">
        <v>947</v>
      </c>
      <c r="AG2549" t="s">
        <v>950</v>
      </c>
      <c r="AI2549" t="s">
        <v>904</v>
      </c>
      <c r="AJ2549" t="s">
        <v>947</v>
      </c>
      <c r="AK2549" t="s">
        <v>949</v>
      </c>
      <c r="AL2549" t="s">
        <v>951</v>
      </c>
      <c r="AM2549" t="s">
        <v>952</v>
      </c>
      <c r="AN2549" t="s">
        <v>953</v>
      </c>
      <c r="AO2549" t="s">
        <v>897</v>
      </c>
      <c r="AQ2549">
        <f>IF(ISBLANK(AP2549), IFERROR(IF(VLOOKUP(AO2549, Ellens_additions!$A$2:$B$252, 2, FALSE) = "", "", VLOOKUP(AO2549, Ellens_additions!$A$2:$B$252, 2, FALSE)), 0), AP2549)</f>
        <v>0</v>
      </c>
    </row>
    <row r="2550" spans="1:43" ht="14.4" x14ac:dyDescent="0.3"/>
    <row r="2551" spans="1:43" ht="14.4" hidden="1" x14ac:dyDescent="0.3">
      <c r="A2551" t="s">
        <v>955</v>
      </c>
      <c r="B2551">
        <v>4940220</v>
      </c>
      <c r="C2551" t="s">
        <v>538</v>
      </c>
      <c r="D2551" t="s">
        <v>539</v>
      </c>
      <c r="E2551" t="s">
        <v>571</v>
      </c>
      <c r="F2551" t="s">
        <v>896</v>
      </c>
      <c r="H2551" t="s">
        <v>262</v>
      </c>
      <c r="J2551" t="s">
        <v>140</v>
      </c>
      <c r="K2551">
        <v>164890.26550000001</v>
      </c>
      <c r="L2551">
        <v>384574.93199999997</v>
      </c>
      <c r="N2551" t="s">
        <v>897</v>
      </c>
      <c r="O2551" t="s">
        <v>947</v>
      </c>
      <c r="P2551" t="s">
        <v>948</v>
      </c>
      <c r="Q2551" t="s">
        <v>144</v>
      </c>
      <c r="S2551">
        <v>12</v>
      </c>
      <c r="T2551">
        <v>3724</v>
      </c>
      <c r="U2551">
        <v>70</v>
      </c>
      <c r="V2551" t="s">
        <v>146</v>
      </c>
      <c r="W2551" t="s">
        <v>899</v>
      </c>
      <c r="Y2551" t="s">
        <v>900</v>
      </c>
      <c r="Z2551" t="s">
        <v>947</v>
      </c>
      <c r="AA2551" t="s">
        <v>949</v>
      </c>
      <c r="AB2551">
        <v>0</v>
      </c>
      <c r="AE2551" t="s">
        <v>902</v>
      </c>
      <c r="AF2551" t="s">
        <v>947</v>
      </c>
      <c r="AG2551" t="s">
        <v>950</v>
      </c>
      <c r="AI2551" t="s">
        <v>904</v>
      </c>
      <c r="AJ2551" t="s">
        <v>947</v>
      </c>
      <c r="AK2551" t="s">
        <v>949</v>
      </c>
      <c r="AL2551" t="s">
        <v>956</v>
      </c>
      <c r="AM2551" t="s">
        <v>957</v>
      </c>
      <c r="AN2551" t="s">
        <v>958</v>
      </c>
      <c r="AO2551" t="s">
        <v>897</v>
      </c>
      <c r="AQ2551">
        <f>IF(ISBLANK(AP2551), IFERROR(IF(VLOOKUP(AO2551, Ellens_additions!$A$2:$B$252, 2, FALSE) = "", "", VLOOKUP(AO2551, Ellens_additions!$A$2:$B$252, 2, FALSE)), 0), AP2551)</f>
        <v>0</v>
      </c>
    </row>
    <row r="2552" spans="1:43" ht="14.4" x14ac:dyDescent="0.3"/>
    <row r="2553" spans="1:43" ht="14.4" hidden="1" x14ac:dyDescent="0.3">
      <c r="A2553" t="s">
        <v>960</v>
      </c>
      <c r="B2553">
        <v>4940222</v>
      </c>
      <c r="C2553" t="s">
        <v>538</v>
      </c>
      <c r="D2553" t="s">
        <v>539</v>
      </c>
      <c r="E2553" t="s">
        <v>571</v>
      </c>
      <c r="F2553" t="s">
        <v>896</v>
      </c>
      <c r="H2553" t="s">
        <v>300</v>
      </c>
      <c r="J2553" t="s">
        <v>140</v>
      </c>
      <c r="K2553">
        <v>164935.29459999999</v>
      </c>
      <c r="L2553">
        <v>384544.63069999998</v>
      </c>
      <c r="N2553" t="s">
        <v>897</v>
      </c>
      <c r="O2553" t="s">
        <v>961</v>
      </c>
      <c r="P2553" t="s">
        <v>962</v>
      </c>
      <c r="Q2553" t="s">
        <v>144</v>
      </c>
      <c r="S2553">
        <v>12</v>
      </c>
      <c r="T2553">
        <v>3724</v>
      </c>
      <c r="U2553">
        <v>70</v>
      </c>
      <c r="V2553" t="s">
        <v>146</v>
      </c>
      <c r="W2553" t="s">
        <v>899</v>
      </c>
      <c r="Y2553" t="s">
        <v>900</v>
      </c>
      <c r="Z2553" t="s">
        <v>961</v>
      </c>
      <c r="AA2553" t="s">
        <v>963</v>
      </c>
      <c r="AB2553">
        <v>0</v>
      </c>
      <c r="AE2553" t="s">
        <v>902</v>
      </c>
      <c r="AF2553" t="s">
        <v>961</v>
      </c>
      <c r="AG2553" t="s">
        <v>964</v>
      </c>
      <c r="AI2553" t="s">
        <v>904</v>
      </c>
      <c r="AJ2553" t="s">
        <v>961</v>
      </c>
      <c r="AK2553" t="s">
        <v>963</v>
      </c>
      <c r="AL2553" t="s">
        <v>965</v>
      </c>
      <c r="AM2553" t="s">
        <v>966</v>
      </c>
      <c r="AN2553" t="s">
        <v>967</v>
      </c>
      <c r="AO2553" t="s">
        <v>897</v>
      </c>
      <c r="AQ2553">
        <f>IF(ISBLANK(AP2553), IFERROR(IF(VLOOKUP(AO2553, Ellens_additions!$A$2:$B$252, 2, FALSE) = "", "", VLOOKUP(AO2553, Ellens_additions!$A$2:$B$252, 2, FALSE)), 0), AP2553)</f>
        <v>0</v>
      </c>
    </row>
    <row r="2554" spans="1:43" ht="14.4" x14ac:dyDescent="0.3"/>
    <row r="2555" spans="1:43" ht="14.4" hidden="1" x14ac:dyDescent="0.3">
      <c r="A2555" t="s">
        <v>970</v>
      </c>
      <c r="B2555">
        <v>4940226</v>
      </c>
      <c r="C2555" t="s">
        <v>538</v>
      </c>
      <c r="D2555" t="s">
        <v>564</v>
      </c>
      <c r="E2555" t="s">
        <v>660</v>
      </c>
      <c r="F2555" t="s">
        <v>971</v>
      </c>
      <c r="H2555" t="s">
        <v>251</v>
      </c>
      <c r="J2555" t="s">
        <v>140</v>
      </c>
      <c r="K2555">
        <v>162570.01</v>
      </c>
      <c r="L2555">
        <v>383195.25</v>
      </c>
      <c r="N2555" t="s">
        <v>972</v>
      </c>
      <c r="O2555" t="s">
        <v>973</v>
      </c>
      <c r="P2555" t="s">
        <v>974</v>
      </c>
      <c r="S2555">
        <v>55</v>
      </c>
      <c r="T2555">
        <v>8000</v>
      </c>
      <c r="U2555">
        <v>70</v>
      </c>
      <c r="V2555" t="s">
        <v>146</v>
      </c>
      <c r="W2555" t="s">
        <v>654</v>
      </c>
      <c r="Y2555" t="s">
        <v>148</v>
      </c>
      <c r="Z2555" t="s">
        <v>973</v>
      </c>
      <c r="AA2555" t="s">
        <v>795</v>
      </c>
      <c r="AB2555">
        <v>0</v>
      </c>
      <c r="AE2555" t="s">
        <v>188</v>
      </c>
      <c r="AF2555" t="s">
        <v>975</v>
      </c>
      <c r="AG2555" t="s">
        <v>976</v>
      </c>
      <c r="AI2555" t="s">
        <v>191</v>
      </c>
      <c r="AJ2555" t="s">
        <v>975</v>
      </c>
      <c r="AK2555" t="s">
        <v>976</v>
      </c>
      <c r="AL2555" t="s">
        <v>977</v>
      </c>
      <c r="AM2555" t="s">
        <v>978</v>
      </c>
      <c r="AN2555" t="s">
        <v>979</v>
      </c>
      <c r="AO2555" t="s">
        <v>972</v>
      </c>
      <c r="AP2555" t="s">
        <v>158</v>
      </c>
      <c r="AQ2555" t="str">
        <f>IF(ISBLANK(AP2555), IFERROR(IF(VLOOKUP(AO2555, Ellens_additions!$A$2:$B$252, 2, FALSE) = "", "", VLOOKUP(AO2555, Ellens_additions!$A$2:$B$252, 2, FALSE)), 0), AP2555)</f>
        <v>3000</v>
      </c>
    </row>
    <row r="2556" spans="1:43" ht="14.4" x14ac:dyDescent="0.3"/>
    <row r="2557" spans="1:43" ht="14.4" x14ac:dyDescent="0.3"/>
    <row r="2558" spans="1:43" ht="14.4" x14ac:dyDescent="0.3"/>
    <row r="2559" spans="1:43" ht="14.4" hidden="1" x14ac:dyDescent="0.3">
      <c r="A2559" t="s">
        <v>980</v>
      </c>
      <c r="B2559">
        <v>4940231</v>
      </c>
      <c r="C2559" t="s">
        <v>538</v>
      </c>
      <c r="D2559" t="s">
        <v>564</v>
      </c>
      <c r="E2559" t="s">
        <v>660</v>
      </c>
      <c r="F2559" t="s">
        <v>971</v>
      </c>
      <c r="H2559" t="s">
        <v>303</v>
      </c>
      <c r="J2559" t="s">
        <v>140</v>
      </c>
      <c r="K2559">
        <v>162592.51999999999</v>
      </c>
      <c r="L2559">
        <v>383184.69</v>
      </c>
      <c r="N2559" t="s">
        <v>972</v>
      </c>
      <c r="O2559" t="s">
        <v>981</v>
      </c>
      <c r="P2559" t="s">
        <v>982</v>
      </c>
      <c r="S2559">
        <v>55</v>
      </c>
      <c r="T2559">
        <v>8000</v>
      </c>
      <c r="U2559">
        <v>70</v>
      </c>
      <c r="V2559" t="s">
        <v>146</v>
      </c>
      <c r="W2559" t="s">
        <v>654</v>
      </c>
      <c r="Y2559" t="s">
        <v>148</v>
      </c>
      <c r="Z2559" t="s">
        <v>981</v>
      </c>
      <c r="AA2559" t="s">
        <v>983</v>
      </c>
      <c r="AB2559">
        <v>0</v>
      </c>
      <c r="AE2559" t="s">
        <v>315</v>
      </c>
      <c r="AF2559" t="s">
        <v>981</v>
      </c>
      <c r="AG2559" t="s">
        <v>984</v>
      </c>
      <c r="AI2559" t="s">
        <v>304</v>
      </c>
      <c r="AJ2559" t="s">
        <v>981</v>
      </c>
      <c r="AK2559" t="s">
        <v>985</v>
      </c>
      <c r="AL2559" t="s">
        <v>986</v>
      </c>
      <c r="AM2559" t="s">
        <v>987</v>
      </c>
      <c r="AN2559" t="s">
        <v>988</v>
      </c>
      <c r="AO2559" t="s">
        <v>972</v>
      </c>
      <c r="AP2559" t="s">
        <v>158</v>
      </c>
      <c r="AQ2559" t="str">
        <f>IF(ISBLANK(AP2559), IFERROR(IF(VLOOKUP(AO2559, Ellens_additions!$A$2:$B$252, 2, FALSE) = "", "", VLOOKUP(AO2559, Ellens_additions!$A$2:$B$252, 2, FALSE)), 0), AP2559)</f>
        <v>3000</v>
      </c>
    </row>
    <row r="2560" spans="1:43" ht="14.4" x14ac:dyDescent="0.3"/>
    <row r="2561" ht="14.4" x14ac:dyDescent="0.3"/>
    <row r="2562" ht="14.4" x14ac:dyDescent="0.3"/>
    <row r="2563" ht="14.4" x14ac:dyDescent="0.3"/>
    <row r="2564" ht="14.4" x14ac:dyDescent="0.3"/>
    <row r="2565" ht="14.4" x14ac:dyDescent="0.3"/>
    <row r="2566" ht="14.4" x14ac:dyDescent="0.3"/>
    <row r="2567" ht="14.4" x14ac:dyDescent="0.3"/>
    <row r="2568" ht="14.4" x14ac:dyDescent="0.3"/>
    <row r="2569" ht="14.4" x14ac:dyDescent="0.3"/>
    <row r="2570" ht="14.4" x14ac:dyDescent="0.3"/>
    <row r="2571" ht="14.4" x14ac:dyDescent="0.3"/>
    <row r="2572" ht="14.4" x14ac:dyDescent="0.3"/>
    <row r="2573" ht="14.4" x14ac:dyDescent="0.3"/>
    <row r="2574" ht="14.4" x14ac:dyDescent="0.3"/>
    <row r="2575" ht="14.4" x14ac:dyDescent="0.3"/>
    <row r="2576" ht="14.4" x14ac:dyDescent="0.3"/>
    <row r="2577" spans="1:43" ht="14.4" x14ac:dyDescent="0.3"/>
    <row r="2578" spans="1:43" ht="14.4" x14ac:dyDescent="0.3"/>
    <row r="2579" spans="1:43" ht="14.4" x14ac:dyDescent="0.3"/>
    <row r="2580" spans="1:43" ht="14.4" x14ac:dyDescent="0.3"/>
    <row r="2581" spans="1:43" ht="14.4" x14ac:dyDescent="0.3"/>
    <row r="2582" spans="1:43" ht="14.4" x14ac:dyDescent="0.3"/>
    <row r="2583" spans="1:43" ht="14.4" hidden="1" x14ac:dyDescent="0.3">
      <c r="A2583" t="s">
        <v>993</v>
      </c>
      <c r="B2583">
        <v>4940267</v>
      </c>
      <c r="C2583" t="s">
        <v>538</v>
      </c>
      <c r="D2583" t="s">
        <v>564</v>
      </c>
      <c r="E2583" t="s">
        <v>660</v>
      </c>
      <c r="F2583" t="s">
        <v>994</v>
      </c>
      <c r="H2583" t="s">
        <v>406</v>
      </c>
      <c r="J2583" t="s">
        <v>140</v>
      </c>
      <c r="K2583">
        <v>162652.92050000001</v>
      </c>
      <c r="L2583">
        <v>383176.32439999998</v>
      </c>
      <c r="N2583" t="s">
        <v>995</v>
      </c>
      <c r="O2583" t="s">
        <v>996</v>
      </c>
      <c r="P2583" t="s">
        <v>997</v>
      </c>
      <c r="S2583">
        <v>15</v>
      </c>
      <c r="T2583">
        <v>1950</v>
      </c>
      <c r="U2583">
        <v>70</v>
      </c>
      <c r="V2583" t="s">
        <v>146</v>
      </c>
      <c r="W2583" t="s">
        <v>533</v>
      </c>
      <c r="Y2583" t="s">
        <v>283</v>
      </c>
      <c r="Z2583" t="s">
        <v>996</v>
      </c>
      <c r="AA2583" t="s">
        <v>998</v>
      </c>
      <c r="AB2583">
        <v>0</v>
      </c>
      <c r="AE2583" t="s">
        <v>444</v>
      </c>
      <c r="AF2583" t="s">
        <v>996</v>
      </c>
      <c r="AG2583" t="s">
        <v>999</v>
      </c>
      <c r="AI2583" t="s">
        <v>1000</v>
      </c>
      <c r="AJ2583" t="s">
        <v>996</v>
      </c>
      <c r="AK2583" t="s">
        <v>1001</v>
      </c>
      <c r="AL2583" t="s">
        <v>1002</v>
      </c>
      <c r="AM2583" t="s">
        <v>1003</v>
      </c>
      <c r="AN2583" t="s">
        <v>1004</v>
      </c>
      <c r="AO2583" t="s">
        <v>995</v>
      </c>
      <c r="AP2583" t="s">
        <v>158</v>
      </c>
      <c r="AQ2583" t="str">
        <f>IF(ISBLANK(AP2583), IFERROR(IF(VLOOKUP(AO2583, Ellens_additions!$A$2:$B$252, 2, FALSE) = "", "", VLOOKUP(AO2583, Ellens_additions!$A$2:$B$252, 2, FALSE)), 0), AP2583)</f>
        <v>3000</v>
      </c>
    </row>
    <row r="2584" spans="1:43" ht="14.4" x14ac:dyDescent="0.3"/>
    <row r="2585" spans="1:43" ht="14.4" x14ac:dyDescent="0.3"/>
    <row r="2586" spans="1:43" ht="14.4" x14ac:dyDescent="0.3"/>
    <row r="2587" spans="1:43" ht="14.4" x14ac:dyDescent="0.3"/>
    <row r="2588" spans="1:43" ht="14.4" x14ac:dyDescent="0.3"/>
    <row r="2589" spans="1:43" ht="14.4" x14ac:dyDescent="0.3"/>
    <row r="2590" spans="1:43" ht="14.4" x14ac:dyDescent="0.3"/>
    <row r="2591" spans="1:43" ht="14.4" x14ac:dyDescent="0.3"/>
    <row r="2592" spans="1:43" ht="14.4" x14ac:dyDescent="0.3"/>
    <row r="2593" ht="14.4" x14ac:dyDescent="0.3"/>
    <row r="2594" ht="14.4" x14ac:dyDescent="0.3"/>
    <row r="2595" ht="14.4" x14ac:dyDescent="0.3"/>
    <row r="2596" ht="14.4" x14ac:dyDescent="0.3"/>
    <row r="2597" ht="14.4" x14ac:dyDescent="0.3"/>
    <row r="2598" ht="14.4" x14ac:dyDescent="0.3"/>
    <row r="2599" ht="14.4" x14ac:dyDescent="0.3"/>
    <row r="2600" ht="14.4" x14ac:dyDescent="0.3"/>
    <row r="2601" ht="14.4" x14ac:dyDescent="0.3"/>
    <row r="2602" ht="14.4" x14ac:dyDescent="0.3"/>
    <row r="2603" ht="14.4" x14ac:dyDescent="0.3"/>
    <row r="2604" ht="14.4" x14ac:dyDescent="0.3"/>
    <row r="2605" ht="14.4" x14ac:dyDescent="0.3"/>
    <row r="2606" ht="14.4" x14ac:dyDescent="0.3"/>
    <row r="2607" ht="14.4" x14ac:dyDescent="0.3"/>
    <row r="2608" ht="14.4" x14ac:dyDescent="0.3"/>
    <row r="2609" ht="14.4" x14ac:dyDescent="0.3"/>
    <row r="2610" ht="14.4" x14ac:dyDescent="0.3"/>
    <row r="2611" ht="14.4" x14ac:dyDescent="0.3"/>
    <row r="2612" ht="14.4" x14ac:dyDescent="0.3"/>
    <row r="2613" ht="14.4" x14ac:dyDescent="0.3"/>
    <row r="2614" ht="14.4" x14ac:dyDescent="0.3"/>
    <row r="2615" ht="14.4" x14ac:dyDescent="0.3"/>
    <row r="2616" ht="14.4" x14ac:dyDescent="0.3"/>
    <row r="2617" ht="14.4" x14ac:dyDescent="0.3"/>
    <row r="2618" ht="14.4" x14ac:dyDescent="0.3"/>
    <row r="2619" ht="14.4" x14ac:dyDescent="0.3"/>
    <row r="2620" ht="14.4" x14ac:dyDescent="0.3"/>
    <row r="2621" ht="14.4" x14ac:dyDescent="0.3"/>
    <row r="2622" ht="14.4" x14ac:dyDescent="0.3"/>
    <row r="2623" ht="14.4" x14ac:dyDescent="0.3"/>
    <row r="2624" ht="14.4" x14ac:dyDescent="0.3"/>
    <row r="2625" ht="14.4" x14ac:dyDescent="0.3"/>
    <row r="2626" ht="14.4" x14ac:dyDescent="0.3"/>
    <row r="2627" ht="14.4" x14ac:dyDescent="0.3"/>
    <row r="2628" ht="14.4" x14ac:dyDescent="0.3"/>
    <row r="2629" ht="14.4" x14ac:dyDescent="0.3"/>
    <row r="2630" ht="14.4" x14ac:dyDescent="0.3"/>
    <row r="2631" ht="14.4" x14ac:dyDescent="0.3"/>
    <row r="2632" ht="14.4" x14ac:dyDescent="0.3"/>
    <row r="2633" ht="14.4" x14ac:dyDescent="0.3"/>
    <row r="2634" ht="14.4" x14ac:dyDescent="0.3"/>
    <row r="2635" ht="14.4" x14ac:dyDescent="0.3"/>
    <row r="2636" ht="14.4" x14ac:dyDescent="0.3"/>
    <row r="2637" ht="14.4" x14ac:dyDescent="0.3"/>
    <row r="2638" ht="14.4" x14ac:dyDescent="0.3"/>
    <row r="2639" ht="14.4" x14ac:dyDescent="0.3"/>
    <row r="2640" ht="14.4" x14ac:dyDescent="0.3"/>
    <row r="2641" ht="14.4" x14ac:dyDescent="0.3"/>
    <row r="2642" ht="14.4" x14ac:dyDescent="0.3"/>
    <row r="2643" ht="14.4" x14ac:dyDescent="0.3"/>
    <row r="2644" ht="14.4" x14ac:dyDescent="0.3"/>
    <row r="2645" ht="14.4" x14ac:dyDescent="0.3"/>
    <row r="2646" ht="14.4" x14ac:dyDescent="0.3"/>
    <row r="2647" ht="14.4" x14ac:dyDescent="0.3"/>
    <row r="2648" ht="14.4" x14ac:dyDescent="0.3"/>
    <row r="2649" ht="14.4" x14ac:dyDescent="0.3"/>
    <row r="2650" ht="14.4" x14ac:dyDescent="0.3"/>
    <row r="2651" ht="14.4" x14ac:dyDescent="0.3"/>
    <row r="2652" ht="14.4" x14ac:dyDescent="0.3"/>
    <row r="2653" ht="14.4" x14ac:dyDescent="0.3"/>
    <row r="2654" ht="14.4" x14ac:dyDescent="0.3"/>
    <row r="2655" ht="14.4" x14ac:dyDescent="0.3"/>
    <row r="2656" ht="14.4" x14ac:dyDescent="0.3"/>
    <row r="2657" ht="14.4" x14ac:dyDescent="0.3"/>
    <row r="2658" ht="14.4" x14ac:dyDescent="0.3"/>
    <row r="2659" ht="14.4" x14ac:dyDescent="0.3"/>
    <row r="2660" ht="14.4" x14ac:dyDescent="0.3"/>
    <row r="2661" ht="14.4" x14ac:dyDescent="0.3"/>
    <row r="2662" ht="14.4" x14ac:dyDescent="0.3"/>
    <row r="2663" ht="14.4" x14ac:dyDescent="0.3"/>
    <row r="2664" ht="14.4" x14ac:dyDescent="0.3"/>
    <row r="2665" ht="14.4" x14ac:dyDescent="0.3"/>
    <row r="2666" ht="14.4" x14ac:dyDescent="0.3"/>
    <row r="2667" ht="14.4" x14ac:dyDescent="0.3"/>
    <row r="2668" ht="14.4" x14ac:dyDescent="0.3"/>
    <row r="2669" ht="14.4" x14ac:dyDescent="0.3"/>
    <row r="2670" ht="14.4" x14ac:dyDescent="0.3"/>
    <row r="2671" ht="14.4" x14ac:dyDescent="0.3"/>
    <row r="2672" ht="14.4" x14ac:dyDescent="0.3"/>
    <row r="2673" ht="14.4" x14ac:dyDescent="0.3"/>
    <row r="2674" ht="14.4" x14ac:dyDescent="0.3"/>
    <row r="2675" ht="14.4" x14ac:dyDescent="0.3"/>
    <row r="2676" ht="14.4" x14ac:dyDescent="0.3"/>
    <row r="2677" ht="14.4" x14ac:dyDescent="0.3"/>
    <row r="2678" ht="14.4" x14ac:dyDescent="0.3"/>
    <row r="2679" ht="14.4" x14ac:dyDescent="0.3"/>
    <row r="2680" ht="14.4" x14ac:dyDescent="0.3"/>
    <row r="2681" ht="14.4" x14ac:dyDescent="0.3"/>
    <row r="2682" ht="14.4" x14ac:dyDescent="0.3"/>
    <row r="2683" ht="14.4" x14ac:dyDescent="0.3"/>
    <row r="2684" ht="14.4" x14ac:dyDescent="0.3"/>
    <row r="2685" ht="14.4" x14ac:dyDescent="0.3"/>
    <row r="2686" ht="14.4" x14ac:dyDescent="0.3"/>
    <row r="2687" ht="14.4" x14ac:dyDescent="0.3"/>
    <row r="2688" ht="14.4" x14ac:dyDescent="0.3"/>
    <row r="2689" ht="14.4" x14ac:dyDescent="0.3"/>
    <row r="2690" ht="14.4" x14ac:dyDescent="0.3"/>
    <row r="2691" ht="14.4" x14ac:dyDescent="0.3"/>
    <row r="2692" ht="14.4" x14ac:dyDescent="0.3"/>
    <row r="2693" ht="14.4" x14ac:dyDescent="0.3"/>
    <row r="2694" ht="14.4" x14ac:dyDescent="0.3"/>
    <row r="2695" ht="14.4" x14ac:dyDescent="0.3"/>
    <row r="2696" ht="14.4" x14ac:dyDescent="0.3"/>
    <row r="2697" ht="14.4" x14ac:dyDescent="0.3"/>
    <row r="2698" ht="14.4" x14ac:dyDescent="0.3"/>
    <row r="2699" ht="14.4" x14ac:dyDescent="0.3"/>
    <row r="2700" ht="14.4" x14ac:dyDescent="0.3"/>
    <row r="2701" ht="14.4" x14ac:dyDescent="0.3"/>
    <row r="2702" ht="14.4" x14ac:dyDescent="0.3"/>
    <row r="2703" ht="14.4" x14ac:dyDescent="0.3"/>
    <row r="2704" ht="14.4" x14ac:dyDescent="0.3"/>
    <row r="2705" ht="14.4" x14ac:dyDescent="0.3"/>
    <row r="2706" ht="14.4" x14ac:dyDescent="0.3"/>
    <row r="2707" ht="14.4" x14ac:dyDescent="0.3"/>
    <row r="2708" ht="14.4" x14ac:dyDescent="0.3"/>
    <row r="2709" ht="14.4" x14ac:dyDescent="0.3"/>
    <row r="2710" ht="14.4" x14ac:dyDescent="0.3"/>
    <row r="2711" ht="14.4" x14ac:dyDescent="0.3"/>
    <row r="2712" ht="14.4" x14ac:dyDescent="0.3"/>
    <row r="2713" ht="14.4" x14ac:dyDescent="0.3"/>
    <row r="2714" ht="14.4" x14ac:dyDescent="0.3"/>
    <row r="2715" ht="14.4" x14ac:dyDescent="0.3"/>
    <row r="2716" ht="14.4" x14ac:dyDescent="0.3"/>
    <row r="2717" ht="14.4" x14ac:dyDescent="0.3"/>
    <row r="2718" ht="14.4" x14ac:dyDescent="0.3"/>
    <row r="2719" ht="14.4" x14ac:dyDescent="0.3"/>
    <row r="2720" ht="14.4" x14ac:dyDescent="0.3"/>
    <row r="2721" ht="14.4" x14ac:dyDescent="0.3"/>
    <row r="2722" ht="14.4" x14ac:dyDescent="0.3"/>
    <row r="2723" ht="14.4" x14ac:dyDescent="0.3"/>
    <row r="2724" ht="14.4" x14ac:dyDescent="0.3"/>
    <row r="2725" ht="14.4" x14ac:dyDescent="0.3"/>
    <row r="2726" ht="14.4" x14ac:dyDescent="0.3"/>
    <row r="2727" ht="14.4" x14ac:dyDescent="0.3"/>
    <row r="2728" ht="14.4" x14ac:dyDescent="0.3"/>
    <row r="2729" ht="14.4" x14ac:dyDescent="0.3"/>
    <row r="2730" ht="14.4" x14ac:dyDescent="0.3"/>
    <row r="2731" ht="14.4" x14ac:dyDescent="0.3"/>
    <row r="2732" ht="14.4" x14ac:dyDescent="0.3"/>
    <row r="2733" ht="14.4" x14ac:dyDescent="0.3"/>
    <row r="2734" ht="14.4" x14ac:dyDescent="0.3"/>
    <row r="2735" ht="14.4" x14ac:dyDescent="0.3"/>
    <row r="2736" ht="14.4" x14ac:dyDescent="0.3"/>
    <row r="2737" ht="14.4" x14ac:dyDescent="0.3"/>
    <row r="2738" ht="14.4" x14ac:dyDescent="0.3"/>
    <row r="2739" ht="14.4" x14ac:dyDescent="0.3"/>
    <row r="2740" ht="14.4" x14ac:dyDescent="0.3"/>
    <row r="2741" ht="14.4" x14ac:dyDescent="0.3"/>
    <row r="2742" ht="14.4" x14ac:dyDescent="0.3"/>
    <row r="2743" ht="14.4" x14ac:dyDescent="0.3"/>
    <row r="2744" ht="14.4" x14ac:dyDescent="0.3"/>
    <row r="2745" ht="14.4" x14ac:dyDescent="0.3"/>
    <row r="2746" ht="14.4" x14ac:dyDescent="0.3"/>
    <row r="2747" ht="14.4" x14ac:dyDescent="0.3"/>
    <row r="2748" ht="14.4" x14ac:dyDescent="0.3"/>
    <row r="2749" ht="14.4" x14ac:dyDescent="0.3"/>
    <row r="2750" ht="14.4" x14ac:dyDescent="0.3"/>
    <row r="2751" ht="14.4" x14ac:dyDescent="0.3"/>
    <row r="2752" ht="14.4" x14ac:dyDescent="0.3"/>
    <row r="2753" ht="14.4" x14ac:dyDescent="0.3"/>
    <row r="2754" ht="14.4" x14ac:dyDescent="0.3"/>
    <row r="2755" ht="14.4" x14ac:dyDescent="0.3"/>
    <row r="2756" ht="14.4" x14ac:dyDescent="0.3"/>
    <row r="2757" ht="14.4" x14ac:dyDescent="0.3"/>
    <row r="2758" ht="14.4" x14ac:dyDescent="0.3"/>
    <row r="2759" ht="14.4" x14ac:dyDescent="0.3"/>
    <row r="2760" ht="14.4" x14ac:dyDescent="0.3"/>
    <row r="2761" ht="14.4" x14ac:dyDescent="0.3"/>
    <row r="2762" ht="14.4" x14ac:dyDescent="0.3"/>
    <row r="2763" ht="14.4" x14ac:dyDescent="0.3"/>
    <row r="2764" ht="14.4" x14ac:dyDescent="0.3"/>
    <row r="2765" ht="14.4" x14ac:dyDescent="0.3"/>
    <row r="2766" ht="14.4" x14ac:dyDescent="0.3"/>
    <row r="2767" ht="14.4" x14ac:dyDescent="0.3"/>
    <row r="2768" ht="14.4" x14ac:dyDescent="0.3"/>
    <row r="2769" ht="14.4" x14ac:dyDescent="0.3"/>
    <row r="2770" ht="14.4" x14ac:dyDescent="0.3"/>
    <row r="2771" ht="14.4" x14ac:dyDescent="0.3"/>
    <row r="2772" ht="14.4" x14ac:dyDescent="0.3"/>
    <row r="2773" ht="14.4" x14ac:dyDescent="0.3"/>
    <row r="2774" ht="14.4" x14ac:dyDescent="0.3"/>
    <row r="2775" ht="14.4" x14ac:dyDescent="0.3"/>
    <row r="2776" ht="14.4" x14ac:dyDescent="0.3"/>
    <row r="2777" ht="14.4" x14ac:dyDescent="0.3"/>
    <row r="2778" ht="14.4" x14ac:dyDescent="0.3"/>
    <row r="2779" ht="14.4" x14ac:dyDescent="0.3"/>
    <row r="2780" ht="14.4" x14ac:dyDescent="0.3"/>
    <row r="2781" ht="14.4" x14ac:dyDescent="0.3"/>
    <row r="2782" ht="14.4" x14ac:dyDescent="0.3"/>
    <row r="2783" ht="14.4" x14ac:dyDescent="0.3"/>
    <row r="2784" ht="14.4" x14ac:dyDescent="0.3"/>
    <row r="2785" ht="14.4" x14ac:dyDescent="0.3"/>
    <row r="2786" ht="14.4" x14ac:dyDescent="0.3"/>
    <row r="2787" ht="14.4" x14ac:dyDescent="0.3"/>
    <row r="2788" ht="14.4" x14ac:dyDescent="0.3"/>
    <row r="2789" ht="14.4" x14ac:dyDescent="0.3"/>
    <row r="2790" ht="14.4" x14ac:dyDescent="0.3"/>
    <row r="2791" ht="14.4" x14ac:dyDescent="0.3"/>
    <row r="2792" ht="14.4" x14ac:dyDescent="0.3"/>
    <row r="2793" ht="14.4" x14ac:dyDescent="0.3"/>
    <row r="2794" ht="14.4" x14ac:dyDescent="0.3"/>
    <row r="2795" ht="14.4" x14ac:dyDescent="0.3"/>
    <row r="2796" ht="14.4" x14ac:dyDescent="0.3"/>
    <row r="2797" ht="14.4" x14ac:dyDescent="0.3"/>
    <row r="2798" ht="14.4" x14ac:dyDescent="0.3"/>
    <row r="2799" ht="14.4" x14ac:dyDescent="0.3"/>
    <row r="2800" ht="14.4" x14ac:dyDescent="0.3"/>
    <row r="2801" ht="14.4" x14ac:dyDescent="0.3"/>
    <row r="2802" ht="14.4" x14ac:dyDescent="0.3"/>
    <row r="2803" ht="14.4" x14ac:dyDescent="0.3"/>
    <row r="2804" ht="14.4" x14ac:dyDescent="0.3"/>
    <row r="2805" ht="14.4" x14ac:dyDescent="0.3"/>
    <row r="2806" ht="14.4" x14ac:dyDescent="0.3"/>
    <row r="2807" ht="14.4" x14ac:dyDescent="0.3"/>
    <row r="2808" ht="14.4" x14ac:dyDescent="0.3"/>
    <row r="2809" ht="14.4" x14ac:dyDescent="0.3"/>
    <row r="2810" ht="14.4" x14ac:dyDescent="0.3"/>
    <row r="2811" ht="14.4" x14ac:dyDescent="0.3"/>
    <row r="2812" ht="14.4" x14ac:dyDescent="0.3"/>
    <row r="2813" ht="14.4" x14ac:dyDescent="0.3"/>
    <row r="2814" ht="14.4" x14ac:dyDescent="0.3"/>
    <row r="2815" ht="14.4" x14ac:dyDescent="0.3"/>
    <row r="2816" ht="14.4" x14ac:dyDescent="0.3"/>
    <row r="2817" ht="14.4" x14ac:dyDescent="0.3"/>
    <row r="2818" ht="14.4" x14ac:dyDescent="0.3"/>
    <row r="2819" ht="14.4" x14ac:dyDescent="0.3"/>
    <row r="2820" ht="14.4" x14ac:dyDescent="0.3"/>
    <row r="2821" ht="14.4" x14ac:dyDescent="0.3"/>
    <row r="2822" ht="14.4" x14ac:dyDescent="0.3"/>
    <row r="2823" ht="14.4" x14ac:dyDescent="0.3"/>
    <row r="2824" ht="14.4" x14ac:dyDescent="0.3"/>
    <row r="2825" ht="14.4" x14ac:dyDescent="0.3"/>
    <row r="2826" ht="14.4" x14ac:dyDescent="0.3"/>
    <row r="2827" ht="14.4" x14ac:dyDescent="0.3"/>
    <row r="2828" ht="14.4" x14ac:dyDescent="0.3"/>
    <row r="2829" ht="14.4" x14ac:dyDescent="0.3"/>
    <row r="2830" ht="14.4" x14ac:dyDescent="0.3"/>
    <row r="2831" ht="14.4" x14ac:dyDescent="0.3"/>
    <row r="2832" ht="14.4" x14ac:dyDescent="0.3"/>
    <row r="2833" ht="14.4" x14ac:dyDescent="0.3"/>
    <row r="2834" ht="14.4" x14ac:dyDescent="0.3"/>
    <row r="2835" ht="14.4" x14ac:dyDescent="0.3"/>
    <row r="2836" ht="14.4" x14ac:dyDescent="0.3"/>
    <row r="2837" ht="14.4" x14ac:dyDescent="0.3"/>
    <row r="2838" ht="14.4" x14ac:dyDescent="0.3"/>
    <row r="2839" ht="14.4" x14ac:dyDescent="0.3"/>
    <row r="2840" ht="14.4" x14ac:dyDescent="0.3"/>
    <row r="2841" ht="14.4" x14ac:dyDescent="0.3"/>
    <row r="2842" ht="14.4" x14ac:dyDescent="0.3"/>
    <row r="2843" ht="14.4" x14ac:dyDescent="0.3"/>
    <row r="2844" ht="14.4" x14ac:dyDescent="0.3"/>
    <row r="2845" ht="14.4" x14ac:dyDescent="0.3"/>
    <row r="2846" ht="14.4" x14ac:dyDescent="0.3"/>
    <row r="2847" ht="14.4" x14ac:dyDescent="0.3"/>
    <row r="2848" ht="14.4" x14ac:dyDescent="0.3"/>
    <row r="2849" ht="14.4" x14ac:dyDescent="0.3"/>
    <row r="2850" ht="14.4" x14ac:dyDescent="0.3"/>
    <row r="2851" ht="14.4" x14ac:dyDescent="0.3"/>
    <row r="2852" ht="14.4" x14ac:dyDescent="0.3"/>
    <row r="2853" ht="14.4" x14ac:dyDescent="0.3"/>
    <row r="2854" ht="14.4" x14ac:dyDescent="0.3"/>
    <row r="2855" ht="14.4" x14ac:dyDescent="0.3"/>
    <row r="2856" ht="14.4" x14ac:dyDescent="0.3"/>
    <row r="2857" ht="14.4" x14ac:dyDescent="0.3"/>
    <row r="2858" ht="14.4" x14ac:dyDescent="0.3"/>
    <row r="2859" ht="14.4" x14ac:dyDescent="0.3"/>
    <row r="2860" ht="14.4" x14ac:dyDescent="0.3"/>
    <row r="2861" ht="14.4" x14ac:dyDescent="0.3"/>
    <row r="2862" ht="14.4" x14ac:dyDescent="0.3"/>
    <row r="2863" ht="14.4" x14ac:dyDescent="0.3"/>
    <row r="2864" ht="14.4" x14ac:dyDescent="0.3"/>
    <row r="2865" ht="14.4" x14ac:dyDescent="0.3"/>
    <row r="2866" ht="14.4" x14ac:dyDescent="0.3"/>
    <row r="2867" ht="14.4" x14ac:dyDescent="0.3"/>
    <row r="2868" ht="14.4" x14ac:dyDescent="0.3"/>
    <row r="2869" ht="14.4" x14ac:dyDescent="0.3"/>
    <row r="2870" ht="14.4" x14ac:dyDescent="0.3"/>
    <row r="2871" ht="14.4" x14ac:dyDescent="0.3"/>
    <row r="2872" ht="14.4" x14ac:dyDescent="0.3"/>
    <row r="2873" ht="14.4" x14ac:dyDescent="0.3"/>
    <row r="2874" ht="14.4" x14ac:dyDescent="0.3"/>
    <row r="2875" ht="14.4" x14ac:dyDescent="0.3"/>
    <row r="2876" ht="14.4" x14ac:dyDescent="0.3"/>
    <row r="2877" ht="14.4" x14ac:dyDescent="0.3"/>
    <row r="2878" ht="14.4" x14ac:dyDescent="0.3"/>
    <row r="2879" ht="14.4" x14ac:dyDescent="0.3"/>
    <row r="2880" ht="14.4" x14ac:dyDescent="0.3"/>
    <row r="2881" ht="14.4" x14ac:dyDescent="0.3"/>
    <row r="2882" ht="14.4" x14ac:dyDescent="0.3"/>
    <row r="2883" ht="14.4" x14ac:dyDescent="0.3"/>
    <row r="2884" ht="14.4" x14ac:dyDescent="0.3"/>
    <row r="2885" ht="14.4" x14ac:dyDescent="0.3"/>
    <row r="2886" ht="14.4" x14ac:dyDescent="0.3"/>
    <row r="2887" ht="14.4" x14ac:dyDescent="0.3"/>
    <row r="2888" ht="14.4" x14ac:dyDescent="0.3"/>
    <row r="2889" ht="14.4" x14ac:dyDescent="0.3"/>
    <row r="2890" ht="14.4" x14ac:dyDescent="0.3"/>
    <row r="2891" ht="14.4" x14ac:dyDescent="0.3"/>
    <row r="2892" ht="14.4" x14ac:dyDescent="0.3"/>
    <row r="2893" ht="14.4" x14ac:dyDescent="0.3"/>
    <row r="2894" ht="14.4" x14ac:dyDescent="0.3"/>
    <row r="2895" ht="14.4" x14ac:dyDescent="0.3"/>
    <row r="2896" ht="14.4" x14ac:dyDescent="0.3"/>
    <row r="2897" ht="14.4" x14ac:dyDescent="0.3"/>
    <row r="2898" ht="14.4" x14ac:dyDescent="0.3"/>
    <row r="2899" ht="14.4" x14ac:dyDescent="0.3"/>
    <row r="2900" ht="14.4" x14ac:dyDescent="0.3"/>
    <row r="2901" ht="14.4" x14ac:dyDescent="0.3"/>
    <row r="2902" ht="14.4" x14ac:dyDescent="0.3"/>
    <row r="2903" ht="14.4" x14ac:dyDescent="0.3"/>
    <row r="2904" ht="14.4" x14ac:dyDescent="0.3"/>
    <row r="2905" ht="14.4" x14ac:dyDescent="0.3"/>
    <row r="2906" ht="14.4" x14ac:dyDescent="0.3"/>
    <row r="2907" ht="14.4" x14ac:dyDescent="0.3"/>
    <row r="2908" ht="14.4" x14ac:dyDescent="0.3"/>
    <row r="2909" ht="14.4" x14ac:dyDescent="0.3"/>
    <row r="2910" ht="14.4" x14ac:dyDescent="0.3"/>
    <row r="2911" ht="14.4" x14ac:dyDescent="0.3"/>
    <row r="2912" ht="14.4" x14ac:dyDescent="0.3"/>
    <row r="2913" ht="14.4" x14ac:dyDescent="0.3"/>
    <row r="2914" ht="14.4" x14ac:dyDescent="0.3"/>
    <row r="2915" ht="14.4" x14ac:dyDescent="0.3"/>
    <row r="2916" ht="14.4" x14ac:dyDescent="0.3"/>
    <row r="2917" ht="14.4" x14ac:dyDescent="0.3"/>
    <row r="2918" ht="14.4" x14ac:dyDescent="0.3"/>
    <row r="2919" ht="14.4" x14ac:dyDescent="0.3"/>
    <row r="2920" ht="14.4" x14ac:dyDescent="0.3"/>
    <row r="2921" ht="14.4" x14ac:dyDescent="0.3"/>
    <row r="2922" ht="14.4" x14ac:dyDescent="0.3"/>
    <row r="2923" ht="14.4" x14ac:dyDescent="0.3"/>
    <row r="2924" ht="14.4" x14ac:dyDescent="0.3"/>
    <row r="2925" ht="14.4" x14ac:dyDescent="0.3"/>
    <row r="2926" ht="14.4" x14ac:dyDescent="0.3"/>
    <row r="2927" ht="14.4" x14ac:dyDescent="0.3"/>
    <row r="2928" ht="14.4" x14ac:dyDescent="0.3"/>
    <row r="2929" ht="14.4" x14ac:dyDescent="0.3"/>
    <row r="2930" ht="14.4" x14ac:dyDescent="0.3"/>
    <row r="2931" ht="14.4" x14ac:dyDescent="0.3"/>
    <row r="2932" ht="14.4" x14ac:dyDescent="0.3"/>
    <row r="2933" ht="14.4" x14ac:dyDescent="0.3"/>
    <row r="2934" ht="14.4" x14ac:dyDescent="0.3"/>
    <row r="2935" ht="14.4" x14ac:dyDescent="0.3"/>
    <row r="2936" ht="14.4" x14ac:dyDescent="0.3"/>
    <row r="2937" ht="14.4" x14ac:dyDescent="0.3"/>
    <row r="2938" ht="14.4" x14ac:dyDescent="0.3"/>
    <row r="2939" ht="14.4" x14ac:dyDescent="0.3"/>
    <row r="2940" ht="14.4" x14ac:dyDescent="0.3"/>
    <row r="2941" ht="14.4" x14ac:dyDescent="0.3"/>
    <row r="2942" ht="14.4" x14ac:dyDescent="0.3"/>
    <row r="2943" ht="14.4" x14ac:dyDescent="0.3"/>
    <row r="2944" ht="14.4" x14ac:dyDescent="0.3"/>
    <row r="2945" ht="14.4" x14ac:dyDescent="0.3"/>
    <row r="2946" ht="14.4" x14ac:dyDescent="0.3"/>
    <row r="2947" ht="14.4" x14ac:dyDescent="0.3"/>
    <row r="2948" ht="14.4" x14ac:dyDescent="0.3"/>
    <row r="2949" ht="14.4" x14ac:dyDescent="0.3"/>
    <row r="2950" ht="14.4" x14ac:dyDescent="0.3"/>
    <row r="2951" ht="14.4" x14ac:dyDescent="0.3"/>
    <row r="2952" ht="14.4" x14ac:dyDescent="0.3"/>
    <row r="2953" ht="14.4" x14ac:dyDescent="0.3"/>
    <row r="2954" ht="14.4" x14ac:dyDescent="0.3"/>
    <row r="2955" ht="14.4" x14ac:dyDescent="0.3"/>
    <row r="2956" ht="14.4" x14ac:dyDescent="0.3"/>
    <row r="2957" ht="14.4" x14ac:dyDescent="0.3"/>
    <row r="2958" ht="14.4" x14ac:dyDescent="0.3"/>
    <row r="2959" ht="14.4" x14ac:dyDescent="0.3"/>
    <row r="2960" ht="14.4" x14ac:dyDescent="0.3"/>
    <row r="2961" ht="14.4" x14ac:dyDescent="0.3"/>
    <row r="2962" ht="14.4" x14ac:dyDescent="0.3"/>
    <row r="2963" ht="14.4" x14ac:dyDescent="0.3"/>
    <row r="2964" ht="14.4" x14ac:dyDescent="0.3"/>
    <row r="2965" ht="14.4" x14ac:dyDescent="0.3"/>
    <row r="2966" ht="14.4" x14ac:dyDescent="0.3"/>
    <row r="2967" ht="14.4" x14ac:dyDescent="0.3"/>
    <row r="2968" ht="14.4" x14ac:dyDescent="0.3"/>
    <row r="2969" ht="14.4" x14ac:dyDescent="0.3"/>
    <row r="2970" ht="14.4" x14ac:dyDescent="0.3"/>
    <row r="2971" ht="14.4" x14ac:dyDescent="0.3"/>
    <row r="2972" ht="14.4" x14ac:dyDescent="0.3"/>
    <row r="2973" ht="14.4" x14ac:dyDescent="0.3"/>
    <row r="2974" ht="14.4" x14ac:dyDescent="0.3"/>
    <row r="2975" ht="14.4" x14ac:dyDescent="0.3"/>
    <row r="2976" ht="14.4" x14ac:dyDescent="0.3"/>
    <row r="2977" ht="14.4" x14ac:dyDescent="0.3"/>
    <row r="2978" ht="14.4" x14ac:dyDescent="0.3"/>
    <row r="2979" ht="14.4" x14ac:dyDescent="0.3"/>
    <row r="2980" ht="14.4" x14ac:dyDescent="0.3"/>
    <row r="2981" ht="14.4" x14ac:dyDescent="0.3"/>
    <row r="2982" ht="14.4" x14ac:dyDescent="0.3"/>
    <row r="2983" ht="14.4" x14ac:dyDescent="0.3"/>
    <row r="2984" ht="14.4" x14ac:dyDescent="0.3"/>
    <row r="2985" ht="14.4" x14ac:dyDescent="0.3"/>
    <row r="2986" ht="14.4" x14ac:dyDescent="0.3"/>
    <row r="2987" ht="14.4" x14ac:dyDescent="0.3"/>
    <row r="2988" ht="14.4" x14ac:dyDescent="0.3"/>
    <row r="2989" ht="14.4" x14ac:dyDescent="0.3"/>
    <row r="2990" ht="14.4" x14ac:dyDescent="0.3"/>
    <row r="2991" ht="14.4" x14ac:dyDescent="0.3"/>
    <row r="2992" ht="14.4" x14ac:dyDescent="0.3"/>
    <row r="2993" ht="14.4" x14ac:dyDescent="0.3"/>
    <row r="2994" ht="14.4" x14ac:dyDescent="0.3"/>
    <row r="2995" ht="14.4" x14ac:dyDescent="0.3"/>
    <row r="2996" ht="14.4" x14ac:dyDescent="0.3"/>
    <row r="2997" ht="14.4" x14ac:dyDescent="0.3"/>
    <row r="2998" ht="14.4" x14ac:dyDescent="0.3"/>
    <row r="2999" ht="14.4" x14ac:dyDescent="0.3"/>
    <row r="3000" ht="14.4" x14ac:dyDescent="0.3"/>
    <row r="3001" ht="14.4" x14ac:dyDescent="0.3"/>
    <row r="3002" ht="14.4" x14ac:dyDescent="0.3"/>
    <row r="3003" ht="14.4" x14ac:dyDescent="0.3"/>
    <row r="3004" ht="14.4" x14ac:dyDescent="0.3"/>
    <row r="3005" ht="14.4" x14ac:dyDescent="0.3"/>
    <row r="3006" ht="14.4" x14ac:dyDescent="0.3"/>
    <row r="3007" ht="14.4" x14ac:dyDescent="0.3"/>
    <row r="3008" ht="14.4" x14ac:dyDescent="0.3"/>
    <row r="3009" ht="14.4" x14ac:dyDescent="0.3"/>
    <row r="3010" ht="14.4" x14ac:dyDescent="0.3"/>
    <row r="3011" ht="14.4" x14ac:dyDescent="0.3"/>
    <row r="3012" ht="14.4" x14ac:dyDescent="0.3"/>
    <row r="3013" ht="14.4" x14ac:dyDescent="0.3"/>
    <row r="3014" ht="14.4" x14ac:dyDescent="0.3"/>
    <row r="3015" ht="14.4" x14ac:dyDescent="0.3"/>
    <row r="3016" ht="14.4" x14ac:dyDescent="0.3"/>
    <row r="3017" ht="14.4" x14ac:dyDescent="0.3"/>
    <row r="3018" ht="14.4" x14ac:dyDescent="0.3"/>
    <row r="3019" ht="14.4" x14ac:dyDescent="0.3"/>
    <row r="3020" ht="14.4" x14ac:dyDescent="0.3"/>
    <row r="3021" ht="14.4" x14ac:dyDescent="0.3"/>
    <row r="3022" ht="14.4" x14ac:dyDescent="0.3"/>
    <row r="3023" ht="14.4" x14ac:dyDescent="0.3"/>
    <row r="3024" ht="14.4" x14ac:dyDescent="0.3"/>
    <row r="3025" ht="14.4" x14ac:dyDescent="0.3"/>
    <row r="3026" ht="14.4" x14ac:dyDescent="0.3"/>
    <row r="3027" ht="14.4" x14ac:dyDescent="0.3"/>
    <row r="3028" ht="14.4" x14ac:dyDescent="0.3"/>
    <row r="3029" ht="14.4" x14ac:dyDescent="0.3"/>
    <row r="3030" ht="14.4" x14ac:dyDescent="0.3"/>
    <row r="3031" ht="14.4" x14ac:dyDescent="0.3"/>
    <row r="3032" ht="14.4" x14ac:dyDescent="0.3"/>
    <row r="3033" ht="14.4" x14ac:dyDescent="0.3"/>
    <row r="3034" ht="14.4" x14ac:dyDescent="0.3"/>
    <row r="3035" ht="14.4" x14ac:dyDescent="0.3"/>
    <row r="3036" ht="14.4" x14ac:dyDescent="0.3"/>
    <row r="3037" ht="14.4" x14ac:dyDescent="0.3"/>
    <row r="3038" ht="14.4" x14ac:dyDescent="0.3"/>
    <row r="3039" ht="14.4" x14ac:dyDescent="0.3"/>
    <row r="3040" ht="14.4" x14ac:dyDescent="0.3"/>
    <row r="3041" ht="14.4" x14ac:dyDescent="0.3"/>
    <row r="3042" ht="14.4" x14ac:dyDescent="0.3"/>
    <row r="3043" ht="14.4" x14ac:dyDescent="0.3"/>
    <row r="3044" ht="14.4" x14ac:dyDescent="0.3"/>
    <row r="3045" ht="14.4" x14ac:dyDescent="0.3"/>
    <row r="3046" ht="14.4" x14ac:dyDescent="0.3"/>
    <row r="3047" ht="14.4" x14ac:dyDescent="0.3"/>
    <row r="3048" ht="14.4" x14ac:dyDescent="0.3"/>
    <row r="3049" ht="14.4" x14ac:dyDescent="0.3"/>
    <row r="3050" ht="14.4" x14ac:dyDescent="0.3"/>
    <row r="3051" ht="14.4" x14ac:dyDescent="0.3"/>
    <row r="3052" ht="14.4" x14ac:dyDescent="0.3"/>
    <row r="3053" ht="14.4" x14ac:dyDescent="0.3"/>
    <row r="3054" ht="14.4" x14ac:dyDescent="0.3"/>
    <row r="3055" ht="14.4" x14ac:dyDescent="0.3"/>
    <row r="3056" ht="14.4" x14ac:dyDescent="0.3"/>
    <row r="3057" ht="14.4" x14ac:dyDescent="0.3"/>
    <row r="3058" ht="14.4" x14ac:dyDescent="0.3"/>
    <row r="3059" ht="14.4" x14ac:dyDescent="0.3"/>
    <row r="3060" ht="14.4" x14ac:dyDescent="0.3"/>
    <row r="3061" ht="14.4" x14ac:dyDescent="0.3"/>
    <row r="3062" ht="14.4" x14ac:dyDescent="0.3"/>
    <row r="3063" ht="14.4" x14ac:dyDescent="0.3"/>
    <row r="3064" ht="14.4" x14ac:dyDescent="0.3"/>
    <row r="3065" ht="14.4" x14ac:dyDescent="0.3"/>
    <row r="3066" ht="14.4" x14ac:dyDescent="0.3"/>
    <row r="3067" ht="14.4" x14ac:dyDescent="0.3"/>
    <row r="3068" ht="14.4" x14ac:dyDescent="0.3"/>
    <row r="3069" ht="14.4" x14ac:dyDescent="0.3"/>
    <row r="3070" ht="14.4" x14ac:dyDescent="0.3"/>
    <row r="3071" ht="14.4" x14ac:dyDescent="0.3"/>
    <row r="3072" ht="14.4" x14ac:dyDescent="0.3"/>
    <row r="3073" ht="14.4" x14ac:dyDescent="0.3"/>
    <row r="3074" ht="14.4" x14ac:dyDescent="0.3"/>
    <row r="3075" ht="14.4" x14ac:dyDescent="0.3"/>
    <row r="3076" ht="14.4" x14ac:dyDescent="0.3"/>
    <row r="3077" ht="14.4" x14ac:dyDescent="0.3"/>
    <row r="3078" ht="14.4" x14ac:dyDescent="0.3"/>
    <row r="3079" ht="14.4" x14ac:dyDescent="0.3"/>
    <row r="3080" ht="14.4" x14ac:dyDescent="0.3"/>
    <row r="3081" ht="14.4" x14ac:dyDescent="0.3"/>
    <row r="3082" ht="14.4" x14ac:dyDescent="0.3"/>
    <row r="3083" ht="14.4" x14ac:dyDescent="0.3"/>
    <row r="3084" ht="14.4" x14ac:dyDescent="0.3"/>
    <row r="3085" ht="14.4" x14ac:dyDescent="0.3"/>
    <row r="3086" ht="14.4" x14ac:dyDescent="0.3"/>
    <row r="3087" ht="14.4" x14ac:dyDescent="0.3"/>
    <row r="3088" ht="14.4" x14ac:dyDescent="0.3"/>
    <row r="3089" ht="14.4" x14ac:dyDescent="0.3"/>
    <row r="3090" ht="14.4" x14ac:dyDescent="0.3"/>
    <row r="3091" ht="14.4" x14ac:dyDescent="0.3"/>
    <row r="3092" ht="14.4" x14ac:dyDescent="0.3"/>
    <row r="3093" ht="14.4" x14ac:dyDescent="0.3"/>
    <row r="3094" ht="14.4" x14ac:dyDescent="0.3"/>
    <row r="3095" ht="14.4" x14ac:dyDescent="0.3"/>
    <row r="3096" ht="14.4" x14ac:dyDescent="0.3"/>
    <row r="3097" ht="14.4" x14ac:dyDescent="0.3"/>
    <row r="3098" ht="14.4" x14ac:dyDescent="0.3"/>
    <row r="3099" ht="14.4" x14ac:dyDescent="0.3"/>
    <row r="3100" ht="14.4" x14ac:dyDescent="0.3"/>
    <row r="3101" ht="14.4" x14ac:dyDescent="0.3"/>
    <row r="3102" ht="14.4" x14ac:dyDescent="0.3"/>
    <row r="3103" ht="14.4" x14ac:dyDescent="0.3"/>
    <row r="3104" ht="14.4" x14ac:dyDescent="0.3"/>
    <row r="3105" ht="14.4" x14ac:dyDescent="0.3"/>
    <row r="3106" ht="14.4" x14ac:dyDescent="0.3"/>
    <row r="3107" ht="14.4" x14ac:dyDescent="0.3"/>
    <row r="3108" ht="14.4" x14ac:dyDescent="0.3"/>
    <row r="3109" ht="14.4" x14ac:dyDescent="0.3"/>
    <row r="3110" ht="14.4" x14ac:dyDescent="0.3"/>
    <row r="3111" ht="14.4" x14ac:dyDescent="0.3"/>
    <row r="3112" ht="14.4" x14ac:dyDescent="0.3"/>
    <row r="3113" ht="14.4" x14ac:dyDescent="0.3"/>
    <row r="3114" ht="14.4" x14ac:dyDescent="0.3"/>
    <row r="3115" ht="14.4" x14ac:dyDescent="0.3"/>
    <row r="3116" ht="14.4" x14ac:dyDescent="0.3"/>
    <row r="3117" ht="14.4" x14ac:dyDescent="0.3"/>
    <row r="3118" ht="14.4" x14ac:dyDescent="0.3"/>
    <row r="3119" ht="14.4" x14ac:dyDescent="0.3"/>
    <row r="3120" ht="14.4" x14ac:dyDescent="0.3"/>
    <row r="3121" ht="14.4" x14ac:dyDescent="0.3"/>
    <row r="3122" ht="14.4" x14ac:dyDescent="0.3"/>
    <row r="3123" ht="14.4" x14ac:dyDescent="0.3"/>
    <row r="3124" ht="14.4" x14ac:dyDescent="0.3"/>
    <row r="3125" ht="14.4" x14ac:dyDescent="0.3"/>
    <row r="3126" ht="14.4" x14ac:dyDescent="0.3"/>
    <row r="3127" ht="14.4" x14ac:dyDescent="0.3"/>
    <row r="3128" ht="14.4" x14ac:dyDescent="0.3"/>
    <row r="3129" ht="14.4" x14ac:dyDescent="0.3"/>
    <row r="3130" ht="14.4" x14ac:dyDescent="0.3"/>
    <row r="3131" ht="14.4" x14ac:dyDescent="0.3"/>
    <row r="3132" ht="14.4" x14ac:dyDescent="0.3"/>
    <row r="3133" ht="14.4" x14ac:dyDescent="0.3"/>
    <row r="3134" ht="14.4" x14ac:dyDescent="0.3"/>
    <row r="3135" ht="14.4" x14ac:dyDescent="0.3"/>
    <row r="3136" ht="14.4" x14ac:dyDescent="0.3"/>
    <row r="3137" ht="14.4" x14ac:dyDescent="0.3"/>
    <row r="3138" ht="14.4" x14ac:dyDescent="0.3"/>
    <row r="3139" ht="14.4" x14ac:dyDescent="0.3"/>
    <row r="3140" ht="14.4" x14ac:dyDescent="0.3"/>
    <row r="3141" ht="14.4" x14ac:dyDescent="0.3"/>
    <row r="3142" ht="14.4" x14ac:dyDescent="0.3"/>
    <row r="3143" ht="14.4" x14ac:dyDescent="0.3"/>
    <row r="3144" ht="14.4" x14ac:dyDescent="0.3"/>
    <row r="3145" ht="14.4" x14ac:dyDescent="0.3"/>
    <row r="3146" ht="14.4" x14ac:dyDescent="0.3"/>
    <row r="3147" ht="14.4" x14ac:dyDescent="0.3"/>
    <row r="3148" ht="14.4" x14ac:dyDescent="0.3"/>
    <row r="3149" ht="14.4" x14ac:dyDescent="0.3"/>
    <row r="3150" ht="14.4" x14ac:dyDescent="0.3"/>
    <row r="3151" ht="14.4" x14ac:dyDescent="0.3"/>
    <row r="3152" ht="14.4" x14ac:dyDescent="0.3"/>
    <row r="3153" ht="14.4" x14ac:dyDescent="0.3"/>
    <row r="3154" ht="14.4" x14ac:dyDescent="0.3"/>
    <row r="3155" ht="14.4" x14ac:dyDescent="0.3"/>
    <row r="3156" ht="14.4" x14ac:dyDescent="0.3"/>
    <row r="3157" ht="14.4" x14ac:dyDescent="0.3"/>
    <row r="3158" ht="14.4" x14ac:dyDescent="0.3"/>
    <row r="3159" ht="14.4" x14ac:dyDescent="0.3"/>
    <row r="3160" ht="14.4" x14ac:dyDescent="0.3"/>
    <row r="3161" ht="14.4" x14ac:dyDescent="0.3"/>
    <row r="3162" ht="14.4" x14ac:dyDescent="0.3"/>
    <row r="3163" ht="14.4" x14ac:dyDescent="0.3"/>
    <row r="3164" ht="14.4" x14ac:dyDescent="0.3"/>
    <row r="3165" ht="14.4" x14ac:dyDescent="0.3"/>
    <row r="3166" ht="14.4" x14ac:dyDescent="0.3"/>
    <row r="3167" ht="14.4" x14ac:dyDescent="0.3"/>
    <row r="3168" ht="14.4" x14ac:dyDescent="0.3"/>
    <row r="3169" ht="14.4" x14ac:dyDescent="0.3"/>
    <row r="3170" ht="14.4" x14ac:dyDescent="0.3"/>
    <row r="3171" ht="14.4" x14ac:dyDescent="0.3"/>
    <row r="3172" ht="14.4" x14ac:dyDescent="0.3"/>
    <row r="3173" ht="14.4" x14ac:dyDescent="0.3"/>
    <row r="3174" ht="14.4" x14ac:dyDescent="0.3"/>
    <row r="3175" ht="14.4" x14ac:dyDescent="0.3"/>
    <row r="3176" ht="14.4" x14ac:dyDescent="0.3"/>
    <row r="3177" ht="14.4" x14ac:dyDescent="0.3"/>
    <row r="3178" ht="14.4" x14ac:dyDescent="0.3"/>
    <row r="3179" ht="14.4" x14ac:dyDescent="0.3"/>
    <row r="3180" ht="14.4" x14ac:dyDescent="0.3"/>
    <row r="3181" ht="14.4" x14ac:dyDescent="0.3"/>
    <row r="3182" ht="14.4" x14ac:dyDescent="0.3"/>
    <row r="3183" ht="14.4" x14ac:dyDescent="0.3"/>
    <row r="3184" ht="14.4" x14ac:dyDescent="0.3"/>
    <row r="3185" ht="14.4" x14ac:dyDescent="0.3"/>
    <row r="3186" ht="14.4" x14ac:dyDescent="0.3"/>
    <row r="3187" ht="14.4" x14ac:dyDescent="0.3"/>
    <row r="3188" ht="14.4" x14ac:dyDescent="0.3"/>
    <row r="3189" ht="14.4" x14ac:dyDescent="0.3"/>
    <row r="3190" ht="14.4" x14ac:dyDescent="0.3"/>
    <row r="3191" ht="14.4" x14ac:dyDescent="0.3"/>
    <row r="3192" ht="14.4" x14ac:dyDescent="0.3"/>
    <row r="3193" ht="14.4" x14ac:dyDescent="0.3"/>
    <row r="3194" ht="14.4" x14ac:dyDescent="0.3"/>
    <row r="3195" ht="14.4" x14ac:dyDescent="0.3"/>
    <row r="3196" ht="14.4" x14ac:dyDescent="0.3"/>
    <row r="3197" ht="14.4" x14ac:dyDescent="0.3"/>
    <row r="3198" ht="14.4" x14ac:dyDescent="0.3"/>
    <row r="3199" ht="14.4" x14ac:dyDescent="0.3"/>
    <row r="3200" ht="14.4" x14ac:dyDescent="0.3"/>
    <row r="3201" ht="14.4" x14ac:dyDescent="0.3"/>
    <row r="3202" ht="14.4" x14ac:dyDescent="0.3"/>
    <row r="3203" ht="14.4" x14ac:dyDescent="0.3"/>
    <row r="3204" ht="14.4" x14ac:dyDescent="0.3"/>
    <row r="3205" ht="14.4" x14ac:dyDescent="0.3"/>
    <row r="3206" ht="14.4" x14ac:dyDescent="0.3"/>
    <row r="3207" ht="14.4" x14ac:dyDescent="0.3"/>
    <row r="3208" ht="14.4" x14ac:dyDescent="0.3"/>
    <row r="3209" ht="14.4" x14ac:dyDescent="0.3"/>
    <row r="3210" ht="14.4" x14ac:dyDescent="0.3"/>
    <row r="3211" ht="14.4" x14ac:dyDescent="0.3"/>
    <row r="3212" ht="14.4" x14ac:dyDescent="0.3"/>
    <row r="3213" ht="14.4" x14ac:dyDescent="0.3"/>
    <row r="3214" ht="14.4" x14ac:dyDescent="0.3"/>
    <row r="3215" ht="14.4" x14ac:dyDescent="0.3"/>
    <row r="3216" ht="14.4" x14ac:dyDescent="0.3"/>
    <row r="3217" spans="1:43" ht="14.4" x14ac:dyDescent="0.3"/>
    <row r="3218" spans="1:43" ht="14.4" x14ac:dyDescent="0.3"/>
    <row r="3219" spans="1:43" ht="14.4" x14ac:dyDescent="0.3"/>
    <row r="3220" spans="1:43" ht="14.4" x14ac:dyDescent="0.3"/>
    <row r="3221" spans="1:43" ht="14.4" x14ac:dyDescent="0.3"/>
    <row r="3222" spans="1:43" ht="14.4" x14ac:dyDescent="0.3"/>
    <row r="3223" spans="1:43" ht="14.4" x14ac:dyDescent="0.3"/>
    <row r="3224" spans="1:43" ht="14.4" x14ac:dyDescent="0.3"/>
    <row r="3225" spans="1:43" ht="14.4" x14ac:dyDescent="0.3"/>
    <row r="3226" spans="1:43" ht="14.4" x14ac:dyDescent="0.3"/>
    <row r="3227" spans="1:43" ht="14.4" hidden="1" x14ac:dyDescent="0.3">
      <c r="A3227" t="s">
        <v>1052</v>
      </c>
      <c r="B3227">
        <v>4947680</v>
      </c>
      <c r="C3227" t="s">
        <v>445</v>
      </c>
      <c r="D3227" t="s">
        <v>451</v>
      </c>
      <c r="E3227" t="s">
        <v>514</v>
      </c>
      <c r="F3227" t="s">
        <v>572</v>
      </c>
      <c r="H3227" t="s">
        <v>289</v>
      </c>
      <c r="J3227" t="s">
        <v>140</v>
      </c>
      <c r="K3227">
        <v>161405.29999999999</v>
      </c>
      <c r="L3227">
        <v>386500.73</v>
      </c>
      <c r="M3227">
        <v>1</v>
      </c>
      <c r="N3227" t="s">
        <v>1053</v>
      </c>
      <c r="O3227" t="s">
        <v>469</v>
      </c>
      <c r="Q3227" t="s">
        <v>144</v>
      </c>
      <c r="R3227" t="s">
        <v>145</v>
      </c>
      <c r="S3227">
        <v>81</v>
      </c>
      <c r="T3227">
        <v>10700</v>
      </c>
      <c r="V3227" t="s">
        <v>146</v>
      </c>
      <c r="W3227" t="s">
        <v>147</v>
      </c>
      <c r="X3227" t="s">
        <v>9</v>
      </c>
      <c r="Y3227" t="s">
        <v>1054</v>
      </c>
      <c r="Z3227" t="s">
        <v>469</v>
      </c>
      <c r="AA3227" t="s">
        <v>1055</v>
      </c>
      <c r="AB3227">
        <v>100</v>
      </c>
      <c r="AE3227" t="s">
        <v>333</v>
      </c>
      <c r="AF3227" t="s">
        <v>469</v>
      </c>
      <c r="AG3227" t="s">
        <v>470</v>
      </c>
      <c r="AI3227" t="s">
        <v>471</v>
      </c>
      <c r="AJ3227" t="s">
        <v>469</v>
      </c>
      <c r="AK3227" t="s">
        <v>469</v>
      </c>
      <c r="AL3227" t="s">
        <v>1056</v>
      </c>
      <c r="AM3227" t="s">
        <v>1057</v>
      </c>
      <c r="AN3227" t="s">
        <v>1058</v>
      </c>
      <c r="AO3227" t="s">
        <v>1053</v>
      </c>
      <c r="AP3227" t="s">
        <v>225</v>
      </c>
      <c r="AQ3227" t="str">
        <f>IF(ISBLANK(AP3227), IFERROR(IF(VLOOKUP(AO3227, Ellens_additions!$A$2:$B$252, 2, FALSE) = "", "", VLOOKUP(AO3227, Ellens_additions!$A$2:$B$252, 2, FALSE)), 0), AP3227)</f>
        <v>4000</v>
      </c>
    </row>
    <row r="3228" spans="1:43" ht="14.4" x14ac:dyDescent="0.3"/>
    <row r="3229" spans="1:43" ht="14.4" x14ac:dyDescent="0.3"/>
    <row r="3230" spans="1:43" ht="14.4" x14ac:dyDescent="0.3"/>
    <row r="3231" spans="1:43" ht="14.4" x14ac:dyDescent="0.3"/>
    <row r="3232" spans="1:43" ht="14.4" x14ac:dyDescent="0.3"/>
    <row r="3233" ht="14.4" x14ac:dyDescent="0.3"/>
    <row r="3234" ht="14.4" x14ac:dyDescent="0.3"/>
    <row r="3235" ht="14.4" x14ac:dyDescent="0.3"/>
    <row r="3236" ht="14.4" x14ac:dyDescent="0.3"/>
    <row r="3237" ht="14.4" x14ac:dyDescent="0.3"/>
    <row r="3238" ht="14.4" x14ac:dyDescent="0.3"/>
    <row r="3239" ht="14.4" x14ac:dyDescent="0.3"/>
    <row r="3240" ht="14.4" x14ac:dyDescent="0.3"/>
    <row r="3241" ht="14.4" x14ac:dyDescent="0.3"/>
    <row r="3242" ht="14.4" x14ac:dyDescent="0.3"/>
    <row r="3243" ht="14.4" x14ac:dyDescent="0.3"/>
    <row r="3244" ht="14.4" x14ac:dyDescent="0.3"/>
    <row r="3245" ht="14.4" x14ac:dyDescent="0.3"/>
    <row r="3246" ht="14.4" x14ac:dyDescent="0.3"/>
    <row r="3247" ht="14.4" x14ac:dyDescent="0.3"/>
    <row r="3248" ht="14.4" x14ac:dyDescent="0.3"/>
    <row r="3249" ht="14.4" x14ac:dyDescent="0.3"/>
    <row r="3250" ht="14.4" x14ac:dyDescent="0.3"/>
    <row r="3251" ht="14.4" x14ac:dyDescent="0.3"/>
    <row r="3252" ht="14.4" x14ac:dyDescent="0.3"/>
    <row r="3253" ht="14.4" x14ac:dyDescent="0.3"/>
    <row r="3254" ht="14.4" x14ac:dyDescent="0.3"/>
    <row r="3255" ht="14.4" x14ac:dyDescent="0.3"/>
    <row r="3256" ht="14.4" x14ac:dyDescent="0.3"/>
    <row r="3257" ht="14.4" x14ac:dyDescent="0.3"/>
    <row r="3258" ht="14.4" x14ac:dyDescent="0.3"/>
    <row r="3259" ht="14.4" x14ac:dyDescent="0.3"/>
    <row r="3260" ht="14.4" x14ac:dyDescent="0.3"/>
    <row r="3261" ht="14.4" x14ac:dyDescent="0.3"/>
    <row r="3262" ht="14.4" x14ac:dyDescent="0.3"/>
    <row r="3263" ht="14.4" x14ac:dyDescent="0.3"/>
    <row r="3264" ht="14.4" x14ac:dyDescent="0.3"/>
    <row r="3265" ht="14.4" x14ac:dyDescent="0.3"/>
    <row r="3266" ht="14.4" x14ac:dyDescent="0.3"/>
    <row r="3267" ht="14.4" x14ac:dyDescent="0.3"/>
    <row r="3268" ht="14.4" x14ac:dyDescent="0.3"/>
    <row r="3269" ht="14.4" x14ac:dyDescent="0.3"/>
    <row r="3270" ht="14.4" x14ac:dyDescent="0.3"/>
    <row r="3271" ht="14.4" x14ac:dyDescent="0.3"/>
    <row r="3272" ht="14.4" x14ac:dyDescent="0.3"/>
    <row r="3273" ht="14.4" x14ac:dyDescent="0.3"/>
    <row r="3274" ht="14.4" x14ac:dyDescent="0.3"/>
    <row r="3275" ht="14.4" x14ac:dyDescent="0.3"/>
    <row r="3276" ht="14.4" x14ac:dyDescent="0.3"/>
    <row r="3277" ht="14.4" x14ac:dyDescent="0.3"/>
    <row r="3278" ht="14.4" x14ac:dyDescent="0.3"/>
    <row r="3279" ht="14.4" x14ac:dyDescent="0.3"/>
    <row r="3280" ht="14.4" x14ac:dyDescent="0.3"/>
    <row r="3281" spans="1:43" ht="14.4" x14ac:dyDescent="0.3"/>
    <row r="3282" spans="1:43" ht="14.4" x14ac:dyDescent="0.3"/>
    <row r="3283" spans="1:43" ht="14.4" x14ac:dyDescent="0.3"/>
    <row r="3284" spans="1:43" ht="14.4" x14ac:dyDescent="0.3"/>
    <row r="3285" spans="1:43" ht="14.4" x14ac:dyDescent="0.3"/>
    <row r="3286" spans="1:43" ht="14.4" x14ac:dyDescent="0.3"/>
    <row r="3287" spans="1:43" ht="14.4" hidden="1" x14ac:dyDescent="0.3">
      <c r="A3287" t="s">
        <v>1066</v>
      </c>
      <c r="B3287">
        <v>4947727</v>
      </c>
      <c r="C3287" t="s">
        <v>445</v>
      </c>
      <c r="D3287" t="s">
        <v>451</v>
      </c>
      <c r="E3287" t="s">
        <v>452</v>
      </c>
      <c r="F3287" t="s">
        <v>635</v>
      </c>
      <c r="H3287" t="s">
        <v>279</v>
      </c>
      <c r="J3287" t="s">
        <v>140</v>
      </c>
      <c r="K3287">
        <v>162900.01999999999</v>
      </c>
      <c r="L3287">
        <v>386215.57</v>
      </c>
      <c r="M3287">
        <v>1</v>
      </c>
      <c r="N3287" t="s">
        <v>636</v>
      </c>
      <c r="O3287" t="s">
        <v>179</v>
      </c>
      <c r="P3287" t="s">
        <v>637</v>
      </c>
      <c r="Q3287" t="s">
        <v>144</v>
      </c>
      <c r="S3287">
        <v>28</v>
      </c>
      <c r="T3287">
        <v>3400</v>
      </c>
      <c r="V3287" t="s">
        <v>146</v>
      </c>
      <c r="W3287" t="s">
        <v>147</v>
      </c>
      <c r="X3287" t="s">
        <v>7</v>
      </c>
      <c r="Y3287" t="s">
        <v>283</v>
      </c>
      <c r="Z3287" t="s">
        <v>179</v>
      </c>
      <c r="AA3287" t="s">
        <v>638</v>
      </c>
      <c r="AB3287">
        <v>0</v>
      </c>
      <c r="AE3287" t="s">
        <v>444</v>
      </c>
      <c r="AF3287" t="s">
        <v>179</v>
      </c>
      <c r="AG3287" t="s">
        <v>639</v>
      </c>
      <c r="AI3287" t="s">
        <v>626</v>
      </c>
      <c r="AJ3287" t="s">
        <v>179</v>
      </c>
      <c r="AK3287" t="s">
        <v>639</v>
      </c>
      <c r="AL3287" t="s">
        <v>1067</v>
      </c>
      <c r="AM3287" t="s">
        <v>1068</v>
      </c>
      <c r="AN3287" t="s">
        <v>1069</v>
      </c>
      <c r="AO3287" t="s">
        <v>636</v>
      </c>
      <c r="AP3287" t="s">
        <v>158</v>
      </c>
      <c r="AQ3287" t="str">
        <f>IF(ISBLANK(AP3287), IFERROR(IF(VLOOKUP(AO3287, Ellens_additions!$A$2:$B$252, 2, FALSE) = "", "", VLOOKUP(AO3287, Ellens_additions!$A$2:$B$252, 2, FALSE)), 0), AP3287)</f>
        <v>3000</v>
      </c>
    </row>
    <row r="3288" spans="1:43" ht="14.4" x14ac:dyDescent="0.3"/>
    <row r="3289" spans="1:43" ht="14.4" x14ac:dyDescent="0.3"/>
    <row r="3290" spans="1:43" ht="14.4" x14ac:dyDescent="0.3"/>
    <row r="3291" spans="1:43" ht="14.4" x14ac:dyDescent="0.3"/>
    <row r="3292" spans="1:43" ht="14.4" x14ac:dyDescent="0.3"/>
    <row r="3293" spans="1:43" ht="14.4" x14ac:dyDescent="0.3"/>
    <row r="3294" spans="1:43" ht="14.4" x14ac:dyDescent="0.3"/>
    <row r="3295" spans="1:43" ht="14.4" x14ac:dyDescent="0.3"/>
    <row r="3296" spans="1:43" ht="14.4" x14ac:dyDescent="0.3"/>
    <row r="3297" ht="14.4" x14ac:dyDescent="0.3"/>
    <row r="3298" ht="14.4" x14ac:dyDescent="0.3"/>
    <row r="3299" ht="14.4" x14ac:dyDescent="0.3"/>
    <row r="3300" ht="14.4" x14ac:dyDescent="0.3"/>
    <row r="3301" ht="14.4" x14ac:dyDescent="0.3"/>
    <row r="3302" ht="14.4" x14ac:dyDescent="0.3"/>
    <row r="3303" ht="14.4" x14ac:dyDescent="0.3"/>
    <row r="3304" ht="14.4" x14ac:dyDescent="0.3"/>
    <row r="3305" ht="14.4" x14ac:dyDescent="0.3"/>
    <row r="3306" ht="14.4" x14ac:dyDescent="0.3"/>
    <row r="3307" ht="14.4" x14ac:dyDescent="0.3"/>
    <row r="3308" ht="14.4" x14ac:dyDescent="0.3"/>
    <row r="3309" ht="14.4" x14ac:dyDescent="0.3"/>
    <row r="3310" ht="14.4" x14ac:dyDescent="0.3"/>
    <row r="3311" ht="14.4" x14ac:dyDescent="0.3"/>
    <row r="3312" ht="14.4" x14ac:dyDescent="0.3"/>
    <row r="3313" ht="14.4" x14ac:dyDescent="0.3"/>
    <row r="3314" ht="14.4" x14ac:dyDescent="0.3"/>
    <row r="3315" ht="14.4" x14ac:dyDescent="0.3"/>
    <row r="3316" ht="14.4" x14ac:dyDescent="0.3"/>
    <row r="3317" ht="14.4" x14ac:dyDescent="0.3"/>
    <row r="3318" ht="14.4" x14ac:dyDescent="0.3"/>
    <row r="3319" ht="14.4" x14ac:dyDescent="0.3"/>
    <row r="3320" ht="14.4" x14ac:dyDescent="0.3"/>
    <row r="3321" ht="14.4" x14ac:dyDescent="0.3"/>
    <row r="3322" ht="14.4" x14ac:dyDescent="0.3"/>
    <row r="3323" ht="14.4" x14ac:dyDescent="0.3"/>
    <row r="3324" ht="14.4" x14ac:dyDescent="0.3"/>
    <row r="3325" ht="14.4" x14ac:dyDescent="0.3"/>
    <row r="3326" ht="14.4" x14ac:dyDescent="0.3"/>
    <row r="3327" ht="14.4" x14ac:dyDescent="0.3"/>
    <row r="3328" ht="14.4" x14ac:dyDescent="0.3"/>
    <row r="3329" ht="14.4" x14ac:dyDescent="0.3"/>
    <row r="3330" ht="14.4" x14ac:dyDescent="0.3"/>
    <row r="3331" ht="14.4" x14ac:dyDescent="0.3"/>
    <row r="3332" ht="14.4" x14ac:dyDescent="0.3"/>
    <row r="3333" ht="14.4" x14ac:dyDescent="0.3"/>
    <row r="3334" ht="14.4" x14ac:dyDescent="0.3"/>
    <row r="3335" ht="14.4" x14ac:dyDescent="0.3"/>
    <row r="3336" ht="14.4" x14ac:dyDescent="0.3"/>
    <row r="3337" ht="14.4" x14ac:dyDescent="0.3"/>
    <row r="3338" ht="14.4" x14ac:dyDescent="0.3"/>
    <row r="3339" ht="14.4" x14ac:dyDescent="0.3"/>
    <row r="3340" ht="14.4" x14ac:dyDescent="0.3"/>
    <row r="3341" ht="14.4" x14ac:dyDescent="0.3"/>
    <row r="3342" ht="14.4" x14ac:dyDescent="0.3"/>
    <row r="3343" ht="14.4" x14ac:dyDescent="0.3"/>
    <row r="3344" ht="14.4" x14ac:dyDescent="0.3"/>
    <row r="3345" ht="14.4" x14ac:dyDescent="0.3"/>
    <row r="3346" ht="14.4" x14ac:dyDescent="0.3"/>
    <row r="3347" ht="14.4" x14ac:dyDescent="0.3"/>
    <row r="3348" ht="14.4" x14ac:dyDescent="0.3"/>
    <row r="3349" ht="14.4" x14ac:dyDescent="0.3"/>
    <row r="3350" ht="14.4" x14ac:dyDescent="0.3"/>
    <row r="3351" ht="14.4" x14ac:dyDescent="0.3"/>
    <row r="3352" ht="14.4" x14ac:dyDescent="0.3"/>
    <row r="3353" ht="14.4" x14ac:dyDescent="0.3"/>
    <row r="3354" ht="14.4" x14ac:dyDescent="0.3"/>
    <row r="3355" ht="14.4" x14ac:dyDescent="0.3"/>
    <row r="3356" ht="14.4" x14ac:dyDescent="0.3"/>
    <row r="3357" ht="14.4" x14ac:dyDescent="0.3"/>
    <row r="3358" ht="14.4" x14ac:dyDescent="0.3"/>
    <row r="3359" ht="14.4" x14ac:dyDescent="0.3"/>
    <row r="3360" ht="14.4" x14ac:dyDescent="0.3"/>
    <row r="3361" ht="14.4" x14ac:dyDescent="0.3"/>
    <row r="3362" ht="14.4" x14ac:dyDescent="0.3"/>
    <row r="3363" ht="14.4" x14ac:dyDescent="0.3"/>
    <row r="3364" ht="14.4" x14ac:dyDescent="0.3"/>
    <row r="3365" ht="14.4" x14ac:dyDescent="0.3"/>
    <row r="3366" ht="14.4" x14ac:dyDescent="0.3"/>
    <row r="3367" ht="14.4" x14ac:dyDescent="0.3"/>
    <row r="3368" ht="14.4" x14ac:dyDescent="0.3"/>
    <row r="3369" ht="14.4" x14ac:dyDescent="0.3"/>
    <row r="3370" ht="14.4" x14ac:dyDescent="0.3"/>
    <row r="3371" ht="14.4" x14ac:dyDescent="0.3"/>
    <row r="3372" ht="14.4" x14ac:dyDescent="0.3"/>
    <row r="3373" ht="14.4" x14ac:dyDescent="0.3"/>
    <row r="3374" ht="14.4" x14ac:dyDescent="0.3"/>
    <row r="3375" ht="14.4" x14ac:dyDescent="0.3"/>
    <row r="3376" ht="14.4" x14ac:dyDescent="0.3"/>
    <row r="3377" ht="14.4" x14ac:dyDescent="0.3"/>
    <row r="3378" ht="14.4" x14ac:dyDescent="0.3"/>
    <row r="3379" ht="14.4" x14ac:dyDescent="0.3"/>
    <row r="3380" ht="14.4" x14ac:dyDescent="0.3"/>
    <row r="3381" ht="14.4" x14ac:dyDescent="0.3"/>
    <row r="3382" ht="14.4" x14ac:dyDescent="0.3"/>
    <row r="3383" ht="14.4" x14ac:dyDescent="0.3"/>
    <row r="3384" ht="14.4" x14ac:dyDescent="0.3"/>
    <row r="3385" ht="14.4" x14ac:dyDescent="0.3"/>
    <row r="3386" ht="14.4" x14ac:dyDescent="0.3"/>
    <row r="3387" ht="14.4" x14ac:dyDescent="0.3"/>
    <row r="3388" ht="14.4" x14ac:dyDescent="0.3"/>
    <row r="3389" ht="14.4" x14ac:dyDescent="0.3"/>
    <row r="3390" ht="14.4" x14ac:dyDescent="0.3"/>
    <row r="3391" ht="14.4" x14ac:dyDescent="0.3"/>
    <row r="3392" ht="14.4" x14ac:dyDescent="0.3"/>
    <row r="3393" ht="14.4" x14ac:dyDescent="0.3"/>
    <row r="3394" ht="14.4" x14ac:dyDescent="0.3"/>
    <row r="3395" ht="14.4" x14ac:dyDescent="0.3"/>
    <row r="3396" ht="14.4" x14ac:dyDescent="0.3"/>
    <row r="3397" ht="14.4" x14ac:dyDescent="0.3"/>
    <row r="3398" ht="14.4" x14ac:dyDescent="0.3"/>
    <row r="3399" ht="14.4" x14ac:dyDescent="0.3"/>
    <row r="3400" ht="14.4" x14ac:dyDescent="0.3"/>
    <row r="3401" ht="14.4" x14ac:dyDescent="0.3"/>
    <row r="3402" ht="14.4" x14ac:dyDescent="0.3"/>
    <row r="3403" ht="14.4" x14ac:dyDescent="0.3"/>
    <row r="3404" ht="14.4" x14ac:dyDescent="0.3"/>
    <row r="3405" ht="14.4" x14ac:dyDescent="0.3"/>
    <row r="3406" ht="14.4" x14ac:dyDescent="0.3"/>
    <row r="3407" ht="14.4" x14ac:dyDescent="0.3"/>
    <row r="3408" ht="14.4" x14ac:dyDescent="0.3"/>
    <row r="3409" ht="14.4" x14ac:dyDescent="0.3"/>
    <row r="3410" ht="14.4" x14ac:dyDescent="0.3"/>
    <row r="3411" ht="14.4" x14ac:dyDescent="0.3"/>
    <row r="3412" ht="14.4" x14ac:dyDescent="0.3"/>
    <row r="3413" ht="14.4" x14ac:dyDescent="0.3"/>
    <row r="3414" ht="14.4" x14ac:dyDescent="0.3"/>
    <row r="3415" ht="14.4" x14ac:dyDescent="0.3"/>
    <row r="3416" ht="14.4" x14ac:dyDescent="0.3"/>
    <row r="3417" ht="14.4" x14ac:dyDescent="0.3"/>
    <row r="3418" ht="14.4" x14ac:dyDescent="0.3"/>
    <row r="3419" ht="14.4" x14ac:dyDescent="0.3"/>
    <row r="3420" ht="14.4" x14ac:dyDescent="0.3"/>
    <row r="3421" ht="14.4" x14ac:dyDescent="0.3"/>
    <row r="3422" ht="14.4" x14ac:dyDescent="0.3"/>
    <row r="3423" ht="14.4" x14ac:dyDescent="0.3"/>
    <row r="3424" ht="14.4" x14ac:dyDescent="0.3"/>
    <row r="3425" ht="14.4" x14ac:dyDescent="0.3"/>
    <row r="3426" ht="14.4" x14ac:dyDescent="0.3"/>
    <row r="3427" ht="14.4" x14ac:dyDescent="0.3"/>
    <row r="3428" ht="14.4" x14ac:dyDescent="0.3"/>
    <row r="3429" ht="14.4" x14ac:dyDescent="0.3"/>
    <row r="3430" ht="14.4" x14ac:dyDescent="0.3"/>
    <row r="3431" ht="14.4" x14ac:dyDescent="0.3"/>
    <row r="3432" ht="14.4" x14ac:dyDescent="0.3"/>
    <row r="3433" ht="14.4" x14ac:dyDescent="0.3"/>
    <row r="3434" ht="14.4" x14ac:dyDescent="0.3"/>
    <row r="3435" ht="14.4" x14ac:dyDescent="0.3"/>
    <row r="3436" ht="14.4" x14ac:dyDescent="0.3"/>
    <row r="3437" ht="14.4" x14ac:dyDescent="0.3"/>
    <row r="3438" ht="14.4" x14ac:dyDescent="0.3"/>
    <row r="3439" ht="14.4" x14ac:dyDescent="0.3"/>
    <row r="3440" ht="14.4" x14ac:dyDescent="0.3"/>
    <row r="3441" ht="14.4" x14ac:dyDescent="0.3"/>
    <row r="3442" ht="14.4" x14ac:dyDescent="0.3"/>
    <row r="3443" ht="14.4" x14ac:dyDescent="0.3"/>
    <row r="3444" ht="14.4" x14ac:dyDescent="0.3"/>
    <row r="3445" ht="14.4" x14ac:dyDescent="0.3"/>
    <row r="3446" ht="14.4" x14ac:dyDescent="0.3"/>
    <row r="3447" ht="14.4" x14ac:dyDescent="0.3"/>
    <row r="3448" ht="14.4" x14ac:dyDescent="0.3"/>
    <row r="3449" ht="14.4" x14ac:dyDescent="0.3"/>
    <row r="3450" ht="14.4" x14ac:dyDescent="0.3"/>
    <row r="3451" ht="14.4" x14ac:dyDescent="0.3"/>
    <row r="3452" ht="14.4" x14ac:dyDescent="0.3"/>
    <row r="3453" ht="14.4" x14ac:dyDescent="0.3"/>
    <row r="3454" ht="14.4" x14ac:dyDescent="0.3"/>
    <row r="3455" ht="14.4" x14ac:dyDescent="0.3"/>
    <row r="3456" ht="14.4" x14ac:dyDescent="0.3"/>
    <row r="3457" ht="14.4" x14ac:dyDescent="0.3"/>
    <row r="3458" ht="14.4" x14ac:dyDescent="0.3"/>
    <row r="3459" ht="14.4" x14ac:dyDescent="0.3"/>
    <row r="3460" ht="14.4" x14ac:dyDescent="0.3"/>
    <row r="3461" ht="14.4" x14ac:dyDescent="0.3"/>
    <row r="3462" ht="14.4" x14ac:dyDescent="0.3"/>
    <row r="3463" ht="14.4" x14ac:dyDescent="0.3"/>
    <row r="3464" ht="14.4" x14ac:dyDescent="0.3"/>
    <row r="3465" ht="14.4" x14ac:dyDescent="0.3"/>
    <row r="3466" ht="14.4" x14ac:dyDescent="0.3"/>
    <row r="3467" ht="14.4" x14ac:dyDescent="0.3"/>
    <row r="3468" ht="14.4" x14ac:dyDescent="0.3"/>
    <row r="3469" ht="14.4" x14ac:dyDescent="0.3"/>
    <row r="3470" ht="14.4" x14ac:dyDescent="0.3"/>
    <row r="3471" ht="14.4" x14ac:dyDescent="0.3"/>
    <row r="3472" ht="14.4" x14ac:dyDescent="0.3"/>
    <row r="3473" ht="14.4" x14ac:dyDescent="0.3"/>
    <row r="3474" ht="14.4" x14ac:dyDescent="0.3"/>
    <row r="3475" ht="14.4" x14ac:dyDescent="0.3"/>
    <row r="3476" ht="14.4" x14ac:dyDescent="0.3"/>
    <row r="3477" ht="14.4" x14ac:dyDescent="0.3"/>
    <row r="3478" ht="14.4" x14ac:dyDescent="0.3"/>
    <row r="3479" ht="14.4" x14ac:dyDescent="0.3"/>
    <row r="3480" ht="14.4" x14ac:dyDescent="0.3"/>
    <row r="3481" ht="14.4" x14ac:dyDescent="0.3"/>
    <row r="3482" ht="14.4" x14ac:dyDescent="0.3"/>
    <row r="3483" ht="14.4" x14ac:dyDescent="0.3"/>
    <row r="3484" ht="14.4" x14ac:dyDescent="0.3"/>
    <row r="3485" ht="14.4" x14ac:dyDescent="0.3"/>
    <row r="3486" ht="14.4" x14ac:dyDescent="0.3"/>
    <row r="3487" ht="14.4" x14ac:dyDescent="0.3"/>
    <row r="3488" ht="14.4" x14ac:dyDescent="0.3"/>
    <row r="3489" ht="14.4" x14ac:dyDescent="0.3"/>
    <row r="3490" ht="14.4" x14ac:dyDescent="0.3"/>
    <row r="3491" ht="14.4" x14ac:dyDescent="0.3"/>
    <row r="3492" ht="14.4" x14ac:dyDescent="0.3"/>
    <row r="3493" ht="14.4" x14ac:dyDescent="0.3"/>
    <row r="3494" ht="14.4" x14ac:dyDescent="0.3"/>
    <row r="3495" ht="14.4" x14ac:dyDescent="0.3"/>
    <row r="3496" ht="14.4" x14ac:dyDescent="0.3"/>
    <row r="3497" ht="14.4" x14ac:dyDescent="0.3"/>
    <row r="3498" ht="14.4" x14ac:dyDescent="0.3"/>
    <row r="3499" ht="14.4" x14ac:dyDescent="0.3"/>
    <row r="3500" ht="14.4" x14ac:dyDescent="0.3"/>
    <row r="3501" ht="14.4" x14ac:dyDescent="0.3"/>
    <row r="3502" ht="14.4" x14ac:dyDescent="0.3"/>
    <row r="3503" ht="14.4" x14ac:dyDescent="0.3"/>
    <row r="3504" ht="14.4" x14ac:dyDescent="0.3"/>
    <row r="3505" ht="14.4" x14ac:dyDescent="0.3"/>
    <row r="3506" ht="14.4" x14ac:dyDescent="0.3"/>
    <row r="3507" ht="14.4" x14ac:dyDescent="0.3"/>
    <row r="3508" ht="14.4" x14ac:dyDescent="0.3"/>
    <row r="3509" ht="14.4" x14ac:dyDescent="0.3"/>
    <row r="3510" ht="14.4" x14ac:dyDescent="0.3"/>
    <row r="3511" ht="14.4" x14ac:dyDescent="0.3"/>
    <row r="3512" ht="14.4" x14ac:dyDescent="0.3"/>
    <row r="3513" ht="14.4" x14ac:dyDescent="0.3"/>
    <row r="3514" ht="14.4" x14ac:dyDescent="0.3"/>
    <row r="3515" ht="14.4" x14ac:dyDescent="0.3"/>
    <row r="3516" ht="14.4" x14ac:dyDescent="0.3"/>
    <row r="3517" ht="14.4" x14ac:dyDescent="0.3"/>
    <row r="3518" ht="14.4" x14ac:dyDescent="0.3"/>
    <row r="3519" ht="14.4" x14ac:dyDescent="0.3"/>
    <row r="3520" ht="14.4" x14ac:dyDescent="0.3"/>
    <row r="3521" ht="14.4" x14ac:dyDescent="0.3"/>
    <row r="3522" ht="14.4" x14ac:dyDescent="0.3"/>
    <row r="3523" ht="14.4" x14ac:dyDescent="0.3"/>
    <row r="3524" ht="14.4" x14ac:dyDescent="0.3"/>
    <row r="3525" ht="14.4" x14ac:dyDescent="0.3"/>
    <row r="3526" ht="14.4" x14ac:dyDescent="0.3"/>
    <row r="3527" ht="14.4" x14ac:dyDescent="0.3"/>
    <row r="3528" ht="14.4" x14ac:dyDescent="0.3"/>
    <row r="3529" ht="14.4" x14ac:dyDescent="0.3"/>
    <row r="3530" ht="14.4" x14ac:dyDescent="0.3"/>
    <row r="3531" ht="14.4" x14ac:dyDescent="0.3"/>
    <row r="3532" ht="14.4" x14ac:dyDescent="0.3"/>
    <row r="3533" ht="14.4" x14ac:dyDescent="0.3"/>
    <row r="3534" ht="14.4" x14ac:dyDescent="0.3"/>
    <row r="3535" ht="14.4" x14ac:dyDescent="0.3"/>
    <row r="3536" ht="14.4" x14ac:dyDescent="0.3"/>
    <row r="3537" ht="14.4" x14ac:dyDescent="0.3"/>
    <row r="3538" ht="14.4" x14ac:dyDescent="0.3"/>
    <row r="3539" ht="14.4" x14ac:dyDescent="0.3"/>
    <row r="3540" ht="14.4" x14ac:dyDescent="0.3"/>
    <row r="3541" ht="14.4" x14ac:dyDescent="0.3"/>
    <row r="3542" ht="14.4" x14ac:dyDescent="0.3"/>
    <row r="3543" ht="14.4" x14ac:dyDescent="0.3"/>
    <row r="3544" ht="14.4" x14ac:dyDescent="0.3"/>
    <row r="3545" ht="14.4" x14ac:dyDescent="0.3"/>
    <row r="3546" ht="14.4" x14ac:dyDescent="0.3"/>
    <row r="3547" ht="14.4" x14ac:dyDescent="0.3"/>
    <row r="3548" ht="14.4" x14ac:dyDescent="0.3"/>
    <row r="3549" ht="14.4" x14ac:dyDescent="0.3"/>
    <row r="3550" ht="14.4" x14ac:dyDescent="0.3"/>
    <row r="3551" ht="14.4" x14ac:dyDescent="0.3"/>
    <row r="3552" ht="14.4" x14ac:dyDescent="0.3"/>
    <row r="3553" ht="14.4" x14ac:dyDescent="0.3"/>
    <row r="3554" ht="14.4" x14ac:dyDescent="0.3"/>
    <row r="3555" ht="14.4" x14ac:dyDescent="0.3"/>
    <row r="3556" ht="14.4" x14ac:dyDescent="0.3"/>
    <row r="3557" ht="14.4" x14ac:dyDescent="0.3"/>
    <row r="3558" ht="14.4" x14ac:dyDescent="0.3"/>
    <row r="3559" ht="14.4" x14ac:dyDescent="0.3"/>
    <row r="3560" ht="14.4" x14ac:dyDescent="0.3"/>
    <row r="3561" ht="14.4" x14ac:dyDescent="0.3"/>
    <row r="3562" ht="14.4" x14ac:dyDescent="0.3"/>
    <row r="3563" ht="14.4" x14ac:dyDescent="0.3"/>
    <row r="3564" ht="14.4" x14ac:dyDescent="0.3"/>
    <row r="3565" ht="14.4" x14ac:dyDescent="0.3"/>
    <row r="3566" ht="14.4" x14ac:dyDescent="0.3"/>
    <row r="3567" ht="14.4" x14ac:dyDescent="0.3"/>
    <row r="3568" ht="14.4" x14ac:dyDescent="0.3"/>
    <row r="3569" ht="14.4" x14ac:dyDescent="0.3"/>
    <row r="3570" ht="14.4" x14ac:dyDescent="0.3"/>
    <row r="3571" ht="14.4" x14ac:dyDescent="0.3"/>
    <row r="3572" ht="14.4" x14ac:dyDescent="0.3"/>
    <row r="3573" ht="14.4" x14ac:dyDescent="0.3"/>
    <row r="3574" ht="14.4" x14ac:dyDescent="0.3"/>
    <row r="3575" ht="14.4" x14ac:dyDescent="0.3"/>
    <row r="3576" ht="14.4" x14ac:dyDescent="0.3"/>
    <row r="3577" ht="14.4" x14ac:dyDescent="0.3"/>
    <row r="3578" ht="14.4" x14ac:dyDescent="0.3"/>
    <row r="3579" ht="14.4" x14ac:dyDescent="0.3"/>
    <row r="3580" ht="14.4" x14ac:dyDescent="0.3"/>
    <row r="3581" ht="14.4" x14ac:dyDescent="0.3"/>
    <row r="3582" ht="14.4" x14ac:dyDescent="0.3"/>
    <row r="3583" ht="14.4" x14ac:dyDescent="0.3"/>
    <row r="3584" ht="14.4" x14ac:dyDescent="0.3"/>
    <row r="3585" ht="14.4" x14ac:dyDescent="0.3"/>
    <row r="3586" ht="14.4" x14ac:dyDescent="0.3"/>
    <row r="3587" ht="14.4" x14ac:dyDescent="0.3"/>
    <row r="3588" ht="14.4" x14ac:dyDescent="0.3"/>
    <row r="3589" ht="14.4" x14ac:dyDescent="0.3"/>
    <row r="3590" ht="14.4" x14ac:dyDescent="0.3"/>
    <row r="3591" ht="14.4" x14ac:dyDescent="0.3"/>
    <row r="3592" ht="14.4" x14ac:dyDescent="0.3"/>
    <row r="3593" ht="14.4" x14ac:dyDescent="0.3"/>
    <row r="3594" ht="14.4" x14ac:dyDescent="0.3"/>
    <row r="3595" ht="14.4" x14ac:dyDescent="0.3"/>
    <row r="3596" ht="14.4" x14ac:dyDescent="0.3"/>
    <row r="3597" ht="14.4" x14ac:dyDescent="0.3"/>
    <row r="3598" ht="14.4" x14ac:dyDescent="0.3"/>
    <row r="3599" ht="14.4" x14ac:dyDescent="0.3"/>
    <row r="3600" ht="14.4" x14ac:dyDescent="0.3"/>
    <row r="3601" ht="14.4" x14ac:dyDescent="0.3"/>
    <row r="3602" ht="14.4" x14ac:dyDescent="0.3"/>
    <row r="3603" ht="14.4" x14ac:dyDescent="0.3"/>
    <row r="3604" ht="14.4" x14ac:dyDescent="0.3"/>
    <row r="3605" ht="14.4" x14ac:dyDescent="0.3"/>
    <row r="3606" ht="14.4" x14ac:dyDescent="0.3"/>
    <row r="3607" ht="14.4" x14ac:dyDescent="0.3"/>
    <row r="3608" ht="14.4" x14ac:dyDescent="0.3"/>
    <row r="3609" ht="14.4" x14ac:dyDescent="0.3"/>
    <row r="3610" ht="14.4" x14ac:dyDescent="0.3"/>
    <row r="3611" ht="14.4" x14ac:dyDescent="0.3"/>
    <row r="3612" ht="14.4" x14ac:dyDescent="0.3"/>
    <row r="3613" ht="14.4" x14ac:dyDescent="0.3"/>
    <row r="3614" ht="14.4" x14ac:dyDescent="0.3"/>
    <row r="3615" ht="14.4" x14ac:dyDescent="0.3"/>
    <row r="3616" ht="14.4" x14ac:dyDescent="0.3"/>
    <row r="3617" ht="14.4" x14ac:dyDescent="0.3"/>
    <row r="3618" ht="14.4" x14ac:dyDescent="0.3"/>
    <row r="3619" ht="14.4" x14ac:dyDescent="0.3"/>
    <row r="3620" ht="14.4" x14ac:dyDescent="0.3"/>
    <row r="3621" ht="14.4" x14ac:dyDescent="0.3"/>
    <row r="3622" ht="14.4" x14ac:dyDescent="0.3"/>
    <row r="3623" ht="14.4" x14ac:dyDescent="0.3"/>
    <row r="3624" ht="14.4" x14ac:dyDescent="0.3"/>
    <row r="3625" ht="14.4" x14ac:dyDescent="0.3"/>
    <row r="3626" ht="14.4" x14ac:dyDescent="0.3"/>
    <row r="3627" ht="14.4" x14ac:dyDescent="0.3"/>
    <row r="3628" ht="14.4" x14ac:dyDescent="0.3"/>
    <row r="3629" ht="14.4" x14ac:dyDescent="0.3"/>
    <row r="3630" ht="14.4" x14ac:dyDescent="0.3"/>
    <row r="3631" ht="14.4" x14ac:dyDescent="0.3"/>
    <row r="3632" ht="14.4" x14ac:dyDescent="0.3"/>
    <row r="3633" ht="14.4" x14ac:dyDescent="0.3"/>
    <row r="3634" ht="14.4" x14ac:dyDescent="0.3"/>
    <row r="3635" ht="14.4" x14ac:dyDescent="0.3"/>
    <row r="3636" ht="14.4" x14ac:dyDescent="0.3"/>
    <row r="3637" ht="14.4" x14ac:dyDescent="0.3"/>
    <row r="3638" ht="14.4" x14ac:dyDescent="0.3"/>
    <row r="3639" ht="14.4" x14ac:dyDescent="0.3"/>
    <row r="3640" ht="14.4" x14ac:dyDescent="0.3"/>
    <row r="3641" ht="14.4" x14ac:dyDescent="0.3"/>
    <row r="3642" ht="14.4" x14ac:dyDescent="0.3"/>
    <row r="3643" ht="14.4" x14ac:dyDescent="0.3"/>
    <row r="3644" ht="14.4" x14ac:dyDescent="0.3"/>
    <row r="3645" ht="14.4" x14ac:dyDescent="0.3"/>
    <row r="3646" ht="14.4" x14ac:dyDescent="0.3"/>
    <row r="3647" ht="14.4" x14ac:dyDescent="0.3"/>
    <row r="3648" ht="14.4" x14ac:dyDescent="0.3"/>
    <row r="3649" spans="1:43" ht="14.4" x14ac:dyDescent="0.3"/>
    <row r="3650" spans="1:43" ht="14.4" x14ac:dyDescent="0.3"/>
    <row r="3651" spans="1:43" ht="14.4" x14ac:dyDescent="0.3"/>
    <row r="3652" spans="1:43" ht="14.4" x14ac:dyDescent="0.3"/>
    <row r="3653" spans="1:43" ht="14.4" x14ac:dyDescent="0.3"/>
    <row r="3654" spans="1:43" ht="14.4" x14ac:dyDescent="0.3"/>
    <row r="3655" spans="1:43" ht="14.4" x14ac:dyDescent="0.3"/>
    <row r="3656" spans="1:43" ht="14.4" x14ac:dyDescent="0.3"/>
    <row r="3657" spans="1:43" ht="14.4" hidden="1" x14ac:dyDescent="0.3">
      <c r="A3657" t="s">
        <v>1094</v>
      </c>
      <c r="B3657">
        <v>4892921</v>
      </c>
      <c r="C3657" t="s">
        <v>842</v>
      </c>
      <c r="D3657" t="s">
        <v>843</v>
      </c>
      <c r="E3657" t="s">
        <v>864</v>
      </c>
      <c r="F3657" t="s">
        <v>865</v>
      </c>
      <c r="H3657" t="s">
        <v>256</v>
      </c>
      <c r="J3657" t="s">
        <v>140</v>
      </c>
      <c r="K3657">
        <v>160882.571</v>
      </c>
      <c r="L3657">
        <v>383292.28499999997</v>
      </c>
      <c r="M3657">
        <v>1</v>
      </c>
      <c r="N3657" t="s">
        <v>1095</v>
      </c>
      <c r="O3657" t="s">
        <v>1096</v>
      </c>
      <c r="P3657" t="s">
        <v>632</v>
      </c>
      <c r="Q3657" t="s">
        <v>264</v>
      </c>
      <c r="S3657">
        <v>18</v>
      </c>
      <c r="T3657">
        <v>1200</v>
      </c>
      <c r="V3657" t="s">
        <v>1097</v>
      </c>
      <c r="W3657" t="s">
        <v>415</v>
      </c>
      <c r="X3657" t="s">
        <v>7</v>
      </c>
      <c r="Y3657" t="s">
        <v>1098</v>
      </c>
      <c r="Z3657" t="s">
        <v>1096</v>
      </c>
      <c r="AA3657" t="s">
        <v>1099</v>
      </c>
      <c r="AB3657">
        <v>120</v>
      </c>
      <c r="AC3657" t="s">
        <v>150</v>
      </c>
      <c r="AE3657" t="s">
        <v>1100</v>
      </c>
      <c r="AF3657" t="s">
        <v>1096</v>
      </c>
      <c r="AG3657" t="s">
        <v>1099</v>
      </c>
      <c r="AL3657" t="s">
        <v>1101</v>
      </c>
      <c r="AM3657" t="s">
        <v>1102</v>
      </c>
      <c r="AN3657" t="s">
        <v>1103</v>
      </c>
      <c r="AO3657" t="s">
        <v>1095</v>
      </c>
      <c r="AP3657" t="s">
        <v>158</v>
      </c>
      <c r="AQ3657" t="str">
        <f>IF(ISBLANK(AP3657), IFERROR(IF(VLOOKUP(AO3657, Ellens_additions!$A$2:$B$252, 2, FALSE) = "", "", VLOOKUP(AO3657, Ellens_additions!$A$2:$B$252, 2, FALSE)), 0), AP3657)</f>
        <v>3000</v>
      </c>
    </row>
    <row r="3658" spans="1:43" ht="14.4" x14ac:dyDescent="0.3"/>
    <row r="3659" spans="1:43" ht="14.4" hidden="1" x14ac:dyDescent="0.3">
      <c r="A3659" t="s">
        <v>1104</v>
      </c>
      <c r="B3659">
        <v>4892922</v>
      </c>
      <c r="C3659" t="s">
        <v>842</v>
      </c>
      <c r="D3659" t="s">
        <v>843</v>
      </c>
      <c r="E3659" t="s">
        <v>864</v>
      </c>
      <c r="F3659" t="s">
        <v>865</v>
      </c>
      <c r="H3659" t="s">
        <v>278</v>
      </c>
      <c r="J3659" t="s">
        <v>140</v>
      </c>
      <c r="K3659">
        <v>160886.141</v>
      </c>
      <c r="L3659">
        <v>383301.94300000003</v>
      </c>
      <c r="M3659">
        <v>1</v>
      </c>
      <c r="N3659" t="s">
        <v>1105</v>
      </c>
      <c r="O3659" t="s">
        <v>1106</v>
      </c>
      <c r="P3659" t="s">
        <v>1107</v>
      </c>
      <c r="Q3659" t="s">
        <v>144</v>
      </c>
      <c r="S3659">
        <v>14</v>
      </c>
      <c r="T3659">
        <v>507</v>
      </c>
      <c r="V3659" t="s">
        <v>146</v>
      </c>
      <c r="W3659" t="s">
        <v>415</v>
      </c>
      <c r="X3659" t="s">
        <v>7</v>
      </c>
      <c r="Y3659" t="s">
        <v>1108</v>
      </c>
      <c r="Z3659" t="s">
        <v>1106</v>
      </c>
      <c r="AA3659" t="s">
        <v>1109</v>
      </c>
      <c r="AB3659">
        <v>120</v>
      </c>
      <c r="AC3659" t="s">
        <v>150</v>
      </c>
      <c r="AE3659" t="s">
        <v>1110</v>
      </c>
      <c r="AF3659" t="s">
        <v>1106</v>
      </c>
      <c r="AG3659" t="s">
        <v>1109</v>
      </c>
      <c r="AL3659" t="s">
        <v>1111</v>
      </c>
      <c r="AM3659" t="s">
        <v>1112</v>
      </c>
      <c r="AN3659" t="s">
        <v>1113</v>
      </c>
      <c r="AO3659" t="s">
        <v>1105</v>
      </c>
      <c r="AQ3659">
        <f>IF(ISBLANK(AP3659), IFERROR(IF(VLOOKUP(AO3659, Ellens_additions!$A$2:$B$252, 2, FALSE) = "", "", VLOOKUP(AO3659, Ellens_additions!$A$2:$B$252, 2, FALSE)), 0), AP3659)</f>
        <v>0</v>
      </c>
    </row>
    <row r="3660" spans="1:43" ht="14.4" x14ac:dyDescent="0.3"/>
    <row r="3661" spans="1:43" ht="14.4" hidden="1" x14ac:dyDescent="0.3">
      <c r="A3661" t="s">
        <v>1114</v>
      </c>
      <c r="B3661">
        <v>4892924</v>
      </c>
      <c r="C3661" t="s">
        <v>842</v>
      </c>
      <c r="D3661" t="s">
        <v>843</v>
      </c>
      <c r="E3661" t="s">
        <v>864</v>
      </c>
      <c r="F3661" t="s">
        <v>865</v>
      </c>
      <c r="H3661" t="s">
        <v>277</v>
      </c>
      <c r="J3661" t="s">
        <v>140</v>
      </c>
      <c r="K3661">
        <v>160896.427</v>
      </c>
      <c r="L3661">
        <v>383334.06900000002</v>
      </c>
      <c r="M3661">
        <v>1</v>
      </c>
      <c r="N3661" t="s">
        <v>739</v>
      </c>
      <c r="O3661" t="s">
        <v>692</v>
      </c>
      <c r="P3661" t="s">
        <v>656</v>
      </c>
      <c r="Q3661" t="s">
        <v>264</v>
      </c>
      <c r="R3661" t="s">
        <v>145</v>
      </c>
      <c r="S3661">
        <v>32</v>
      </c>
      <c r="T3661">
        <v>2400</v>
      </c>
      <c r="V3661" t="s">
        <v>740</v>
      </c>
      <c r="W3661" t="s">
        <v>415</v>
      </c>
      <c r="X3661" t="s">
        <v>7</v>
      </c>
      <c r="Y3661" t="s">
        <v>867</v>
      </c>
      <c r="Z3661" t="s">
        <v>385</v>
      </c>
      <c r="AA3661" t="s">
        <v>386</v>
      </c>
      <c r="AB3661">
        <v>120</v>
      </c>
      <c r="AC3661" t="s">
        <v>150</v>
      </c>
      <c r="AE3661" t="s">
        <v>868</v>
      </c>
      <c r="AF3661" t="s">
        <v>385</v>
      </c>
      <c r="AG3661" t="s">
        <v>386</v>
      </c>
      <c r="AL3661" t="s">
        <v>1115</v>
      </c>
      <c r="AM3661" t="s">
        <v>1116</v>
      </c>
      <c r="AN3661" t="s">
        <v>1117</v>
      </c>
      <c r="AO3661" t="s">
        <v>739</v>
      </c>
      <c r="AQ3661">
        <f>IF(ISBLANK(AP3661), IFERROR(IF(VLOOKUP(AO3661, Ellens_additions!$A$2:$B$252, 2, FALSE) = "", "", VLOOKUP(AO3661, Ellens_additions!$A$2:$B$252, 2, FALSE)), 0), AP3661)</f>
        <v>3000</v>
      </c>
    </row>
    <row r="3662" spans="1:43" ht="14.4" x14ac:dyDescent="0.3"/>
    <row r="3663" spans="1:43" ht="14.4" hidden="1" x14ac:dyDescent="0.3">
      <c r="A3663" t="s">
        <v>1118</v>
      </c>
      <c r="B3663">
        <v>4892926</v>
      </c>
      <c r="C3663" t="s">
        <v>842</v>
      </c>
      <c r="D3663" t="s">
        <v>843</v>
      </c>
      <c r="E3663" t="s">
        <v>864</v>
      </c>
      <c r="F3663" t="s">
        <v>865</v>
      </c>
      <c r="H3663" t="s">
        <v>279</v>
      </c>
      <c r="J3663" t="s">
        <v>140</v>
      </c>
      <c r="K3663">
        <v>160903.14499999999</v>
      </c>
      <c r="L3663">
        <v>383354.01500000001</v>
      </c>
      <c r="M3663">
        <v>1</v>
      </c>
      <c r="N3663" t="s">
        <v>739</v>
      </c>
      <c r="O3663" t="s">
        <v>1119</v>
      </c>
      <c r="P3663" t="s">
        <v>1120</v>
      </c>
      <c r="Q3663" t="s">
        <v>264</v>
      </c>
      <c r="R3663" t="s">
        <v>145</v>
      </c>
      <c r="S3663">
        <v>32</v>
      </c>
      <c r="T3663">
        <v>2400</v>
      </c>
      <c r="V3663" t="s">
        <v>740</v>
      </c>
      <c r="W3663" t="s">
        <v>415</v>
      </c>
      <c r="X3663" t="s">
        <v>7</v>
      </c>
      <c r="Y3663" t="s">
        <v>867</v>
      </c>
      <c r="Z3663" t="s">
        <v>385</v>
      </c>
      <c r="AA3663" t="s">
        <v>386</v>
      </c>
      <c r="AB3663">
        <v>120</v>
      </c>
      <c r="AC3663" t="s">
        <v>150</v>
      </c>
      <c r="AE3663" t="s">
        <v>868</v>
      </c>
      <c r="AF3663" t="s">
        <v>385</v>
      </c>
      <c r="AG3663" t="s">
        <v>386</v>
      </c>
      <c r="AL3663" t="s">
        <v>1121</v>
      </c>
      <c r="AM3663" t="s">
        <v>1122</v>
      </c>
      <c r="AN3663" t="s">
        <v>1123</v>
      </c>
      <c r="AO3663" t="s">
        <v>739</v>
      </c>
      <c r="AQ3663">
        <f>IF(ISBLANK(AP3663), IFERROR(IF(VLOOKUP(AO3663, Ellens_additions!$A$2:$B$252, 2, FALSE) = "", "", VLOOKUP(AO3663, Ellens_additions!$A$2:$B$252, 2, FALSE)), 0), AP3663)</f>
        <v>3000</v>
      </c>
    </row>
    <row r="3664" spans="1:43" ht="14.4" x14ac:dyDescent="0.3"/>
    <row r="3665" spans="1:43" ht="14.4" x14ac:dyDescent="0.3"/>
    <row r="3666" spans="1:43" ht="14.4" x14ac:dyDescent="0.3"/>
    <row r="3667" spans="1:43" ht="14.4" hidden="1" x14ac:dyDescent="0.3">
      <c r="A3667" t="s">
        <v>1125</v>
      </c>
      <c r="B3667">
        <v>4892928</v>
      </c>
      <c r="C3667" t="s">
        <v>842</v>
      </c>
      <c r="D3667" t="s">
        <v>843</v>
      </c>
      <c r="E3667" t="s">
        <v>864</v>
      </c>
      <c r="F3667" t="s">
        <v>865</v>
      </c>
      <c r="H3667" t="s">
        <v>299</v>
      </c>
      <c r="J3667" t="s">
        <v>140</v>
      </c>
      <c r="K3667">
        <v>160909.48300000001</v>
      </c>
      <c r="L3667">
        <v>383372.86700000003</v>
      </c>
      <c r="M3667">
        <v>1</v>
      </c>
      <c r="N3667" t="s">
        <v>739</v>
      </c>
      <c r="O3667" t="s">
        <v>427</v>
      </c>
      <c r="P3667" t="s">
        <v>866</v>
      </c>
      <c r="Q3667" t="s">
        <v>264</v>
      </c>
      <c r="R3667" t="s">
        <v>145</v>
      </c>
      <c r="S3667">
        <v>32</v>
      </c>
      <c r="T3667">
        <v>2400</v>
      </c>
      <c r="V3667" t="s">
        <v>740</v>
      </c>
      <c r="W3667" t="s">
        <v>415</v>
      </c>
      <c r="X3667" t="s">
        <v>7</v>
      </c>
      <c r="Y3667" t="s">
        <v>867</v>
      </c>
      <c r="Z3667" t="s">
        <v>385</v>
      </c>
      <c r="AA3667" t="s">
        <v>386</v>
      </c>
      <c r="AB3667">
        <v>120</v>
      </c>
      <c r="AC3667" t="s">
        <v>150</v>
      </c>
      <c r="AE3667" t="s">
        <v>1100</v>
      </c>
      <c r="AF3667" t="s">
        <v>1126</v>
      </c>
      <c r="AG3667" t="s">
        <v>1127</v>
      </c>
      <c r="AL3667" t="s">
        <v>1128</v>
      </c>
      <c r="AM3667" t="s">
        <v>1129</v>
      </c>
      <c r="AN3667" t="s">
        <v>1130</v>
      </c>
      <c r="AO3667" t="s">
        <v>739</v>
      </c>
      <c r="AQ3667">
        <f>IF(ISBLANK(AP3667), IFERROR(IF(VLOOKUP(AO3667, Ellens_additions!$A$2:$B$252, 2, FALSE) = "", "", VLOOKUP(AO3667, Ellens_additions!$A$2:$B$252, 2, FALSE)), 0), AP3667)</f>
        <v>3000</v>
      </c>
    </row>
    <row r="3668" spans="1:43" ht="14.4" x14ac:dyDescent="0.3"/>
    <row r="3669" spans="1:43" ht="14.4" x14ac:dyDescent="0.3"/>
    <row r="3670" spans="1:43" ht="14.4" x14ac:dyDescent="0.3"/>
    <row r="3671" spans="1:43" ht="14.4" x14ac:dyDescent="0.3"/>
    <row r="3672" spans="1:43" ht="14.4" x14ac:dyDescent="0.3"/>
    <row r="3673" spans="1:43" ht="14.4" x14ac:dyDescent="0.3"/>
    <row r="3674" spans="1:43" ht="14.4" x14ac:dyDescent="0.3"/>
    <row r="3675" spans="1:43" ht="14.4" x14ac:dyDescent="0.3"/>
    <row r="3676" spans="1:43" ht="14.4" x14ac:dyDescent="0.3"/>
    <row r="3677" spans="1:43" ht="14.4" x14ac:dyDescent="0.3"/>
    <row r="3678" spans="1:43" ht="14.4" x14ac:dyDescent="0.3"/>
    <row r="3679" spans="1:43" ht="14.4" x14ac:dyDescent="0.3"/>
    <row r="3680" spans="1:43" ht="14.4" x14ac:dyDescent="0.3"/>
    <row r="3681" ht="14.4" x14ac:dyDescent="0.3"/>
    <row r="3682" ht="14.4" x14ac:dyDescent="0.3"/>
    <row r="3683" ht="14.4" x14ac:dyDescent="0.3"/>
    <row r="3684" ht="14.4" x14ac:dyDescent="0.3"/>
    <row r="3685" ht="14.4" x14ac:dyDescent="0.3"/>
    <row r="3686" ht="14.4" x14ac:dyDescent="0.3"/>
    <row r="3687" ht="14.4" x14ac:dyDescent="0.3"/>
    <row r="3688" ht="14.4" x14ac:dyDescent="0.3"/>
    <row r="3689" ht="14.4" x14ac:dyDescent="0.3"/>
    <row r="3690" ht="14.4" x14ac:dyDescent="0.3"/>
    <row r="3691" ht="14.4" x14ac:dyDescent="0.3"/>
    <row r="3692" ht="14.4" x14ac:dyDescent="0.3"/>
    <row r="3693" ht="14.4" x14ac:dyDescent="0.3"/>
    <row r="3694" ht="14.4" x14ac:dyDescent="0.3"/>
    <row r="3695" ht="14.4" x14ac:dyDescent="0.3"/>
    <row r="3696" ht="14.4" x14ac:dyDescent="0.3"/>
    <row r="3697" ht="14.4" x14ac:dyDescent="0.3"/>
    <row r="3698" ht="14.4" x14ac:dyDescent="0.3"/>
    <row r="3699" ht="14.4" x14ac:dyDescent="0.3"/>
    <row r="3700" ht="14.4" x14ac:dyDescent="0.3"/>
    <row r="3701" ht="14.4" x14ac:dyDescent="0.3"/>
    <row r="3702" ht="14.4" x14ac:dyDescent="0.3"/>
    <row r="3703" ht="14.4" x14ac:dyDescent="0.3"/>
    <row r="3704" ht="14.4" x14ac:dyDescent="0.3"/>
    <row r="3705" ht="14.4" x14ac:dyDescent="0.3"/>
    <row r="3706" ht="14.4" x14ac:dyDescent="0.3"/>
    <row r="3707" ht="14.4" x14ac:dyDescent="0.3"/>
    <row r="3708" ht="14.4" x14ac:dyDescent="0.3"/>
    <row r="3709" ht="14.4" x14ac:dyDescent="0.3"/>
    <row r="3710" ht="14.4" x14ac:dyDescent="0.3"/>
    <row r="3711" ht="14.4" x14ac:dyDescent="0.3"/>
    <row r="3712" ht="14.4" x14ac:dyDescent="0.3"/>
    <row r="3713" ht="14.4" x14ac:dyDescent="0.3"/>
    <row r="3714" ht="14.4" x14ac:dyDescent="0.3"/>
    <row r="3715" ht="14.4" x14ac:dyDescent="0.3"/>
    <row r="3716" ht="14.4" x14ac:dyDescent="0.3"/>
    <row r="3717" ht="14.4" x14ac:dyDescent="0.3"/>
    <row r="3718" ht="14.4" x14ac:dyDescent="0.3"/>
    <row r="3719" ht="14.4" x14ac:dyDescent="0.3"/>
    <row r="3720" ht="14.4" x14ac:dyDescent="0.3"/>
    <row r="3721" ht="14.4" x14ac:dyDescent="0.3"/>
    <row r="3722" ht="14.4" x14ac:dyDescent="0.3"/>
    <row r="3723" ht="14.4" x14ac:dyDescent="0.3"/>
    <row r="3724" ht="14.4" x14ac:dyDescent="0.3"/>
    <row r="3725" ht="14.4" x14ac:dyDescent="0.3"/>
    <row r="3726" ht="14.4" x14ac:dyDescent="0.3"/>
    <row r="3727" ht="14.4" x14ac:dyDescent="0.3"/>
    <row r="3728" ht="14.4" x14ac:dyDescent="0.3"/>
    <row r="3729" ht="14.4" x14ac:dyDescent="0.3"/>
    <row r="3730" ht="14.4" x14ac:dyDescent="0.3"/>
    <row r="3731" ht="14.4" x14ac:dyDescent="0.3"/>
    <row r="3732" ht="14.4" x14ac:dyDescent="0.3"/>
    <row r="3733" ht="14.4" x14ac:dyDescent="0.3"/>
    <row r="3734" ht="14.4" x14ac:dyDescent="0.3"/>
    <row r="3735" ht="14.4" x14ac:dyDescent="0.3"/>
    <row r="3736" ht="14.4" x14ac:dyDescent="0.3"/>
    <row r="3737" ht="14.4" x14ac:dyDescent="0.3"/>
    <row r="3738" ht="14.4" x14ac:dyDescent="0.3"/>
    <row r="3739" ht="14.4" x14ac:dyDescent="0.3"/>
    <row r="3740" ht="14.4" x14ac:dyDescent="0.3"/>
    <row r="3741" ht="14.4" x14ac:dyDescent="0.3"/>
    <row r="3742" ht="14.4" x14ac:dyDescent="0.3"/>
    <row r="3743" ht="14.4" x14ac:dyDescent="0.3"/>
    <row r="3744" ht="14.4" x14ac:dyDescent="0.3"/>
    <row r="3745" ht="14.4" x14ac:dyDescent="0.3"/>
    <row r="3746" ht="14.4" x14ac:dyDescent="0.3"/>
    <row r="3747" ht="14.4" x14ac:dyDescent="0.3"/>
    <row r="3748" ht="14.4" x14ac:dyDescent="0.3"/>
    <row r="3749" ht="14.4" x14ac:dyDescent="0.3"/>
    <row r="3750" ht="14.4" x14ac:dyDescent="0.3"/>
    <row r="3751" ht="14.4" x14ac:dyDescent="0.3"/>
    <row r="3752" ht="14.4" x14ac:dyDescent="0.3"/>
    <row r="3753" ht="14.4" x14ac:dyDescent="0.3"/>
    <row r="3754" ht="14.4" x14ac:dyDescent="0.3"/>
    <row r="3755" ht="14.4" x14ac:dyDescent="0.3"/>
    <row r="3756" ht="14.4" x14ac:dyDescent="0.3"/>
    <row r="3757" ht="14.4" x14ac:dyDescent="0.3"/>
    <row r="3758" ht="14.4" x14ac:dyDescent="0.3"/>
    <row r="3759" ht="14.4" x14ac:dyDescent="0.3"/>
    <row r="3760" ht="14.4" x14ac:dyDescent="0.3"/>
    <row r="3761" ht="14.4" x14ac:dyDescent="0.3"/>
    <row r="3762" ht="14.4" x14ac:dyDescent="0.3"/>
    <row r="3763" ht="14.4" x14ac:dyDescent="0.3"/>
    <row r="3764" ht="14.4" x14ac:dyDescent="0.3"/>
    <row r="3765" ht="14.4" x14ac:dyDescent="0.3"/>
    <row r="3766" ht="14.4" x14ac:dyDescent="0.3"/>
    <row r="3767" ht="14.4" x14ac:dyDescent="0.3"/>
    <row r="3768" ht="14.4" x14ac:dyDescent="0.3"/>
    <row r="3769" ht="14.4" x14ac:dyDescent="0.3"/>
    <row r="3770" ht="14.4" x14ac:dyDescent="0.3"/>
    <row r="3771" ht="14.4" x14ac:dyDescent="0.3"/>
    <row r="3772" ht="14.4" x14ac:dyDescent="0.3"/>
    <row r="3773" ht="14.4" x14ac:dyDescent="0.3"/>
    <row r="3774" ht="14.4" x14ac:dyDescent="0.3"/>
    <row r="3775" ht="14.4" x14ac:dyDescent="0.3"/>
    <row r="3776" ht="14.4" x14ac:dyDescent="0.3"/>
    <row r="3777" ht="14.4" x14ac:dyDescent="0.3"/>
    <row r="3778" ht="14.4" x14ac:dyDescent="0.3"/>
    <row r="3779" ht="14.4" x14ac:dyDescent="0.3"/>
    <row r="3780" ht="14.4" x14ac:dyDescent="0.3"/>
    <row r="3781" ht="14.4" x14ac:dyDescent="0.3"/>
    <row r="3782" ht="14.4" x14ac:dyDescent="0.3"/>
    <row r="3783" ht="14.4" x14ac:dyDescent="0.3"/>
    <row r="3784" ht="14.4" x14ac:dyDescent="0.3"/>
    <row r="3785" ht="14.4" x14ac:dyDescent="0.3"/>
    <row r="3786" ht="14.4" x14ac:dyDescent="0.3"/>
    <row r="3787" ht="14.4" x14ac:dyDescent="0.3"/>
    <row r="3788" ht="14.4" x14ac:dyDescent="0.3"/>
    <row r="3789" ht="14.4" x14ac:dyDescent="0.3"/>
    <row r="3790" ht="14.4" x14ac:dyDescent="0.3"/>
    <row r="3791" ht="14.4" x14ac:dyDescent="0.3"/>
    <row r="3792" ht="14.4" x14ac:dyDescent="0.3"/>
    <row r="3793" ht="14.4" x14ac:dyDescent="0.3"/>
    <row r="3794" ht="14.4" x14ac:dyDescent="0.3"/>
    <row r="3795" ht="14.4" x14ac:dyDescent="0.3"/>
    <row r="3796" ht="14.4" x14ac:dyDescent="0.3"/>
    <row r="3797" ht="14.4" x14ac:dyDescent="0.3"/>
    <row r="3798" ht="14.4" x14ac:dyDescent="0.3"/>
    <row r="3799" ht="14.4" x14ac:dyDescent="0.3"/>
    <row r="3800" ht="14.4" x14ac:dyDescent="0.3"/>
    <row r="3801" ht="14.4" x14ac:dyDescent="0.3"/>
    <row r="3802" ht="14.4" x14ac:dyDescent="0.3"/>
    <row r="3803" ht="14.4" x14ac:dyDescent="0.3"/>
    <row r="3804" ht="14.4" x14ac:dyDescent="0.3"/>
    <row r="3805" ht="14.4" x14ac:dyDescent="0.3"/>
    <row r="3806" ht="14.4" x14ac:dyDescent="0.3"/>
    <row r="3807" ht="14.4" x14ac:dyDescent="0.3"/>
    <row r="3808" ht="14.4" x14ac:dyDescent="0.3"/>
    <row r="3809" ht="14.4" x14ac:dyDescent="0.3"/>
    <row r="3810" ht="14.4" x14ac:dyDescent="0.3"/>
    <row r="3811" ht="14.4" x14ac:dyDescent="0.3"/>
    <row r="3812" ht="14.4" x14ac:dyDescent="0.3"/>
    <row r="3813" ht="14.4" x14ac:dyDescent="0.3"/>
    <row r="3814" ht="14.4" x14ac:dyDescent="0.3"/>
    <row r="3815" ht="14.4" x14ac:dyDescent="0.3"/>
    <row r="3816" ht="14.4" x14ac:dyDescent="0.3"/>
    <row r="3817" ht="14.4" x14ac:dyDescent="0.3"/>
    <row r="3818" ht="14.4" x14ac:dyDescent="0.3"/>
    <row r="3819" ht="14.4" x14ac:dyDescent="0.3"/>
    <row r="3820" ht="14.4" x14ac:dyDescent="0.3"/>
    <row r="3821" ht="14.4" x14ac:dyDescent="0.3"/>
    <row r="3822" ht="14.4" x14ac:dyDescent="0.3"/>
    <row r="3823" ht="14.4" x14ac:dyDescent="0.3"/>
    <row r="3824" ht="14.4" x14ac:dyDescent="0.3"/>
    <row r="3825" ht="14.4" x14ac:dyDescent="0.3"/>
    <row r="3826" ht="14.4" x14ac:dyDescent="0.3"/>
    <row r="3827" ht="14.4" x14ac:dyDescent="0.3"/>
    <row r="3828" ht="14.4" x14ac:dyDescent="0.3"/>
    <row r="3829" ht="14.4" x14ac:dyDescent="0.3"/>
    <row r="3830" ht="14.4" x14ac:dyDescent="0.3"/>
    <row r="3831" ht="14.4" x14ac:dyDescent="0.3"/>
    <row r="3832" ht="14.4" x14ac:dyDescent="0.3"/>
    <row r="3833" ht="14.4" x14ac:dyDescent="0.3"/>
    <row r="3834" ht="14.4" x14ac:dyDescent="0.3"/>
    <row r="3835" ht="14.4" x14ac:dyDescent="0.3"/>
    <row r="3836" ht="14.4" x14ac:dyDescent="0.3"/>
    <row r="3837" ht="14.4" x14ac:dyDescent="0.3"/>
    <row r="3838" ht="14.4" x14ac:dyDescent="0.3"/>
    <row r="3839" ht="14.4" x14ac:dyDescent="0.3"/>
    <row r="3840" ht="14.4" x14ac:dyDescent="0.3"/>
    <row r="3841" ht="14.4" x14ac:dyDescent="0.3"/>
    <row r="3842" ht="14.4" x14ac:dyDescent="0.3"/>
    <row r="3843" ht="14.4" x14ac:dyDescent="0.3"/>
    <row r="3844" ht="14.4" x14ac:dyDescent="0.3"/>
    <row r="3845" ht="14.4" x14ac:dyDescent="0.3"/>
    <row r="3846" ht="14.4" x14ac:dyDescent="0.3"/>
    <row r="3847" ht="14.4" x14ac:dyDescent="0.3"/>
    <row r="3848" ht="14.4" x14ac:dyDescent="0.3"/>
    <row r="3849" ht="14.4" x14ac:dyDescent="0.3"/>
    <row r="3850" ht="14.4" x14ac:dyDescent="0.3"/>
    <row r="3851" ht="14.4" x14ac:dyDescent="0.3"/>
    <row r="3852" ht="14.4" x14ac:dyDescent="0.3"/>
    <row r="3853" ht="14.4" x14ac:dyDescent="0.3"/>
    <row r="3854" ht="14.4" x14ac:dyDescent="0.3"/>
    <row r="3855" ht="14.4" x14ac:dyDescent="0.3"/>
    <row r="3856" ht="14.4" x14ac:dyDescent="0.3"/>
    <row r="3857" spans="1:43" ht="14.4" x14ac:dyDescent="0.3"/>
    <row r="3858" spans="1:43" ht="14.4" x14ac:dyDescent="0.3"/>
    <row r="3859" spans="1:43" ht="14.4" x14ac:dyDescent="0.3"/>
    <row r="3860" spans="1:43" ht="14.4" x14ac:dyDescent="0.3"/>
    <row r="3861" spans="1:43" ht="14.4" x14ac:dyDescent="0.3"/>
    <row r="3862" spans="1:43" ht="14.4" x14ac:dyDescent="0.3"/>
    <row r="3863" spans="1:43" ht="14.4" hidden="1" x14ac:dyDescent="0.3">
      <c r="A3863" t="s">
        <v>1137</v>
      </c>
      <c r="B3863">
        <v>4893255</v>
      </c>
      <c r="C3863" t="s">
        <v>842</v>
      </c>
      <c r="D3863" t="s">
        <v>843</v>
      </c>
      <c r="E3863" t="s">
        <v>864</v>
      </c>
      <c r="F3863" t="s">
        <v>959</v>
      </c>
      <c r="H3863" t="s">
        <v>1138</v>
      </c>
      <c r="J3863" t="s">
        <v>140</v>
      </c>
      <c r="K3863">
        <v>160995.49</v>
      </c>
      <c r="L3863">
        <v>383301</v>
      </c>
      <c r="M3863">
        <v>1</v>
      </c>
      <c r="N3863" t="s">
        <v>1139</v>
      </c>
      <c r="O3863" t="s">
        <v>1020</v>
      </c>
      <c r="P3863" t="s">
        <v>475</v>
      </c>
      <c r="Q3863" t="s">
        <v>144</v>
      </c>
      <c r="S3863">
        <v>37</v>
      </c>
      <c r="T3863">
        <v>13210</v>
      </c>
      <c r="V3863" t="s">
        <v>146</v>
      </c>
      <c r="W3863" t="s">
        <v>415</v>
      </c>
      <c r="X3863" t="s">
        <v>7</v>
      </c>
      <c r="Y3863" t="s">
        <v>1140</v>
      </c>
      <c r="Z3863" t="s">
        <v>1020</v>
      </c>
      <c r="AA3863" t="s">
        <v>1141</v>
      </c>
      <c r="AB3863">
        <v>0</v>
      </c>
      <c r="AE3863" t="s">
        <v>1142</v>
      </c>
      <c r="AF3863" t="s">
        <v>1020</v>
      </c>
      <c r="AG3863" t="s">
        <v>1012</v>
      </c>
      <c r="AL3863" t="s">
        <v>1143</v>
      </c>
      <c r="AM3863" t="s">
        <v>1144</v>
      </c>
      <c r="AN3863" t="s">
        <v>1145</v>
      </c>
      <c r="AO3863" t="s">
        <v>1139</v>
      </c>
      <c r="AQ3863" t="str">
        <f>IF(ISBLANK(AP3863), IFERROR(IF(VLOOKUP(AO3863, Ellens_additions!$A$2:$B$252, 2, FALSE) = "", "", VLOOKUP(AO3863, Ellens_additions!$A$2:$B$252, 2, FALSE)), 0), AP3863)</f>
        <v/>
      </c>
    </row>
    <row r="3864" spans="1:43" ht="14.4" x14ac:dyDescent="0.3"/>
    <row r="3865" spans="1:43" ht="14.4" hidden="1" x14ac:dyDescent="0.3">
      <c r="A3865" t="s">
        <v>1146</v>
      </c>
      <c r="B3865">
        <v>4893257</v>
      </c>
      <c r="C3865" t="s">
        <v>842</v>
      </c>
      <c r="D3865" t="s">
        <v>843</v>
      </c>
      <c r="E3865" t="s">
        <v>864</v>
      </c>
      <c r="F3865" t="s">
        <v>959</v>
      </c>
      <c r="H3865" t="s">
        <v>1147</v>
      </c>
      <c r="J3865" t="s">
        <v>140</v>
      </c>
      <c r="K3865">
        <v>160999.67000000001</v>
      </c>
      <c r="L3865">
        <v>383314.15</v>
      </c>
      <c r="M3865">
        <v>1</v>
      </c>
      <c r="N3865" t="s">
        <v>1139</v>
      </c>
      <c r="O3865" t="s">
        <v>1020</v>
      </c>
      <c r="P3865" t="s">
        <v>475</v>
      </c>
      <c r="Q3865" t="s">
        <v>144</v>
      </c>
      <c r="S3865">
        <v>37</v>
      </c>
      <c r="T3865">
        <v>13210</v>
      </c>
      <c r="V3865" t="s">
        <v>146</v>
      </c>
      <c r="W3865" t="s">
        <v>415</v>
      </c>
      <c r="X3865" t="s">
        <v>7</v>
      </c>
      <c r="Y3865" t="s">
        <v>1140</v>
      </c>
      <c r="Z3865" t="s">
        <v>1020</v>
      </c>
      <c r="AA3865" t="s">
        <v>1141</v>
      </c>
      <c r="AB3865">
        <v>0</v>
      </c>
      <c r="AE3865" t="s">
        <v>1142</v>
      </c>
      <c r="AF3865" t="s">
        <v>1020</v>
      </c>
      <c r="AG3865" t="s">
        <v>1012</v>
      </c>
      <c r="AL3865" t="s">
        <v>1148</v>
      </c>
      <c r="AM3865" t="s">
        <v>1149</v>
      </c>
      <c r="AN3865" t="s">
        <v>1150</v>
      </c>
      <c r="AO3865" t="s">
        <v>1139</v>
      </c>
      <c r="AQ3865" t="str">
        <f>IF(ISBLANK(AP3865), IFERROR(IF(VLOOKUP(AO3865, Ellens_additions!$A$2:$B$252, 2, FALSE) = "", "", VLOOKUP(AO3865, Ellens_additions!$A$2:$B$252, 2, FALSE)), 0), AP3865)</f>
        <v/>
      </c>
    </row>
    <row r="3866" spans="1:43" ht="14.4" x14ac:dyDescent="0.3"/>
    <row r="3867" spans="1:43" ht="14.4" hidden="1" x14ac:dyDescent="0.3">
      <c r="A3867" t="s">
        <v>1151</v>
      </c>
      <c r="B3867">
        <v>4893261</v>
      </c>
      <c r="C3867" t="s">
        <v>842</v>
      </c>
      <c r="D3867" t="s">
        <v>843</v>
      </c>
      <c r="E3867" t="s">
        <v>864</v>
      </c>
      <c r="F3867" t="s">
        <v>959</v>
      </c>
      <c r="H3867" t="s">
        <v>1152</v>
      </c>
      <c r="J3867" t="s">
        <v>140</v>
      </c>
      <c r="K3867">
        <v>161022.72</v>
      </c>
      <c r="L3867">
        <v>383320.59</v>
      </c>
      <c r="M3867">
        <v>1</v>
      </c>
      <c r="N3867" t="s">
        <v>1139</v>
      </c>
      <c r="O3867" t="s">
        <v>1020</v>
      </c>
      <c r="P3867" t="s">
        <v>475</v>
      </c>
      <c r="Q3867" t="s">
        <v>144</v>
      </c>
      <c r="S3867">
        <v>37</v>
      </c>
      <c r="T3867">
        <v>13210</v>
      </c>
      <c r="V3867" t="s">
        <v>146</v>
      </c>
      <c r="W3867" t="s">
        <v>415</v>
      </c>
      <c r="X3867" t="s">
        <v>7</v>
      </c>
      <c r="Y3867" t="s">
        <v>1140</v>
      </c>
      <c r="Z3867" t="s">
        <v>1020</v>
      </c>
      <c r="AA3867" t="s">
        <v>1141</v>
      </c>
      <c r="AB3867">
        <v>0</v>
      </c>
      <c r="AE3867" t="s">
        <v>1142</v>
      </c>
      <c r="AF3867" t="s">
        <v>1020</v>
      </c>
      <c r="AG3867" t="s">
        <v>1012</v>
      </c>
      <c r="AL3867" t="s">
        <v>1153</v>
      </c>
      <c r="AM3867" t="s">
        <v>1154</v>
      </c>
      <c r="AN3867" t="s">
        <v>1155</v>
      </c>
      <c r="AO3867" t="s">
        <v>1139</v>
      </c>
      <c r="AQ3867" t="str">
        <f>IF(ISBLANK(AP3867), IFERROR(IF(VLOOKUP(AO3867, Ellens_additions!$A$2:$B$252, 2, FALSE) = "", "", VLOOKUP(AO3867, Ellens_additions!$A$2:$B$252, 2, FALSE)), 0), AP3867)</f>
        <v/>
      </c>
    </row>
    <row r="3868" spans="1:43" ht="14.4" x14ac:dyDescent="0.3"/>
    <row r="3869" spans="1:43" ht="14.4" hidden="1" x14ac:dyDescent="0.3">
      <c r="A3869" t="s">
        <v>1156</v>
      </c>
      <c r="B3869">
        <v>4893263</v>
      </c>
      <c r="C3869" t="s">
        <v>842</v>
      </c>
      <c r="D3869" t="s">
        <v>843</v>
      </c>
      <c r="E3869" t="s">
        <v>864</v>
      </c>
      <c r="F3869" t="s">
        <v>959</v>
      </c>
      <c r="H3869" t="s">
        <v>1157</v>
      </c>
      <c r="J3869" t="s">
        <v>140</v>
      </c>
      <c r="K3869">
        <v>161036.5</v>
      </c>
      <c r="L3869">
        <v>383316.16</v>
      </c>
      <c r="M3869">
        <v>1</v>
      </c>
      <c r="N3869" t="s">
        <v>1139</v>
      </c>
      <c r="O3869" t="s">
        <v>1020</v>
      </c>
      <c r="P3869" t="s">
        <v>475</v>
      </c>
      <c r="Q3869" t="s">
        <v>144</v>
      </c>
      <c r="S3869">
        <v>37</v>
      </c>
      <c r="T3869">
        <v>13210</v>
      </c>
      <c r="V3869" t="s">
        <v>146</v>
      </c>
      <c r="W3869" t="s">
        <v>415</v>
      </c>
      <c r="X3869" t="s">
        <v>7</v>
      </c>
      <c r="Y3869" t="s">
        <v>1140</v>
      </c>
      <c r="Z3869" t="s">
        <v>1020</v>
      </c>
      <c r="AA3869" t="s">
        <v>1141</v>
      </c>
      <c r="AB3869">
        <v>0</v>
      </c>
      <c r="AE3869" t="s">
        <v>1142</v>
      </c>
      <c r="AF3869" t="s">
        <v>383</v>
      </c>
      <c r="AG3869" t="s">
        <v>1158</v>
      </c>
      <c r="AL3869" t="s">
        <v>1159</v>
      </c>
      <c r="AM3869" t="s">
        <v>1160</v>
      </c>
      <c r="AN3869" t="s">
        <v>1161</v>
      </c>
      <c r="AO3869" t="s">
        <v>1139</v>
      </c>
      <c r="AQ3869" t="str">
        <f>IF(ISBLANK(AP3869), IFERROR(IF(VLOOKUP(AO3869, Ellens_additions!$A$2:$B$252, 2, FALSE) = "", "", VLOOKUP(AO3869, Ellens_additions!$A$2:$B$252, 2, FALSE)), 0), AP3869)</f>
        <v/>
      </c>
    </row>
    <row r="3870" spans="1:43" ht="14.4" x14ac:dyDescent="0.3"/>
    <row r="3871" spans="1:43" ht="14.4" hidden="1" x14ac:dyDescent="0.3">
      <c r="A3871" t="s">
        <v>1162</v>
      </c>
      <c r="B3871">
        <v>4893265</v>
      </c>
      <c r="C3871" t="s">
        <v>842</v>
      </c>
      <c r="D3871" t="s">
        <v>843</v>
      </c>
      <c r="E3871" t="s">
        <v>864</v>
      </c>
      <c r="F3871" t="s">
        <v>959</v>
      </c>
      <c r="H3871" t="s">
        <v>1163</v>
      </c>
      <c r="J3871" t="s">
        <v>140</v>
      </c>
      <c r="K3871">
        <v>161049.82999999999</v>
      </c>
      <c r="L3871">
        <v>383312.08</v>
      </c>
      <c r="M3871">
        <v>1</v>
      </c>
      <c r="N3871" t="s">
        <v>1139</v>
      </c>
      <c r="O3871" t="s">
        <v>1020</v>
      </c>
      <c r="P3871" t="s">
        <v>475</v>
      </c>
      <c r="Q3871" t="s">
        <v>144</v>
      </c>
      <c r="S3871">
        <v>37</v>
      </c>
      <c r="T3871">
        <v>13210</v>
      </c>
      <c r="V3871" t="s">
        <v>146</v>
      </c>
      <c r="W3871" t="s">
        <v>415</v>
      </c>
      <c r="X3871" t="s">
        <v>7</v>
      </c>
      <c r="Y3871" t="s">
        <v>1140</v>
      </c>
      <c r="Z3871" t="s">
        <v>1020</v>
      </c>
      <c r="AA3871" t="s">
        <v>1141</v>
      </c>
      <c r="AB3871">
        <v>0</v>
      </c>
      <c r="AE3871" t="s">
        <v>1142</v>
      </c>
      <c r="AF3871" t="s">
        <v>1020</v>
      </c>
      <c r="AG3871" t="s">
        <v>1012</v>
      </c>
      <c r="AL3871" t="s">
        <v>1164</v>
      </c>
      <c r="AM3871" t="s">
        <v>1165</v>
      </c>
      <c r="AN3871" t="s">
        <v>1166</v>
      </c>
      <c r="AO3871" t="s">
        <v>1139</v>
      </c>
      <c r="AQ3871" t="str">
        <f>IF(ISBLANK(AP3871), IFERROR(IF(VLOOKUP(AO3871, Ellens_additions!$A$2:$B$252, 2, FALSE) = "", "", VLOOKUP(AO3871, Ellens_additions!$A$2:$B$252, 2, FALSE)), 0), AP3871)</f>
        <v/>
      </c>
    </row>
    <row r="3872" spans="1:43" ht="14.4" x14ac:dyDescent="0.3"/>
    <row r="3873" spans="1:43" ht="14.4" hidden="1" x14ac:dyDescent="0.3">
      <c r="A3873" t="s">
        <v>1167</v>
      </c>
      <c r="B3873">
        <v>4893267</v>
      </c>
      <c r="C3873" t="s">
        <v>842</v>
      </c>
      <c r="D3873" t="s">
        <v>843</v>
      </c>
      <c r="E3873" t="s">
        <v>864</v>
      </c>
      <c r="F3873" t="s">
        <v>959</v>
      </c>
      <c r="H3873" t="s">
        <v>1168</v>
      </c>
      <c r="J3873" t="s">
        <v>140</v>
      </c>
      <c r="K3873">
        <v>161063.94</v>
      </c>
      <c r="L3873">
        <v>383307.33</v>
      </c>
      <c r="M3873">
        <v>1</v>
      </c>
      <c r="N3873" t="s">
        <v>1139</v>
      </c>
      <c r="O3873" t="s">
        <v>1020</v>
      </c>
      <c r="P3873" t="s">
        <v>475</v>
      </c>
      <c r="Q3873" t="s">
        <v>144</v>
      </c>
      <c r="S3873">
        <v>37</v>
      </c>
      <c r="T3873">
        <v>13210</v>
      </c>
      <c r="V3873" t="s">
        <v>146</v>
      </c>
      <c r="W3873" t="s">
        <v>415</v>
      </c>
      <c r="X3873" t="s">
        <v>7</v>
      </c>
      <c r="Y3873" t="s">
        <v>1140</v>
      </c>
      <c r="Z3873" t="s">
        <v>1020</v>
      </c>
      <c r="AA3873" t="s">
        <v>1141</v>
      </c>
      <c r="AB3873">
        <v>0</v>
      </c>
      <c r="AE3873" t="s">
        <v>1142</v>
      </c>
      <c r="AF3873" t="s">
        <v>1020</v>
      </c>
      <c r="AG3873" t="s">
        <v>1012</v>
      </c>
      <c r="AL3873" t="s">
        <v>1169</v>
      </c>
      <c r="AM3873" t="s">
        <v>1170</v>
      </c>
      <c r="AN3873" t="s">
        <v>1171</v>
      </c>
      <c r="AO3873" t="s">
        <v>1139</v>
      </c>
      <c r="AQ3873" t="str">
        <f>IF(ISBLANK(AP3873), IFERROR(IF(VLOOKUP(AO3873, Ellens_additions!$A$2:$B$252, 2, FALSE) = "", "", VLOOKUP(AO3873, Ellens_additions!$A$2:$B$252, 2, FALSE)), 0), AP3873)</f>
        <v/>
      </c>
    </row>
    <row r="3874" spans="1:43" ht="14.4" x14ac:dyDescent="0.3"/>
    <row r="3875" spans="1:43" ht="14.4" hidden="1" x14ac:dyDescent="0.3">
      <c r="A3875" t="s">
        <v>1172</v>
      </c>
      <c r="B3875">
        <v>4893269</v>
      </c>
      <c r="C3875" t="s">
        <v>842</v>
      </c>
      <c r="D3875" t="s">
        <v>843</v>
      </c>
      <c r="E3875" t="s">
        <v>864</v>
      </c>
      <c r="F3875" t="s">
        <v>1173</v>
      </c>
      <c r="H3875" t="s">
        <v>1174</v>
      </c>
      <c r="J3875" t="s">
        <v>140</v>
      </c>
      <c r="K3875">
        <v>161069.81</v>
      </c>
      <c r="L3875">
        <v>383307.42</v>
      </c>
      <c r="M3875">
        <v>1</v>
      </c>
      <c r="N3875" t="s">
        <v>1139</v>
      </c>
      <c r="O3875" t="s">
        <v>1020</v>
      </c>
      <c r="P3875" t="s">
        <v>475</v>
      </c>
      <c r="Q3875" t="s">
        <v>144</v>
      </c>
      <c r="S3875">
        <v>37</v>
      </c>
      <c r="T3875">
        <v>13210</v>
      </c>
      <c r="V3875" t="s">
        <v>146</v>
      </c>
      <c r="W3875" t="s">
        <v>415</v>
      </c>
      <c r="X3875" t="s">
        <v>7</v>
      </c>
      <c r="Y3875" t="s">
        <v>1140</v>
      </c>
      <c r="Z3875" t="s">
        <v>1020</v>
      </c>
      <c r="AA3875" t="s">
        <v>1141</v>
      </c>
      <c r="AB3875">
        <v>0</v>
      </c>
      <c r="AE3875" t="s">
        <v>1142</v>
      </c>
      <c r="AF3875" t="s">
        <v>1020</v>
      </c>
      <c r="AG3875" t="s">
        <v>1012</v>
      </c>
      <c r="AL3875" t="s">
        <v>1175</v>
      </c>
      <c r="AM3875" t="s">
        <v>1176</v>
      </c>
      <c r="AN3875" t="s">
        <v>1177</v>
      </c>
      <c r="AO3875" t="s">
        <v>1139</v>
      </c>
      <c r="AQ3875" t="str">
        <f>IF(ISBLANK(AP3875), IFERROR(IF(VLOOKUP(AO3875, Ellens_additions!$A$2:$B$252, 2, FALSE) = "", "", VLOOKUP(AO3875, Ellens_additions!$A$2:$B$252, 2, FALSE)), 0), AP3875)</f>
        <v/>
      </c>
    </row>
    <row r="3876" spans="1:43" ht="14.4" x14ac:dyDescent="0.3"/>
    <row r="3877" spans="1:43" ht="14.4" hidden="1" x14ac:dyDescent="0.3">
      <c r="A3877" t="s">
        <v>1178</v>
      </c>
      <c r="B3877">
        <v>4893271</v>
      </c>
      <c r="C3877" t="s">
        <v>842</v>
      </c>
      <c r="D3877" t="s">
        <v>843</v>
      </c>
      <c r="E3877" t="s">
        <v>864</v>
      </c>
      <c r="F3877" t="s">
        <v>1173</v>
      </c>
      <c r="H3877" t="s">
        <v>1179</v>
      </c>
      <c r="J3877" t="s">
        <v>140</v>
      </c>
      <c r="K3877">
        <v>161075.84</v>
      </c>
      <c r="L3877">
        <v>383320.48</v>
      </c>
      <c r="M3877">
        <v>1</v>
      </c>
      <c r="N3877" t="s">
        <v>1139</v>
      </c>
      <c r="O3877" t="s">
        <v>1020</v>
      </c>
      <c r="P3877" t="s">
        <v>475</v>
      </c>
      <c r="Q3877" t="s">
        <v>144</v>
      </c>
      <c r="S3877">
        <v>37</v>
      </c>
      <c r="T3877">
        <v>13210</v>
      </c>
      <c r="V3877" t="s">
        <v>146</v>
      </c>
      <c r="W3877" t="s">
        <v>273</v>
      </c>
      <c r="X3877" t="s">
        <v>7</v>
      </c>
      <c r="Y3877" t="s">
        <v>1140</v>
      </c>
      <c r="Z3877" t="s">
        <v>1020</v>
      </c>
      <c r="AA3877" t="s">
        <v>1141</v>
      </c>
      <c r="AB3877">
        <v>0</v>
      </c>
      <c r="AE3877" t="s">
        <v>1142</v>
      </c>
      <c r="AF3877" t="s">
        <v>1020</v>
      </c>
      <c r="AG3877" t="s">
        <v>1012</v>
      </c>
      <c r="AL3877" t="s">
        <v>1180</v>
      </c>
      <c r="AM3877" t="s">
        <v>1181</v>
      </c>
      <c r="AN3877" t="s">
        <v>1182</v>
      </c>
      <c r="AO3877" t="s">
        <v>1139</v>
      </c>
      <c r="AQ3877" t="str">
        <f>IF(ISBLANK(AP3877), IFERROR(IF(VLOOKUP(AO3877, Ellens_additions!$A$2:$B$252, 2, FALSE) = "", "", VLOOKUP(AO3877, Ellens_additions!$A$2:$B$252, 2, FALSE)), 0), AP3877)</f>
        <v/>
      </c>
    </row>
    <row r="3878" spans="1:43" ht="14.4" x14ac:dyDescent="0.3"/>
    <row r="3879" spans="1:43" ht="14.4" hidden="1" x14ac:dyDescent="0.3">
      <c r="A3879" t="s">
        <v>1183</v>
      </c>
      <c r="B3879">
        <v>4893275</v>
      </c>
      <c r="C3879" t="s">
        <v>842</v>
      </c>
      <c r="D3879" t="s">
        <v>843</v>
      </c>
      <c r="E3879" t="s">
        <v>864</v>
      </c>
      <c r="F3879" t="s">
        <v>1173</v>
      </c>
      <c r="H3879" t="s">
        <v>1184</v>
      </c>
      <c r="J3879" t="s">
        <v>140</v>
      </c>
      <c r="K3879">
        <v>161081.82</v>
      </c>
      <c r="L3879">
        <v>383347.63</v>
      </c>
      <c r="M3879">
        <v>1</v>
      </c>
      <c r="N3879" t="s">
        <v>1139</v>
      </c>
      <c r="O3879" t="s">
        <v>1020</v>
      </c>
      <c r="P3879" t="s">
        <v>475</v>
      </c>
      <c r="Q3879" t="s">
        <v>144</v>
      </c>
      <c r="S3879">
        <v>37</v>
      </c>
      <c r="T3879">
        <v>13210</v>
      </c>
      <c r="V3879" t="s">
        <v>146</v>
      </c>
      <c r="W3879" t="s">
        <v>415</v>
      </c>
      <c r="X3879" t="s">
        <v>7</v>
      </c>
      <c r="Y3879" t="s">
        <v>1140</v>
      </c>
      <c r="Z3879" t="s">
        <v>1020</v>
      </c>
      <c r="AA3879" t="s">
        <v>1141</v>
      </c>
      <c r="AB3879">
        <v>0</v>
      </c>
      <c r="AE3879" t="s">
        <v>1142</v>
      </c>
      <c r="AF3879" t="s">
        <v>1020</v>
      </c>
      <c r="AG3879" t="s">
        <v>1012</v>
      </c>
      <c r="AL3879" t="s">
        <v>1185</v>
      </c>
      <c r="AM3879" t="s">
        <v>1186</v>
      </c>
      <c r="AN3879" t="s">
        <v>1187</v>
      </c>
      <c r="AO3879" t="s">
        <v>1139</v>
      </c>
      <c r="AQ3879" t="str">
        <f>IF(ISBLANK(AP3879), IFERROR(IF(VLOOKUP(AO3879, Ellens_additions!$A$2:$B$252, 2, FALSE) = "", "", VLOOKUP(AO3879, Ellens_additions!$A$2:$B$252, 2, FALSE)), 0), AP3879)</f>
        <v/>
      </c>
    </row>
    <row r="3880" spans="1:43" ht="14.4" x14ac:dyDescent="0.3"/>
    <row r="3881" spans="1:43" ht="14.4" hidden="1" x14ac:dyDescent="0.3">
      <c r="A3881" t="s">
        <v>1188</v>
      </c>
      <c r="B3881">
        <v>4893279</v>
      </c>
      <c r="C3881" t="s">
        <v>842</v>
      </c>
      <c r="D3881" t="s">
        <v>843</v>
      </c>
      <c r="E3881" t="s">
        <v>864</v>
      </c>
      <c r="F3881" t="s">
        <v>1173</v>
      </c>
      <c r="H3881" t="s">
        <v>1189</v>
      </c>
      <c r="J3881" t="s">
        <v>140</v>
      </c>
      <c r="K3881">
        <v>161090.97</v>
      </c>
      <c r="L3881">
        <v>383374.92</v>
      </c>
      <c r="M3881">
        <v>1</v>
      </c>
      <c r="N3881" t="s">
        <v>1139</v>
      </c>
      <c r="O3881" t="s">
        <v>1020</v>
      </c>
      <c r="P3881" t="s">
        <v>475</v>
      </c>
      <c r="Q3881" t="s">
        <v>144</v>
      </c>
      <c r="S3881">
        <v>37</v>
      </c>
      <c r="T3881">
        <v>13210</v>
      </c>
      <c r="V3881" t="s">
        <v>146</v>
      </c>
      <c r="W3881" t="s">
        <v>415</v>
      </c>
      <c r="X3881" t="s">
        <v>7</v>
      </c>
      <c r="Y3881" t="s">
        <v>1140</v>
      </c>
      <c r="Z3881" t="s">
        <v>1020</v>
      </c>
      <c r="AA3881" t="s">
        <v>1141</v>
      </c>
      <c r="AB3881">
        <v>0</v>
      </c>
      <c r="AE3881" t="s">
        <v>1142</v>
      </c>
      <c r="AF3881" t="s">
        <v>1020</v>
      </c>
      <c r="AG3881" t="s">
        <v>1012</v>
      </c>
      <c r="AL3881" t="s">
        <v>1190</v>
      </c>
      <c r="AM3881" t="s">
        <v>1191</v>
      </c>
      <c r="AN3881" t="s">
        <v>1192</v>
      </c>
      <c r="AO3881" t="s">
        <v>1139</v>
      </c>
      <c r="AQ3881" t="str">
        <f>IF(ISBLANK(AP3881), IFERROR(IF(VLOOKUP(AO3881, Ellens_additions!$A$2:$B$252, 2, FALSE) = "", "", VLOOKUP(AO3881, Ellens_additions!$A$2:$B$252, 2, FALSE)), 0), AP3881)</f>
        <v/>
      </c>
    </row>
    <row r="3882" spans="1:43" ht="14.4" x14ac:dyDescent="0.3"/>
    <row r="3883" spans="1:43" ht="14.4" hidden="1" x14ac:dyDescent="0.3">
      <c r="A3883" t="s">
        <v>1193</v>
      </c>
      <c r="B3883">
        <v>4893283</v>
      </c>
      <c r="C3883" t="s">
        <v>842</v>
      </c>
      <c r="D3883" t="s">
        <v>843</v>
      </c>
      <c r="E3883" t="s">
        <v>864</v>
      </c>
      <c r="F3883" t="s">
        <v>1173</v>
      </c>
      <c r="H3883" t="s">
        <v>1194</v>
      </c>
      <c r="J3883" t="s">
        <v>140</v>
      </c>
      <c r="K3883">
        <v>161099.72</v>
      </c>
      <c r="L3883">
        <v>383402.36</v>
      </c>
      <c r="M3883">
        <v>1</v>
      </c>
      <c r="N3883" t="s">
        <v>1139</v>
      </c>
      <c r="O3883" t="s">
        <v>1020</v>
      </c>
      <c r="P3883" t="s">
        <v>475</v>
      </c>
      <c r="Q3883" t="s">
        <v>144</v>
      </c>
      <c r="S3883">
        <v>37</v>
      </c>
      <c r="T3883">
        <v>13210</v>
      </c>
      <c r="V3883" t="s">
        <v>146</v>
      </c>
      <c r="W3883" t="s">
        <v>415</v>
      </c>
      <c r="X3883" t="s">
        <v>7</v>
      </c>
      <c r="Y3883" t="s">
        <v>1140</v>
      </c>
      <c r="Z3883" t="s">
        <v>1020</v>
      </c>
      <c r="AA3883" t="s">
        <v>1141</v>
      </c>
      <c r="AB3883">
        <v>0</v>
      </c>
      <c r="AE3883" t="s">
        <v>1142</v>
      </c>
      <c r="AF3883" t="s">
        <v>1020</v>
      </c>
      <c r="AG3883" t="s">
        <v>1012</v>
      </c>
      <c r="AL3883" t="s">
        <v>1195</v>
      </c>
      <c r="AM3883" t="s">
        <v>1196</v>
      </c>
      <c r="AN3883" t="s">
        <v>1197</v>
      </c>
      <c r="AO3883" t="s">
        <v>1139</v>
      </c>
      <c r="AQ3883" t="str">
        <f>IF(ISBLANK(AP3883), IFERROR(IF(VLOOKUP(AO3883, Ellens_additions!$A$2:$B$252, 2, FALSE) = "", "", VLOOKUP(AO3883, Ellens_additions!$A$2:$B$252, 2, FALSE)), 0), AP3883)</f>
        <v/>
      </c>
    </row>
    <row r="3884" spans="1:43" ht="14.4" x14ac:dyDescent="0.3"/>
    <row r="3885" spans="1:43" ht="14.4" hidden="1" x14ac:dyDescent="0.3">
      <c r="A3885" t="s">
        <v>1198</v>
      </c>
      <c r="B3885">
        <v>4893286</v>
      </c>
      <c r="C3885" t="s">
        <v>842</v>
      </c>
      <c r="D3885" t="s">
        <v>843</v>
      </c>
      <c r="E3885" t="s">
        <v>864</v>
      </c>
      <c r="F3885" t="s">
        <v>1173</v>
      </c>
      <c r="H3885" t="s">
        <v>1199</v>
      </c>
      <c r="J3885" t="s">
        <v>140</v>
      </c>
      <c r="K3885">
        <v>161106.29999999999</v>
      </c>
      <c r="L3885">
        <v>383422.92</v>
      </c>
      <c r="M3885">
        <v>1</v>
      </c>
      <c r="N3885" t="s">
        <v>1139</v>
      </c>
      <c r="O3885" t="s">
        <v>1020</v>
      </c>
      <c r="P3885" t="s">
        <v>475</v>
      </c>
      <c r="Q3885" t="s">
        <v>144</v>
      </c>
      <c r="S3885">
        <v>37</v>
      </c>
      <c r="T3885">
        <v>13210</v>
      </c>
      <c r="V3885" t="s">
        <v>146</v>
      </c>
      <c r="W3885" t="s">
        <v>415</v>
      </c>
      <c r="X3885" t="s">
        <v>7</v>
      </c>
      <c r="Y3885" t="s">
        <v>1140</v>
      </c>
      <c r="Z3885" t="s">
        <v>1020</v>
      </c>
      <c r="AA3885" t="s">
        <v>1141</v>
      </c>
      <c r="AB3885">
        <v>0</v>
      </c>
      <c r="AE3885" t="s">
        <v>1142</v>
      </c>
      <c r="AF3885" t="s">
        <v>1200</v>
      </c>
      <c r="AG3885" t="s">
        <v>1201</v>
      </c>
      <c r="AL3885" t="s">
        <v>1202</v>
      </c>
      <c r="AM3885" t="s">
        <v>1203</v>
      </c>
      <c r="AN3885" t="s">
        <v>1204</v>
      </c>
      <c r="AO3885" t="s">
        <v>1139</v>
      </c>
      <c r="AQ3885" t="str">
        <f>IF(ISBLANK(AP3885), IFERROR(IF(VLOOKUP(AO3885, Ellens_additions!$A$2:$B$252, 2, FALSE) = "", "", VLOOKUP(AO3885, Ellens_additions!$A$2:$B$252, 2, FALSE)), 0), AP3885)</f>
        <v/>
      </c>
    </row>
    <row r="3886" spans="1:43" ht="14.4" x14ac:dyDescent="0.3"/>
    <row r="3887" spans="1:43" ht="14.4" hidden="1" x14ac:dyDescent="0.3">
      <c r="A3887" t="s">
        <v>1206</v>
      </c>
      <c r="B3887">
        <v>4893287</v>
      </c>
      <c r="C3887" t="s">
        <v>842</v>
      </c>
      <c r="D3887" t="s">
        <v>843</v>
      </c>
      <c r="E3887" t="s">
        <v>864</v>
      </c>
      <c r="F3887" t="s">
        <v>1173</v>
      </c>
      <c r="H3887" t="s">
        <v>1207</v>
      </c>
      <c r="J3887" t="s">
        <v>140</v>
      </c>
      <c r="K3887">
        <v>161108.54</v>
      </c>
      <c r="L3887">
        <v>383429.88</v>
      </c>
      <c r="M3887">
        <v>1</v>
      </c>
      <c r="N3887" t="s">
        <v>1139</v>
      </c>
      <c r="O3887" t="s">
        <v>771</v>
      </c>
      <c r="P3887" t="s">
        <v>1070</v>
      </c>
      <c r="Q3887" t="s">
        <v>144</v>
      </c>
      <c r="S3887">
        <v>37</v>
      </c>
      <c r="T3887">
        <v>13210</v>
      </c>
      <c r="V3887" t="s">
        <v>146</v>
      </c>
      <c r="W3887" t="s">
        <v>415</v>
      </c>
      <c r="X3887" t="s">
        <v>7</v>
      </c>
      <c r="Y3887" t="s">
        <v>1140</v>
      </c>
      <c r="Z3887" t="s">
        <v>771</v>
      </c>
      <c r="AA3887" t="s">
        <v>1208</v>
      </c>
      <c r="AB3887">
        <v>0</v>
      </c>
      <c r="AE3887" t="s">
        <v>1142</v>
      </c>
      <c r="AF3887" t="s">
        <v>771</v>
      </c>
      <c r="AG3887" t="s">
        <v>1209</v>
      </c>
      <c r="AL3887" t="s">
        <v>1210</v>
      </c>
      <c r="AM3887" t="s">
        <v>1211</v>
      </c>
      <c r="AN3887" t="s">
        <v>1212</v>
      </c>
      <c r="AO3887" t="s">
        <v>1139</v>
      </c>
      <c r="AQ3887" t="str">
        <f>IF(ISBLANK(AP3887), IFERROR(IF(VLOOKUP(AO3887, Ellens_additions!$A$2:$B$252, 2, FALSE) = "", "", VLOOKUP(AO3887, Ellens_additions!$A$2:$B$252, 2, FALSE)), 0), AP3887)</f>
        <v/>
      </c>
    </row>
    <row r="3888" spans="1:43" ht="14.4" x14ac:dyDescent="0.3"/>
    <row r="3889" spans="1:43" ht="14.4" hidden="1" x14ac:dyDescent="0.3">
      <c r="A3889" t="s">
        <v>1213</v>
      </c>
      <c r="B3889">
        <v>4893289</v>
      </c>
      <c r="C3889" t="s">
        <v>842</v>
      </c>
      <c r="D3889" t="s">
        <v>843</v>
      </c>
      <c r="E3889" t="s">
        <v>864</v>
      </c>
      <c r="F3889" t="s">
        <v>1173</v>
      </c>
      <c r="H3889" t="s">
        <v>1214</v>
      </c>
      <c r="J3889" t="s">
        <v>140</v>
      </c>
      <c r="K3889">
        <v>161110.89000000001</v>
      </c>
      <c r="L3889">
        <v>383440.43</v>
      </c>
      <c r="M3889">
        <v>1</v>
      </c>
      <c r="N3889" t="s">
        <v>1139</v>
      </c>
      <c r="O3889" t="s">
        <v>1020</v>
      </c>
      <c r="P3889" t="s">
        <v>475</v>
      </c>
      <c r="Q3889" t="s">
        <v>144</v>
      </c>
      <c r="S3889">
        <v>37</v>
      </c>
      <c r="T3889">
        <v>13210</v>
      </c>
      <c r="V3889" t="s">
        <v>146</v>
      </c>
      <c r="W3889" t="s">
        <v>415</v>
      </c>
      <c r="X3889" t="s">
        <v>7</v>
      </c>
      <c r="Y3889" t="s">
        <v>1140</v>
      </c>
      <c r="Z3889" t="s">
        <v>1020</v>
      </c>
      <c r="AA3889" t="s">
        <v>1141</v>
      </c>
      <c r="AB3889">
        <v>0</v>
      </c>
      <c r="AE3889" t="s">
        <v>1142</v>
      </c>
      <c r="AF3889" t="s">
        <v>1020</v>
      </c>
      <c r="AG3889" t="s">
        <v>1012</v>
      </c>
      <c r="AL3889" t="s">
        <v>1215</v>
      </c>
      <c r="AM3889" t="s">
        <v>1216</v>
      </c>
      <c r="AN3889" t="s">
        <v>1217</v>
      </c>
      <c r="AO3889" t="s">
        <v>1139</v>
      </c>
      <c r="AQ3889" t="str">
        <f>IF(ISBLANK(AP3889), IFERROR(IF(VLOOKUP(AO3889, Ellens_additions!$A$2:$B$252, 2, FALSE) = "", "", VLOOKUP(AO3889, Ellens_additions!$A$2:$B$252, 2, FALSE)), 0), AP3889)</f>
        <v/>
      </c>
    </row>
    <row r="3890" spans="1:43" ht="14.4" x14ac:dyDescent="0.3"/>
    <row r="3891" spans="1:43" ht="14.4" hidden="1" x14ac:dyDescent="0.3">
      <c r="A3891" t="s">
        <v>1218</v>
      </c>
      <c r="B3891">
        <v>4893290</v>
      </c>
      <c r="C3891" t="s">
        <v>842</v>
      </c>
      <c r="D3891" t="s">
        <v>843</v>
      </c>
      <c r="E3891" t="s">
        <v>864</v>
      </c>
      <c r="F3891" t="s">
        <v>1173</v>
      </c>
      <c r="H3891" t="s">
        <v>1219</v>
      </c>
      <c r="J3891" t="s">
        <v>140</v>
      </c>
      <c r="K3891">
        <v>161114.37</v>
      </c>
      <c r="L3891">
        <v>383448.04</v>
      </c>
      <c r="M3891">
        <v>1</v>
      </c>
      <c r="N3891" t="s">
        <v>1139</v>
      </c>
      <c r="O3891" t="s">
        <v>1020</v>
      </c>
      <c r="P3891" t="s">
        <v>475</v>
      </c>
      <c r="Q3891" t="s">
        <v>144</v>
      </c>
      <c r="S3891">
        <v>37</v>
      </c>
      <c r="T3891">
        <v>13210</v>
      </c>
      <c r="V3891" t="s">
        <v>146</v>
      </c>
      <c r="W3891" t="s">
        <v>415</v>
      </c>
      <c r="X3891" t="s">
        <v>7</v>
      </c>
      <c r="Y3891" t="s">
        <v>1140</v>
      </c>
      <c r="Z3891" t="s">
        <v>1020</v>
      </c>
      <c r="AA3891" t="s">
        <v>1141</v>
      </c>
      <c r="AB3891">
        <v>0</v>
      </c>
      <c r="AE3891" t="s">
        <v>1142</v>
      </c>
      <c r="AF3891" t="s">
        <v>1020</v>
      </c>
      <c r="AG3891" t="s">
        <v>1012</v>
      </c>
      <c r="AL3891" t="s">
        <v>1220</v>
      </c>
      <c r="AM3891" t="s">
        <v>1221</v>
      </c>
      <c r="AN3891" t="s">
        <v>1222</v>
      </c>
      <c r="AO3891" t="s">
        <v>1139</v>
      </c>
      <c r="AQ3891" t="str">
        <f>IF(ISBLANK(AP3891), IFERROR(IF(VLOOKUP(AO3891, Ellens_additions!$A$2:$B$252, 2, FALSE) = "", "", VLOOKUP(AO3891, Ellens_additions!$A$2:$B$252, 2, FALSE)), 0), AP3891)</f>
        <v/>
      </c>
    </row>
    <row r="3892" spans="1:43" ht="14.4" x14ac:dyDescent="0.3"/>
    <row r="3893" spans="1:43" ht="14.4" x14ac:dyDescent="0.3"/>
    <row r="3894" spans="1:43" ht="14.4" x14ac:dyDescent="0.3"/>
    <row r="3895" spans="1:43" ht="14.4" x14ac:dyDescent="0.3"/>
    <row r="3896" spans="1:43" ht="14.4" x14ac:dyDescent="0.3"/>
    <row r="3897" spans="1:43" ht="14.4" x14ac:dyDescent="0.3"/>
    <row r="3898" spans="1:43" ht="14.4" x14ac:dyDescent="0.3"/>
    <row r="3899" spans="1:43" ht="14.4" x14ac:dyDescent="0.3"/>
    <row r="3900" spans="1:43" ht="14.4" x14ac:dyDescent="0.3"/>
    <row r="3901" spans="1:43" ht="14.4" x14ac:dyDescent="0.3"/>
    <row r="3902" spans="1:43" ht="14.4" x14ac:dyDescent="0.3"/>
    <row r="3903" spans="1:43" ht="14.4" x14ac:dyDescent="0.3"/>
    <row r="3904" spans="1:43" ht="14.4" x14ac:dyDescent="0.3"/>
    <row r="3905" ht="14.4" x14ac:dyDescent="0.3"/>
    <row r="3906" ht="14.4" x14ac:dyDescent="0.3"/>
    <row r="3907" ht="14.4" x14ac:dyDescent="0.3"/>
    <row r="3908" ht="14.4" x14ac:dyDescent="0.3"/>
    <row r="3909" ht="14.4" x14ac:dyDescent="0.3"/>
    <row r="3910" ht="14.4" x14ac:dyDescent="0.3"/>
    <row r="3911" ht="14.4" x14ac:dyDescent="0.3"/>
    <row r="3912" ht="14.4" x14ac:dyDescent="0.3"/>
    <row r="3913" ht="14.4" x14ac:dyDescent="0.3"/>
    <row r="3914" ht="14.4" x14ac:dyDescent="0.3"/>
    <row r="3915" ht="14.4" x14ac:dyDescent="0.3"/>
    <row r="3916" ht="14.4" x14ac:dyDescent="0.3"/>
    <row r="3917" ht="14.4" x14ac:dyDescent="0.3"/>
    <row r="3918" ht="14.4" x14ac:dyDescent="0.3"/>
    <row r="3919" ht="14.4" x14ac:dyDescent="0.3"/>
    <row r="3920" ht="14.4" x14ac:dyDescent="0.3"/>
    <row r="3921" ht="14.4" x14ac:dyDescent="0.3"/>
    <row r="3922" ht="14.4" x14ac:dyDescent="0.3"/>
    <row r="3923" ht="14.4" x14ac:dyDescent="0.3"/>
    <row r="3924" ht="14.4" x14ac:dyDescent="0.3"/>
    <row r="3925" ht="14.4" x14ac:dyDescent="0.3"/>
    <row r="3926" ht="14.4" x14ac:dyDescent="0.3"/>
    <row r="3927" ht="14.4" x14ac:dyDescent="0.3"/>
    <row r="3928" ht="14.4" x14ac:dyDescent="0.3"/>
    <row r="3929" ht="14.4" x14ac:dyDescent="0.3"/>
    <row r="3930" ht="14.4" x14ac:dyDescent="0.3"/>
    <row r="3931" ht="14.4" x14ac:dyDescent="0.3"/>
    <row r="3932" ht="14.4" x14ac:dyDescent="0.3"/>
    <row r="3933" ht="14.4" x14ac:dyDescent="0.3"/>
    <row r="3934" ht="14.4" x14ac:dyDescent="0.3"/>
    <row r="3935" ht="14.4" x14ac:dyDescent="0.3"/>
    <row r="3936" ht="14.4" x14ac:dyDescent="0.3"/>
    <row r="3937" ht="14.4" x14ac:dyDescent="0.3"/>
    <row r="3938" ht="14.4" x14ac:dyDescent="0.3"/>
    <row r="3939" ht="14.4" x14ac:dyDescent="0.3"/>
    <row r="3940" ht="14.4" x14ac:dyDescent="0.3"/>
    <row r="3941" ht="14.4" x14ac:dyDescent="0.3"/>
    <row r="3942" ht="14.4" x14ac:dyDescent="0.3"/>
    <row r="3943" ht="14.4" x14ac:dyDescent="0.3"/>
    <row r="3944" ht="14.4" x14ac:dyDescent="0.3"/>
    <row r="3945" ht="14.4" x14ac:dyDescent="0.3"/>
    <row r="3946" ht="14.4" x14ac:dyDescent="0.3"/>
    <row r="3947" ht="14.4" x14ac:dyDescent="0.3"/>
    <row r="3948" ht="14.4" x14ac:dyDescent="0.3"/>
    <row r="3949" ht="14.4" x14ac:dyDescent="0.3"/>
    <row r="3950" ht="14.4" x14ac:dyDescent="0.3"/>
    <row r="3951" ht="14.4" x14ac:dyDescent="0.3"/>
    <row r="3952" ht="14.4" x14ac:dyDescent="0.3"/>
    <row r="3953" ht="14.4" x14ac:dyDescent="0.3"/>
    <row r="3954" ht="14.4" x14ac:dyDescent="0.3"/>
    <row r="3955" ht="14.4" x14ac:dyDescent="0.3"/>
    <row r="3956" ht="14.4" x14ac:dyDescent="0.3"/>
    <row r="3957" ht="14.4" x14ac:dyDescent="0.3"/>
    <row r="3958" ht="14.4" x14ac:dyDescent="0.3"/>
    <row r="3959" ht="14.4" x14ac:dyDescent="0.3"/>
    <row r="3960" ht="14.4" x14ac:dyDescent="0.3"/>
    <row r="3961" ht="14.4" x14ac:dyDescent="0.3"/>
    <row r="3962" ht="14.4" x14ac:dyDescent="0.3"/>
    <row r="3963" ht="14.4" x14ac:dyDescent="0.3"/>
    <row r="3964" ht="14.4" x14ac:dyDescent="0.3"/>
    <row r="3965" ht="14.4" x14ac:dyDescent="0.3"/>
    <row r="3966" ht="14.4" x14ac:dyDescent="0.3"/>
    <row r="3967" ht="14.4" x14ac:dyDescent="0.3"/>
    <row r="3968" ht="14.4" x14ac:dyDescent="0.3"/>
    <row r="3969" ht="14.4" x14ac:dyDescent="0.3"/>
    <row r="3970" ht="14.4" x14ac:dyDescent="0.3"/>
    <row r="3971" ht="14.4" x14ac:dyDescent="0.3"/>
    <row r="3972" ht="14.4" x14ac:dyDescent="0.3"/>
    <row r="3973" ht="14.4" x14ac:dyDescent="0.3"/>
    <row r="3974" ht="14.4" x14ac:dyDescent="0.3"/>
    <row r="3975" ht="14.4" x14ac:dyDescent="0.3"/>
    <row r="3976" ht="14.4" x14ac:dyDescent="0.3"/>
    <row r="3977" ht="14.4" x14ac:dyDescent="0.3"/>
    <row r="3978" ht="14.4" x14ac:dyDescent="0.3"/>
    <row r="3979" ht="14.4" x14ac:dyDescent="0.3"/>
    <row r="3980" ht="14.4" x14ac:dyDescent="0.3"/>
    <row r="3981" ht="14.4" x14ac:dyDescent="0.3"/>
    <row r="3982" ht="14.4" x14ac:dyDescent="0.3"/>
    <row r="3983" ht="14.4" x14ac:dyDescent="0.3"/>
    <row r="3984" ht="14.4" x14ac:dyDescent="0.3"/>
    <row r="3985" ht="14.4" x14ac:dyDescent="0.3"/>
    <row r="3986" ht="14.4" x14ac:dyDescent="0.3"/>
    <row r="3987" ht="14.4" x14ac:dyDescent="0.3"/>
    <row r="3988" ht="14.4" x14ac:dyDescent="0.3"/>
    <row r="3989" ht="14.4" x14ac:dyDescent="0.3"/>
    <row r="3990" ht="14.4" x14ac:dyDescent="0.3"/>
    <row r="3991" ht="14.4" x14ac:dyDescent="0.3"/>
    <row r="3992" ht="14.4" x14ac:dyDescent="0.3"/>
    <row r="3993" ht="14.4" x14ac:dyDescent="0.3"/>
    <row r="3994" ht="14.4" x14ac:dyDescent="0.3"/>
    <row r="3995" ht="14.4" x14ac:dyDescent="0.3"/>
    <row r="3996" ht="14.4" x14ac:dyDescent="0.3"/>
    <row r="3997" ht="14.4" x14ac:dyDescent="0.3"/>
    <row r="3998" ht="14.4" x14ac:dyDescent="0.3"/>
    <row r="3999" ht="14.4" x14ac:dyDescent="0.3"/>
    <row r="4000" ht="14.4" x14ac:dyDescent="0.3"/>
    <row r="4001" ht="14.4" x14ac:dyDescent="0.3"/>
    <row r="4002" ht="14.4" x14ac:dyDescent="0.3"/>
    <row r="4003" ht="14.4" x14ac:dyDescent="0.3"/>
    <row r="4004" ht="14.4" x14ac:dyDescent="0.3"/>
    <row r="4005" ht="14.4" x14ac:dyDescent="0.3"/>
    <row r="4006" ht="14.4" x14ac:dyDescent="0.3"/>
    <row r="4007" ht="14.4" x14ac:dyDescent="0.3"/>
    <row r="4008" ht="14.4" x14ac:dyDescent="0.3"/>
    <row r="4009" ht="14.4" x14ac:dyDescent="0.3"/>
    <row r="4010" ht="14.4" x14ac:dyDescent="0.3"/>
    <row r="4011" ht="14.4" x14ac:dyDescent="0.3"/>
    <row r="4012" ht="14.4" x14ac:dyDescent="0.3"/>
    <row r="4013" ht="14.4" x14ac:dyDescent="0.3"/>
    <row r="4014" ht="14.4" x14ac:dyDescent="0.3"/>
    <row r="4015" ht="14.4" x14ac:dyDescent="0.3"/>
    <row r="4016" ht="14.4" x14ac:dyDescent="0.3"/>
    <row r="4017" ht="14.4" x14ac:dyDescent="0.3"/>
    <row r="4018" ht="14.4" x14ac:dyDescent="0.3"/>
    <row r="4019" ht="14.4" x14ac:dyDescent="0.3"/>
    <row r="4020" ht="14.4" x14ac:dyDescent="0.3"/>
    <row r="4021" ht="14.4" x14ac:dyDescent="0.3"/>
    <row r="4022" ht="14.4" x14ac:dyDescent="0.3"/>
    <row r="4023" ht="14.4" x14ac:dyDescent="0.3"/>
    <row r="4024" ht="14.4" x14ac:dyDescent="0.3"/>
    <row r="4025" ht="14.4" x14ac:dyDescent="0.3"/>
    <row r="4026" ht="14.4" x14ac:dyDescent="0.3"/>
    <row r="4027" ht="14.4" x14ac:dyDescent="0.3"/>
    <row r="4028" ht="14.4" x14ac:dyDescent="0.3"/>
    <row r="4029" ht="14.4" x14ac:dyDescent="0.3"/>
    <row r="4030" ht="14.4" x14ac:dyDescent="0.3"/>
    <row r="4031" ht="14.4" x14ac:dyDescent="0.3"/>
    <row r="4032" ht="14.4" x14ac:dyDescent="0.3"/>
    <row r="4033" ht="14.4" x14ac:dyDescent="0.3"/>
    <row r="4034" ht="14.4" x14ac:dyDescent="0.3"/>
    <row r="4035" ht="14.4" x14ac:dyDescent="0.3"/>
    <row r="4036" ht="14.4" x14ac:dyDescent="0.3"/>
    <row r="4037" ht="14.4" x14ac:dyDescent="0.3"/>
    <row r="4038" ht="14.4" x14ac:dyDescent="0.3"/>
    <row r="4039" ht="14.4" x14ac:dyDescent="0.3"/>
    <row r="4040" ht="14.4" x14ac:dyDescent="0.3"/>
    <row r="4041" ht="14.4" x14ac:dyDescent="0.3"/>
    <row r="4042" ht="14.4" x14ac:dyDescent="0.3"/>
    <row r="4043" ht="14.4" x14ac:dyDescent="0.3"/>
    <row r="4044" ht="14.4" x14ac:dyDescent="0.3"/>
    <row r="4045" ht="14.4" x14ac:dyDescent="0.3"/>
    <row r="4046" ht="14.4" x14ac:dyDescent="0.3"/>
    <row r="4047" ht="14.4" x14ac:dyDescent="0.3"/>
    <row r="4048" ht="14.4" x14ac:dyDescent="0.3"/>
    <row r="4049" ht="14.4" x14ac:dyDescent="0.3"/>
    <row r="4050" ht="14.4" x14ac:dyDescent="0.3"/>
    <row r="4051" ht="14.4" x14ac:dyDescent="0.3"/>
    <row r="4052" ht="14.4" x14ac:dyDescent="0.3"/>
    <row r="4053" ht="14.4" x14ac:dyDescent="0.3"/>
    <row r="4054" ht="14.4" x14ac:dyDescent="0.3"/>
    <row r="4055" ht="14.4" x14ac:dyDescent="0.3"/>
    <row r="4056" ht="14.4" x14ac:dyDescent="0.3"/>
    <row r="4057" ht="14.4" x14ac:dyDescent="0.3"/>
    <row r="4058" ht="14.4" x14ac:dyDescent="0.3"/>
    <row r="4059" ht="14.4" x14ac:dyDescent="0.3"/>
    <row r="4060" ht="14.4" x14ac:dyDescent="0.3"/>
    <row r="4061" ht="14.4" x14ac:dyDescent="0.3"/>
    <row r="4062" ht="14.4" x14ac:dyDescent="0.3"/>
    <row r="4063" ht="14.4" x14ac:dyDescent="0.3"/>
    <row r="4064" ht="14.4" x14ac:dyDescent="0.3"/>
    <row r="4065" ht="14.4" x14ac:dyDescent="0.3"/>
    <row r="4066" ht="14.4" x14ac:dyDescent="0.3"/>
    <row r="4067" ht="14.4" x14ac:dyDescent="0.3"/>
    <row r="4068" ht="14.4" x14ac:dyDescent="0.3"/>
    <row r="4069" ht="14.4" x14ac:dyDescent="0.3"/>
    <row r="4070" ht="14.4" x14ac:dyDescent="0.3"/>
    <row r="4071" ht="14.4" x14ac:dyDescent="0.3"/>
    <row r="4072" ht="14.4" x14ac:dyDescent="0.3"/>
    <row r="4073" ht="14.4" x14ac:dyDescent="0.3"/>
    <row r="4074" ht="14.4" x14ac:dyDescent="0.3"/>
    <row r="4075" ht="14.4" x14ac:dyDescent="0.3"/>
    <row r="4076" ht="14.4" x14ac:dyDescent="0.3"/>
    <row r="4077" ht="14.4" x14ac:dyDescent="0.3"/>
    <row r="4078" ht="14.4" x14ac:dyDescent="0.3"/>
    <row r="4079" ht="14.4" x14ac:dyDescent="0.3"/>
    <row r="4080" ht="14.4" x14ac:dyDescent="0.3"/>
    <row r="4081" ht="14.4" x14ac:dyDescent="0.3"/>
    <row r="4082" ht="14.4" x14ac:dyDescent="0.3"/>
    <row r="4083" ht="14.4" x14ac:dyDescent="0.3"/>
    <row r="4084" ht="14.4" x14ac:dyDescent="0.3"/>
    <row r="4085" ht="14.4" x14ac:dyDescent="0.3"/>
    <row r="4086" ht="14.4" x14ac:dyDescent="0.3"/>
    <row r="4087" ht="14.4" x14ac:dyDescent="0.3"/>
    <row r="4088" ht="14.4" x14ac:dyDescent="0.3"/>
    <row r="4089" ht="14.4" x14ac:dyDescent="0.3"/>
    <row r="4090" ht="14.4" x14ac:dyDescent="0.3"/>
    <row r="4091" ht="14.4" x14ac:dyDescent="0.3"/>
    <row r="4092" ht="14.4" x14ac:dyDescent="0.3"/>
    <row r="4093" ht="14.4" x14ac:dyDescent="0.3"/>
    <row r="4094" ht="14.4" x14ac:dyDescent="0.3"/>
    <row r="4095" ht="14.4" x14ac:dyDescent="0.3"/>
    <row r="4096" ht="14.4" x14ac:dyDescent="0.3"/>
    <row r="4097" ht="14.4" x14ac:dyDescent="0.3"/>
    <row r="4098" ht="14.4" x14ac:dyDescent="0.3"/>
    <row r="4099" ht="14.4" x14ac:dyDescent="0.3"/>
    <row r="4100" ht="14.4" x14ac:dyDescent="0.3"/>
    <row r="4101" ht="14.4" x14ac:dyDescent="0.3"/>
    <row r="4102" ht="14.4" x14ac:dyDescent="0.3"/>
    <row r="4103" ht="14.4" x14ac:dyDescent="0.3"/>
    <row r="4104" ht="14.4" x14ac:dyDescent="0.3"/>
    <row r="4105" ht="14.4" x14ac:dyDescent="0.3"/>
    <row r="4106" ht="14.4" x14ac:dyDescent="0.3"/>
    <row r="4107" ht="14.4" x14ac:dyDescent="0.3"/>
    <row r="4108" ht="14.4" x14ac:dyDescent="0.3"/>
    <row r="4109" ht="14.4" x14ac:dyDescent="0.3"/>
    <row r="4110" ht="14.4" x14ac:dyDescent="0.3"/>
    <row r="4111" ht="14.4" x14ac:dyDescent="0.3"/>
    <row r="4112" ht="14.4" x14ac:dyDescent="0.3"/>
    <row r="4113" ht="14.4" x14ac:dyDescent="0.3"/>
    <row r="4114" ht="14.4" x14ac:dyDescent="0.3"/>
    <row r="4115" ht="14.4" x14ac:dyDescent="0.3"/>
    <row r="4116" ht="14.4" x14ac:dyDescent="0.3"/>
    <row r="4117" ht="14.4" x14ac:dyDescent="0.3"/>
    <row r="4118" ht="14.4" x14ac:dyDescent="0.3"/>
    <row r="4119" ht="14.4" x14ac:dyDescent="0.3"/>
    <row r="4120" ht="14.4" x14ac:dyDescent="0.3"/>
    <row r="4121" ht="14.4" x14ac:dyDescent="0.3"/>
    <row r="4122" ht="14.4" x14ac:dyDescent="0.3"/>
    <row r="4123" ht="14.4" x14ac:dyDescent="0.3"/>
    <row r="4124" ht="14.4" x14ac:dyDescent="0.3"/>
    <row r="4125" ht="14.4" x14ac:dyDescent="0.3"/>
    <row r="4126" ht="14.4" x14ac:dyDescent="0.3"/>
    <row r="4127" ht="14.4" x14ac:dyDescent="0.3"/>
    <row r="4128" ht="14.4" x14ac:dyDescent="0.3"/>
    <row r="4129" ht="14.4" x14ac:dyDescent="0.3"/>
    <row r="4130" ht="14.4" x14ac:dyDescent="0.3"/>
    <row r="4131" ht="14.4" x14ac:dyDescent="0.3"/>
    <row r="4132" ht="14.4" x14ac:dyDescent="0.3"/>
    <row r="4133" ht="14.4" x14ac:dyDescent="0.3"/>
    <row r="4134" ht="14.4" x14ac:dyDescent="0.3"/>
    <row r="4135" ht="14.4" x14ac:dyDescent="0.3"/>
    <row r="4136" ht="14.4" x14ac:dyDescent="0.3"/>
    <row r="4137" ht="14.4" x14ac:dyDescent="0.3"/>
    <row r="4138" ht="14.4" x14ac:dyDescent="0.3"/>
    <row r="4139" ht="14.4" x14ac:dyDescent="0.3"/>
    <row r="4140" ht="14.4" x14ac:dyDescent="0.3"/>
    <row r="4141" ht="14.4" x14ac:dyDescent="0.3"/>
    <row r="4142" ht="14.4" x14ac:dyDescent="0.3"/>
    <row r="4143" ht="14.4" x14ac:dyDescent="0.3"/>
    <row r="4144" ht="14.4" x14ac:dyDescent="0.3"/>
    <row r="4145" ht="14.4" x14ac:dyDescent="0.3"/>
    <row r="4146" ht="14.4" x14ac:dyDescent="0.3"/>
    <row r="4147" ht="14.4" x14ac:dyDescent="0.3"/>
    <row r="4148" ht="14.4" x14ac:dyDescent="0.3"/>
    <row r="4149" ht="14.4" x14ac:dyDescent="0.3"/>
    <row r="4150" ht="14.4" x14ac:dyDescent="0.3"/>
    <row r="4151" ht="14.4" x14ac:dyDescent="0.3"/>
    <row r="4152" ht="14.4" x14ac:dyDescent="0.3"/>
    <row r="4153" ht="14.4" x14ac:dyDescent="0.3"/>
    <row r="4154" ht="14.4" x14ac:dyDescent="0.3"/>
    <row r="4155" ht="14.4" x14ac:dyDescent="0.3"/>
    <row r="4156" ht="14.4" x14ac:dyDescent="0.3"/>
    <row r="4157" ht="14.4" x14ac:dyDescent="0.3"/>
    <row r="4158" ht="14.4" x14ac:dyDescent="0.3"/>
    <row r="4159" ht="14.4" x14ac:dyDescent="0.3"/>
    <row r="4160" ht="14.4" x14ac:dyDescent="0.3"/>
    <row r="4161" ht="14.4" x14ac:dyDescent="0.3"/>
    <row r="4162" ht="14.4" x14ac:dyDescent="0.3"/>
    <row r="4163" ht="14.4" x14ac:dyDescent="0.3"/>
    <row r="4164" ht="14.4" x14ac:dyDescent="0.3"/>
    <row r="4165" ht="14.4" x14ac:dyDescent="0.3"/>
    <row r="4166" ht="14.4" x14ac:dyDescent="0.3"/>
    <row r="4167" ht="14.4" x14ac:dyDescent="0.3"/>
    <row r="4168" ht="14.4" x14ac:dyDescent="0.3"/>
    <row r="4169" ht="14.4" x14ac:dyDescent="0.3"/>
    <row r="4170" ht="14.4" x14ac:dyDescent="0.3"/>
    <row r="4171" ht="14.4" x14ac:dyDescent="0.3"/>
    <row r="4172" ht="14.4" x14ac:dyDescent="0.3"/>
    <row r="4173" ht="14.4" x14ac:dyDescent="0.3"/>
    <row r="4174" ht="14.4" x14ac:dyDescent="0.3"/>
    <row r="4175" ht="14.4" x14ac:dyDescent="0.3"/>
    <row r="4176" ht="14.4" x14ac:dyDescent="0.3"/>
    <row r="4177" ht="14.4" x14ac:dyDescent="0.3"/>
    <row r="4178" ht="14.4" x14ac:dyDescent="0.3"/>
    <row r="4179" ht="14.4" x14ac:dyDescent="0.3"/>
    <row r="4180" ht="14.4" x14ac:dyDescent="0.3"/>
    <row r="4181" ht="14.4" x14ac:dyDescent="0.3"/>
    <row r="4182" ht="14.4" x14ac:dyDescent="0.3"/>
    <row r="4183" ht="14.4" x14ac:dyDescent="0.3"/>
    <row r="4184" ht="14.4" x14ac:dyDescent="0.3"/>
    <row r="4185" ht="14.4" x14ac:dyDescent="0.3"/>
    <row r="4186" ht="14.4" x14ac:dyDescent="0.3"/>
    <row r="4187" ht="14.4" x14ac:dyDescent="0.3"/>
    <row r="4188" ht="14.4" x14ac:dyDescent="0.3"/>
    <row r="4189" ht="14.4" x14ac:dyDescent="0.3"/>
    <row r="4190" ht="14.4" x14ac:dyDescent="0.3"/>
    <row r="4191" ht="14.4" x14ac:dyDescent="0.3"/>
    <row r="4192" ht="14.4" x14ac:dyDescent="0.3"/>
    <row r="4193" ht="14.4" x14ac:dyDescent="0.3"/>
    <row r="4194" ht="14.4" x14ac:dyDescent="0.3"/>
    <row r="4195" ht="14.4" x14ac:dyDescent="0.3"/>
    <row r="4196" ht="14.4" x14ac:dyDescent="0.3"/>
    <row r="4197" ht="14.4" x14ac:dyDescent="0.3"/>
    <row r="4198" ht="14.4" x14ac:dyDescent="0.3"/>
    <row r="4199" ht="14.4" x14ac:dyDescent="0.3"/>
    <row r="4200" ht="14.4" x14ac:dyDescent="0.3"/>
    <row r="4201" ht="14.4" x14ac:dyDescent="0.3"/>
    <row r="4202" ht="14.4" x14ac:dyDescent="0.3"/>
    <row r="4203" ht="14.4" x14ac:dyDescent="0.3"/>
    <row r="4204" ht="14.4" x14ac:dyDescent="0.3"/>
    <row r="4205" ht="14.4" x14ac:dyDescent="0.3"/>
    <row r="4206" ht="14.4" x14ac:dyDescent="0.3"/>
    <row r="4207" ht="14.4" x14ac:dyDescent="0.3"/>
    <row r="4208" ht="14.4" x14ac:dyDescent="0.3"/>
    <row r="4209" ht="14.4" x14ac:dyDescent="0.3"/>
    <row r="4210" ht="14.4" x14ac:dyDescent="0.3"/>
    <row r="4211" ht="14.4" x14ac:dyDescent="0.3"/>
    <row r="4212" ht="14.4" x14ac:dyDescent="0.3"/>
    <row r="4213" ht="14.4" x14ac:dyDescent="0.3"/>
    <row r="4214" ht="14.4" x14ac:dyDescent="0.3"/>
    <row r="4215" ht="14.4" x14ac:dyDescent="0.3"/>
    <row r="4216" ht="14.4" x14ac:dyDescent="0.3"/>
    <row r="4217" ht="14.4" x14ac:dyDescent="0.3"/>
    <row r="4218" ht="14.4" x14ac:dyDescent="0.3"/>
    <row r="4219" ht="14.4" x14ac:dyDescent="0.3"/>
    <row r="4220" ht="14.4" x14ac:dyDescent="0.3"/>
    <row r="4221" ht="14.4" x14ac:dyDescent="0.3"/>
    <row r="4222" ht="14.4" x14ac:dyDescent="0.3"/>
    <row r="4223" ht="14.4" x14ac:dyDescent="0.3"/>
    <row r="4224" ht="14.4" x14ac:dyDescent="0.3"/>
    <row r="4225" ht="14.4" x14ac:dyDescent="0.3"/>
    <row r="4226" ht="14.4" x14ac:dyDescent="0.3"/>
    <row r="4227" ht="14.4" x14ac:dyDescent="0.3"/>
    <row r="4228" ht="14.4" x14ac:dyDescent="0.3"/>
    <row r="4229" ht="14.4" x14ac:dyDescent="0.3"/>
    <row r="4230" ht="14.4" x14ac:dyDescent="0.3"/>
    <row r="4231" ht="14.4" x14ac:dyDescent="0.3"/>
    <row r="4232" ht="14.4" x14ac:dyDescent="0.3"/>
    <row r="4233" ht="14.4" x14ac:dyDescent="0.3"/>
    <row r="4234" ht="14.4" x14ac:dyDescent="0.3"/>
    <row r="4235" ht="14.4" x14ac:dyDescent="0.3"/>
    <row r="4236" ht="14.4" x14ac:dyDescent="0.3"/>
    <row r="4237" ht="14.4" x14ac:dyDescent="0.3"/>
    <row r="4238" ht="14.4" x14ac:dyDescent="0.3"/>
    <row r="4239" ht="14.4" x14ac:dyDescent="0.3"/>
    <row r="4240" ht="14.4" x14ac:dyDescent="0.3"/>
    <row r="4241" ht="14.4" x14ac:dyDescent="0.3"/>
    <row r="4242" ht="14.4" x14ac:dyDescent="0.3"/>
    <row r="4243" ht="14.4" x14ac:dyDescent="0.3"/>
    <row r="4244" ht="14.4" x14ac:dyDescent="0.3"/>
    <row r="4245" ht="14.4" x14ac:dyDescent="0.3"/>
    <row r="4246" ht="14.4" x14ac:dyDescent="0.3"/>
    <row r="4247" ht="14.4" x14ac:dyDescent="0.3"/>
    <row r="4248" ht="14.4" x14ac:dyDescent="0.3"/>
    <row r="4249" ht="14.4" x14ac:dyDescent="0.3"/>
    <row r="4250" ht="14.4" x14ac:dyDescent="0.3"/>
    <row r="4251" ht="14.4" x14ac:dyDescent="0.3"/>
    <row r="4252" ht="14.4" x14ac:dyDescent="0.3"/>
    <row r="4253" ht="14.4" x14ac:dyDescent="0.3"/>
    <row r="4254" ht="14.4" x14ac:dyDescent="0.3"/>
    <row r="4255" ht="14.4" x14ac:dyDescent="0.3"/>
    <row r="4256" ht="14.4" x14ac:dyDescent="0.3"/>
    <row r="4257" ht="14.4" x14ac:dyDescent="0.3"/>
    <row r="4258" ht="14.4" x14ac:dyDescent="0.3"/>
    <row r="4259" ht="14.4" x14ac:dyDescent="0.3"/>
    <row r="4260" ht="14.4" x14ac:dyDescent="0.3"/>
    <row r="4261" ht="14.4" x14ac:dyDescent="0.3"/>
    <row r="4262" ht="14.4" x14ac:dyDescent="0.3"/>
    <row r="4263" ht="14.4" x14ac:dyDescent="0.3"/>
    <row r="4264" ht="14.4" x14ac:dyDescent="0.3"/>
    <row r="4265" ht="14.4" x14ac:dyDescent="0.3"/>
    <row r="4266" ht="14.4" x14ac:dyDescent="0.3"/>
    <row r="4267" ht="14.4" x14ac:dyDescent="0.3"/>
    <row r="4268" ht="14.4" x14ac:dyDescent="0.3"/>
    <row r="4269" ht="14.4" x14ac:dyDescent="0.3"/>
    <row r="4270" ht="14.4" x14ac:dyDescent="0.3"/>
    <row r="4271" ht="14.4" x14ac:dyDescent="0.3"/>
    <row r="4272" ht="14.4" x14ac:dyDescent="0.3"/>
    <row r="4273" ht="14.4" x14ac:dyDescent="0.3"/>
    <row r="4274" ht="14.4" x14ac:dyDescent="0.3"/>
    <row r="4275" ht="14.4" x14ac:dyDescent="0.3"/>
    <row r="4276" ht="14.4" x14ac:dyDescent="0.3"/>
    <row r="4277" ht="14.4" x14ac:dyDescent="0.3"/>
    <row r="4278" ht="14.4" x14ac:dyDescent="0.3"/>
    <row r="4279" ht="14.4" x14ac:dyDescent="0.3"/>
    <row r="4280" ht="14.4" x14ac:dyDescent="0.3"/>
    <row r="4281" ht="14.4" x14ac:dyDescent="0.3"/>
    <row r="4282" ht="14.4" x14ac:dyDescent="0.3"/>
    <row r="4283" ht="14.4" x14ac:dyDescent="0.3"/>
    <row r="4284" ht="14.4" x14ac:dyDescent="0.3"/>
    <row r="4285" ht="14.4" x14ac:dyDescent="0.3"/>
    <row r="4286" ht="14.4" x14ac:dyDescent="0.3"/>
    <row r="4287" ht="14.4" x14ac:dyDescent="0.3"/>
    <row r="4288" ht="14.4" x14ac:dyDescent="0.3"/>
    <row r="4289" ht="14.4" x14ac:dyDescent="0.3"/>
    <row r="4290" ht="14.4" x14ac:dyDescent="0.3"/>
    <row r="4291" ht="14.4" x14ac:dyDescent="0.3"/>
    <row r="4292" ht="14.4" x14ac:dyDescent="0.3"/>
    <row r="4293" ht="14.4" x14ac:dyDescent="0.3"/>
    <row r="4294" ht="14.4" x14ac:dyDescent="0.3"/>
    <row r="4295" ht="14.4" x14ac:dyDescent="0.3"/>
    <row r="4296" ht="14.4" x14ac:dyDescent="0.3"/>
    <row r="4297" ht="14.4" x14ac:dyDescent="0.3"/>
    <row r="4298" ht="14.4" x14ac:dyDescent="0.3"/>
    <row r="4299" ht="14.4" x14ac:dyDescent="0.3"/>
    <row r="4300" ht="14.4" x14ac:dyDescent="0.3"/>
    <row r="4301" ht="14.4" x14ac:dyDescent="0.3"/>
    <row r="4302" ht="14.4" x14ac:dyDescent="0.3"/>
    <row r="4303" ht="14.4" x14ac:dyDescent="0.3"/>
    <row r="4304" ht="14.4" x14ac:dyDescent="0.3"/>
    <row r="4305" ht="14.4" x14ac:dyDescent="0.3"/>
    <row r="4306" ht="14.4" x14ac:dyDescent="0.3"/>
    <row r="4307" ht="14.4" x14ac:dyDescent="0.3"/>
    <row r="4308" ht="14.4" x14ac:dyDescent="0.3"/>
    <row r="4309" ht="14.4" x14ac:dyDescent="0.3"/>
    <row r="4310" ht="14.4" x14ac:dyDescent="0.3"/>
    <row r="4311" ht="14.4" x14ac:dyDescent="0.3"/>
    <row r="4312" ht="14.4" x14ac:dyDescent="0.3"/>
    <row r="4313" ht="14.4" x14ac:dyDescent="0.3"/>
    <row r="4314" ht="14.4" x14ac:dyDescent="0.3"/>
    <row r="4315" ht="14.4" x14ac:dyDescent="0.3"/>
    <row r="4316" ht="14.4" x14ac:dyDescent="0.3"/>
    <row r="4317" ht="14.4" x14ac:dyDescent="0.3"/>
    <row r="4318" ht="14.4" x14ac:dyDescent="0.3"/>
    <row r="4319" ht="14.4" x14ac:dyDescent="0.3"/>
    <row r="4320" ht="14.4" x14ac:dyDescent="0.3"/>
    <row r="4321" ht="14.4" x14ac:dyDescent="0.3"/>
    <row r="4322" ht="14.4" x14ac:dyDescent="0.3"/>
    <row r="4323" ht="14.4" x14ac:dyDescent="0.3"/>
    <row r="4324" ht="14.4" x14ac:dyDescent="0.3"/>
    <row r="4325" ht="14.4" x14ac:dyDescent="0.3"/>
    <row r="4326" ht="14.4" x14ac:dyDescent="0.3"/>
    <row r="4327" ht="14.4" x14ac:dyDescent="0.3"/>
    <row r="4328" ht="14.4" x14ac:dyDescent="0.3"/>
    <row r="4329" ht="14.4" x14ac:dyDescent="0.3"/>
    <row r="4330" ht="14.4" x14ac:dyDescent="0.3"/>
    <row r="4331" ht="14.4" x14ac:dyDescent="0.3"/>
    <row r="4332" ht="14.4" x14ac:dyDescent="0.3"/>
    <row r="4333" ht="14.4" x14ac:dyDescent="0.3"/>
    <row r="4334" ht="14.4" x14ac:dyDescent="0.3"/>
    <row r="4335" ht="14.4" x14ac:dyDescent="0.3"/>
    <row r="4336" ht="14.4" x14ac:dyDescent="0.3"/>
    <row r="4337" ht="14.4" x14ac:dyDescent="0.3"/>
    <row r="4338" ht="14.4" x14ac:dyDescent="0.3"/>
    <row r="4339" ht="14.4" x14ac:dyDescent="0.3"/>
    <row r="4340" ht="14.4" x14ac:dyDescent="0.3"/>
    <row r="4341" ht="14.4" x14ac:dyDescent="0.3"/>
    <row r="4342" ht="14.4" x14ac:dyDescent="0.3"/>
    <row r="4343" ht="14.4" x14ac:dyDescent="0.3"/>
    <row r="4344" ht="14.4" x14ac:dyDescent="0.3"/>
    <row r="4345" ht="14.4" x14ac:dyDescent="0.3"/>
    <row r="4346" ht="14.4" x14ac:dyDescent="0.3"/>
    <row r="4347" ht="14.4" x14ac:dyDescent="0.3"/>
    <row r="4348" ht="14.4" x14ac:dyDescent="0.3"/>
    <row r="4349" ht="14.4" x14ac:dyDescent="0.3"/>
    <row r="4350" ht="14.4" x14ac:dyDescent="0.3"/>
    <row r="4351" ht="14.4" x14ac:dyDescent="0.3"/>
    <row r="4352" ht="14.4" x14ac:dyDescent="0.3"/>
    <row r="4353" ht="14.4" x14ac:dyDescent="0.3"/>
    <row r="4354" ht="14.4" x14ac:dyDescent="0.3"/>
    <row r="4355" ht="14.4" x14ac:dyDescent="0.3"/>
    <row r="4356" ht="14.4" x14ac:dyDescent="0.3"/>
    <row r="4357" ht="14.4" x14ac:dyDescent="0.3"/>
    <row r="4358" ht="14.4" x14ac:dyDescent="0.3"/>
    <row r="4359" ht="14.4" x14ac:dyDescent="0.3"/>
    <row r="4360" ht="14.4" x14ac:dyDescent="0.3"/>
    <row r="4361" ht="14.4" x14ac:dyDescent="0.3"/>
    <row r="4362" ht="14.4" x14ac:dyDescent="0.3"/>
    <row r="4363" ht="14.4" x14ac:dyDescent="0.3"/>
    <row r="4364" ht="14.4" x14ac:dyDescent="0.3"/>
    <row r="4365" ht="14.4" x14ac:dyDescent="0.3"/>
    <row r="4366" ht="14.4" x14ac:dyDescent="0.3"/>
    <row r="4367" ht="14.4" x14ac:dyDescent="0.3"/>
    <row r="4368" ht="14.4" x14ac:dyDescent="0.3"/>
    <row r="4369" ht="14.4" x14ac:dyDescent="0.3"/>
    <row r="4370" ht="14.4" x14ac:dyDescent="0.3"/>
    <row r="4371" ht="14.4" x14ac:dyDescent="0.3"/>
    <row r="4372" ht="14.4" x14ac:dyDescent="0.3"/>
    <row r="4373" ht="14.4" x14ac:dyDescent="0.3"/>
    <row r="4374" ht="14.4" x14ac:dyDescent="0.3"/>
    <row r="4375" ht="14.4" x14ac:dyDescent="0.3"/>
    <row r="4376" ht="14.4" x14ac:dyDescent="0.3"/>
    <row r="4377" ht="14.4" x14ac:dyDescent="0.3"/>
    <row r="4378" ht="14.4" x14ac:dyDescent="0.3"/>
    <row r="4379" ht="14.4" x14ac:dyDescent="0.3"/>
    <row r="4380" ht="14.4" x14ac:dyDescent="0.3"/>
    <row r="4381" ht="14.4" x14ac:dyDescent="0.3"/>
    <row r="4382" ht="14.4" x14ac:dyDescent="0.3"/>
    <row r="4383" ht="14.4" x14ac:dyDescent="0.3"/>
    <row r="4384" ht="14.4" x14ac:dyDescent="0.3"/>
    <row r="4385" ht="14.4" x14ac:dyDescent="0.3"/>
    <row r="4386" ht="14.4" x14ac:dyDescent="0.3"/>
    <row r="4387" ht="14.4" x14ac:dyDescent="0.3"/>
    <row r="4388" ht="14.4" x14ac:dyDescent="0.3"/>
    <row r="4389" ht="14.4" x14ac:dyDescent="0.3"/>
    <row r="4390" ht="14.4" x14ac:dyDescent="0.3"/>
    <row r="4391" ht="14.4" x14ac:dyDescent="0.3"/>
    <row r="4392" ht="14.4" x14ac:dyDescent="0.3"/>
    <row r="4393" ht="14.4" x14ac:dyDescent="0.3"/>
    <row r="4394" ht="14.4" x14ac:dyDescent="0.3"/>
    <row r="4395" ht="14.4" x14ac:dyDescent="0.3"/>
    <row r="4396" ht="14.4" x14ac:dyDescent="0.3"/>
    <row r="4397" ht="14.4" x14ac:dyDescent="0.3"/>
    <row r="4398" ht="14.4" x14ac:dyDescent="0.3"/>
    <row r="4399" ht="14.4" x14ac:dyDescent="0.3"/>
    <row r="4400" ht="14.4" x14ac:dyDescent="0.3"/>
    <row r="4401" ht="14.4" x14ac:dyDescent="0.3"/>
    <row r="4402" ht="14.4" x14ac:dyDescent="0.3"/>
    <row r="4403" ht="14.4" x14ac:dyDescent="0.3"/>
    <row r="4404" ht="14.4" x14ac:dyDescent="0.3"/>
    <row r="4405" ht="14.4" x14ac:dyDescent="0.3"/>
    <row r="4406" ht="14.4" x14ac:dyDescent="0.3"/>
    <row r="4407" ht="14.4" x14ac:dyDescent="0.3"/>
    <row r="4408" ht="14.4" x14ac:dyDescent="0.3"/>
    <row r="4409" ht="14.4" x14ac:dyDescent="0.3"/>
    <row r="4410" ht="14.4" x14ac:dyDescent="0.3"/>
    <row r="4411" ht="14.4" x14ac:dyDescent="0.3"/>
    <row r="4412" ht="14.4" x14ac:dyDescent="0.3"/>
    <row r="4413" ht="14.4" x14ac:dyDescent="0.3"/>
    <row r="4414" ht="14.4" x14ac:dyDescent="0.3"/>
    <row r="4415" ht="14.4" x14ac:dyDescent="0.3"/>
    <row r="4416" ht="14.4" x14ac:dyDescent="0.3"/>
    <row r="4417" ht="14.4" x14ac:dyDescent="0.3"/>
    <row r="4418" ht="14.4" x14ac:dyDescent="0.3"/>
    <row r="4419" ht="14.4" x14ac:dyDescent="0.3"/>
    <row r="4420" ht="14.4" x14ac:dyDescent="0.3"/>
    <row r="4421" ht="14.4" x14ac:dyDescent="0.3"/>
    <row r="4422" ht="14.4" x14ac:dyDescent="0.3"/>
    <row r="4423" ht="14.4" x14ac:dyDescent="0.3"/>
    <row r="4424" ht="14.4" x14ac:dyDescent="0.3"/>
    <row r="4425" ht="14.4" x14ac:dyDescent="0.3"/>
    <row r="4426" ht="14.4" x14ac:dyDescent="0.3"/>
    <row r="4427" ht="14.4" x14ac:dyDescent="0.3"/>
    <row r="4428" ht="14.4" x14ac:dyDescent="0.3"/>
    <row r="4429" ht="14.4" x14ac:dyDescent="0.3"/>
    <row r="4430" ht="14.4" x14ac:dyDescent="0.3"/>
    <row r="4431" ht="14.4" x14ac:dyDescent="0.3"/>
    <row r="4432" ht="14.4" x14ac:dyDescent="0.3"/>
    <row r="4433" ht="14.4" x14ac:dyDescent="0.3"/>
    <row r="4434" ht="14.4" x14ac:dyDescent="0.3"/>
    <row r="4435" ht="14.4" x14ac:dyDescent="0.3"/>
    <row r="4436" ht="14.4" x14ac:dyDescent="0.3"/>
    <row r="4437" ht="14.4" x14ac:dyDescent="0.3"/>
    <row r="4438" ht="14.4" x14ac:dyDescent="0.3"/>
    <row r="4439" ht="14.4" x14ac:dyDescent="0.3"/>
    <row r="4440" ht="14.4" x14ac:dyDescent="0.3"/>
    <row r="4441" ht="14.4" x14ac:dyDescent="0.3"/>
    <row r="4442" ht="14.4" x14ac:dyDescent="0.3"/>
    <row r="4443" ht="14.4" x14ac:dyDescent="0.3"/>
    <row r="4444" ht="14.4" x14ac:dyDescent="0.3"/>
    <row r="4445" ht="14.4" x14ac:dyDescent="0.3"/>
    <row r="4446" ht="14.4" x14ac:dyDescent="0.3"/>
    <row r="4447" ht="14.4" x14ac:dyDescent="0.3"/>
    <row r="4448" ht="14.4" x14ac:dyDescent="0.3"/>
    <row r="4449" ht="14.4" x14ac:dyDescent="0.3"/>
    <row r="4450" ht="14.4" x14ac:dyDescent="0.3"/>
    <row r="4451" ht="14.4" x14ac:dyDescent="0.3"/>
    <row r="4452" ht="14.4" x14ac:dyDescent="0.3"/>
    <row r="4453" ht="14.4" x14ac:dyDescent="0.3"/>
    <row r="4454" ht="14.4" x14ac:dyDescent="0.3"/>
    <row r="4455" ht="14.4" x14ac:dyDescent="0.3"/>
    <row r="4456" ht="14.4" x14ac:dyDescent="0.3"/>
    <row r="4457" ht="14.4" x14ac:dyDescent="0.3"/>
    <row r="4458" ht="14.4" x14ac:dyDescent="0.3"/>
    <row r="4459" ht="14.4" x14ac:dyDescent="0.3"/>
    <row r="4460" ht="14.4" x14ac:dyDescent="0.3"/>
    <row r="4461" ht="14.4" x14ac:dyDescent="0.3"/>
    <row r="4462" ht="14.4" x14ac:dyDescent="0.3"/>
    <row r="4463" ht="14.4" x14ac:dyDescent="0.3"/>
    <row r="4464" ht="14.4" x14ac:dyDescent="0.3"/>
    <row r="4465" ht="14.4" x14ac:dyDescent="0.3"/>
    <row r="4466" ht="14.4" x14ac:dyDescent="0.3"/>
    <row r="4467" ht="14.4" x14ac:dyDescent="0.3"/>
    <row r="4468" ht="14.4" x14ac:dyDescent="0.3"/>
    <row r="4469" ht="14.4" x14ac:dyDescent="0.3"/>
    <row r="4470" ht="14.4" x14ac:dyDescent="0.3"/>
    <row r="4471" ht="14.4" x14ac:dyDescent="0.3"/>
    <row r="4472" ht="14.4" x14ac:dyDescent="0.3"/>
    <row r="4473" ht="14.4" x14ac:dyDescent="0.3"/>
    <row r="4474" ht="14.4" x14ac:dyDescent="0.3"/>
    <row r="4475" ht="14.4" x14ac:dyDescent="0.3"/>
    <row r="4476" ht="14.4" x14ac:dyDescent="0.3"/>
    <row r="4477" ht="14.4" x14ac:dyDescent="0.3"/>
    <row r="4478" ht="14.4" x14ac:dyDescent="0.3"/>
    <row r="4479" ht="14.4" x14ac:dyDescent="0.3"/>
    <row r="4480" ht="14.4" x14ac:dyDescent="0.3"/>
    <row r="4481" ht="14.4" x14ac:dyDescent="0.3"/>
    <row r="4482" ht="14.4" x14ac:dyDescent="0.3"/>
    <row r="4483" ht="14.4" x14ac:dyDescent="0.3"/>
    <row r="4484" ht="14.4" x14ac:dyDescent="0.3"/>
    <row r="4485" ht="14.4" x14ac:dyDescent="0.3"/>
    <row r="4486" ht="14.4" x14ac:dyDescent="0.3"/>
    <row r="4487" ht="14.4" x14ac:dyDescent="0.3"/>
    <row r="4488" ht="14.4" x14ac:dyDescent="0.3"/>
    <row r="4489" ht="14.4" x14ac:dyDescent="0.3"/>
    <row r="4490" ht="14.4" x14ac:dyDescent="0.3"/>
    <row r="4491" ht="14.4" x14ac:dyDescent="0.3"/>
    <row r="4492" ht="14.4" x14ac:dyDescent="0.3"/>
    <row r="4493" ht="14.4" x14ac:dyDescent="0.3"/>
    <row r="4494" ht="14.4" x14ac:dyDescent="0.3"/>
    <row r="4495" ht="14.4" x14ac:dyDescent="0.3"/>
    <row r="4496" ht="14.4" x14ac:dyDescent="0.3"/>
    <row r="4497" ht="14.4" x14ac:dyDescent="0.3"/>
    <row r="4498" ht="14.4" x14ac:dyDescent="0.3"/>
    <row r="4499" ht="14.4" x14ac:dyDescent="0.3"/>
    <row r="4500" ht="14.4" x14ac:dyDescent="0.3"/>
    <row r="4501" ht="14.4" x14ac:dyDescent="0.3"/>
    <row r="4502" ht="14.4" x14ac:dyDescent="0.3"/>
    <row r="4503" ht="14.4" x14ac:dyDescent="0.3"/>
    <row r="4504" ht="14.4" x14ac:dyDescent="0.3"/>
    <row r="4505" ht="14.4" x14ac:dyDescent="0.3"/>
    <row r="4506" ht="14.4" x14ac:dyDescent="0.3"/>
    <row r="4507" ht="14.4" x14ac:dyDescent="0.3"/>
    <row r="4508" ht="14.4" x14ac:dyDescent="0.3"/>
    <row r="4509" ht="14.4" x14ac:dyDescent="0.3"/>
    <row r="4510" ht="14.4" x14ac:dyDescent="0.3"/>
    <row r="4511" ht="14.4" x14ac:dyDescent="0.3"/>
    <row r="4512" ht="14.4" x14ac:dyDescent="0.3"/>
    <row r="4513" ht="14.4" x14ac:dyDescent="0.3"/>
    <row r="4514" ht="14.4" x14ac:dyDescent="0.3"/>
    <row r="4515" ht="14.4" x14ac:dyDescent="0.3"/>
    <row r="4516" ht="14.4" x14ac:dyDescent="0.3"/>
    <row r="4517" ht="14.4" x14ac:dyDescent="0.3"/>
    <row r="4518" ht="14.4" x14ac:dyDescent="0.3"/>
    <row r="4519" ht="14.4" x14ac:dyDescent="0.3"/>
    <row r="4520" ht="14.4" x14ac:dyDescent="0.3"/>
    <row r="4521" ht="14.4" x14ac:dyDescent="0.3"/>
    <row r="4522" ht="14.4" x14ac:dyDescent="0.3"/>
    <row r="4523" ht="14.4" x14ac:dyDescent="0.3"/>
    <row r="4524" ht="14.4" x14ac:dyDescent="0.3"/>
    <row r="4525" ht="14.4" x14ac:dyDescent="0.3"/>
    <row r="4526" ht="14.4" x14ac:dyDescent="0.3"/>
    <row r="4527" ht="14.4" x14ac:dyDescent="0.3"/>
    <row r="4528" ht="14.4" x14ac:dyDescent="0.3"/>
    <row r="4529" ht="14.4" x14ac:dyDescent="0.3"/>
    <row r="4530" ht="14.4" x14ac:dyDescent="0.3"/>
    <row r="4531" ht="14.4" x14ac:dyDescent="0.3"/>
    <row r="4532" ht="14.4" x14ac:dyDescent="0.3"/>
    <row r="4533" ht="14.4" x14ac:dyDescent="0.3"/>
    <row r="4534" ht="14.4" x14ac:dyDescent="0.3"/>
    <row r="4535" ht="14.4" x14ac:dyDescent="0.3"/>
    <row r="4536" ht="14.4" x14ac:dyDescent="0.3"/>
    <row r="4537" ht="14.4" x14ac:dyDescent="0.3"/>
    <row r="4538" ht="14.4" x14ac:dyDescent="0.3"/>
    <row r="4539" ht="14.4" x14ac:dyDescent="0.3"/>
    <row r="4540" ht="14.4" x14ac:dyDescent="0.3"/>
    <row r="4541" ht="14.4" x14ac:dyDescent="0.3"/>
    <row r="4542" ht="14.4" x14ac:dyDescent="0.3"/>
    <row r="4543" ht="14.4" x14ac:dyDescent="0.3"/>
    <row r="4544" ht="14.4" x14ac:dyDescent="0.3"/>
    <row r="4545" ht="14.4" x14ac:dyDescent="0.3"/>
    <row r="4546" ht="14.4" x14ac:dyDescent="0.3"/>
    <row r="4547" ht="14.4" x14ac:dyDescent="0.3"/>
    <row r="4548" ht="14.4" x14ac:dyDescent="0.3"/>
    <row r="4549" ht="14.4" x14ac:dyDescent="0.3"/>
    <row r="4550" ht="14.4" x14ac:dyDescent="0.3"/>
    <row r="4551" ht="14.4" x14ac:dyDescent="0.3"/>
    <row r="4552" ht="14.4" x14ac:dyDescent="0.3"/>
    <row r="4553" ht="14.4" x14ac:dyDescent="0.3"/>
    <row r="4554" ht="14.4" x14ac:dyDescent="0.3"/>
    <row r="4555" ht="14.4" x14ac:dyDescent="0.3"/>
    <row r="4556" ht="14.4" x14ac:dyDescent="0.3"/>
    <row r="4557" ht="14.4" x14ac:dyDescent="0.3"/>
    <row r="4558" ht="14.4" x14ac:dyDescent="0.3"/>
    <row r="4559" ht="14.4" x14ac:dyDescent="0.3"/>
    <row r="4560" ht="14.4" x14ac:dyDescent="0.3"/>
    <row r="4561" ht="14.4" x14ac:dyDescent="0.3"/>
    <row r="4562" ht="14.4" x14ac:dyDescent="0.3"/>
    <row r="4563" ht="14.4" x14ac:dyDescent="0.3"/>
    <row r="4564" ht="14.4" x14ac:dyDescent="0.3"/>
    <row r="4565" ht="14.4" x14ac:dyDescent="0.3"/>
    <row r="4566" ht="14.4" x14ac:dyDescent="0.3"/>
    <row r="4567" ht="14.4" x14ac:dyDescent="0.3"/>
    <row r="4568" ht="14.4" x14ac:dyDescent="0.3"/>
    <row r="4569" ht="14.4" x14ac:dyDescent="0.3"/>
    <row r="4570" ht="14.4" x14ac:dyDescent="0.3"/>
    <row r="4571" ht="14.4" x14ac:dyDescent="0.3"/>
    <row r="4572" ht="14.4" x14ac:dyDescent="0.3"/>
    <row r="4573" ht="14.4" x14ac:dyDescent="0.3"/>
    <row r="4574" ht="14.4" x14ac:dyDescent="0.3"/>
    <row r="4575" ht="14.4" x14ac:dyDescent="0.3"/>
    <row r="4576" ht="14.4" x14ac:dyDescent="0.3"/>
    <row r="4577" ht="14.4" x14ac:dyDescent="0.3"/>
    <row r="4578" ht="14.4" x14ac:dyDescent="0.3"/>
    <row r="4579" ht="14.4" x14ac:dyDescent="0.3"/>
    <row r="4580" ht="14.4" x14ac:dyDescent="0.3"/>
    <row r="4581" ht="14.4" x14ac:dyDescent="0.3"/>
    <row r="4582" ht="14.4" x14ac:dyDescent="0.3"/>
    <row r="4583" ht="14.4" x14ac:dyDescent="0.3"/>
    <row r="4584" ht="14.4" x14ac:dyDescent="0.3"/>
    <row r="4585" ht="14.4" x14ac:dyDescent="0.3"/>
    <row r="4586" ht="14.4" x14ac:dyDescent="0.3"/>
    <row r="4587" ht="14.4" x14ac:dyDescent="0.3"/>
    <row r="4588" ht="14.4" x14ac:dyDescent="0.3"/>
    <row r="4589" ht="14.4" x14ac:dyDescent="0.3"/>
    <row r="4590" ht="14.4" x14ac:dyDescent="0.3"/>
    <row r="4591" ht="14.4" x14ac:dyDescent="0.3"/>
    <row r="4592" ht="14.4" x14ac:dyDescent="0.3"/>
    <row r="4593" ht="14.4" x14ac:dyDescent="0.3"/>
    <row r="4594" ht="14.4" x14ac:dyDescent="0.3"/>
    <row r="4595" ht="14.4" x14ac:dyDescent="0.3"/>
    <row r="4596" ht="14.4" x14ac:dyDescent="0.3"/>
    <row r="4597" ht="14.4" x14ac:dyDescent="0.3"/>
    <row r="4598" ht="14.4" x14ac:dyDescent="0.3"/>
    <row r="4599" ht="14.4" x14ac:dyDescent="0.3"/>
    <row r="4600" ht="14.4" x14ac:dyDescent="0.3"/>
    <row r="4601" ht="14.4" x14ac:dyDescent="0.3"/>
    <row r="4602" ht="14.4" x14ac:dyDescent="0.3"/>
    <row r="4603" ht="14.4" x14ac:dyDescent="0.3"/>
    <row r="4604" ht="14.4" x14ac:dyDescent="0.3"/>
    <row r="4605" ht="14.4" x14ac:dyDescent="0.3"/>
    <row r="4606" ht="14.4" x14ac:dyDescent="0.3"/>
    <row r="4607" ht="14.4" x14ac:dyDescent="0.3"/>
    <row r="4608" ht="14.4" x14ac:dyDescent="0.3"/>
    <row r="4609" ht="14.4" x14ac:dyDescent="0.3"/>
    <row r="4610" ht="14.4" x14ac:dyDescent="0.3"/>
    <row r="4611" ht="14.4" x14ac:dyDescent="0.3"/>
    <row r="4612" ht="14.4" x14ac:dyDescent="0.3"/>
    <row r="4613" ht="14.4" x14ac:dyDescent="0.3"/>
    <row r="4614" ht="14.4" x14ac:dyDescent="0.3"/>
    <row r="4615" ht="14.4" x14ac:dyDescent="0.3"/>
    <row r="4616" ht="14.4" x14ac:dyDescent="0.3"/>
    <row r="4617" ht="14.4" x14ac:dyDescent="0.3"/>
    <row r="4618" ht="14.4" x14ac:dyDescent="0.3"/>
    <row r="4619" ht="14.4" x14ac:dyDescent="0.3"/>
    <row r="4620" ht="14.4" x14ac:dyDescent="0.3"/>
    <row r="4621" ht="14.4" x14ac:dyDescent="0.3"/>
    <row r="4622" ht="14.4" x14ac:dyDescent="0.3"/>
    <row r="4623" ht="14.4" x14ac:dyDescent="0.3"/>
    <row r="4624" ht="14.4" x14ac:dyDescent="0.3"/>
    <row r="4625" ht="14.4" x14ac:dyDescent="0.3"/>
    <row r="4626" ht="14.4" x14ac:dyDescent="0.3"/>
    <row r="4627" ht="14.4" x14ac:dyDescent="0.3"/>
    <row r="4628" ht="14.4" x14ac:dyDescent="0.3"/>
    <row r="4629" ht="14.4" x14ac:dyDescent="0.3"/>
    <row r="4630" ht="14.4" x14ac:dyDescent="0.3"/>
    <row r="4631" ht="14.4" x14ac:dyDescent="0.3"/>
    <row r="4632" ht="14.4" x14ac:dyDescent="0.3"/>
    <row r="4633" ht="14.4" x14ac:dyDescent="0.3"/>
    <row r="4634" ht="14.4" x14ac:dyDescent="0.3"/>
    <row r="4635" ht="14.4" x14ac:dyDescent="0.3"/>
    <row r="4636" ht="14.4" x14ac:dyDescent="0.3"/>
    <row r="4637" ht="14.4" x14ac:dyDescent="0.3"/>
    <row r="4638" ht="14.4" x14ac:dyDescent="0.3"/>
    <row r="4639" ht="14.4" x14ac:dyDescent="0.3"/>
    <row r="4640" ht="14.4" x14ac:dyDescent="0.3"/>
    <row r="4641" ht="14.4" x14ac:dyDescent="0.3"/>
    <row r="4642" ht="14.4" x14ac:dyDescent="0.3"/>
    <row r="4643" ht="14.4" x14ac:dyDescent="0.3"/>
    <row r="4644" ht="14.4" x14ac:dyDescent="0.3"/>
    <row r="4645" ht="14.4" x14ac:dyDescent="0.3"/>
    <row r="4646" ht="14.4" x14ac:dyDescent="0.3"/>
    <row r="4647" ht="14.4" x14ac:dyDescent="0.3"/>
    <row r="4648" ht="14.4" x14ac:dyDescent="0.3"/>
    <row r="4649" ht="14.4" x14ac:dyDescent="0.3"/>
    <row r="4650" ht="14.4" x14ac:dyDescent="0.3"/>
    <row r="4651" ht="14.4" x14ac:dyDescent="0.3"/>
    <row r="4652" ht="14.4" x14ac:dyDescent="0.3"/>
    <row r="4653" ht="14.4" x14ac:dyDescent="0.3"/>
    <row r="4654" ht="14.4" x14ac:dyDescent="0.3"/>
    <row r="4655" ht="14.4" x14ac:dyDescent="0.3"/>
    <row r="4656" ht="14.4" x14ac:dyDescent="0.3"/>
    <row r="4657" ht="14.4" x14ac:dyDescent="0.3"/>
    <row r="4658" ht="14.4" x14ac:dyDescent="0.3"/>
    <row r="4659" ht="14.4" x14ac:dyDescent="0.3"/>
    <row r="4660" ht="14.4" x14ac:dyDescent="0.3"/>
    <row r="4661" ht="14.4" x14ac:dyDescent="0.3"/>
    <row r="4662" ht="14.4" x14ac:dyDescent="0.3"/>
    <row r="4663" ht="14.4" x14ac:dyDescent="0.3"/>
    <row r="4664" ht="14.4" x14ac:dyDescent="0.3"/>
    <row r="4665" ht="14.4" x14ac:dyDescent="0.3"/>
    <row r="4666" ht="14.4" x14ac:dyDescent="0.3"/>
    <row r="4667" ht="14.4" x14ac:dyDescent="0.3"/>
    <row r="4668" ht="14.4" x14ac:dyDescent="0.3"/>
    <row r="4669" ht="14.4" x14ac:dyDescent="0.3"/>
    <row r="4670" ht="14.4" x14ac:dyDescent="0.3"/>
    <row r="4671" ht="14.4" x14ac:dyDescent="0.3"/>
    <row r="4672" ht="14.4" x14ac:dyDescent="0.3"/>
    <row r="4673" ht="14.4" x14ac:dyDescent="0.3"/>
    <row r="4674" ht="14.4" x14ac:dyDescent="0.3"/>
    <row r="4675" ht="14.4" x14ac:dyDescent="0.3"/>
    <row r="4676" ht="14.4" x14ac:dyDescent="0.3"/>
    <row r="4677" ht="14.4" x14ac:dyDescent="0.3"/>
    <row r="4678" ht="14.4" x14ac:dyDescent="0.3"/>
    <row r="4679" ht="14.4" x14ac:dyDescent="0.3"/>
    <row r="4680" ht="14.4" x14ac:dyDescent="0.3"/>
    <row r="4681" ht="14.4" x14ac:dyDescent="0.3"/>
    <row r="4682" ht="14.4" x14ac:dyDescent="0.3"/>
    <row r="4683" ht="14.4" x14ac:dyDescent="0.3"/>
    <row r="4684" ht="14.4" x14ac:dyDescent="0.3"/>
    <row r="4685" ht="14.4" x14ac:dyDescent="0.3"/>
    <row r="4686" ht="14.4" x14ac:dyDescent="0.3"/>
    <row r="4687" ht="14.4" x14ac:dyDescent="0.3"/>
    <row r="4688" ht="14.4" x14ac:dyDescent="0.3"/>
    <row r="4689" ht="14.4" x14ac:dyDescent="0.3"/>
    <row r="4690" ht="14.4" x14ac:dyDescent="0.3"/>
    <row r="4691" ht="14.4" x14ac:dyDescent="0.3"/>
    <row r="4692" ht="14.4" x14ac:dyDescent="0.3"/>
    <row r="4693" ht="14.4" x14ac:dyDescent="0.3"/>
    <row r="4694" ht="14.4" x14ac:dyDescent="0.3"/>
    <row r="4695" ht="14.4" x14ac:dyDescent="0.3"/>
    <row r="4696" ht="14.4" x14ac:dyDescent="0.3"/>
    <row r="4697" ht="14.4" x14ac:dyDescent="0.3"/>
    <row r="4698" ht="14.4" x14ac:dyDescent="0.3"/>
    <row r="4699" ht="14.4" x14ac:dyDescent="0.3"/>
    <row r="4700" ht="14.4" x14ac:dyDescent="0.3"/>
    <row r="4701" ht="14.4" x14ac:dyDescent="0.3"/>
    <row r="4702" ht="14.4" x14ac:dyDescent="0.3"/>
    <row r="4703" ht="14.4" x14ac:dyDescent="0.3"/>
    <row r="4704" ht="14.4" x14ac:dyDescent="0.3"/>
    <row r="4705" ht="14.4" x14ac:dyDescent="0.3"/>
    <row r="4706" ht="14.4" x14ac:dyDescent="0.3"/>
    <row r="4707" ht="14.4" x14ac:dyDescent="0.3"/>
    <row r="4708" ht="14.4" x14ac:dyDescent="0.3"/>
    <row r="4709" ht="14.4" x14ac:dyDescent="0.3"/>
    <row r="4710" ht="14.4" x14ac:dyDescent="0.3"/>
    <row r="4711" ht="14.4" x14ac:dyDescent="0.3"/>
    <row r="4712" ht="14.4" x14ac:dyDescent="0.3"/>
    <row r="4713" ht="14.4" x14ac:dyDescent="0.3"/>
    <row r="4714" ht="14.4" x14ac:dyDescent="0.3"/>
    <row r="4715" ht="14.4" x14ac:dyDescent="0.3"/>
    <row r="4716" ht="14.4" x14ac:dyDescent="0.3"/>
    <row r="4717" ht="14.4" x14ac:dyDescent="0.3"/>
    <row r="4718" ht="14.4" x14ac:dyDescent="0.3"/>
    <row r="4719" ht="14.4" x14ac:dyDescent="0.3"/>
    <row r="4720" ht="14.4" x14ac:dyDescent="0.3"/>
    <row r="4721" ht="14.4" x14ac:dyDescent="0.3"/>
    <row r="4722" ht="14.4" x14ac:dyDescent="0.3"/>
    <row r="4723" ht="14.4" x14ac:dyDescent="0.3"/>
    <row r="4724" ht="14.4" x14ac:dyDescent="0.3"/>
    <row r="4725" ht="14.4" x14ac:dyDescent="0.3"/>
    <row r="4726" ht="14.4" x14ac:dyDescent="0.3"/>
    <row r="4727" ht="14.4" x14ac:dyDescent="0.3"/>
    <row r="4728" ht="14.4" x14ac:dyDescent="0.3"/>
    <row r="4729" ht="14.4" x14ac:dyDescent="0.3"/>
    <row r="4730" ht="14.4" x14ac:dyDescent="0.3"/>
    <row r="4731" ht="14.4" x14ac:dyDescent="0.3"/>
    <row r="4732" ht="14.4" x14ac:dyDescent="0.3"/>
    <row r="4733" ht="14.4" x14ac:dyDescent="0.3"/>
    <row r="4734" ht="14.4" x14ac:dyDescent="0.3"/>
    <row r="4735" ht="14.4" x14ac:dyDescent="0.3"/>
    <row r="4736" ht="14.4" x14ac:dyDescent="0.3"/>
    <row r="4737" ht="14.4" x14ac:dyDescent="0.3"/>
    <row r="4738" ht="14.4" x14ac:dyDescent="0.3"/>
    <row r="4739" ht="14.4" x14ac:dyDescent="0.3"/>
    <row r="4740" ht="14.4" x14ac:dyDescent="0.3"/>
    <row r="4741" ht="14.4" x14ac:dyDescent="0.3"/>
    <row r="4742" ht="14.4" x14ac:dyDescent="0.3"/>
    <row r="4743" ht="14.4" x14ac:dyDescent="0.3"/>
    <row r="4744" ht="14.4" x14ac:dyDescent="0.3"/>
    <row r="4745" ht="14.4" x14ac:dyDescent="0.3"/>
    <row r="4746" ht="14.4" x14ac:dyDescent="0.3"/>
    <row r="4747" ht="14.4" x14ac:dyDescent="0.3"/>
    <row r="4748" ht="14.4" x14ac:dyDescent="0.3"/>
    <row r="4749" ht="14.4" x14ac:dyDescent="0.3"/>
    <row r="4750" ht="14.4" x14ac:dyDescent="0.3"/>
    <row r="4751" ht="14.4" x14ac:dyDescent="0.3"/>
    <row r="4752" ht="14.4" x14ac:dyDescent="0.3"/>
    <row r="4753" ht="14.4" x14ac:dyDescent="0.3"/>
    <row r="4754" ht="14.4" x14ac:dyDescent="0.3"/>
    <row r="4755" ht="14.4" x14ac:dyDescent="0.3"/>
    <row r="4756" ht="14.4" x14ac:dyDescent="0.3"/>
    <row r="4757" ht="14.4" x14ac:dyDescent="0.3"/>
    <row r="4758" ht="14.4" x14ac:dyDescent="0.3"/>
    <row r="4759" ht="14.4" x14ac:dyDescent="0.3"/>
    <row r="4760" ht="14.4" x14ac:dyDescent="0.3"/>
    <row r="4761" ht="14.4" x14ac:dyDescent="0.3"/>
    <row r="4762" ht="14.4" x14ac:dyDescent="0.3"/>
    <row r="4763" ht="14.4" x14ac:dyDescent="0.3"/>
    <row r="4764" ht="14.4" x14ac:dyDescent="0.3"/>
    <row r="4765" ht="14.4" x14ac:dyDescent="0.3"/>
    <row r="4766" ht="14.4" x14ac:dyDescent="0.3"/>
    <row r="4767" ht="14.4" x14ac:dyDescent="0.3"/>
    <row r="4768" ht="14.4" x14ac:dyDescent="0.3"/>
    <row r="4769" ht="14.4" x14ac:dyDescent="0.3"/>
    <row r="4770" ht="14.4" x14ac:dyDescent="0.3"/>
    <row r="4771" ht="14.4" x14ac:dyDescent="0.3"/>
    <row r="4772" ht="14.4" x14ac:dyDescent="0.3"/>
    <row r="4773" ht="14.4" x14ac:dyDescent="0.3"/>
    <row r="4774" ht="14.4" x14ac:dyDescent="0.3"/>
    <row r="4775" ht="14.4" x14ac:dyDescent="0.3"/>
    <row r="4776" ht="14.4" x14ac:dyDescent="0.3"/>
    <row r="4777" ht="14.4" x14ac:dyDescent="0.3"/>
    <row r="4778" ht="14.4" x14ac:dyDescent="0.3"/>
    <row r="4779" ht="14.4" x14ac:dyDescent="0.3"/>
    <row r="4780" ht="14.4" x14ac:dyDescent="0.3"/>
    <row r="4781" ht="14.4" x14ac:dyDescent="0.3"/>
    <row r="4782" ht="14.4" x14ac:dyDescent="0.3"/>
    <row r="4783" ht="14.4" x14ac:dyDescent="0.3"/>
    <row r="4784" ht="14.4" x14ac:dyDescent="0.3"/>
    <row r="4785" ht="14.4" x14ac:dyDescent="0.3"/>
    <row r="4786" ht="14.4" x14ac:dyDescent="0.3"/>
    <row r="4787" ht="14.4" x14ac:dyDescent="0.3"/>
    <row r="4788" ht="14.4" x14ac:dyDescent="0.3"/>
    <row r="4789" ht="14.4" x14ac:dyDescent="0.3"/>
    <row r="4790" ht="14.4" x14ac:dyDescent="0.3"/>
    <row r="4791" ht="14.4" x14ac:dyDescent="0.3"/>
    <row r="4792" ht="14.4" x14ac:dyDescent="0.3"/>
    <row r="4793" ht="14.4" x14ac:dyDescent="0.3"/>
    <row r="4794" ht="14.4" x14ac:dyDescent="0.3"/>
    <row r="4795" ht="14.4" x14ac:dyDescent="0.3"/>
    <row r="4796" ht="14.4" x14ac:dyDescent="0.3"/>
    <row r="4797" ht="14.4" x14ac:dyDescent="0.3"/>
    <row r="4798" ht="14.4" x14ac:dyDescent="0.3"/>
    <row r="4799" ht="14.4" x14ac:dyDescent="0.3"/>
    <row r="4800" ht="14.4" x14ac:dyDescent="0.3"/>
    <row r="4801" ht="14.4" x14ac:dyDescent="0.3"/>
    <row r="4802" ht="14.4" x14ac:dyDescent="0.3"/>
    <row r="4803" ht="14.4" x14ac:dyDescent="0.3"/>
    <row r="4804" ht="14.4" x14ac:dyDescent="0.3"/>
    <row r="4805" ht="14.4" x14ac:dyDescent="0.3"/>
    <row r="4806" ht="14.4" x14ac:dyDescent="0.3"/>
    <row r="4807" ht="14.4" x14ac:dyDescent="0.3"/>
    <row r="4808" ht="14.4" x14ac:dyDescent="0.3"/>
    <row r="4809" ht="14.4" x14ac:dyDescent="0.3"/>
    <row r="4810" ht="14.4" x14ac:dyDescent="0.3"/>
    <row r="4811" ht="14.4" x14ac:dyDescent="0.3"/>
    <row r="4812" ht="14.4" x14ac:dyDescent="0.3"/>
    <row r="4813" ht="14.4" x14ac:dyDescent="0.3"/>
    <row r="4814" ht="14.4" x14ac:dyDescent="0.3"/>
    <row r="4815" ht="14.4" x14ac:dyDescent="0.3"/>
    <row r="4816" ht="14.4" x14ac:dyDescent="0.3"/>
    <row r="4817" ht="14.4" x14ac:dyDescent="0.3"/>
    <row r="4818" ht="14.4" x14ac:dyDescent="0.3"/>
    <row r="4819" ht="14.4" x14ac:dyDescent="0.3"/>
    <row r="4820" ht="14.4" x14ac:dyDescent="0.3"/>
    <row r="4821" ht="14.4" x14ac:dyDescent="0.3"/>
    <row r="4822" ht="14.4" x14ac:dyDescent="0.3"/>
    <row r="4823" ht="14.4" x14ac:dyDescent="0.3"/>
    <row r="4824" ht="14.4" x14ac:dyDescent="0.3"/>
    <row r="4825" ht="14.4" x14ac:dyDescent="0.3"/>
    <row r="4826" ht="14.4" x14ac:dyDescent="0.3"/>
    <row r="4827" ht="14.4" x14ac:dyDescent="0.3"/>
    <row r="4828" ht="14.4" x14ac:dyDescent="0.3"/>
    <row r="4829" ht="14.4" x14ac:dyDescent="0.3"/>
    <row r="4830" ht="14.4" x14ac:dyDescent="0.3"/>
    <row r="4831" ht="14.4" x14ac:dyDescent="0.3"/>
    <row r="4832" ht="14.4" x14ac:dyDescent="0.3"/>
    <row r="4833" ht="14.4" x14ac:dyDescent="0.3"/>
    <row r="4834" ht="14.4" x14ac:dyDescent="0.3"/>
    <row r="4835" ht="14.4" x14ac:dyDescent="0.3"/>
    <row r="4836" ht="14.4" x14ac:dyDescent="0.3"/>
    <row r="4837" ht="14.4" x14ac:dyDescent="0.3"/>
    <row r="4838" ht="14.4" x14ac:dyDescent="0.3"/>
    <row r="4839" ht="14.4" x14ac:dyDescent="0.3"/>
    <row r="4840" ht="14.4" x14ac:dyDescent="0.3"/>
    <row r="4841" ht="14.4" x14ac:dyDescent="0.3"/>
    <row r="4842" ht="14.4" x14ac:dyDescent="0.3"/>
    <row r="4843" ht="14.4" x14ac:dyDescent="0.3"/>
    <row r="4844" ht="14.4" x14ac:dyDescent="0.3"/>
    <row r="4845" ht="14.4" x14ac:dyDescent="0.3"/>
    <row r="4846" ht="14.4" x14ac:dyDescent="0.3"/>
    <row r="4847" ht="14.4" x14ac:dyDescent="0.3"/>
    <row r="4848" ht="14.4" x14ac:dyDescent="0.3"/>
    <row r="4849" ht="14.4" x14ac:dyDescent="0.3"/>
    <row r="4850" ht="14.4" x14ac:dyDescent="0.3"/>
    <row r="4851" ht="14.4" x14ac:dyDescent="0.3"/>
    <row r="4852" ht="14.4" x14ac:dyDescent="0.3"/>
    <row r="4853" ht="14.4" x14ac:dyDescent="0.3"/>
    <row r="4854" ht="14.4" x14ac:dyDescent="0.3"/>
    <row r="4855" ht="14.4" x14ac:dyDescent="0.3"/>
    <row r="4856" ht="14.4" x14ac:dyDescent="0.3"/>
    <row r="4857" ht="14.4" x14ac:dyDescent="0.3"/>
    <row r="4858" ht="14.4" x14ac:dyDescent="0.3"/>
    <row r="4859" ht="14.4" x14ac:dyDescent="0.3"/>
    <row r="4860" ht="14.4" x14ac:dyDescent="0.3"/>
    <row r="4861" ht="14.4" x14ac:dyDescent="0.3"/>
    <row r="4862" ht="14.4" x14ac:dyDescent="0.3"/>
    <row r="4863" ht="14.4" x14ac:dyDescent="0.3"/>
    <row r="4864" ht="14.4" x14ac:dyDescent="0.3"/>
    <row r="4865" ht="14.4" x14ac:dyDescent="0.3"/>
    <row r="4866" ht="14.4" x14ac:dyDescent="0.3"/>
    <row r="4867" ht="14.4" x14ac:dyDescent="0.3"/>
    <row r="4868" ht="14.4" x14ac:dyDescent="0.3"/>
    <row r="4869" ht="14.4" x14ac:dyDescent="0.3"/>
    <row r="4870" ht="14.4" x14ac:dyDescent="0.3"/>
    <row r="4871" ht="14.4" x14ac:dyDescent="0.3"/>
    <row r="4872" ht="14.4" x14ac:dyDescent="0.3"/>
    <row r="4873" ht="14.4" x14ac:dyDescent="0.3"/>
    <row r="4874" ht="14.4" x14ac:dyDescent="0.3"/>
    <row r="4875" ht="14.4" x14ac:dyDescent="0.3"/>
    <row r="4876" ht="14.4" x14ac:dyDescent="0.3"/>
    <row r="4877" ht="14.4" x14ac:dyDescent="0.3"/>
    <row r="4878" ht="14.4" x14ac:dyDescent="0.3"/>
    <row r="4879" ht="14.4" x14ac:dyDescent="0.3"/>
    <row r="4880" ht="14.4" x14ac:dyDescent="0.3"/>
    <row r="4881" ht="14.4" x14ac:dyDescent="0.3"/>
    <row r="4882" ht="14.4" x14ac:dyDescent="0.3"/>
    <row r="4883" ht="14.4" x14ac:dyDescent="0.3"/>
    <row r="4884" ht="14.4" x14ac:dyDescent="0.3"/>
    <row r="4885" ht="14.4" x14ac:dyDescent="0.3"/>
    <row r="4886" ht="14.4" x14ac:dyDescent="0.3"/>
    <row r="4887" ht="14.4" x14ac:dyDescent="0.3"/>
    <row r="4888" ht="14.4" x14ac:dyDescent="0.3"/>
    <row r="4889" ht="14.4" x14ac:dyDescent="0.3"/>
    <row r="4890" ht="14.4" x14ac:dyDescent="0.3"/>
    <row r="4891" ht="14.4" x14ac:dyDescent="0.3"/>
    <row r="4892" ht="14.4" x14ac:dyDescent="0.3"/>
    <row r="4893" ht="14.4" x14ac:dyDescent="0.3"/>
    <row r="4894" ht="14.4" x14ac:dyDescent="0.3"/>
    <row r="4895" ht="14.4" x14ac:dyDescent="0.3"/>
    <row r="4896" ht="14.4" x14ac:dyDescent="0.3"/>
    <row r="4897" ht="14.4" x14ac:dyDescent="0.3"/>
    <row r="4898" ht="14.4" x14ac:dyDescent="0.3"/>
    <row r="4899" ht="14.4" x14ac:dyDescent="0.3"/>
    <row r="4900" ht="14.4" x14ac:dyDescent="0.3"/>
    <row r="4901" ht="14.4" x14ac:dyDescent="0.3"/>
    <row r="4902" ht="14.4" x14ac:dyDescent="0.3"/>
    <row r="4903" ht="14.4" x14ac:dyDescent="0.3"/>
    <row r="4904" ht="14.4" x14ac:dyDescent="0.3"/>
    <row r="4905" ht="14.4" x14ac:dyDescent="0.3"/>
    <row r="4906" ht="14.4" x14ac:dyDescent="0.3"/>
    <row r="4907" ht="14.4" x14ac:dyDescent="0.3"/>
    <row r="4908" ht="14.4" x14ac:dyDescent="0.3"/>
    <row r="4909" ht="14.4" x14ac:dyDescent="0.3"/>
    <row r="4910" ht="14.4" x14ac:dyDescent="0.3"/>
    <row r="4911" ht="14.4" x14ac:dyDescent="0.3"/>
    <row r="4912" ht="14.4" x14ac:dyDescent="0.3"/>
    <row r="4913" ht="14.4" x14ac:dyDescent="0.3"/>
    <row r="4914" ht="14.4" x14ac:dyDescent="0.3"/>
    <row r="4915" ht="14.4" x14ac:dyDescent="0.3"/>
    <row r="4916" ht="14.4" x14ac:dyDescent="0.3"/>
    <row r="4917" ht="14.4" x14ac:dyDescent="0.3"/>
    <row r="4918" ht="14.4" x14ac:dyDescent="0.3"/>
    <row r="4919" ht="14.4" x14ac:dyDescent="0.3"/>
    <row r="4920" ht="14.4" x14ac:dyDescent="0.3"/>
    <row r="4921" ht="14.4" x14ac:dyDescent="0.3"/>
    <row r="4922" ht="14.4" x14ac:dyDescent="0.3"/>
    <row r="4923" ht="14.4" x14ac:dyDescent="0.3"/>
    <row r="4924" ht="14.4" x14ac:dyDescent="0.3"/>
    <row r="4925" ht="14.4" x14ac:dyDescent="0.3"/>
    <row r="4926" ht="14.4" x14ac:dyDescent="0.3"/>
    <row r="4927" ht="14.4" x14ac:dyDescent="0.3"/>
    <row r="4928" ht="14.4" x14ac:dyDescent="0.3"/>
    <row r="4929" ht="14.4" x14ac:dyDescent="0.3"/>
    <row r="4930" ht="14.4" x14ac:dyDescent="0.3"/>
    <row r="4931" ht="14.4" x14ac:dyDescent="0.3"/>
    <row r="4932" ht="14.4" x14ac:dyDescent="0.3"/>
    <row r="4933" ht="14.4" x14ac:dyDescent="0.3"/>
    <row r="4934" ht="14.4" x14ac:dyDescent="0.3"/>
    <row r="4935" ht="14.4" x14ac:dyDescent="0.3"/>
    <row r="4936" ht="14.4" x14ac:dyDescent="0.3"/>
    <row r="4937" ht="14.4" x14ac:dyDescent="0.3"/>
    <row r="4938" ht="14.4" x14ac:dyDescent="0.3"/>
    <row r="4939" ht="14.4" x14ac:dyDescent="0.3"/>
    <row r="4940" ht="14.4" x14ac:dyDescent="0.3"/>
    <row r="4941" ht="14.4" x14ac:dyDescent="0.3"/>
    <row r="4942" ht="14.4" x14ac:dyDescent="0.3"/>
    <row r="4943" ht="14.4" x14ac:dyDescent="0.3"/>
    <row r="4944" ht="14.4" x14ac:dyDescent="0.3"/>
    <row r="4945" ht="14.4" x14ac:dyDescent="0.3"/>
    <row r="4946" ht="14.4" x14ac:dyDescent="0.3"/>
    <row r="4947" ht="14.4" x14ac:dyDescent="0.3"/>
    <row r="4948" ht="14.4" x14ac:dyDescent="0.3"/>
    <row r="4949" ht="14.4" x14ac:dyDescent="0.3"/>
    <row r="4950" ht="14.4" x14ac:dyDescent="0.3"/>
    <row r="4951" ht="14.4" x14ac:dyDescent="0.3"/>
    <row r="4952" ht="14.4" x14ac:dyDescent="0.3"/>
    <row r="4953" ht="14.4" x14ac:dyDescent="0.3"/>
    <row r="4954" ht="14.4" x14ac:dyDescent="0.3"/>
    <row r="4955" ht="14.4" x14ac:dyDescent="0.3"/>
    <row r="4956" ht="14.4" x14ac:dyDescent="0.3"/>
    <row r="4957" ht="14.4" x14ac:dyDescent="0.3"/>
    <row r="4958" ht="14.4" x14ac:dyDescent="0.3"/>
    <row r="4959" ht="14.4" x14ac:dyDescent="0.3"/>
    <row r="4960" ht="14.4" x14ac:dyDescent="0.3"/>
    <row r="4961" ht="14.4" x14ac:dyDescent="0.3"/>
    <row r="4962" ht="14.4" x14ac:dyDescent="0.3"/>
    <row r="4963" ht="14.4" x14ac:dyDescent="0.3"/>
    <row r="4964" ht="14.4" x14ac:dyDescent="0.3"/>
    <row r="4965" ht="14.4" x14ac:dyDescent="0.3"/>
    <row r="4966" ht="14.4" x14ac:dyDescent="0.3"/>
    <row r="4967" ht="14.4" x14ac:dyDescent="0.3"/>
    <row r="4968" ht="14.4" x14ac:dyDescent="0.3"/>
    <row r="4969" ht="14.4" x14ac:dyDescent="0.3"/>
    <row r="4970" ht="14.4" x14ac:dyDescent="0.3"/>
    <row r="4971" ht="14.4" x14ac:dyDescent="0.3"/>
    <row r="4972" ht="14.4" x14ac:dyDescent="0.3"/>
    <row r="4973" ht="14.4" x14ac:dyDescent="0.3"/>
    <row r="4974" ht="14.4" x14ac:dyDescent="0.3"/>
    <row r="4975" ht="14.4" x14ac:dyDescent="0.3"/>
    <row r="4976" ht="14.4" x14ac:dyDescent="0.3"/>
    <row r="4977" spans="1:43" ht="14.4" hidden="1" x14ac:dyDescent="0.3">
      <c r="A4977" t="s">
        <v>1269</v>
      </c>
      <c r="B4977">
        <v>4893430</v>
      </c>
      <c r="C4977" t="s">
        <v>842</v>
      </c>
      <c r="D4977" t="s">
        <v>843</v>
      </c>
      <c r="E4977" t="s">
        <v>844</v>
      </c>
      <c r="F4977" t="s">
        <v>1270</v>
      </c>
      <c r="H4977" t="s">
        <v>1271</v>
      </c>
      <c r="J4977" t="s">
        <v>140</v>
      </c>
      <c r="K4977">
        <v>161366.84760000001</v>
      </c>
      <c r="L4977">
        <v>383077.2818</v>
      </c>
      <c r="N4977" t="s">
        <v>382</v>
      </c>
      <c r="O4977" t="s">
        <v>479</v>
      </c>
      <c r="P4977" t="s">
        <v>1272</v>
      </c>
      <c r="Q4977" t="s">
        <v>358</v>
      </c>
      <c r="R4977" t="s">
        <v>145</v>
      </c>
      <c r="S4977">
        <v>35</v>
      </c>
      <c r="T4977">
        <v>3300</v>
      </c>
      <c r="V4977" t="s">
        <v>359</v>
      </c>
      <c r="W4977" t="s">
        <v>415</v>
      </c>
      <c r="X4977" t="s">
        <v>7</v>
      </c>
      <c r="Y4977" t="s">
        <v>1273</v>
      </c>
      <c r="Z4977" t="s">
        <v>479</v>
      </c>
      <c r="AA4977" t="s">
        <v>737</v>
      </c>
      <c r="AB4977">
        <v>0</v>
      </c>
      <c r="AE4977" t="s">
        <v>550</v>
      </c>
      <c r="AF4977" t="s">
        <v>479</v>
      </c>
      <c r="AG4977" t="s">
        <v>737</v>
      </c>
      <c r="AL4977" t="s">
        <v>1274</v>
      </c>
      <c r="AM4977" t="s">
        <v>1275</v>
      </c>
      <c r="AN4977" t="s">
        <v>1276</v>
      </c>
      <c r="AO4977" t="s">
        <v>382</v>
      </c>
      <c r="AQ4977" t="str">
        <f>IF(ISBLANK(AP4977), IFERROR(IF(VLOOKUP(AO4977, Ellens_additions!$A$2:$B$252, 2, FALSE) = "", "", VLOOKUP(AO4977, Ellens_additions!$A$2:$B$252, 2, FALSE)), 0), AP4977)</f>
        <v/>
      </c>
    </row>
    <row r="4978" spans="1:43" ht="14.4" x14ac:dyDescent="0.3"/>
    <row r="4979" spans="1:43" ht="14.4" hidden="1" x14ac:dyDescent="0.3">
      <c r="A4979" t="s">
        <v>1277</v>
      </c>
      <c r="B4979">
        <v>4893433</v>
      </c>
      <c r="C4979" t="s">
        <v>842</v>
      </c>
      <c r="D4979" t="s">
        <v>843</v>
      </c>
      <c r="E4979" t="s">
        <v>844</v>
      </c>
      <c r="F4979" t="s">
        <v>1278</v>
      </c>
      <c r="H4979" t="s">
        <v>1279</v>
      </c>
      <c r="J4979" t="s">
        <v>140</v>
      </c>
      <c r="K4979">
        <v>161376.9277</v>
      </c>
      <c r="L4979">
        <v>383102.40039999998</v>
      </c>
      <c r="N4979" t="s">
        <v>382</v>
      </c>
      <c r="O4979" t="s">
        <v>479</v>
      </c>
      <c r="P4979" t="s">
        <v>1272</v>
      </c>
      <c r="Q4979" t="s">
        <v>358</v>
      </c>
      <c r="R4979" t="s">
        <v>145</v>
      </c>
      <c r="S4979">
        <v>35</v>
      </c>
      <c r="T4979">
        <v>3300</v>
      </c>
      <c r="V4979" t="s">
        <v>359</v>
      </c>
      <c r="W4979" t="s">
        <v>415</v>
      </c>
      <c r="Y4979" t="s">
        <v>1273</v>
      </c>
      <c r="Z4979" t="s">
        <v>479</v>
      </c>
      <c r="AA4979" t="s">
        <v>737</v>
      </c>
      <c r="AB4979">
        <v>0</v>
      </c>
      <c r="AE4979" t="s">
        <v>550</v>
      </c>
      <c r="AF4979" t="s">
        <v>479</v>
      </c>
      <c r="AG4979" t="s">
        <v>737</v>
      </c>
      <c r="AL4979" t="s">
        <v>1280</v>
      </c>
      <c r="AM4979" t="s">
        <v>1281</v>
      </c>
      <c r="AN4979" t="s">
        <v>1282</v>
      </c>
      <c r="AO4979" t="s">
        <v>382</v>
      </c>
      <c r="AQ4979" t="str">
        <f>IF(ISBLANK(AP4979), IFERROR(IF(VLOOKUP(AO4979, Ellens_additions!$A$2:$B$252, 2, FALSE) = "", "", VLOOKUP(AO4979, Ellens_additions!$A$2:$B$252, 2, FALSE)), 0), AP4979)</f>
        <v/>
      </c>
    </row>
    <row r="4980" spans="1:43" ht="14.4" x14ac:dyDescent="0.3"/>
    <row r="4981" spans="1:43" ht="14.4" hidden="1" x14ac:dyDescent="0.3">
      <c r="A4981" t="s">
        <v>1283</v>
      </c>
      <c r="B4981">
        <v>4893434</v>
      </c>
      <c r="C4981" t="s">
        <v>842</v>
      </c>
      <c r="D4981" t="s">
        <v>843</v>
      </c>
      <c r="E4981" t="s">
        <v>844</v>
      </c>
      <c r="F4981" t="s">
        <v>1278</v>
      </c>
      <c r="H4981" t="s">
        <v>1284</v>
      </c>
      <c r="J4981" t="s">
        <v>140</v>
      </c>
      <c r="K4981">
        <v>161380.75339999999</v>
      </c>
      <c r="L4981">
        <v>383105.5736</v>
      </c>
      <c r="N4981" t="s">
        <v>382</v>
      </c>
      <c r="O4981" t="s">
        <v>479</v>
      </c>
      <c r="P4981" t="s">
        <v>1272</v>
      </c>
      <c r="Q4981" t="s">
        <v>358</v>
      </c>
      <c r="R4981" t="s">
        <v>145</v>
      </c>
      <c r="S4981">
        <v>35</v>
      </c>
      <c r="T4981">
        <v>3300</v>
      </c>
      <c r="V4981" t="s">
        <v>359</v>
      </c>
      <c r="W4981" t="s">
        <v>415</v>
      </c>
      <c r="Y4981" t="s">
        <v>1273</v>
      </c>
      <c r="Z4981" t="s">
        <v>479</v>
      </c>
      <c r="AA4981" t="s">
        <v>737</v>
      </c>
      <c r="AB4981">
        <v>0</v>
      </c>
      <c r="AE4981" t="s">
        <v>550</v>
      </c>
      <c r="AF4981" t="s">
        <v>479</v>
      </c>
      <c r="AG4981" t="s">
        <v>737</v>
      </c>
      <c r="AL4981" t="s">
        <v>1285</v>
      </c>
      <c r="AM4981" t="s">
        <v>1286</v>
      </c>
      <c r="AN4981" t="s">
        <v>1287</v>
      </c>
      <c r="AO4981" t="s">
        <v>382</v>
      </c>
      <c r="AQ4981" t="str">
        <f>IF(ISBLANK(AP4981), IFERROR(IF(VLOOKUP(AO4981, Ellens_additions!$A$2:$B$252, 2, FALSE) = "", "", VLOOKUP(AO4981, Ellens_additions!$A$2:$B$252, 2, FALSE)), 0), AP4981)</f>
        <v/>
      </c>
    </row>
    <row r="4982" spans="1:43" ht="14.4" x14ac:dyDescent="0.3"/>
    <row r="4983" spans="1:43" ht="14.4" hidden="1" x14ac:dyDescent="0.3">
      <c r="A4983" t="s">
        <v>1288</v>
      </c>
      <c r="B4983">
        <v>4893436</v>
      </c>
      <c r="C4983" t="s">
        <v>842</v>
      </c>
      <c r="D4983" t="s">
        <v>843</v>
      </c>
      <c r="E4983" t="s">
        <v>844</v>
      </c>
      <c r="F4983" t="s">
        <v>1278</v>
      </c>
      <c r="H4983" t="s">
        <v>1289</v>
      </c>
      <c r="J4983" t="s">
        <v>140</v>
      </c>
      <c r="K4983">
        <v>161389.75779999999</v>
      </c>
      <c r="L4983">
        <v>383112.32500000001</v>
      </c>
      <c r="N4983" t="s">
        <v>382</v>
      </c>
      <c r="O4983" t="s">
        <v>479</v>
      </c>
      <c r="P4983" t="s">
        <v>1272</v>
      </c>
      <c r="Q4983" t="s">
        <v>358</v>
      </c>
      <c r="R4983" t="s">
        <v>145</v>
      </c>
      <c r="S4983">
        <v>35</v>
      </c>
      <c r="T4983">
        <v>3300</v>
      </c>
      <c r="V4983" t="s">
        <v>359</v>
      </c>
      <c r="W4983" t="s">
        <v>415</v>
      </c>
      <c r="Y4983" t="s">
        <v>1273</v>
      </c>
      <c r="Z4983" t="s">
        <v>479</v>
      </c>
      <c r="AA4983" t="s">
        <v>737</v>
      </c>
      <c r="AB4983">
        <v>0</v>
      </c>
      <c r="AE4983" t="s">
        <v>550</v>
      </c>
      <c r="AF4983" t="s">
        <v>479</v>
      </c>
      <c r="AG4983" t="s">
        <v>737</v>
      </c>
      <c r="AL4983" t="s">
        <v>1290</v>
      </c>
      <c r="AM4983" t="s">
        <v>1291</v>
      </c>
      <c r="AN4983" t="s">
        <v>1292</v>
      </c>
      <c r="AO4983" t="s">
        <v>382</v>
      </c>
      <c r="AQ4983" t="str">
        <f>IF(ISBLANK(AP4983), IFERROR(IF(VLOOKUP(AO4983, Ellens_additions!$A$2:$B$252, 2, FALSE) = "", "", VLOOKUP(AO4983, Ellens_additions!$A$2:$B$252, 2, FALSE)), 0), AP4983)</f>
        <v/>
      </c>
    </row>
    <row r="4984" spans="1:43" ht="14.4" x14ac:dyDescent="0.3"/>
    <row r="4985" spans="1:43" ht="14.4" hidden="1" x14ac:dyDescent="0.3">
      <c r="A4985" t="s">
        <v>1293</v>
      </c>
      <c r="B4985">
        <v>4893437</v>
      </c>
      <c r="C4985" t="s">
        <v>842</v>
      </c>
      <c r="D4985" t="s">
        <v>843</v>
      </c>
      <c r="E4985" t="s">
        <v>844</v>
      </c>
      <c r="F4985" t="s">
        <v>1278</v>
      </c>
      <c r="H4985" t="s">
        <v>1294</v>
      </c>
      <c r="J4985" t="s">
        <v>140</v>
      </c>
      <c r="K4985">
        <v>161394.90400000001</v>
      </c>
      <c r="L4985">
        <v>383115.95490000001</v>
      </c>
      <c r="N4985" t="s">
        <v>382</v>
      </c>
      <c r="O4985" t="s">
        <v>479</v>
      </c>
      <c r="P4985" t="s">
        <v>1272</v>
      </c>
      <c r="Q4985" t="s">
        <v>358</v>
      </c>
      <c r="R4985" t="s">
        <v>145</v>
      </c>
      <c r="S4985">
        <v>35</v>
      </c>
      <c r="T4985">
        <v>3300</v>
      </c>
      <c r="V4985" t="s">
        <v>359</v>
      </c>
      <c r="W4985" t="s">
        <v>415</v>
      </c>
      <c r="Y4985" t="s">
        <v>1273</v>
      </c>
      <c r="Z4985" t="s">
        <v>479</v>
      </c>
      <c r="AA4985" t="s">
        <v>737</v>
      </c>
      <c r="AB4985">
        <v>0</v>
      </c>
      <c r="AE4985" t="s">
        <v>550</v>
      </c>
      <c r="AF4985" t="s">
        <v>479</v>
      </c>
      <c r="AG4985" t="s">
        <v>737</v>
      </c>
      <c r="AL4985" t="s">
        <v>1295</v>
      </c>
      <c r="AM4985" t="s">
        <v>1296</v>
      </c>
      <c r="AN4985" t="s">
        <v>1297</v>
      </c>
      <c r="AO4985" t="s">
        <v>382</v>
      </c>
      <c r="AQ4985" t="str">
        <f>IF(ISBLANK(AP4985), IFERROR(IF(VLOOKUP(AO4985, Ellens_additions!$A$2:$B$252, 2, FALSE) = "", "", VLOOKUP(AO4985, Ellens_additions!$A$2:$B$252, 2, FALSE)), 0), AP4985)</f>
        <v/>
      </c>
    </row>
    <row r="4986" spans="1:43" ht="14.4" x14ac:dyDescent="0.3"/>
    <row r="4987" spans="1:43" ht="14.4" x14ac:dyDescent="0.3"/>
    <row r="4988" spans="1:43" ht="14.4" x14ac:dyDescent="0.3"/>
    <row r="4989" spans="1:43" ht="14.4" x14ac:dyDescent="0.3"/>
    <row r="4990" spans="1:43" ht="14.4" x14ac:dyDescent="0.3"/>
    <row r="4991" spans="1:43" ht="14.4" x14ac:dyDescent="0.3"/>
    <row r="4992" spans="1:43" ht="14.4" x14ac:dyDescent="0.3"/>
    <row r="4993" spans="1:43" ht="14.4" x14ac:dyDescent="0.3"/>
    <row r="4994" spans="1:43" ht="14.4" x14ac:dyDescent="0.3"/>
    <row r="4995" spans="1:43" ht="14.4" x14ac:dyDescent="0.3"/>
    <row r="4996" spans="1:43" ht="14.4" x14ac:dyDescent="0.3"/>
    <row r="4997" spans="1:43" ht="14.4" x14ac:dyDescent="0.3"/>
    <row r="4998" spans="1:43" ht="14.4" x14ac:dyDescent="0.3"/>
    <row r="4999" spans="1:43" ht="14.4" x14ac:dyDescent="0.3"/>
    <row r="5000" spans="1:43" ht="14.4" x14ac:dyDescent="0.3"/>
    <row r="5001" spans="1:43" ht="14.4" hidden="1" x14ac:dyDescent="0.3">
      <c r="A5001" t="s">
        <v>1298</v>
      </c>
      <c r="B5001">
        <v>4893477</v>
      </c>
      <c r="C5001" t="s">
        <v>842</v>
      </c>
      <c r="D5001" t="s">
        <v>843</v>
      </c>
      <c r="E5001" t="s">
        <v>844</v>
      </c>
      <c r="F5001" t="s">
        <v>1299</v>
      </c>
      <c r="H5001" t="s">
        <v>1300</v>
      </c>
      <c r="J5001" t="s">
        <v>140</v>
      </c>
      <c r="K5001">
        <v>161421.84109999999</v>
      </c>
      <c r="L5001">
        <v>383119.11869999999</v>
      </c>
      <c r="N5001" t="s">
        <v>146</v>
      </c>
      <c r="O5001" t="s">
        <v>479</v>
      </c>
      <c r="P5001" t="s">
        <v>479</v>
      </c>
      <c r="Q5001" t="s">
        <v>144</v>
      </c>
      <c r="R5001" t="s">
        <v>145</v>
      </c>
      <c r="S5001">
        <v>0</v>
      </c>
      <c r="T5001">
        <v>0</v>
      </c>
      <c r="V5001" t="s">
        <v>146</v>
      </c>
      <c r="W5001" t="s">
        <v>415</v>
      </c>
      <c r="Y5001" t="s">
        <v>1301</v>
      </c>
      <c r="Z5001" t="s">
        <v>479</v>
      </c>
      <c r="AA5001" t="s">
        <v>519</v>
      </c>
      <c r="AB5001">
        <v>0</v>
      </c>
      <c r="AE5001" t="s">
        <v>550</v>
      </c>
      <c r="AF5001" t="s">
        <v>479</v>
      </c>
      <c r="AG5001" t="s">
        <v>737</v>
      </c>
      <c r="AL5001" t="s">
        <v>1302</v>
      </c>
      <c r="AM5001" t="s">
        <v>1303</v>
      </c>
      <c r="AN5001" t="s">
        <v>1304</v>
      </c>
      <c r="AO5001" t="s">
        <v>146</v>
      </c>
      <c r="AQ5001" t="str">
        <f>IF(ISBLANK(AP5001), IFERROR(IF(VLOOKUP(AO5001, Ellens_additions!$A$2:$B$252, 2, FALSE) = "", "", VLOOKUP(AO5001, Ellens_additions!$A$2:$B$252, 2, FALSE)), 0), AP5001)</f>
        <v/>
      </c>
    </row>
    <row r="5002" spans="1:43" ht="14.4" x14ac:dyDescent="0.3"/>
    <row r="5003" spans="1:43" ht="14.4" hidden="1" x14ac:dyDescent="0.3">
      <c r="A5003" t="s">
        <v>1305</v>
      </c>
      <c r="B5003">
        <v>4893481</v>
      </c>
      <c r="C5003" t="s">
        <v>842</v>
      </c>
      <c r="D5003" t="s">
        <v>843</v>
      </c>
      <c r="E5003" t="s">
        <v>844</v>
      </c>
      <c r="F5003" t="s">
        <v>1299</v>
      </c>
      <c r="H5003" t="s">
        <v>1306</v>
      </c>
      <c r="J5003" t="s">
        <v>140</v>
      </c>
      <c r="K5003">
        <v>161431.7481</v>
      </c>
      <c r="L5003">
        <v>383105.71220000001</v>
      </c>
      <c r="N5003" t="s">
        <v>146</v>
      </c>
      <c r="O5003" t="s">
        <v>479</v>
      </c>
      <c r="P5003" t="s">
        <v>479</v>
      </c>
      <c r="Q5003" t="s">
        <v>144</v>
      </c>
      <c r="R5003" t="s">
        <v>145</v>
      </c>
      <c r="S5003">
        <v>0</v>
      </c>
      <c r="T5003">
        <v>0</v>
      </c>
      <c r="V5003" t="s">
        <v>146</v>
      </c>
      <c r="W5003" t="s">
        <v>415</v>
      </c>
      <c r="Y5003" t="s">
        <v>1301</v>
      </c>
      <c r="Z5003" t="s">
        <v>479</v>
      </c>
      <c r="AA5003" t="s">
        <v>519</v>
      </c>
      <c r="AB5003">
        <v>0</v>
      </c>
      <c r="AE5003" t="s">
        <v>550</v>
      </c>
      <c r="AF5003" t="s">
        <v>479</v>
      </c>
      <c r="AG5003" t="s">
        <v>737</v>
      </c>
      <c r="AL5003" t="s">
        <v>1307</v>
      </c>
      <c r="AM5003" t="s">
        <v>1308</v>
      </c>
      <c r="AN5003" t="s">
        <v>1309</v>
      </c>
      <c r="AO5003" t="s">
        <v>146</v>
      </c>
      <c r="AQ5003" t="str">
        <f>IF(ISBLANK(AP5003), IFERROR(IF(VLOOKUP(AO5003, Ellens_additions!$A$2:$B$252, 2, FALSE) = "", "", VLOOKUP(AO5003, Ellens_additions!$A$2:$B$252, 2, FALSE)), 0), AP5003)</f>
        <v/>
      </c>
    </row>
    <row r="5004" spans="1:43" ht="14.4" x14ac:dyDescent="0.3"/>
    <row r="5005" spans="1:43" ht="14.4" hidden="1" x14ac:dyDescent="0.3">
      <c r="A5005" t="s">
        <v>1310</v>
      </c>
      <c r="B5005">
        <v>4893482</v>
      </c>
      <c r="C5005" t="s">
        <v>842</v>
      </c>
      <c r="D5005" t="s">
        <v>843</v>
      </c>
      <c r="E5005" t="s">
        <v>844</v>
      </c>
      <c r="F5005" t="s">
        <v>1299</v>
      </c>
      <c r="H5005" t="s">
        <v>1311</v>
      </c>
      <c r="J5005" t="s">
        <v>140</v>
      </c>
      <c r="K5005">
        <v>161431.6923</v>
      </c>
      <c r="L5005">
        <v>383106.79249999998</v>
      </c>
      <c r="N5005" t="s">
        <v>146</v>
      </c>
      <c r="O5005" t="s">
        <v>479</v>
      </c>
      <c r="P5005" t="s">
        <v>479</v>
      </c>
      <c r="Q5005" t="s">
        <v>144</v>
      </c>
      <c r="R5005" t="s">
        <v>145</v>
      </c>
      <c r="S5005">
        <v>0</v>
      </c>
      <c r="T5005">
        <v>0</v>
      </c>
      <c r="V5005" t="s">
        <v>146</v>
      </c>
      <c r="W5005" t="s">
        <v>415</v>
      </c>
      <c r="Y5005" t="s">
        <v>1301</v>
      </c>
      <c r="Z5005" t="s">
        <v>479</v>
      </c>
      <c r="AA5005" t="s">
        <v>519</v>
      </c>
      <c r="AB5005">
        <v>0</v>
      </c>
      <c r="AE5005" t="s">
        <v>550</v>
      </c>
      <c r="AF5005" t="s">
        <v>479</v>
      </c>
      <c r="AG5005" t="s">
        <v>737</v>
      </c>
      <c r="AL5005" t="s">
        <v>1312</v>
      </c>
      <c r="AM5005" t="s">
        <v>1313</v>
      </c>
      <c r="AN5005" t="s">
        <v>1314</v>
      </c>
      <c r="AO5005" t="s">
        <v>146</v>
      </c>
      <c r="AQ5005" t="str">
        <f>IF(ISBLANK(AP5005), IFERROR(IF(VLOOKUP(AO5005, Ellens_additions!$A$2:$B$252, 2, FALSE) = "", "", VLOOKUP(AO5005, Ellens_additions!$A$2:$B$252, 2, FALSE)), 0), AP5005)</f>
        <v/>
      </c>
    </row>
    <row r="5006" spans="1:43" ht="14.4" x14ac:dyDescent="0.3"/>
    <row r="5007" spans="1:43" ht="14.4" hidden="1" x14ac:dyDescent="0.3">
      <c r="A5007" t="s">
        <v>1316</v>
      </c>
      <c r="B5007">
        <v>4893483</v>
      </c>
      <c r="C5007" t="s">
        <v>842</v>
      </c>
      <c r="D5007" t="s">
        <v>843</v>
      </c>
      <c r="E5007" t="s">
        <v>844</v>
      </c>
      <c r="F5007" t="s">
        <v>1299</v>
      </c>
      <c r="H5007" t="s">
        <v>1317</v>
      </c>
      <c r="J5007" t="s">
        <v>140</v>
      </c>
      <c r="K5007">
        <v>161432.40849999999</v>
      </c>
      <c r="L5007">
        <v>383105.8296</v>
      </c>
      <c r="N5007" t="s">
        <v>146</v>
      </c>
      <c r="O5007" t="s">
        <v>479</v>
      </c>
      <c r="P5007" t="s">
        <v>479</v>
      </c>
      <c r="Q5007" t="s">
        <v>144</v>
      </c>
      <c r="R5007" t="s">
        <v>145</v>
      </c>
      <c r="S5007">
        <v>0</v>
      </c>
      <c r="T5007">
        <v>0</v>
      </c>
      <c r="V5007" t="s">
        <v>146</v>
      </c>
      <c r="W5007" t="s">
        <v>415</v>
      </c>
      <c r="Y5007" t="s">
        <v>1301</v>
      </c>
      <c r="Z5007" t="s">
        <v>479</v>
      </c>
      <c r="AA5007" t="s">
        <v>519</v>
      </c>
      <c r="AB5007">
        <v>0</v>
      </c>
      <c r="AE5007" t="s">
        <v>550</v>
      </c>
      <c r="AF5007" t="s">
        <v>479</v>
      </c>
      <c r="AG5007" t="s">
        <v>737</v>
      </c>
      <c r="AL5007" t="s">
        <v>1318</v>
      </c>
      <c r="AM5007" t="s">
        <v>1319</v>
      </c>
      <c r="AN5007" t="s">
        <v>1320</v>
      </c>
      <c r="AO5007" t="s">
        <v>146</v>
      </c>
      <c r="AQ5007" t="str">
        <f>IF(ISBLANK(AP5007), IFERROR(IF(VLOOKUP(AO5007, Ellens_additions!$A$2:$B$252, 2, FALSE) = "", "", VLOOKUP(AO5007, Ellens_additions!$A$2:$B$252, 2, FALSE)), 0), AP5007)</f>
        <v/>
      </c>
    </row>
    <row r="5008" spans="1:43" ht="14.4" x14ac:dyDescent="0.3"/>
    <row r="5009" spans="1:43" ht="14.4" hidden="1" x14ac:dyDescent="0.3">
      <c r="A5009" t="s">
        <v>1321</v>
      </c>
      <c r="B5009">
        <v>4893488</v>
      </c>
      <c r="C5009" t="s">
        <v>842</v>
      </c>
      <c r="D5009" t="s">
        <v>843</v>
      </c>
      <c r="E5009" t="s">
        <v>844</v>
      </c>
      <c r="F5009" t="s">
        <v>1299</v>
      </c>
      <c r="H5009" t="s">
        <v>1322</v>
      </c>
      <c r="J5009" t="s">
        <v>140</v>
      </c>
      <c r="K5009">
        <v>161422.92129999999</v>
      </c>
      <c r="L5009">
        <v>383119.17450000002</v>
      </c>
      <c r="N5009" t="s">
        <v>146</v>
      </c>
      <c r="O5009" t="s">
        <v>479</v>
      </c>
      <c r="P5009" t="s">
        <v>479</v>
      </c>
      <c r="Q5009" t="s">
        <v>144</v>
      </c>
      <c r="R5009" t="s">
        <v>145</v>
      </c>
      <c r="S5009">
        <v>0</v>
      </c>
      <c r="T5009">
        <v>0</v>
      </c>
      <c r="V5009" t="s">
        <v>146</v>
      </c>
      <c r="W5009" t="s">
        <v>415</v>
      </c>
      <c r="Y5009" t="s">
        <v>1323</v>
      </c>
      <c r="Z5009" t="s">
        <v>479</v>
      </c>
      <c r="AA5009" t="s">
        <v>519</v>
      </c>
      <c r="AB5009">
        <v>0</v>
      </c>
      <c r="AE5009" t="s">
        <v>550</v>
      </c>
      <c r="AF5009" t="s">
        <v>479</v>
      </c>
      <c r="AG5009" t="s">
        <v>737</v>
      </c>
      <c r="AL5009" t="s">
        <v>1324</v>
      </c>
      <c r="AM5009" t="s">
        <v>1325</v>
      </c>
      <c r="AN5009" t="s">
        <v>1326</v>
      </c>
      <c r="AO5009" t="s">
        <v>146</v>
      </c>
      <c r="AQ5009" t="str">
        <f>IF(ISBLANK(AP5009), IFERROR(IF(VLOOKUP(AO5009, Ellens_additions!$A$2:$B$252, 2, FALSE) = "", "", VLOOKUP(AO5009, Ellens_additions!$A$2:$B$252, 2, FALSE)), 0), AP5009)</f>
        <v/>
      </c>
    </row>
    <row r="5010" spans="1:43" ht="14.4" x14ac:dyDescent="0.3"/>
    <row r="5011" spans="1:43" ht="14.4" hidden="1" x14ac:dyDescent="0.3">
      <c r="A5011" t="s">
        <v>1327</v>
      </c>
      <c r="B5011">
        <v>4893490</v>
      </c>
      <c r="C5011" t="s">
        <v>842</v>
      </c>
      <c r="D5011" t="s">
        <v>843</v>
      </c>
      <c r="E5011" t="s">
        <v>844</v>
      </c>
      <c r="F5011" t="s">
        <v>1299</v>
      </c>
      <c r="H5011" t="s">
        <v>1328</v>
      </c>
      <c r="J5011" t="s">
        <v>140</v>
      </c>
      <c r="K5011">
        <v>161431.75399999999</v>
      </c>
      <c r="L5011">
        <v>383107.21220000001</v>
      </c>
      <c r="N5011" t="s">
        <v>146</v>
      </c>
      <c r="O5011" t="s">
        <v>479</v>
      </c>
      <c r="P5011" t="s">
        <v>479</v>
      </c>
      <c r="Q5011" t="s">
        <v>144</v>
      </c>
      <c r="R5011" t="s">
        <v>145</v>
      </c>
      <c r="S5011">
        <v>0</v>
      </c>
      <c r="T5011">
        <v>0</v>
      </c>
      <c r="V5011" t="s">
        <v>146</v>
      </c>
      <c r="W5011" t="s">
        <v>415</v>
      </c>
      <c r="Y5011" t="s">
        <v>1323</v>
      </c>
      <c r="Z5011" t="s">
        <v>479</v>
      </c>
      <c r="AA5011" t="s">
        <v>519</v>
      </c>
      <c r="AB5011">
        <v>0</v>
      </c>
      <c r="AE5011" t="s">
        <v>550</v>
      </c>
      <c r="AF5011" t="s">
        <v>479</v>
      </c>
      <c r="AG5011" t="s">
        <v>737</v>
      </c>
      <c r="AL5011" t="s">
        <v>1329</v>
      </c>
      <c r="AM5011" t="s">
        <v>1330</v>
      </c>
      <c r="AN5011" t="s">
        <v>1331</v>
      </c>
      <c r="AO5011" t="s">
        <v>146</v>
      </c>
      <c r="AQ5011" t="str">
        <f>IF(ISBLANK(AP5011), IFERROR(IF(VLOOKUP(AO5011, Ellens_additions!$A$2:$B$252, 2, FALSE) = "", "", VLOOKUP(AO5011, Ellens_additions!$A$2:$B$252, 2, FALSE)), 0), AP5011)</f>
        <v/>
      </c>
    </row>
    <row r="5012" spans="1:43" ht="14.4" x14ac:dyDescent="0.3"/>
    <row r="5013" spans="1:43" ht="14.4" hidden="1" x14ac:dyDescent="0.3">
      <c r="A5013" t="s">
        <v>1332</v>
      </c>
      <c r="B5013">
        <v>4893492</v>
      </c>
      <c r="C5013" t="s">
        <v>842</v>
      </c>
      <c r="D5013" t="s">
        <v>843</v>
      </c>
      <c r="E5013" t="s">
        <v>844</v>
      </c>
      <c r="F5013" t="s">
        <v>1299</v>
      </c>
      <c r="H5013" t="s">
        <v>1333</v>
      </c>
      <c r="J5013" t="s">
        <v>140</v>
      </c>
      <c r="K5013">
        <v>161426.90419999999</v>
      </c>
      <c r="L5013">
        <v>383112.853</v>
      </c>
      <c r="N5013" t="s">
        <v>146</v>
      </c>
      <c r="O5013" t="s">
        <v>479</v>
      </c>
      <c r="P5013" t="s">
        <v>479</v>
      </c>
      <c r="Q5013" t="s">
        <v>144</v>
      </c>
      <c r="R5013" t="s">
        <v>145</v>
      </c>
      <c r="S5013">
        <v>0</v>
      </c>
      <c r="T5013">
        <v>0</v>
      </c>
      <c r="V5013" t="s">
        <v>146</v>
      </c>
      <c r="W5013" t="s">
        <v>415</v>
      </c>
      <c r="Y5013" t="s">
        <v>1334</v>
      </c>
      <c r="Z5013" t="s">
        <v>479</v>
      </c>
      <c r="AA5013" t="s">
        <v>519</v>
      </c>
      <c r="AB5013">
        <v>0</v>
      </c>
      <c r="AE5013" t="s">
        <v>1335</v>
      </c>
      <c r="AF5013" t="s">
        <v>479</v>
      </c>
      <c r="AG5013" t="s">
        <v>737</v>
      </c>
      <c r="AL5013" t="s">
        <v>1336</v>
      </c>
      <c r="AM5013" t="s">
        <v>1337</v>
      </c>
      <c r="AN5013" t="s">
        <v>1338</v>
      </c>
      <c r="AO5013" t="s">
        <v>146</v>
      </c>
      <c r="AQ5013" t="str">
        <f>IF(ISBLANK(AP5013), IFERROR(IF(VLOOKUP(AO5013, Ellens_additions!$A$2:$B$252, 2, FALSE) = "", "", VLOOKUP(AO5013, Ellens_additions!$A$2:$B$252, 2, FALSE)), 0), AP5013)</f>
        <v/>
      </c>
    </row>
    <row r="5014" spans="1:43" ht="14.4" x14ac:dyDescent="0.3"/>
    <row r="5015" spans="1:43" ht="14.4" x14ac:dyDescent="0.3"/>
    <row r="5016" spans="1:43" ht="14.4" x14ac:dyDescent="0.3"/>
    <row r="5017" spans="1:43" ht="14.4" hidden="1" x14ac:dyDescent="0.3">
      <c r="A5017" t="s">
        <v>1339</v>
      </c>
      <c r="B5017">
        <v>4893500</v>
      </c>
      <c r="C5017" t="s">
        <v>842</v>
      </c>
      <c r="D5017" t="s">
        <v>843</v>
      </c>
      <c r="E5017" t="s">
        <v>844</v>
      </c>
      <c r="F5017" t="s">
        <v>1299</v>
      </c>
      <c r="H5017" t="s">
        <v>1340</v>
      </c>
      <c r="J5017" t="s">
        <v>140</v>
      </c>
      <c r="K5017">
        <v>161452.9938</v>
      </c>
      <c r="L5017">
        <v>383127.01679999998</v>
      </c>
      <c r="N5017" t="s">
        <v>1134</v>
      </c>
      <c r="O5017" t="s">
        <v>479</v>
      </c>
      <c r="P5017" t="s">
        <v>1341</v>
      </c>
      <c r="Q5017" t="s">
        <v>358</v>
      </c>
      <c r="R5017" t="s">
        <v>145</v>
      </c>
      <c r="S5017">
        <v>70</v>
      </c>
      <c r="T5017">
        <v>6600</v>
      </c>
      <c r="V5017" t="s">
        <v>359</v>
      </c>
      <c r="W5017" t="s">
        <v>415</v>
      </c>
      <c r="X5017" t="s">
        <v>7</v>
      </c>
      <c r="Y5017" t="s">
        <v>1342</v>
      </c>
      <c r="Z5017" t="s">
        <v>479</v>
      </c>
      <c r="AA5017" t="s">
        <v>737</v>
      </c>
      <c r="AB5017">
        <v>0</v>
      </c>
      <c r="AE5017" t="s">
        <v>1335</v>
      </c>
      <c r="AF5017" t="s">
        <v>479</v>
      </c>
      <c r="AG5017" t="s">
        <v>737</v>
      </c>
      <c r="AL5017" t="s">
        <v>1343</v>
      </c>
      <c r="AM5017" t="s">
        <v>1344</v>
      </c>
      <c r="AN5017" t="s">
        <v>1345</v>
      </c>
      <c r="AO5017" t="s">
        <v>1134</v>
      </c>
      <c r="AQ5017" t="str">
        <f>IF(ISBLANK(AP5017), IFERROR(IF(VLOOKUP(AO5017, Ellens_additions!$A$2:$B$252, 2, FALSE) = "", "", VLOOKUP(AO5017, Ellens_additions!$A$2:$B$252, 2, FALSE)), 0), AP5017)</f>
        <v/>
      </c>
    </row>
    <row r="5018" spans="1:43" ht="14.4" x14ac:dyDescent="0.3"/>
    <row r="5019" spans="1:43" ht="14.4" x14ac:dyDescent="0.3"/>
    <row r="5020" spans="1:43" ht="14.4" x14ac:dyDescent="0.3"/>
    <row r="5021" spans="1:43" ht="14.4" x14ac:dyDescent="0.3"/>
    <row r="5022" spans="1:43" ht="14.4" x14ac:dyDescent="0.3"/>
    <row r="5023" spans="1:43" ht="14.4" x14ac:dyDescent="0.3"/>
    <row r="5024" spans="1:43" ht="14.4" x14ac:dyDescent="0.3"/>
    <row r="5025" ht="14.4" x14ac:dyDescent="0.3"/>
    <row r="5026" ht="14.4" x14ac:dyDescent="0.3"/>
    <row r="5027" ht="14.4" x14ac:dyDescent="0.3"/>
    <row r="5028" ht="14.4" x14ac:dyDescent="0.3"/>
    <row r="5029" ht="14.4" x14ac:dyDescent="0.3"/>
    <row r="5030" ht="14.4" x14ac:dyDescent="0.3"/>
    <row r="5031" ht="14.4" x14ac:dyDescent="0.3"/>
    <row r="5032" ht="14.4" x14ac:dyDescent="0.3"/>
    <row r="5033" ht="14.4" x14ac:dyDescent="0.3"/>
    <row r="5034" ht="14.4" x14ac:dyDescent="0.3"/>
    <row r="5035" ht="14.4" x14ac:dyDescent="0.3"/>
    <row r="5036" ht="14.4" x14ac:dyDescent="0.3"/>
    <row r="5037" ht="14.4" x14ac:dyDescent="0.3"/>
    <row r="5038" ht="14.4" x14ac:dyDescent="0.3"/>
    <row r="5039" ht="14.4" x14ac:dyDescent="0.3"/>
    <row r="5040" ht="14.4" x14ac:dyDescent="0.3"/>
    <row r="5041" ht="14.4" x14ac:dyDescent="0.3"/>
    <row r="5042" ht="14.4" x14ac:dyDescent="0.3"/>
    <row r="5043" ht="14.4" x14ac:dyDescent="0.3"/>
    <row r="5044" ht="14.4" x14ac:dyDescent="0.3"/>
    <row r="5045" ht="14.4" x14ac:dyDescent="0.3"/>
    <row r="5046" ht="14.4" x14ac:dyDescent="0.3"/>
    <row r="5047" ht="14.4" x14ac:dyDescent="0.3"/>
    <row r="5048" ht="14.4" x14ac:dyDescent="0.3"/>
    <row r="5049" ht="14.4" x14ac:dyDescent="0.3"/>
    <row r="5050" ht="14.4" x14ac:dyDescent="0.3"/>
    <row r="5051" ht="14.4" x14ac:dyDescent="0.3"/>
    <row r="5052" ht="14.4" x14ac:dyDescent="0.3"/>
    <row r="5053" ht="14.4" x14ac:dyDescent="0.3"/>
    <row r="5054" ht="14.4" x14ac:dyDescent="0.3"/>
    <row r="5055" ht="14.4" x14ac:dyDescent="0.3"/>
    <row r="5056" ht="14.4" x14ac:dyDescent="0.3"/>
    <row r="5057" ht="14.4" x14ac:dyDescent="0.3"/>
    <row r="5058" ht="14.4" x14ac:dyDescent="0.3"/>
    <row r="5059" ht="14.4" x14ac:dyDescent="0.3"/>
    <row r="5060" ht="14.4" x14ac:dyDescent="0.3"/>
    <row r="5061" ht="14.4" x14ac:dyDescent="0.3"/>
    <row r="5062" ht="14.4" x14ac:dyDescent="0.3"/>
    <row r="5063" ht="14.4" x14ac:dyDescent="0.3"/>
    <row r="5064" ht="14.4" x14ac:dyDescent="0.3"/>
    <row r="5065" ht="14.4" x14ac:dyDescent="0.3"/>
    <row r="5066" ht="14.4" x14ac:dyDescent="0.3"/>
    <row r="5067" ht="14.4" x14ac:dyDescent="0.3"/>
    <row r="5068" ht="14.4" x14ac:dyDescent="0.3"/>
    <row r="5069" ht="14.4" x14ac:dyDescent="0.3"/>
    <row r="5070" ht="14.4" x14ac:dyDescent="0.3"/>
    <row r="5071" ht="14.4" x14ac:dyDescent="0.3"/>
    <row r="5072" ht="14.4" x14ac:dyDescent="0.3"/>
    <row r="5073" ht="14.4" x14ac:dyDescent="0.3"/>
    <row r="5074" ht="14.4" x14ac:dyDescent="0.3"/>
    <row r="5075" ht="14.4" x14ac:dyDescent="0.3"/>
    <row r="5076" ht="14.4" x14ac:dyDescent="0.3"/>
    <row r="5077" ht="14.4" x14ac:dyDescent="0.3"/>
    <row r="5078" ht="14.4" x14ac:dyDescent="0.3"/>
    <row r="5079" ht="14.4" x14ac:dyDescent="0.3"/>
    <row r="5080" ht="14.4" x14ac:dyDescent="0.3"/>
    <row r="5081" ht="14.4" x14ac:dyDescent="0.3"/>
    <row r="5082" ht="14.4" x14ac:dyDescent="0.3"/>
    <row r="5083" ht="14.4" x14ac:dyDescent="0.3"/>
    <row r="5084" ht="14.4" x14ac:dyDescent="0.3"/>
    <row r="5085" ht="14.4" x14ac:dyDescent="0.3"/>
    <row r="5086" ht="14.4" x14ac:dyDescent="0.3"/>
    <row r="5087" ht="14.4" x14ac:dyDescent="0.3"/>
    <row r="5088" ht="14.4" x14ac:dyDescent="0.3"/>
    <row r="5089" ht="14.4" x14ac:dyDescent="0.3"/>
    <row r="5090" ht="14.4" x14ac:dyDescent="0.3"/>
    <row r="5091" ht="14.4" x14ac:dyDescent="0.3"/>
    <row r="5092" ht="14.4" x14ac:dyDescent="0.3"/>
    <row r="5093" ht="14.4" x14ac:dyDescent="0.3"/>
    <row r="5094" ht="14.4" x14ac:dyDescent="0.3"/>
    <row r="5095" ht="14.4" x14ac:dyDescent="0.3"/>
    <row r="5096" ht="14.4" x14ac:dyDescent="0.3"/>
    <row r="5097" ht="14.4" x14ac:dyDescent="0.3"/>
    <row r="5098" ht="14.4" x14ac:dyDescent="0.3"/>
    <row r="5099" ht="14.4" x14ac:dyDescent="0.3"/>
    <row r="5100" ht="14.4" x14ac:dyDescent="0.3"/>
    <row r="5101" ht="14.4" x14ac:dyDescent="0.3"/>
    <row r="5102" ht="14.4" x14ac:dyDescent="0.3"/>
    <row r="5103" ht="14.4" x14ac:dyDescent="0.3"/>
    <row r="5104" ht="14.4" x14ac:dyDescent="0.3"/>
    <row r="5105" ht="14.4" x14ac:dyDescent="0.3"/>
    <row r="5106" ht="14.4" x14ac:dyDescent="0.3"/>
    <row r="5107" ht="14.4" x14ac:dyDescent="0.3"/>
    <row r="5108" ht="14.4" x14ac:dyDescent="0.3"/>
    <row r="5109" ht="14.4" x14ac:dyDescent="0.3"/>
    <row r="5110" ht="14.4" x14ac:dyDescent="0.3"/>
    <row r="5111" ht="14.4" x14ac:dyDescent="0.3"/>
    <row r="5112" ht="14.4" x14ac:dyDescent="0.3"/>
    <row r="5113" ht="14.4" x14ac:dyDescent="0.3"/>
    <row r="5114" ht="14.4" x14ac:dyDescent="0.3"/>
    <row r="5115" ht="14.4" x14ac:dyDescent="0.3"/>
    <row r="5116" ht="14.4" x14ac:dyDescent="0.3"/>
    <row r="5117" ht="14.4" x14ac:dyDescent="0.3"/>
    <row r="5118" ht="14.4" x14ac:dyDescent="0.3"/>
    <row r="5119" ht="14.4" x14ac:dyDescent="0.3"/>
    <row r="5120" ht="14.4" x14ac:dyDescent="0.3"/>
    <row r="5121" ht="14.4" x14ac:dyDescent="0.3"/>
    <row r="5122" ht="14.4" x14ac:dyDescent="0.3"/>
    <row r="5123" ht="14.4" x14ac:dyDescent="0.3"/>
    <row r="5124" ht="14.4" x14ac:dyDescent="0.3"/>
    <row r="5125" ht="14.4" x14ac:dyDescent="0.3"/>
    <row r="5126" ht="14.4" x14ac:dyDescent="0.3"/>
    <row r="5127" ht="14.4" x14ac:dyDescent="0.3"/>
    <row r="5128" ht="14.4" x14ac:dyDescent="0.3"/>
    <row r="5129" ht="14.4" x14ac:dyDescent="0.3"/>
    <row r="5130" ht="14.4" x14ac:dyDescent="0.3"/>
    <row r="5131" ht="14.4" x14ac:dyDescent="0.3"/>
    <row r="5132" ht="14.4" x14ac:dyDescent="0.3"/>
    <row r="5133" ht="14.4" x14ac:dyDescent="0.3"/>
    <row r="5134" ht="14.4" x14ac:dyDescent="0.3"/>
    <row r="5135" ht="14.4" x14ac:dyDescent="0.3"/>
    <row r="5136" ht="14.4" x14ac:dyDescent="0.3"/>
    <row r="5137" ht="14.4" x14ac:dyDescent="0.3"/>
    <row r="5138" ht="14.4" x14ac:dyDescent="0.3"/>
    <row r="5139" ht="14.4" x14ac:dyDescent="0.3"/>
    <row r="5140" ht="14.4" x14ac:dyDescent="0.3"/>
    <row r="5141" ht="14.4" x14ac:dyDescent="0.3"/>
    <row r="5142" ht="14.4" x14ac:dyDescent="0.3"/>
    <row r="5143" ht="14.4" x14ac:dyDescent="0.3"/>
    <row r="5144" ht="14.4" x14ac:dyDescent="0.3"/>
    <row r="5145" ht="14.4" x14ac:dyDescent="0.3"/>
    <row r="5146" ht="14.4" x14ac:dyDescent="0.3"/>
    <row r="5147" ht="14.4" x14ac:dyDescent="0.3"/>
    <row r="5148" ht="14.4" x14ac:dyDescent="0.3"/>
    <row r="5149" ht="14.4" x14ac:dyDescent="0.3"/>
    <row r="5150" ht="14.4" x14ac:dyDescent="0.3"/>
    <row r="5151" ht="14.4" x14ac:dyDescent="0.3"/>
    <row r="5152" ht="14.4" x14ac:dyDescent="0.3"/>
    <row r="5153" ht="14.4" x14ac:dyDescent="0.3"/>
    <row r="5154" ht="14.4" x14ac:dyDescent="0.3"/>
    <row r="5155" ht="14.4" x14ac:dyDescent="0.3"/>
    <row r="5156" ht="14.4" x14ac:dyDescent="0.3"/>
    <row r="5157" ht="14.4" x14ac:dyDescent="0.3"/>
    <row r="5158" ht="14.4" x14ac:dyDescent="0.3"/>
    <row r="5159" ht="14.4" x14ac:dyDescent="0.3"/>
    <row r="5160" ht="14.4" x14ac:dyDescent="0.3"/>
    <row r="5161" ht="14.4" x14ac:dyDescent="0.3"/>
    <row r="5162" ht="14.4" x14ac:dyDescent="0.3"/>
    <row r="5163" ht="14.4" x14ac:dyDescent="0.3"/>
    <row r="5164" ht="14.4" x14ac:dyDescent="0.3"/>
    <row r="5165" ht="14.4" x14ac:dyDescent="0.3"/>
    <row r="5166" ht="14.4" x14ac:dyDescent="0.3"/>
    <row r="5167" ht="14.4" x14ac:dyDescent="0.3"/>
    <row r="5168" ht="14.4" x14ac:dyDescent="0.3"/>
    <row r="5169" ht="14.4" x14ac:dyDescent="0.3"/>
    <row r="5170" ht="14.4" x14ac:dyDescent="0.3"/>
    <row r="5171" ht="14.4" x14ac:dyDescent="0.3"/>
    <row r="5172" ht="14.4" x14ac:dyDescent="0.3"/>
    <row r="5173" ht="14.4" x14ac:dyDescent="0.3"/>
    <row r="5174" ht="14.4" x14ac:dyDescent="0.3"/>
    <row r="5175" ht="14.4" x14ac:dyDescent="0.3"/>
    <row r="5176" ht="14.4" x14ac:dyDescent="0.3"/>
    <row r="5177" ht="14.4" x14ac:dyDescent="0.3"/>
    <row r="5178" ht="14.4" x14ac:dyDescent="0.3"/>
    <row r="5179" ht="14.4" x14ac:dyDescent="0.3"/>
    <row r="5180" ht="14.4" x14ac:dyDescent="0.3"/>
    <row r="5181" ht="14.4" x14ac:dyDescent="0.3"/>
    <row r="5182" ht="14.4" x14ac:dyDescent="0.3"/>
    <row r="5183" ht="14.4" x14ac:dyDescent="0.3"/>
    <row r="5184" ht="14.4" x14ac:dyDescent="0.3"/>
    <row r="5185" spans="1:43" ht="14.4" x14ac:dyDescent="0.3"/>
    <row r="5186" spans="1:43" ht="14.4" x14ac:dyDescent="0.3"/>
    <row r="5187" spans="1:43" ht="14.4" hidden="1" x14ac:dyDescent="0.3">
      <c r="A5187" t="s">
        <v>1354</v>
      </c>
      <c r="B5187">
        <v>4893752</v>
      </c>
      <c r="C5187" t="s">
        <v>1045</v>
      </c>
      <c r="D5187" t="s">
        <v>1059</v>
      </c>
      <c r="E5187" t="s">
        <v>1060</v>
      </c>
      <c r="F5187" t="s">
        <v>1355</v>
      </c>
      <c r="H5187" t="s">
        <v>400</v>
      </c>
      <c r="J5187" t="s">
        <v>140</v>
      </c>
      <c r="K5187">
        <v>158674.54199999999</v>
      </c>
      <c r="L5187">
        <v>381123.56699999998</v>
      </c>
      <c r="M5187">
        <v>1</v>
      </c>
      <c r="N5187" t="s">
        <v>1356</v>
      </c>
      <c r="O5187" t="s">
        <v>877</v>
      </c>
      <c r="P5187" t="s">
        <v>1357</v>
      </c>
      <c r="Q5187" t="s">
        <v>761</v>
      </c>
      <c r="R5187" t="s">
        <v>145</v>
      </c>
      <c r="S5187">
        <v>8</v>
      </c>
      <c r="T5187">
        <v>340</v>
      </c>
      <c r="V5187" t="s">
        <v>1358</v>
      </c>
      <c r="W5187" t="s">
        <v>184</v>
      </c>
      <c r="X5187" t="s">
        <v>7</v>
      </c>
      <c r="Y5187" t="s">
        <v>1359</v>
      </c>
      <c r="Z5187" t="s">
        <v>1061</v>
      </c>
      <c r="AA5187" t="s">
        <v>1360</v>
      </c>
      <c r="AB5187">
        <v>40</v>
      </c>
      <c r="AC5187" t="s">
        <v>150</v>
      </c>
      <c r="AE5187" t="s">
        <v>550</v>
      </c>
      <c r="AF5187" t="s">
        <v>1061</v>
      </c>
      <c r="AG5187" t="s">
        <v>1086</v>
      </c>
      <c r="AL5187" t="s">
        <v>1361</v>
      </c>
      <c r="AM5187" t="s">
        <v>1362</v>
      </c>
      <c r="AN5187" t="s">
        <v>1363</v>
      </c>
      <c r="AO5187" t="s">
        <v>1356</v>
      </c>
      <c r="AQ5187">
        <f>IF(ISBLANK(AP5187), IFERROR(IF(VLOOKUP(AO5187, Ellens_additions!$A$2:$B$252, 2, FALSE) = "", "", VLOOKUP(AO5187, Ellens_additions!$A$2:$B$252, 2, FALSE)), 0), AP5187)</f>
        <v>0</v>
      </c>
    </row>
    <row r="5188" spans="1:43" ht="14.4" x14ac:dyDescent="0.3"/>
    <row r="5189" spans="1:43" ht="14.4" x14ac:dyDescent="0.3"/>
    <row r="5190" spans="1:43" ht="14.4" x14ac:dyDescent="0.3"/>
    <row r="5191" spans="1:43" ht="14.4" x14ac:dyDescent="0.3"/>
    <row r="5192" spans="1:43" ht="14.4" x14ac:dyDescent="0.3"/>
    <row r="5193" spans="1:43" ht="14.4" x14ac:dyDescent="0.3"/>
    <row r="5194" spans="1:43" ht="14.4" x14ac:dyDescent="0.3"/>
    <row r="5195" spans="1:43" ht="14.4" x14ac:dyDescent="0.3"/>
    <row r="5196" spans="1:43" ht="14.4" x14ac:dyDescent="0.3"/>
    <row r="5197" spans="1:43" ht="14.4" x14ac:dyDescent="0.3"/>
    <row r="5198" spans="1:43" ht="14.4" x14ac:dyDescent="0.3"/>
    <row r="5199" spans="1:43" ht="14.4" x14ac:dyDescent="0.3"/>
    <row r="5200" spans="1:43" ht="14.4" x14ac:dyDescent="0.3"/>
    <row r="5201" ht="14.4" x14ac:dyDescent="0.3"/>
    <row r="5202" ht="14.4" x14ac:dyDescent="0.3"/>
    <row r="5203" ht="14.4" x14ac:dyDescent="0.3"/>
    <row r="5204" ht="14.4" x14ac:dyDescent="0.3"/>
    <row r="5205" ht="14.4" x14ac:dyDescent="0.3"/>
    <row r="5206" ht="14.4" x14ac:dyDescent="0.3"/>
    <row r="5207" ht="14.4" x14ac:dyDescent="0.3"/>
    <row r="5208" ht="14.4" x14ac:dyDescent="0.3"/>
    <row r="5209" ht="14.4" x14ac:dyDescent="0.3"/>
    <row r="5210" ht="14.4" x14ac:dyDescent="0.3"/>
    <row r="5211" ht="14.4" x14ac:dyDescent="0.3"/>
    <row r="5212" ht="14.4" x14ac:dyDescent="0.3"/>
    <row r="5213" ht="14.4" x14ac:dyDescent="0.3"/>
    <row r="5214" ht="14.4" x14ac:dyDescent="0.3"/>
    <row r="5215" ht="14.4" x14ac:dyDescent="0.3"/>
    <row r="5216" ht="14.4" x14ac:dyDescent="0.3"/>
    <row r="5217" ht="14.4" x14ac:dyDescent="0.3"/>
    <row r="5218" ht="14.4" x14ac:dyDescent="0.3"/>
    <row r="5219" ht="14.4" x14ac:dyDescent="0.3"/>
    <row r="5220" ht="14.4" x14ac:dyDescent="0.3"/>
    <row r="5221" ht="14.4" x14ac:dyDescent="0.3"/>
    <row r="5222" ht="14.4" x14ac:dyDescent="0.3"/>
    <row r="5223" ht="14.4" x14ac:dyDescent="0.3"/>
    <row r="5224" ht="14.4" x14ac:dyDescent="0.3"/>
    <row r="5225" ht="14.4" x14ac:dyDescent="0.3"/>
    <row r="5226" ht="14.4" x14ac:dyDescent="0.3"/>
    <row r="5227" ht="14.4" x14ac:dyDescent="0.3"/>
    <row r="5228" ht="14.4" x14ac:dyDescent="0.3"/>
    <row r="5229" ht="14.4" x14ac:dyDescent="0.3"/>
    <row r="5230" ht="14.4" x14ac:dyDescent="0.3"/>
    <row r="5231" ht="14.4" x14ac:dyDescent="0.3"/>
    <row r="5232" ht="14.4" x14ac:dyDescent="0.3"/>
    <row r="5233" ht="14.4" x14ac:dyDescent="0.3"/>
    <row r="5234" ht="14.4" x14ac:dyDescent="0.3"/>
    <row r="5235" ht="14.4" x14ac:dyDescent="0.3"/>
    <row r="5236" ht="14.4" x14ac:dyDescent="0.3"/>
    <row r="5237" ht="14.4" x14ac:dyDescent="0.3"/>
    <row r="5238" ht="14.4" x14ac:dyDescent="0.3"/>
    <row r="5239" ht="14.4" x14ac:dyDescent="0.3"/>
    <row r="5240" ht="14.4" x14ac:dyDescent="0.3"/>
    <row r="5241" ht="14.4" x14ac:dyDescent="0.3"/>
    <row r="5242" ht="14.4" x14ac:dyDescent="0.3"/>
    <row r="5243" ht="14.4" x14ac:dyDescent="0.3"/>
    <row r="5244" ht="14.4" x14ac:dyDescent="0.3"/>
    <row r="5245" ht="14.4" x14ac:dyDescent="0.3"/>
    <row r="5246" ht="14.4" x14ac:dyDescent="0.3"/>
    <row r="5247" ht="14.4" x14ac:dyDescent="0.3"/>
    <row r="5248" ht="14.4" x14ac:dyDescent="0.3"/>
    <row r="5249" ht="14.4" x14ac:dyDescent="0.3"/>
    <row r="5250" ht="14.4" x14ac:dyDescent="0.3"/>
    <row r="5251" ht="14.4" x14ac:dyDescent="0.3"/>
    <row r="5252" ht="14.4" x14ac:dyDescent="0.3"/>
    <row r="5253" ht="14.4" x14ac:dyDescent="0.3"/>
    <row r="5254" ht="14.4" x14ac:dyDescent="0.3"/>
    <row r="5255" ht="14.4" x14ac:dyDescent="0.3"/>
    <row r="5256" ht="14.4" x14ac:dyDescent="0.3"/>
    <row r="5257" ht="14.4" x14ac:dyDescent="0.3"/>
    <row r="5258" ht="14.4" x14ac:dyDescent="0.3"/>
    <row r="5259" ht="14.4" x14ac:dyDescent="0.3"/>
    <row r="5260" ht="14.4" x14ac:dyDescent="0.3"/>
    <row r="5261" ht="14.4" x14ac:dyDescent="0.3"/>
    <row r="5262" ht="14.4" x14ac:dyDescent="0.3"/>
    <row r="5263" ht="14.4" x14ac:dyDescent="0.3"/>
    <row r="5264" ht="14.4" x14ac:dyDescent="0.3"/>
    <row r="5265" ht="14.4" x14ac:dyDescent="0.3"/>
    <row r="5266" ht="14.4" x14ac:dyDescent="0.3"/>
    <row r="5267" ht="14.4" x14ac:dyDescent="0.3"/>
    <row r="5268" ht="14.4" x14ac:dyDescent="0.3"/>
    <row r="5269" ht="14.4" x14ac:dyDescent="0.3"/>
    <row r="5270" ht="14.4" x14ac:dyDescent="0.3"/>
    <row r="5271" ht="14.4" x14ac:dyDescent="0.3"/>
    <row r="5272" ht="14.4" x14ac:dyDescent="0.3"/>
    <row r="5273" ht="14.4" x14ac:dyDescent="0.3"/>
    <row r="5274" ht="14.4" x14ac:dyDescent="0.3"/>
    <row r="5275" ht="14.4" x14ac:dyDescent="0.3"/>
    <row r="5276" ht="14.4" x14ac:dyDescent="0.3"/>
    <row r="5277" ht="14.4" x14ac:dyDescent="0.3"/>
    <row r="5278" ht="14.4" x14ac:dyDescent="0.3"/>
    <row r="5279" ht="14.4" x14ac:dyDescent="0.3"/>
    <row r="5280" ht="14.4" x14ac:dyDescent="0.3"/>
    <row r="5281" ht="14.4" x14ac:dyDescent="0.3"/>
    <row r="5282" ht="14.4" x14ac:dyDescent="0.3"/>
    <row r="5283" ht="14.4" x14ac:dyDescent="0.3"/>
    <row r="5284" ht="14.4" x14ac:dyDescent="0.3"/>
    <row r="5285" ht="14.4" x14ac:dyDescent="0.3"/>
    <row r="5286" ht="14.4" x14ac:dyDescent="0.3"/>
    <row r="5287" ht="14.4" x14ac:dyDescent="0.3"/>
    <row r="5288" ht="14.4" x14ac:dyDescent="0.3"/>
    <row r="5289" ht="14.4" x14ac:dyDescent="0.3"/>
    <row r="5290" ht="14.4" x14ac:dyDescent="0.3"/>
    <row r="5291" ht="14.4" x14ac:dyDescent="0.3"/>
    <row r="5292" ht="14.4" x14ac:dyDescent="0.3"/>
    <row r="5293" ht="14.4" x14ac:dyDescent="0.3"/>
    <row r="5294" ht="14.4" x14ac:dyDescent="0.3"/>
    <row r="5295" ht="14.4" x14ac:dyDescent="0.3"/>
    <row r="5296" ht="14.4" x14ac:dyDescent="0.3"/>
    <row r="5297" ht="14.4" x14ac:dyDescent="0.3"/>
    <row r="5298" ht="14.4" x14ac:dyDescent="0.3"/>
    <row r="5299" ht="14.4" x14ac:dyDescent="0.3"/>
    <row r="5300" ht="14.4" x14ac:dyDescent="0.3"/>
    <row r="5301" ht="14.4" x14ac:dyDescent="0.3"/>
    <row r="5302" ht="14.4" x14ac:dyDescent="0.3"/>
    <row r="5303" ht="14.4" x14ac:dyDescent="0.3"/>
    <row r="5304" ht="14.4" x14ac:dyDescent="0.3"/>
    <row r="5305" ht="14.4" x14ac:dyDescent="0.3"/>
    <row r="5306" ht="14.4" x14ac:dyDescent="0.3"/>
    <row r="5307" ht="14.4" x14ac:dyDescent="0.3"/>
    <row r="5308" ht="14.4" x14ac:dyDescent="0.3"/>
    <row r="5309" ht="14.4" x14ac:dyDescent="0.3"/>
    <row r="5310" ht="14.4" x14ac:dyDescent="0.3"/>
    <row r="5311" ht="14.4" x14ac:dyDescent="0.3"/>
    <row r="5312" ht="14.4" x14ac:dyDescent="0.3"/>
    <row r="5313" ht="14.4" x14ac:dyDescent="0.3"/>
    <row r="5314" ht="14.4" x14ac:dyDescent="0.3"/>
    <row r="5315" ht="14.4" x14ac:dyDescent="0.3"/>
    <row r="5316" ht="14.4" x14ac:dyDescent="0.3"/>
    <row r="5317" ht="14.4" x14ac:dyDescent="0.3"/>
    <row r="5318" ht="14.4" x14ac:dyDescent="0.3"/>
    <row r="5319" ht="14.4" x14ac:dyDescent="0.3"/>
    <row r="5320" ht="14.4" x14ac:dyDescent="0.3"/>
    <row r="5321" ht="14.4" x14ac:dyDescent="0.3"/>
    <row r="5322" ht="14.4" x14ac:dyDescent="0.3"/>
    <row r="5323" ht="14.4" x14ac:dyDescent="0.3"/>
    <row r="5324" ht="14.4" x14ac:dyDescent="0.3"/>
    <row r="5325" ht="14.4" x14ac:dyDescent="0.3"/>
    <row r="5326" ht="14.4" x14ac:dyDescent="0.3"/>
    <row r="5327" ht="14.4" x14ac:dyDescent="0.3"/>
    <row r="5328" ht="14.4" x14ac:dyDescent="0.3"/>
    <row r="5329" ht="14.4" x14ac:dyDescent="0.3"/>
    <row r="5330" ht="14.4" x14ac:dyDescent="0.3"/>
    <row r="5331" ht="14.4" x14ac:dyDescent="0.3"/>
    <row r="5332" ht="14.4" x14ac:dyDescent="0.3"/>
    <row r="5333" ht="14.4" x14ac:dyDescent="0.3"/>
    <row r="5334" ht="14.4" x14ac:dyDescent="0.3"/>
    <row r="5335" ht="14.4" x14ac:dyDescent="0.3"/>
    <row r="5336" ht="14.4" x14ac:dyDescent="0.3"/>
    <row r="5337" ht="14.4" x14ac:dyDescent="0.3"/>
    <row r="5338" ht="14.4" x14ac:dyDescent="0.3"/>
    <row r="5339" ht="14.4" x14ac:dyDescent="0.3"/>
    <row r="5340" ht="14.4" x14ac:dyDescent="0.3"/>
    <row r="5341" ht="14.4" x14ac:dyDescent="0.3"/>
    <row r="5342" ht="14.4" x14ac:dyDescent="0.3"/>
    <row r="5343" ht="14.4" x14ac:dyDescent="0.3"/>
    <row r="5344" ht="14.4" x14ac:dyDescent="0.3"/>
    <row r="5345" ht="14.4" x14ac:dyDescent="0.3"/>
    <row r="5346" ht="14.4" x14ac:dyDescent="0.3"/>
    <row r="5347" ht="14.4" x14ac:dyDescent="0.3"/>
    <row r="5348" ht="14.4" x14ac:dyDescent="0.3"/>
    <row r="5349" ht="14.4" x14ac:dyDescent="0.3"/>
    <row r="5350" ht="14.4" x14ac:dyDescent="0.3"/>
    <row r="5351" ht="14.4" x14ac:dyDescent="0.3"/>
    <row r="5352" ht="14.4" x14ac:dyDescent="0.3"/>
    <row r="5353" ht="14.4" x14ac:dyDescent="0.3"/>
    <row r="5354" ht="14.4" x14ac:dyDescent="0.3"/>
    <row r="5355" ht="14.4" x14ac:dyDescent="0.3"/>
    <row r="5356" ht="14.4" x14ac:dyDescent="0.3"/>
    <row r="5357" ht="14.4" x14ac:dyDescent="0.3"/>
    <row r="5358" ht="14.4" x14ac:dyDescent="0.3"/>
    <row r="5359" ht="14.4" x14ac:dyDescent="0.3"/>
    <row r="5360" ht="14.4" x14ac:dyDescent="0.3"/>
    <row r="5361" ht="14.4" x14ac:dyDescent="0.3"/>
    <row r="5362" ht="14.4" x14ac:dyDescent="0.3"/>
    <row r="5363" ht="14.4" x14ac:dyDescent="0.3"/>
    <row r="5364" ht="14.4" x14ac:dyDescent="0.3"/>
    <row r="5365" ht="14.4" x14ac:dyDescent="0.3"/>
    <row r="5366" ht="14.4" x14ac:dyDescent="0.3"/>
    <row r="5367" ht="14.4" x14ac:dyDescent="0.3"/>
    <row r="5368" ht="14.4" x14ac:dyDescent="0.3"/>
    <row r="5369" ht="14.4" x14ac:dyDescent="0.3"/>
    <row r="5370" ht="14.4" x14ac:dyDescent="0.3"/>
    <row r="5371" ht="14.4" x14ac:dyDescent="0.3"/>
    <row r="5372" ht="14.4" x14ac:dyDescent="0.3"/>
    <row r="5373" ht="14.4" x14ac:dyDescent="0.3"/>
    <row r="5374" ht="14.4" x14ac:dyDescent="0.3"/>
    <row r="5375" ht="14.4" x14ac:dyDescent="0.3"/>
    <row r="5376" ht="14.4" x14ac:dyDescent="0.3"/>
    <row r="5377" ht="14.4" x14ac:dyDescent="0.3"/>
    <row r="5378" ht="14.4" x14ac:dyDescent="0.3"/>
    <row r="5379" ht="14.4" x14ac:dyDescent="0.3"/>
    <row r="5380" ht="14.4" x14ac:dyDescent="0.3"/>
    <row r="5381" ht="14.4" x14ac:dyDescent="0.3"/>
    <row r="5382" ht="14.4" x14ac:dyDescent="0.3"/>
    <row r="5383" ht="14.4" x14ac:dyDescent="0.3"/>
    <row r="5384" ht="14.4" x14ac:dyDescent="0.3"/>
    <row r="5385" ht="14.4" x14ac:dyDescent="0.3"/>
    <row r="5386" ht="14.4" x14ac:dyDescent="0.3"/>
    <row r="5387" ht="14.4" x14ac:dyDescent="0.3"/>
    <row r="5388" ht="14.4" x14ac:dyDescent="0.3"/>
    <row r="5389" ht="14.4" x14ac:dyDescent="0.3"/>
    <row r="5390" ht="14.4" x14ac:dyDescent="0.3"/>
    <row r="5391" ht="14.4" x14ac:dyDescent="0.3"/>
    <row r="5392" ht="14.4" x14ac:dyDescent="0.3"/>
    <row r="5393" ht="14.4" x14ac:dyDescent="0.3"/>
    <row r="5394" ht="14.4" x14ac:dyDescent="0.3"/>
    <row r="5395" ht="14.4" x14ac:dyDescent="0.3"/>
    <row r="5396" ht="14.4" x14ac:dyDescent="0.3"/>
    <row r="5397" ht="14.4" x14ac:dyDescent="0.3"/>
    <row r="5398" ht="14.4" x14ac:dyDescent="0.3"/>
    <row r="5399" ht="14.4" x14ac:dyDescent="0.3"/>
    <row r="5400" ht="14.4" x14ac:dyDescent="0.3"/>
    <row r="5401" ht="14.4" x14ac:dyDescent="0.3"/>
    <row r="5402" ht="14.4" x14ac:dyDescent="0.3"/>
    <row r="5403" ht="14.4" x14ac:dyDescent="0.3"/>
    <row r="5404" ht="14.4" x14ac:dyDescent="0.3"/>
    <row r="5405" ht="14.4" x14ac:dyDescent="0.3"/>
    <row r="5406" ht="14.4" x14ac:dyDescent="0.3"/>
    <row r="5407" ht="14.4" x14ac:dyDescent="0.3"/>
    <row r="5408" ht="14.4" x14ac:dyDescent="0.3"/>
    <row r="5409" ht="14.4" x14ac:dyDescent="0.3"/>
    <row r="5410" ht="14.4" x14ac:dyDescent="0.3"/>
    <row r="5411" ht="14.4" x14ac:dyDescent="0.3"/>
    <row r="5412" ht="14.4" x14ac:dyDescent="0.3"/>
    <row r="5413" ht="14.4" x14ac:dyDescent="0.3"/>
    <row r="5414" ht="14.4" x14ac:dyDescent="0.3"/>
    <row r="5415" ht="14.4" x14ac:dyDescent="0.3"/>
    <row r="5416" ht="14.4" x14ac:dyDescent="0.3"/>
    <row r="5417" ht="14.4" x14ac:dyDescent="0.3"/>
    <row r="5418" ht="14.4" x14ac:dyDescent="0.3"/>
    <row r="5419" ht="14.4" x14ac:dyDescent="0.3"/>
    <row r="5420" ht="14.4" x14ac:dyDescent="0.3"/>
    <row r="5421" ht="14.4" x14ac:dyDescent="0.3"/>
    <row r="5422" ht="14.4" x14ac:dyDescent="0.3"/>
    <row r="5423" ht="14.4" x14ac:dyDescent="0.3"/>
    <row r="5424" ht="14.4" x14ac:dyDescent="0.3"/>
    <row r="5425" ht="14.4" x14ac:dyDescent="0.3"/>
    <row r="5426" ht="14.4" x14ac:dyDescent="0.3"/>
    <row r="5427" ht="14.4" x14ac:dyDescent="0.3"/>
    <row r="5428" ht="14.4" x14ac:dyDescent="0.3"/>
    <row r="5429" ht="14.4" x14ac:dyDescent="0.3"/>
    <row r="5430" ht="14.4" x14ac:dyDescent="0.3"/>
    <row r="5431" ht="14.4" x14ac:dyDescent="0.3"/>
    <row r="5432" ht="14.4" x14ac:dyDescent="0.3"/>
    <row r="5433" ht="14.4" x14ac:dyDescent="0.3"/>
    <row r="5434" ht="14.4" x14ac:dyDescent="0.3"/>
    <row r="5435" ht="14.4" x14ac:dyDescent="0.3"/>
    <row r="5436" ht="14.4" x14ac:dyDescent="0.3"/>
    <row r="5437" ht="14.4" x14ac:dyDescent="0.3"/>
    <row r="5438" ht="14.4" x14ac:dyDescent="0.3"/>
    <row r="5439" ht="14.4" x14ac:dyDescent="0.3"/>
    <row r="5440" ht="14.4" x14ac:dyDescent="0.3"/>
    <row r="5441" ht="14.4" x14ac:dyDescent="0.3"/>
    <row r="5442" ht="14.4" x14ac:dyDescent="0.3"/>
    <row r="5443" ht="14.4" x14ac:dyDescent="0.3"/>
    <row r="5444" ht="14.4" x14ac:dyDescent="0.3"/>
    <row r="5445" ht="14.4" x14ac:dyDescent="0.3"/>
    <row r="5446" ht="14.4" x14ac:dyDescent="0.3"/>
    <row r="5447" ht="14.4" x14ac:dyDescent="0.3"/>
    <row r="5448" ht="14.4" x14ac:dyDescent="0.3"/>
    <row r="5449" ht="14.4" x14ac:dyDescent="0.3"/>
    <row r="5450" ht="14.4" x14ac:dyDescent="0.3"/>
    <row r="5451" ht="14.4" x14ac:dyDescent="0.3"/>
    <row r="5452" ht="14.4" x14ac:dyDescent="0.3"/>
    <row r="5453" ht="14.4" x14ac:dyDescent="0.3"/>
    <row r="5454" ht="14.4" x14ac:dyDescent="0.3"/>
    <row r="5455" ht="14.4" x14ac:dyDescent="0.3"/>
    <row r="5456" ht="14.4" x14ac:dyDescent="0.3"/>
    <row r="5457" ht="14.4" x14ac:dyDescent="0.3"/>
    <row r="5458" ht="14.4" x14ac:dyDescent="0.3"/>
    <row r="5459" ht="14.4" x14ac:dyDescent="0.3"/>
    <row r="5460" ht="14.4" x14ac:dyDescent="0.3"/>
    <row r="5461" ht="14.4" x14ac:dyDescent="0.3"/>
    <row r="5462" ht="14.4" x14ac:dyDescent="0.3"/>
    <row r="5463" ht="14.4" x14ac:dyDescent="0.3"/>
    <row r="5464" ht="14.4" x14ac:dyDescent="0.3"/>
    <row r="5465" ht="14.4" x14ac:dyDescent="0.3"/>
    <row r="5466" ht="14.4" x14ac:dyDescent="0.3"/>
    <row r="5467" ht="14.4" x14ac:dyDescent="0.3"/>
    <row r="5468" ht="14.4" x14ac:dyDescent="0.3"/>
    <row r="5469" ht="14.4" x14ac:dyDescent="0.3"/>
    <row r="5470" ht="14.4" x14ac:dyDescent="0.3"/>
    <row r="5471" ht="14.4" x14ac:dyDescent="0.3"/>
    <row r="5472" ht="14.4" x14ac:dyDescent="0.3"/>
    <row r="5473" ht="14.4" x14ac:dyDescent="0.3"/>
    <row r="5474" ht="14.4" x14ac:dyDescent="0.3"/>
    <row r="5475" ht="14.4" x14ac:dyDescent="0.3"/>
    <row r="5476" ht="14.4" x14ac:dyDescent="0.3"/>
    <row r="5477" ht="14.4" x14ac:dyDescent="0.3"/>
    <row r="5478" ht="14.4" x14ac:dyDescent="0.3"/>
    <row r="5479" ht="14.4" x14ac:dyDescent="0.3"/>
    <row r="5480" ht="14.4" x14ac:dyDescent="0.3"/>
    <row r="5481" ht="14.4" x14ac:dyDescent="0.3"/>
    <row r="5482" ht="14.4" x14ac:dyDescent="0.3"/>
    <row r="5483" ht="14.4" x14ac:dyDescent="0.3"/>
    <row r="5484" ht="14.4" x14ac:dyDescent="0.3"/>
    <row r="5485" ht="14.4" x14ac:dyDescent="0.3"/>
    <row r="5486" ht="14.4" x14ac:dyDescent="0.3"/>
    <row r="5487" ht="14.4" x14ac:dyDescent="0.3"/>
    <row r="5488" ht="14.4" x14ac:dyDescent="0.3"/>
    <row r="5489" ht="14.4" x14ac:dyDescent="0.3"/>
    <row r="5490" ht="14.4" x14ac:dyDescent="0.3"/>
    <row r="5491" ht="14.4" x14ac:dyDescent="0.3"/>
    <row r="5492" ht="14.4" x14ac:dyDescent="0.3"/>
    <row r="5493" ht="14.4" x14ac:dyDescent="0.3"/>
    <row r="5494" ht="14.4" x14ac:dyDescent="0.3"/>
    <row r="5495" ht="14.4" x14ac:dyDescent="0.3"/>
    <row r="5496" ht="14.4" x14ac:dyDescent="0.3"/>
    <row r="5497" ht="14.4" x14ac:dyDescent="0.3"/>
    <row r="5498" ht="14.4" x14ac:dyDescent="0.3"/>
    <row r="5499" ht="14.4" x14ac:dyDescent="0.3"/>
    <row r="5500" ht="14.4" x14ac:dyDescent="0.3"/>
    <row r="5501" ht="14.4" x14ac:dyDescent="0.3"/>
    <row r="5502" ht="14.4" x14ac:dyDescent="0.3"/>
    <row r="5503" ht="14.4" x14ac:dyDescent="0.3"/>
    <row r="5504" ht="14.4" x14ac:dyDescent="0.3"/>
    <row r="5505" ht="14.4" x14ac:dyDescent="0.3"/>
    <row r="5506" ht="14.4" x14ac:dyDescent="0.3"/>
    <row r="5507" ht="14.4" x14ac:dyDescent="0.3"/>
    <row r="5508" ht="14.4" x14ac:dyDescent="0.3"/>
    <row r="5509" ht="14.4" x14ac:dyDescent="0.3"/>
    <row r="5510" ht="14.4" x14ac:dyDescent="0.3"/>
    <row r="5511" ht="14.4" x14ac:dyDescent="0.3"/>
    <row r="5512" ht="14.4" x14ac:dyDescent="0.3"/>
    <row r="5513" ht="14.4" x14ac:dyDescent="0.3"/>
    <row r="5514" ht="14.4" x14ac:dyDescent="0.3"/>
    <row r="5515" ht="14.4" x14ac:dyDescent="0.3"/>
    <row r="5516" ht="14.4" x14ac:dyDescent="0.3"/>
    <row r="5517" ht="14.4" x14ac:dyDescent="0.3"/>
    <row r="5518" ht="14.4" x14ac:dyDescent="0.3"/>
    <row r="5519" ht="14.4" x14ac:dyDescent="0.3"/>
    <row r="5520" ht="14.4" x14ac:dyDescent="0.3"/>
    <row r="5521" ht="14.4" x14ac:dyDescent="0.3"/>
    <row r="5522" ht="14.4" x14ac:dyDescent="0.3"/>
    <row r="5523" ht="14.4" x14ac:dyDescent="0.3"/>
    <row r="5524" ht="14.4" x14ac:dyDescent="0.3"/>
    <row r="5525" ht="14.4" x14ac:dyDescent="0.3"/>
    <row r="5526" ht="14.4" x14ac:dyDescent="0.3"/>
    <row r="5527" ht="14.4" x14ac:dyDescent="0.3"/>
    <row r="5528" ht="14.4" x14ac:dyDescent="0.3"/>
    <row r="5529" ht="14.4" x14ac:dyDescent="0.3"/>
    <row r="5530" ht="14.4" x14ac:dyDescent="0.3"/>
    <row r="5531" ht="14.4" x14ac:dyDescent="0.3"/>
    <row r="5532" ht="14.4" x14ac:dyDescent="0.3"/>
    <row r="5533" ht="14.4" x14ac:dyDescent="0.3"/>
    <row r="5534" ht="14.4" x14ac:dyDescent="0.3"/>
    <row r="5535" ht="14.4" x14ac:dyDescent="0.3"/>
    <row r="5536" ht="14.4" x14ac:dyDescent="0.3"/>
    <row r="5537" ht="14.4" x14ac:dyDescent="0.3"/>
    <row r="5538" ht="14.4" x14ac:dyDescent="0.3"/>
    <row r="5539" ht="14.4" x14ac:dyDescent="0.3"/>
    <row r="5540" ht="14.4" x14ac:dyDescent="0.3"/>
    <row r="5541" ht="14.4" x14ac:dyDescent="0.3"/>
    <row r="5542" ht="14.4" x14ac:dyDescent="0.3"/>
    <row r="5543" ht="14.4" x14ac:dyDescent="0.3"/>
    <row r="5544" ht="14.4" x14ac:dyDescent="0.3"/>
    <row r="5545" ht="14.4" x14ac:dyDescent="0.3"/>
    <row r="5546" ht="14.4" x14ac:dyDescent="0.3"/>
    <row r="5547" ht="14.4" x14ac:dyDescent="0.3"/>
    <row r="5548" ht="14.4" x14ac:dyDescent="0.3"/>
    <row r="5549" ht="14.4" x14ac:dyDescent="0.3"/>
    <row r="5550" ht="14.4" x14ac:dyDescent="0.3"/>
    <row r="5551" ht="14.4" x14ac:dyDescent="0.3"/>
    <row r="5552" ht="14.4" x14ac:dyDescent="0.3"/>
    <row r="5553" ht="14.4" x14ac:dyDescent="0.3"/>
    <row r="5554" ht="14.4" x14ac:dyDescent="0.3"/>
    <row r="5555" ht="14.4" x14ac:dyDescent="0.3"/>
    <row r="5556" ht="14.4" x14ac:dyDescent="0.3"/>
    <row r="5557" ht="14.4" x14ac:dyDescent="0.3"/>
    <row r="5558" ht="14.4" x14ac:dyDescent="0.3"/>
    <row r="5559" ht="14.4" x14ac:dyDescent="0.3"/>
    <row r="5560" ht="14.4" x14ac:dyDescent="0.3"/>
    <row r="5561" ht="14.4" x14ac:dyDescent="0.3"/>
    <row r="5562" ht="14.4" x14ac:dyDescent="0.3"/>
    <row r="5563" ht="14.4" x14ac:dyDescent="0.3"/>
    <row r="5564" ht="14.4" x14ac:dyDescent="0.3"/>
    <row r="5565" ht="14.4" x14ac:dyDescent="0.3"/>
    <row r="5566" ht="14.4" x14ac:dyDescent="0.3"/>
    <row r="5567" ht="14.4" x14ac:dyDescent="0.3"/>
    <row r="5568" ht="14.4" x14ac:dyDescent="0.3"/>
    <row r="5569" ht="14.4" x14ac:dyDescent="0.3"/>
    <row r="5570" ht="14.4" x14ac:dyDescent="0.3"/>
    <row r="5571" ht="14.4" x14ac:dyDescent="0.3"/>
    <row r="5572" ht="14.4" x14ac:dyDescent="0.3"/>
    <row r="5573" ht="14.4" x14ac:dyDescent="0.3"/>
    <row r="5574" ht="14.4" x14ac:dyDescent="0.3"/>
    <row r="5575" ht="14.4" x14ac:dyDescent="0.3"/>
    <row r="5576" ht="14.4" x14ac:dyDescent="0.3"/>
    <row r="5577" ht="14.4" x14ac:dyDescent="0.3"/>
    <row r="5578" ht="14.4" x14ac:dyDescent="0.3"/>
    <row r="5579" ht="14.4" x14ac:dyDescent="0.3"/>
    <row r="5580" ht="14.4" x14ac:dyDescent="0.3"/>
    <row r="5581" ht="14.4" x14ac:dyDescent="0.3"/>
    <row r="5582" ht="14.4" x14ac:dyDescent="0.3"/>
    <row r="5583" ht="14.4" x14ac:dyDescent="0.3"/>
    <row r="5584" ht="14.4" x14ac:dyDescent="0.3"/>
    <row r="5585" ht="14.4" x14ac:dyDescent="0.3"/>
    <row r="5586" ht="14.4" x14ac:dyDescent="0.3"/>
    <row r="5587" ht="14.4" x14ac:dyDescent="0.3"/>
    <row r="5588" ht="14.4" x14ac:dyDescent="0.3"/>
    <row r="5589" ht="14.4" x14ac:dyDescent="0.3"/>
    <row r="5590" ht="14.4" x14ac:dyDescent="0.3"/>
    <row r="5591" ht="14.4" x14ac:dyDescent="0.3"/>
    <row r="5592" ht="14.4" x14ac:dyDescent="0.3"/>
    <row r="5593" ht="14.4" x14ac:dyDescent="0.3"/>
    <row r="5594" ht="14.4" x14ac:dyDescent="0.3"/>
    <row r="5595" ht="14.4" x14ac:dyDescent="0.3"/>
    <row r="5596" ht="14.4" x14ac:dyDescent="0.3"/>
    <row r="5597" ht="14.4" x14ac:dyDescent="0.3"/>
    <row r="5598" ht="14.4" x14ac:dyDescent="0.3"/>
    <row r="5599" ht="14.4" x14ac:dyDescent="0.3"/>
    <row r="5600" ht="14.4" x14ac:dyDescent="0.3"/>
    <row r="5601" ht="14.4" x14ac:dyDescent="0.3"/>
    <row r="5602" ht="14.4" x14ac:dyDescent="0.3"/>
    <row r="5603" ht="14.4" x14ac:dyDescent="0.3"/>
    <row r="5604" ht="14.4" x14ac:dyDescent="0.3"/>
    <row r="5605" ht="14.4" x14ac:dyDescent="0.3"/>
    <row r="5606" ht="14.4" x14ac:dyDescent="0.3"/>
    <row r="5607" ht="14.4" x14ac:dyDescent="0.3"/>
    <row r="5608" ht="14.4" x14ac:dyDescent="0.3"/>
    <row r="5609" ht="14.4" x14ac:dyDescent="0.3"/>
    <row r="5610" ht="14.4" x14ac:dyDescent="0.3"/>
    <row r="5611" ht="14.4" x14ac:dyDescent="0.3"/>
    <row r="5612" ht="14.4" x14ac:dyDescent="0.3"/>
    <row r="5613" ht="14.4" x14ac:dyDescent="0.3"/>
    <row r="5614" ht="14.4" x14ac:dyDescent="0.3"/>
    <row r="5615" ht="14.4" x14ac:dyDescent="0.3"/>
    <row r="5616" ht="14.4" x14ac:dyDescent="0.3"/>
    <row r="5617" ht="14.4" x14ac:dyDescent="0.3"/>
    <row r="5618" ht="14.4" x14ac:dyDescent="0.3"/>
    <row r="5619" ht="14.4" x14ac:dyDescent="0.3"/>
    <row r="5620" ht="14.4" x14ac:dyDescent="0.3"/>
    <row r="5621" ht="14.4" x14ac:dyDescent="0.3"/>
    <row r="5622" ht="14.4" x14ac:dyDescent="0.3"/>
    <row r="5623" ht="14.4" x14ac:dyDescent="0.3"/>
    <row r="5624" ht="14.4" x14ac:dyDescent="0.3"/>
    <row r="5625" ht="14.4" x14ac:dyDescent="0.3"/>
    <row r="5626" ht="14.4" x14ac:dyDescent="0.3"/>
    <row r="5627" ht="14.4" x14ac:dyDescent="0.3"/>
    <row r="5628" ht="14.4" x14ac:dyDescent="0.3"/>
    <row r="5629" ht="14.4" x14ac:dyDescent="0.3"/>
    <row r="5630" ht="14.4" x14ac:dyDescent="0.3"/>
    <row r="5631" ht="14.4" x14ac:dyDescent="0.3"/>
    <row r="5632" ht="14.4" x14ac:dyDescent="0.3"/>
    <row r="5633" spans="1:43" ht="14.4" x14ac:dyDescent="0.3"/>
    <row r="5634" spans="1:43" ht="14.4" x14ac:dyDescent="0.3"/>
    <row r="5635" spans="1:43" ht="14.4" x14ac:dyDescent="0.3"/>
    <row r="5636" spans="1:43" ht="14.4" x14ac:dyDescent="0.3"/>
    <row r="5637" spans="1:43" ht="14.4" x14ac:dyDescent="0.3"/>
    <row r="5638" spans="1:43" ht="14.4" x14ac:dyDescent="0.3"/>
    <row r="5639" spans="1:43" ht="14.4" x14ac:dyDescent="0.3"/>
    <row r="5640" spans="1:43" ht="14.4" x14ac:dyDescent="0.3"/>
    <row r="5641" spans="1:43" ht="14.4" x14ac:dyDescent="0.3"/>
    <row r="5642" spans="1:43" ht="14.4" x14ac:dyDescent="0.3"/>
    <row r="5643" spans="1:43" ht="14.4" x14ac:dyDescent="0.3"/>
    <row r="5644" spans="1:43" ht="14.4" x14ac:dyDescent="0.3"/>
    <row r="5645" spans="1:43" ht="14.4" x14ac:dyDescent="0.3"/>
    <row r="5646" spans="1:43" ht="14.4" hidden="1" x14ac:dyDescent="0.3">
      <c r="A5646" t="s">
        <v>1386</v>
      </c>
      <c r="B5646">
        <v>4929267</v>
      </c>
      <c r="C5646" t="s">
        <v>445</v>
      </c>
      <c r="D5646" t="s">
        <v>446</v>
      </c>
      <c r="E5646" t="s">
        <v>478</v>
      </c>
      <c r="F5646" t="s">
        <v>1387</v>
      </c>
      <c r="H5646" t="s">
        <v>251</v>
      </c>
      <c r="J5646" t="s">
        <v>140</v>
      </c>
      <c r="K5646">
        <v>160616.75</v>
      </c>
      <c r="L5646">
        <v>385032.84</v>
      </c>
      <c r="N5646" t="s">
        <v>1015</v>
      </c>
      <c r="O5646" t="s">
        <v>658</v>
      </c>
      <c r="P5646" t="s">
        <v>1388</v>
      </c>
      <c r="Q5646" t="s">
        <v>144</v>
      </c>
      <c r="S5646">
        <v>34</v>
      </c>
      <c r="T5646">
        <v>4900</v>
      </c>
      <c r="V5646" t="s">
        <v>146</v>
      </c>
      <c r="W5646" t="s">
        <v>531</v>
      </c>
      <c r="Y5646" t="s">
        <v>283</v>
      </c>
      <c r="Z5646" t="s">
        <v>658</v>
      </c>
      <c r="AA5646" t="s">
        <v>1389</v>
      </c>
      <c r="AB5646">
        <v>0</v>
      </c>
      <c r="AE5646" t="s">
        <v>444</v>
      </c>
      <c r="AF5646" t="s">
        <v>658</v>
      </c>
      <c r="AG5646" t="s">
        <v>1390</v>
      </c>
      <c r="AL5646" t="s">
        <v>1391</v>
      </c>
      <c r="AM5646" t="s">
        <v>1392</v>
      </c>
      <c r="AN5646" t="s">
        <v>1393</v>
      </c>
      <c r="AO5646" t="s">
        <v>1015</v>
      </c>
      <c r="AP5646" t="s">
        <v>158</v>
      </c>
      <c r="AQ5646" t="str">
        <f>IF(ISBLANK(AP5646), IFERROR(IF(VLOOKUP(AO5646, Ellens_additions!$A$2:$B$252, 2, FALSE) = "", "", VLOOKUP(AO5646, Ellens_additions!$A$2:$B$252, 2, FALSE)), 0), AP5646)</f>
        <v>3000</v>
      </c>
    </row>
    <row r="5647" spans="1:43" ht="14.4" x14ac:dyDescent="0.3"/>
    <row r="5648" spans="1:43" ht="14.4" x14ac:dyDescent="0.3"/>
    <row r="5649" spans="1:43" ht="14.4" x14ac:dyDescent="0.3"/>
    <row r="5650" spans="1:43" ht="14.4" x14ac:dyDescent="0.3"/>
    <row r="5651" spans="1:43" ht="14.4" x14ac:dyDescent="0.3"/>
    <row r="5652" spans="1:43" ht="14.4" x14ac:dyDescent="0.3"/>
    <row r="5653" spans="1:43" ht="14.4" x14ac:dyDescent="0.3"/>
    <row r="5654" spans="1:43" ht="14.4" x14ac:dyDescent="0.3"/>
    <row r="5655" spans="1:43" ht="14.4" x14ac:dyDescent="0.3"/>
    <row r="5656" spans="1:43" ht="14.4" x14ac:dyDescent="0.3"/>
    <row r="5657" spans="1:43" ht="14.4" x14ac:dyDescent="0.3"/>
    <row r="5658" spans="1:43" ht="14.4" x14ac:dyDescent="0.3"/>
    <row r="5659" spans="1:43" ht="14.4" x14ac:dyDescent="0.3"/>
    <row r="5660" spans="1:43" ht="14.4" x14ac:dyDescent="0.3"/>
    <row r="5661" spans="1:43" ht="14.4" x14ac:dyDescent="0.3"/>
    <row r="5662" spans="1:43" ht="14.4" hidden="1" x14ac:dyDescent="0.3">
      <c r="A5662" t="s">
        <v>1394</v>
      </c>
      <c r="B5662">
        <v>4929287</v>
      </c>
      <c r="C5662" t="s">
        <v>445</v>
      </c>
      <c r="D5662" t="s">
        <v>446</v>
      </c>
      <c r="E5662" t="s">
        <v>546</v>
      </c>
      <c r="F5662" t="s">
        <v>1395</v>
      </c>
      <c r="H5662" t="s">
        <v>296</v>
      </c>
      <c r="J5662" t="s">
        <v>140</v>
      </c>
      <c r="K5662">
        <v>159539.636</v>
      </c>
      <c r="L5662">
        <v>385623.35700000002</v>
      </c>
      <c r="M5662">
        <v>1</v>
      </c>
      <c r="N5662" t="s">
        <v>1396</v>
      </c>
      <c r="O5662" t="s">
        <v>552</v>
      </c>
      <c r="P5662" t="s">
        <v>1397</v>
      </c>
      <c r="Q5662" t="s">
        <v>144</v>
      </c>
      <c r="S5662">
        <v>23</v>
      </c>
      <c r="T5662">
        <v>3000</v>
      </c>
      <c r="V5662" t="s">
        <v>146</v>
      </c>
      <c r="W5662" t="s">
        <v>147</v>
      </c>
      <c r="X5662" t="s">
        <v>7</v>
      </c>
      <c r="Y5662" t="s">
        <v>1006</v>
      </c>
      <c r="Z5662" t="s">
        <v>552</v>
      </c>
      <c r="AA5662" t="s">
        <v>404</v>
      </c>
      <c r="AB5662">
        <v>0</v>
      </c>
      <c r="AE5662" t="s">
        <v>1398</v>
      </c>
      <c r="AF5662" t="s">
        <v>552</v>
      </c>
      <c r="AG5662" t="s">
        <v>1399</v>
      </c>
      <c r="AL5662" t="s">
        <v>1400</v>
      </c>
      <c r="AM5662" t="s">
        <v>1401</v>
      </c>
      <c r="AN5662" t="s">
        <v>1402</v>
      </c>
      <c r="AO5662" t="s">
        <v>1396</v>
      </c>
      <c r="AP5662" t="s">
        <v>158</v>
      </c>
      <c r="AQ5662" t="str">
        <f>IF(ISBLANK(AP5662), IFERROR(IF(VLOOKUP(AO5662, Ellens_additions!$A$2:$B$252, 2, FALSE) = "", "", VLOOKUP(AO5662, Ellens_additions!$A$2:$B$252, 2, FALSE)), 0), AP5662)</f>
        <v>3000</v>
      </c>
    </row>
    <row r="5663" spans="1:43" ht="14.4" x14ac:dyDescent="0.3"/>
    <row r="5664" spans="1:43" ht="14.4" hidden="1" x14ac:dyDescent="0.3">
      <c r="A5664" t="s">
        <v>1403</v>
      </c>
      <c r="B5664">
        <v>4929294</v>
      </c>
      <c r="C5664" t="s">
        <v>445</v>
      </c>
      <c r="D5664" t="s">
        <v>446</v>
      </c>
      <c r="E5664" t="s">
        <v>546</v>
      </c>
      <c r="F5664" t="s">
        <v>1395</v>
      </c>
      <c r="H5664" t="s">
        <v>256</v>
      </c>
      <c r="J5664" t="s">
        <v>140</v>
      </c>
      <c r="K5664">
        <v>159598.9</v>
      </c>
      <c r="L5664">
        <v>385529.51</v>
      </c>
      <c r="M5664">
        <v>1</v>
      </c>
      <c r="N5664" t="s">
        <v>1396</v>
      </c>
      <c r="O5664" t="s">
        <v>552</v>
      </c>
      <c r="P5664" t="s">
        <v>1397</v>
      </c>
      <c r="Q5664" t="s">
        <v>144</v>
      </c>
      <c r="S5664">
        <v>23</v>
      </c>
      <c r="T5664">
        <v>3000</v>
      </c>
      <c r="V5664" t="s">
        <v>146</v>
      </c>
      <c r="W5664" t="s">
        <v>147</v>
      </c>
      <c r="X5664" t="s">
        <v>7</v>
      </c>
      <c r="Y5664" t="s">
        <v>1006</v>
      </c>
      <c r="Z5664" t="s">
        <v>552</v>
      </c>
      <c r="AA5664" t="s">
        <v>404</v>
      </c>
      <c r="AB5664">
        <v>0</v>
      </c>
      <c r="AE5664" t="s">
        <v>1398</v>
      </c>
      <c r="AF5664" t="s">
        <v>552</v>
      </c>
      <c r="AG5664" t="s">
        <v>1399</v>
      </c>
      <c r="AL5664" t="s">
        <v>1404</v>
      </c>
      <c r="AM5664" t="s">
        <v>1405</v>
      </c>
      <c r="AN5664" t="s">
        <v>1406</v>
      </c>
      <c r="AO5664" t="s">
        <v>1396</v>
      </c>
      <c r="AP5664" t="s">
        <v>158</v>
      </c>
      <c r="AQ5664" t="str">
        <f>IF(ISBLANK(AP5664), IFERROR(IF(VLOOKUP(AO5664, Ellens_additions!$A$2:$B$252, 2, FALSE) = "", "", VLOOKUP(AO5664, Ellens_additions!$A$2:$B$252, 2, FALSE)), 0), AP5664)</f>
        <v>3000</v>
      </c>
    </row>
    <row r="5665" spans="1:43" ht="14.4" x14ac:dyDescent="0.3"/>
    <row r="5666" spans="1:43" ht="14.4" x14ac:dyDescent="0.3"/>
    <row r="5667" spans="1:43" ht="14.4" x14ac:dyDescent="0.3"/>
    <row r="5668" spans="1:43" ht="14.4" x14ac:dyDescent="0.3"/>
    <row r="5669" spans="1:43" ht="14.4" x14ac:dyDescent="0.3"/>
    <row r="5670" spans="1:43" ht="14.4" x14ac:dyDescent="0.3"/>
    <row r="5671" spans="1:43" ht="14.4" x14ac:dyDescent="0.3"/>
    <row r="5672" spans="1:43" ht="14.4" hidden="1" x14ac:dyDescent="0.3">
      <c r="A5672" t="s">
        <v>1408</v>
      </c>
      <c r="B5672">
        <v>4929316</v>
      </c>
      <c r="C5672" t="s">
        <v>445</v>
      </c>
      <c r="D5672" t="s">
        <v>446</v>
      </c>
      <c r="E5672" t="s">
        <v>478</v>
      </c>
      <c r="F5672" t="s">
        <v>1387</v>
      </c>
      <c r="H5672" t="s">
        <v>274</v>
      </c>
      <c r="J5672" t="s">
        <v>140</v>
      </c>
      <c r="K5672">
        <v>160541.38</v>
      </c>
      <c r="L5672">
        <v>385067.67</v>
      </c>
      <c r="N5672" t="s">
        <v>1015</v>
      </c>
      <c r="O5672" t="s">
        <v>548</v>
      </c>
      <c r="P5672" t="s">
        <v>709</v>
      </c>
      <c r="Q5672" t="s">
        <v>144</v>
      </c>
      <c r="S5672">
        <v>34</v>
      </c>
      <c r="T5672">
        <v>4900</v>
      </c>
      <c r="V5672" t="s">
        <v>146</v>
      </c>
      <c r="W5672" t="s">
        <v>531</v>
      </c>
      <c r="Y5672" t="s">
        <v>283</v>
      </c>
      <c r="Z5672" t="s">
        <v>548</v>
      </c>
      <c r="AA5672" t="s">
        <v>1409</v>
      </c>
      <c r="AB5672">
        <v>0</v>
      </c>
      <c r="AE5672" t="s">
        <v>444</v>
      </c>
      <c r="AF5672" t="s">
        <v>548</v>
      </c>
      <c r="AG5672" t="s">
        <v>711</v>
      </c>
      <c r="AL5672" t="s">
        <v>1410</v>
      </c>
      <c r="AM5672" t="s">
        <v>1411</v>
      </c>
      <c r="AN5672" t="s">
        <v>1412</v>
      </c>
      <c r="AO5672" t="s">
        <v>1015</v>
      </c>
      <c r="AP5672" t="s">
        <v>158</v>
      </c>
      <c r="AQ5672" t="str">
        <f>IF(ISBLANK(AP5672), IFERROR(IF(VLOOKUP(AO5672, Ellens_additions!$A$2:$B$252, 2, FALSE) = "", "", VLOOKUP(AO5672, Ellens_additions!$A$2:$B$252, 2, FALSE)), 0), AP5672)</f>
        <v>3000</v>
      </c>
    </row>
    <row r="5673" spans="1:43" ht="14.4" x14ac:dyDescent="0.3"/>
    <row r="5674" spans="1:43" ht="14.4" x14ac:dyDescent="0.3"/>
    <row r="5675" spans="1:43" ht="14.4" x14ac:dyDescent="0.3"/>
    <row r="5676" spans="1:43" ht="14.4" x14ac:dyDescent="0.3"/>
    <row r="5677" spans="1:43" ht="14.4" x14ac:dyDescent="0.3"/>
    <row r="5678" spans="1:43" ht="14.4" x14ac:dyDescent="0.3"/>
    <row r="5679" spans="1:43" ht="14.4" x14ac:dyDescent="0.3"/>
    <row r="5680" spans="1:43" ht="14.4" x14ac:dyDescent="0.3"/>
    <row r="5681" spans="1:43" ht="14.4" x14ac:dyDescent="0.3"/>
    <row r="5682" spans="1:43" ht="14.4" x14ac:dyDescent="0.3"/>
    <row r="5683" spans="1:43" ht="14.4" x14ac:dyDescent="0.3"/>
    <row r="5684" spans="1:43" ht="14.4" x14ac:dyDescent="0.3"/>
    <row r="5685" spans="1:43" ht="14.4" x14ac:dyDescent="0.3"/>
    <row r="5686" spans="1:43" ht="14.4" x14ac:dyDescent="0.3"/>
    <row r="5687" spans="1:43" ht="14.4" x14ac:dyDescent="0.3"/>
    <row r="5688" spans="1:43" ht="14.4" hidden="1" x14ac:dyDescent="0.3">
      <c r="A5688" t="s">
        <v>1413</v>
      </c>
      <c r="B5688">
        <v>4929340</v>
      </c>
      <c r="C5688" t="s">
        <v>445</v>
      </c>
      <c r="D5688" t="s">
        <v>584</v>
      </c>
      <c r="E5688" t="s">
        <v>617</v>
      </c>
      <c r="F5688" t="s">
        <v>1414</v>
      </c>
      <c r="H5688" t="s">
        <v>1005</v>
      </c>
      <c r="J5688" t="s">
        <v>140</v>
      </c>
      <c r="K5688">
        <v>160875.34</v>
      </c>
      <c r="L5688">
        <v>383882.28</v>
      </c>
      <c r="M5688">
        <v>1</v>
      </c>
      <c r="N5688" t="s">
        <v>823</v>
      </c>
      <c r="O5688" t="s">
        <v>1381</v>
      </c>
      <c r="P5688" t="s">
        <v>1231</v>
      </c>
      <c r="Q5688" t="s">
        <v>144</v>
      </c>
      <c r="S5688">
        <v>17</v>
      </c>
      <c r="T5688">
        <v>2500</v>
      </c>
      <c r="V5688" t="s">
        <v>146</v>
      </c>
      <c r="W5688" t="s">
        <v>273</v>
      </c>
      <c r="X5688" t="s">
        <v>7</v>
      </c>
      <c r="Y5688" t="s">
        <v>815</v>
      </c>
      <c r="Z5688" t="s">
        <v>1381</v>
      </c>
      <c r="AA5688" t="s">
        <v>1382</v>
      </c>
      <c r="AB5688">
        <v>0</v>
      </c>
      <c r="AE5688" t="s">
        <v>1407</v>
      </c>
      <c r="AF5688" t="s">
        <v>1381</v>
      </c>
      <c r="AG5688" t="s">
        <v>1415</v>
      </c>
      <c r="AL5688" t="s">
        <v>1416</v>
      </c>
      <c r="AM5688" t="s">
        <v>1417</v>
      </c>
      <c r="AN5688" t="s">
        <v>1418</v>
      </c>
      <c r="AO5688" t="s">
        <v>823</v>
      </c>
      <c r="AQ5688" t="str">
        <f>IF(ISBLANK(AP5688), IFERROR(IF(VLOOKUP(AO5688, Ellens_additions!$A$2:$B$252, 2, FALSE) = "", "", VLOOKUP(AO5688, Ellens_additions!$A$2:$B$252, 2, FALSE)), 0), AP5688)</f>
        <v/>
      </c>
    </row>
    <row r="5689" spans="1:43" ht="14.4" x14ac:dyDescent="0.3"/>
    <row r="5690" spans="1:43" ht="14.4" hidden="1" x14ac:dyDescent="0.3">
      <c r="A5690" t="s">
        <v>1419</v>
      </c>
      <c r="B5690">
        <v>4929341</v>
      </c>
      <c r="C5690" t="s">
        <v>445</v>
      </c>
      <c r="D5690" t="s">
        <v>584</v>
      </c>
      <c r="E5690" t="s">
        <v>617</v>
      </c>
      <c r="F5690" t="s">
        <v>1414</v>
      </c>
      <c r="H5690" t="s">
        <v>1013</v>
      </c>
      <c r="J5690" t="s">
        <v>140</v>
      </c>
      <c r="K5690">
        <v>160869.37</v>
      </c>
      <c r="L5690">
        <v>383905.8</v>
      </c>
      <c r="M5690">
        <v>1</v>
      </c>
      <c r="N5690" t="s">
        <v>823</v>
      </c>
      <c r="O5690" t="s">
        <v>314</v>
      </c>
      <c r="P5690" t="s">
        <v>559</v>
      </c>
      <c r="Q5690" t="s">
        <v>144</v>
      </c>
      <c r="S5690">
        <v>17</v>
      </c>
      <c r="T5690">
        <v>2500</v>
      </c>
      <c r="V5690" t="s">
        <v>146</v>
      </c>
      <c r="W5690" t="s">
        <v>273</v>
      </c>
      <c r="X5690" t="s">
        <v>7</v>
      </c>
      <c r="Y5690" t="s">
        <v>815</v>
      </c>
      <c r="Z5690" t="s">
        <v>314</v>
      </c>
      <c r="AA5690" t="s">
        <v>1420</v>
      </c>
      <c r="AB5690">
        <v>0</v>
      </c>
      <c r="AE5690" t="s">
        <v>1407</v>
      </c>
      <c r="AF5690" t="s">
        <v>314</v>
      </c>
      <c r="AG5690" t="s">
        <v>502</v>
      </c>
      <c r="AL5690" t="s">
        <v>1421</v>
      </c>
      <c r="AM5690" t="s">
        <v>1422</v>
      </c>
      <c r="AN5690" t="s">
        <v>1423</v>
      </c>
      <c r="AO5690" t="s">
        <v>823</v>
      </c>
      <c r="AQ5690" t="str">
        <f>IF(ISBLANK(AP5690), IFERROR(IF(VLOOKUP(AO5690, Ellens_additions!$A$2:$B$252, 2, FALSE) = "", "", VLOOKUP(AO5690, Ellens_additions!$A$2:$B$252, 2, FALSE)), 0), AP5690)</f>
        <v/>
      </c>
    </row>
    <row r="5691" spans="1:43" ht="14.4" x14ac:dyDescent="0.3"/>
    <row r="5692" spans="1:43" ht="14.4" x14ac:dyDescent="0.3"/>
    <row r="5693" spans="1:43" ht="14.4" x14ac:dyDescent="0.3"/>
    <row r="5694" spans="1:43" ht="14.4" x14ac:dyDescent="0.3"/>
    <row r="5695" spans="1:43" ht="14.4" x14ac:dyDescent="0.3"/>
    <row r="5696" spans="1:43" ht="14.4" x14ac:dyDescent="0.3"/>
    <row r="5697" ht="14.4" x14ac:dyDescent="0.3"/>
    <row r="5698" ht="14.4" x14ac:dyDescent="0.3"/>
    <row r="5699" ht="14.4" x14ac:dyDescent="0.3"/>
    <row r="5700" ht="14.4" x14ac:dyDescent="0.3"/>
    <row r="5701" ht="14.4" x14ac:dyDescent="0.3"/>
    <row r="5702" ht="14.4" x14ac:dyDescent="0.3"/>
    <row r="5703" ht="14.4" x14ac:dyDescent="0.3"/>
    <row r="5704" ht="14.4" x14ac:dyDescent="0.3"/>
    <row r="5705" ht="14.4" x14ac:dyDescent="0.3"/>
    <row r="5706" ht="14.4" x14ac:dyDescent="0.3"/>
    <row r="5707" ht="14.4" x14ac:dyDescent="0.3"/>
    <row r="5708" ht="14.4" x14ac:dyDescent="0.3"/>
    <row r="5709" ht="14.4" x14ac:dyDescent="0.3"/>
    <row r="5710" ht="14.4" x14ac:dyDescent="0.3"/>
    <row r="5711" ht="14.4" x14ac:dyDescent="0.3"/>
    <row r="5712" ht="14.4" x14ac:dyDescent="0.3"/>
    <row r="5713" spans="1:43" ht="14.4" x14ac:dyDescent="0.3"/>
    <row r="5714" spans="1:43" ht="14.4" x14ac:dyDescent="0.3"/>
    <row r="5715" spans="1:43" ht="14.4" x14ac:dyDescent="0.3"/>
    <row r="5716" spans="1:43" ht="14.4" x14ac:dyDescent="0.3"/>
    <row r="5717" spans="1:43" ht="14.4" x14ac:dyDescent="0.3"/>
    <row r="5718" spans="1:43" ht="14.4" hidden="1" x14ac:dyDescent="0.3">
      <c r="A5718" t="s">
        <v>1425</v>
      </c>
      <c r="B5718">
        <v>4929373</v>
      </c>
      <c r="C5718" t="s">
        <v>445</v>
      </c>
      <c r="D5718" t="s">
        <v>446</v>
      </c>
      <c r="E5718" t="s">
        <v>546</v>
      </c>
      <c r="F5718" t="s">
        <v>562</v>
      </c>
      <c r="H5718" t="s">
        <v>275</v>
      </c>
      <c r="J5718" t="s">
        <v>140</v>
      </c>
      <c r="K5718">
        <v>159605.72330000001</v>
      </c>
      <c r="L5718">
        <v>385105.73499999999</v>
      </c>
      <c r="M5718">
        <v>1</v>
      </c>
      <c r="N5718" t="s">
        <v>1426</v>
      </c>
      <c r="O5718" t="s">
        <v>484</v>
      </c>
      <c r="P5718" t="s">
        <v>1131</v>
      </c>
      <c r="Q5718" t="s">
        <v>144</v>
      </c>
      <c r="S5718">
        <v>15</v>
      </c>
      <c r="T5718">
        <v>2000</v>
      </c>
      <c r="V5718" t="s">
        <v>146</v>
      </c>
      <c r="W5718" t="s">
        <v>147</v>
      </c>
      <c r="X5718" t="s">
        <v>7</v>
      </c>
      <c r="Y5718" t="s">
        <v>863</v>
      </c>
      <c r="Z5718" t="s">
        <v>484</v>
      </c>
      <c r="AA5718" t="s">
        <v>1427</v>
      </c>
      <c r="AB5718">
        <v>0</v>
      </c>
      <c r="AE5718" t="s">
        <v>1398</v>
      </c>
      <c r="AF5718" t="s">
        <v>484</v>
      </c>
      <c r="AG5718" t="s">
        <v>1428</v>
      </c>
      <c r="AL5718" t="s">
        <v>1429</v>
      </c>
      <c r="AM5718" t="s">
        <v>1430</v>
      </c>
      <c r="AN5718" t="s">
        <v>1431</v>
      </c>
      <c r="AO5718" t="s">
        <v>1426</v>
      </c>
      <c r="AP5718" t="s">
        <v>158</v>
      </c>
      <c r="AQ5718" t="str">
        <f>IF(ISBLANK(AP5718), IFERROR(IF(VLOOKUP(AO5718, Ellens_additions!$A$2:$B$252, 2, FALSE) = "", "", VLOOKUP(AO5718, Ellens_additions!$A$2:$B$252, 2, FALSE)), 0), AP5718)</f>
        <v>3000</v>
      </c>
    </row>
    <row r="5719" spans="1:43" ht="14.4" x14ac:dyDescent="0.3"/>
    <row r="5720" spans="1:43" ht="14.4" hidden="1" x14ac:dyDescent="0.3">
      <c r="A5720" t="s">
        <v>1432</v>
      </c>
      <c r="B5720">
        <v>4929375</v>
      </c>
      <c r="C5720" t="s">
        <v>445</v>
      </c>
      <c r="D5720" t="s">
        <v>446</v>
      </c>
      <c r="E5720" t="s">
        <v>546</v>
      </c>
      <c r="F5720" t="s">
        <v>1433</v>
      </c>
      <c r="H5720" t="s">
        <v>278</v>
      </c>
      <c r="J5720" t="s">
        <v>140</v>
      </c>
      <c r="K5720">
        <v>159783.92430000001</v>
      </c>
      <c r="L5720">
        <v>385262.87190000003</v>
      </c>
      <c r="M5720">
        <v>1</v>
      </c>
      <c r="N5720" t="s">
        <v>1426</v>
      </c>
      <c r="O5720" t="s">
        <v>616</v>
      </c>
      <c r="P5720" t="s">
        <v>1035</v>
      </c>
      <c r="Q5720" t="s">
        <v>144</v>
      </c>
      <c r="S5720">
        <v>15</v>
      </c>
      <c r="T5720">
        <v>2000</v>
      </c>
      <c r="V5720" t="s">
        <v>146</v>
      </c>
      <c r="W5720" t="s">
        <v>147</v>
      </c>
      <c r="X5720" t="s">
        <v>7</v>
      </c>
      <c r="Y5720" t="s">
        <v>863</v>
      </c>
      <c r="Z5720" t="s">
        <v>616</v>
      </c>
      <c r="AA5720" t="s">
        <v>1036</v>
      </c>
      <c r="AB5720">
        <v>0</v>
      </c>
      <c r="AE5720" t="s">
        <v>1398</v>
      </c>
      <c r="AF5720" t="s">
        <v>616</v>
      </c>
      <c r="AG5720" t="s">
        <v>1037</v>
      </c>
      <c r="AL5720" t="s">
        <v>1434</v>
      </c>
      <c r="AM5720" t="s">
        <v>1435</v>
      </c>
      <c r="AN5720" t="s">
        <v>1436</v>
      </c>
      <c r="AO5720" t="s">
        <v>1426</v>
      </c>
      <c r="AP5720" t="s">
        <v>158</v>
      </c>
      <c r="AQ5720" t="str">
        <f>IF(ISBLANK(AP5720), IFERROR(IF(VLOOKUP(AO5720, Ellens_additions!$A$2:$B$252, 2, FALSE) = "", "", VLOOKUP(AO5720, Ellens_additions!$A$2:$B$252, 2, FALSE)), 0), AP5720)</f>
        <v>3000</v>
      </c>
    </row>
    <row r="5721" spans="1:43" ht="14.4" x14ac:dyDescent="0.3"/>
    <row r="5722" spans="1:43" ht="14.4" x14ac:dyDescent="0.3"/>
    <row r="5723" spans="1:43" ht="14.4" x14ac:dyDescent="0.3"/>
    <row r="5724" spans="1:43" ht="14.4" x14ac:dyDescent="0.3"/>
    <row r="5725" spans="1:43" ht="14.4" x14ac:dyDescent="0.3"/>
    <row r="5726" spans="1:43" ht="14.4" x14ac:dyDescent="0.3"/>
    <row r="5727" spans="1:43" ht="14.4" x14ac:dyDescent="0.3"/>
    <row r="5728" spans="1:43" ht="14.4" x14ac:dyDescent="0.3"/>
    <row r="5729" ht="14.4" x14ac:dyDescent="0.3"/>
    <row r="5730" ht="14.4" x14ac:dyDescent="0.3"/>
    <row r="5731" ht="14.4" x14ac:dyDescent="0.3"/>
    <row r="5732" ht="14.4" x14ac:dyDescent="0.3"/>
    <row r="5733" ht="14.4" x14ac:dyDescent="0.3"/>
    <row r="5734" ht="14.4" x14ac:dyDescent="0.3"/>
    <row r="5735" ht="14.4" x14ac:dyDescent="0.3"/>
    <row r="5736" ht="14.4" x14ac:dyDescent="0.3"/>
    <row r="5737" ht="14.4" x14ac:dyDescent="0.3"/>
    <row r="5738" ht="14.4" x14ac:dyDescent="0.3"/>
    <row r="5739" ht="14.4" x14ac:dyDescent="0.3"/>
    <row r="5740" ht="14.4" x14ac:dyDescent="0.3"/>
    <row r="5741" ht="14.4" x14ac:dyDescent="0.3"/>
    <row r="5742" ht="14.4" x14ac:dyDescent="0.3"/>
    <row r="5743" ht="14.4" x14ac:dyDescent="0.3"/>
    <row r="5744" ht="14.4" x14ac:dyDescent="0.3"/>
    <row r="5745" ht="14.4" x14ac:dyDescent="0.3"/>
    <row r="5746" ht="14.4" x14ac:dyDescent="0.3"/>
    <row r="5747" ht="14.4" x14ac:dyDescent="0.3"/>
    <row r="5748" ht="14.4" x14ac:dyDescent="0.3"/>
    <row r="5749" ht="14.4" x14ac:dyDescent="0.3"/>
    <row r="5750" ht="14.4" x14ac:dyDescent="0.3"/>
    <row r="5751" ht="14.4" x14ac:dyDescent="0.3"/>
    <row r="5752" ht="14.4" x14ac:dyDescent="0.3"/>
    <row r="5753" ht="14.4" x14ac:dyDescent="0.3"/>
    <row r="5754" ht="14.4" x14ac:dyDescent="0.3"/>
    <row r="5755" ht="14.4" x14ac:dyDescent="0.3"/>
    <row r="5756" ht="14.4" x14ac:dyDescent="0.3"/>
    <row r="5757" ht="14.4" x14ac:dyDescent="0.3"/>
    <row r="5758" ht="14.4" x14ac:dyDescent="0.3"/>
    <row r="5759" ht="14.4" x14ac:dyDescent="0.3"/>
    <row r="5760" ht="14.4" x14ac:dyDescent="0.3"/>
    <row r="5761" spans="1:43" ht="14.4" x14ac:dyDescent="0.3"/>
    <row r="5762" spans="1:43" ht="14.4" x14ac:dyDescent="0.3"/>
    <row r="5763" spans="1:43" ht="14.4" x14ac:dyDescent="0.3"/>
    <row r="5764" spans="1:43" ht="14.4" x14ac:dyDescent="0.3"/>
    <row r="5765" spans="1:43" ht="14.4" x14ac:dyDescent="0.3"/>
    <row r="5766" spans="1:43" ht="14.4" x14ac:dyDescent="0.3"/>
    <row r="5767" spans="1:43" ht="14.4" x14ac:dyDescent="0.3"/>
    <row r="5768" spans="1:43" ht="14.4" hidden="1" x14ac:dyDescent="0.3">
      <c r="A5768" t="s">
        <v>1439</v>
      </c>
      <c r="B5768">
        <v>4929459</v>
      </c>
      <c r="C5768" t="s">
        <v>445</v>
      </c>
      <c r="D5768" t="s">
        <v>446</v>
      </c>
      <c r="E5768" t="s">
        <v>546</v>
      </c>
      <c r="F5768" t="s">
        <v>562</v>
      </c>
      <c r="H5768" t="s">
        <v>296</v>
      </c>
      <c r="J5768" t="s">
        <v>140</v>
      </c>
      <c r="K5768">
        <v>159674.5</v>
      </c>
      <c r="L5768">
        <v>385115.25</v>
      </c>
      <c r="N5768" t="s">
        <v>1440</v>
      </c>
      <c r="O5768" t="s">
        <v>833</v>
      </c>
      <c r="P5768" t="s">
        <v>1441</v>
      </c>
      <c r="Q5768" t="s">
        <v>144</v>
      </c>
      <c r="R5768" t="s">
        <v>145</v>
      </c>
      <c r="S5768">
        <v>30</v>
      </c>
      <c r="T5768">
        <v>1170</v>
      </c>
      <c r="V5768" t="s">
        <v>146</v>
      </c>
      <c r="W5768" t="s">
        <v>147</v>
      </c>
      <c r="X5768" t="s">
        <v>7</v>
      </c>
      <c r="Y5768" t="s">
        <v>1442</v>
      </c>
      <c r="Z5768" t="s">
        <v>833</v>
      </c>
      <c r="AA5768" t="s">
        <v>1443</v>
      </c>
      <c r="AB5768">
        <v>0</v>
      </c>
      <c r="AE5768" t="s">
        <v>1444</v>
      </c>
      <c r="AF5768" t="s">
        <v>833</v>
      </c>
      <c r="AG5768" t="s">
        <v>1445</v>
      </c>
      <c r="AL5768" t="s">
        <v>1446</v>
      </c>
      <c r="AM5768" t="s">
        <v>1447</v>
      </c>
      <c r="AN5768" t="s">
        <v>1448</v>
      </c>
      <c r="AO5768" t="s">
        <v>1440</v>
      </c>
      <c r="AQ5768" t="str">
        <f>IF(ISBLANK(AP5768), IFERROR(IF(VLOOKUP(AO5768, Ellens_additions!$A$2:$B$252, 2, FALSE) = "", "", VLOOKUP(AO5768, Ellens_additions!$A$2:$B$252, 2, FALSE)), 0), AP5768)</f>
        <v/>
      </c>
    </row>
    <row r="5769" spans="1:43" ht="14.4" x14ac:dyDescent="0.3"/>
    <row r="5770" spans="1:43" ht="14.4" hidden="1" x14ac:dyDescent="0.3">
      <c r="A5770" t="s">
        <v>1439</v>
      </c>
      <c r="B5770">
        <v>4929460</v>
      </c>
      <c r="C5770" t="s">
        <v>445</v>
      </c>
      <c r="D5770" t="s">
        <v>446</v>
      </c>
      <c r="E5770" t="s">
        <v>546</v>
      </c>
      <c r="F5770" t="s">
        <v>562</v>
      </c>
      <c r="H5770" t="s">
        <v>296</v>
      </c>
      <c r="J5770" t="s">
        <v>140</v>
      </c>
      <c r="K5770">
        <v>159674.5</v>
      </c>
      <c r="L5770">
        <v>385115.25</v>
      </c>
      <c r="N5770" t="s">
        <v>1440</v>
      </c>
      <c r="O5770" t="s">
        <v>833</v>
      </c>
      <c r="P5770" t="s">
        <v>1441</v>
      </c>
      <c r="Q5770" t="s">
        <v>144</v>
      </c>
      <c r="R5770" t="s">
        <v>145</v>
      </c>
      <c r="S5770">
        <v>30</v>
      </c>
      <c r="T5770">
        <v>1170</v>
      </c>
      <c r="V5770" t="s">
        <v>146</v>
      </c>
      <c r="W5770" t="s">
        <v>147</v>
      </c>
      <c r="X5770" t="s">
        <v>9</v>
      </c>
      <c r="Y5770" t="s">
        <v>1442</v>
      </c>
      <c r="Z5770" t="s">
        <v>833</v>
      </c>
      <c r="AA5770" t="s">
        <v>1443</v>
      </c>
      <c r="AB5770">
        <v>0</v>
      </c>
      <c r="AE5770" t="s">
        <v>1444</v>
      </c>
      <c r="AF5770" t="s">
        <v>833</v>
      </c>
      <c r="AG5770" t="s">
        <v>1445</v>
      </c>
      <c r="AL5770" t="s">
        <v>1446</v>
      </c>
      <c r="AM5770" t="s">
        <v>1447</v>
      </c>
      <c r="AN5770" t="s">
        <v>1448</v>
      </c>
      <c r="AO5770" t="s">
        <v>1440</v>
      </c>
      <c r="AQ5770" t="str">
        <f>IF(ISBLANK(AP5770), IFERROR(IF(VLOOKUP(AO5770, Ellens_additions!$A$2:$B$252, 2, FALSE) = "", "", VLOOKUP(AO5770, Ellens_additions!$A$2:$B$252, 2, FALSE)), 0), AP5770)</f>
        <v/>
      </c>
    </row>
    <row r="5771" spans="1:43" ht="14.4" x14ac:dyDescent="0.3"/>
    <row r="5772" spans="1:43" ht="14.4" hidden="1" x14ac:dyDescent="0.3">
      <c r="A5772" t="s">
        <v>1439</v>
      </c>
      <c r="B5772">
        <v>4929461</v>
      </c>
      <c r="C5772" t="s">
        <v>445</v>
      </c>
      <c r="D5772" t="s">
        <v>446</v>
      </c>
      <c r="E5772" t="s">
        <v>546</v>
      </c>
      <c r="F5772" t="s">
        <v>562</v>
      </c>
      <c r="H5772" t="s">
        <v>296</v>
      </c>
      <c r="J5772" t="s">
        <v>140</v>
      </c>
      <c r="K5772">
        <v>159674.5</v>
      </c>
      <c r="L5772">
        <v>385115.25</v>
      </c>
      <c r="N5772" t="s">
        <v>1440</v>
      </c>
      <c r="O5772" t="s">
        <v>833</v>
      </c>
      <c r="P5772" t="s">
        <v>1441</v>
      </c>
      <c r="Q5772" t="s">
        <v>144</v>
      </c>
      <c r="R5772" t="s">
        <v>145</v>
      </c>
      <c r="S5772">
        <v>30</v>
      </c>
      <c r="T5772">
        <v>1170</v>
      </c>
      <c r="V5772" t="s">
        <v>146</v>
      </c>
      <c r="W5772" t="s">
        <v>147</v>
      </c>
      <c r="X5772" t="s">
        <v>11</v>
      </c>
      <c r="Y5772" t="s">
        <v>1442</v>
      </c>
      <c r="Z5772" t="s">
        <v>833</v>
      </c>
      <c r="AA5772" t="s">
        <v>1443</v>
      </c>
      <c r="AB5772">
        <v>0</v>
      </c>
      <c r="AE5772" t="s">
        <v>1444</v>
      </c>
      <c r="AF5772" t="s">
        <v>833</v>
      </c>
      <c r="AG5772" t="s">
        <v>1445</v>
      </c>
      <c r="AL5772" t="s">
        <v>1446</v>
      </c>
      <c r="AM5772" t="s">
        <v>1447</v>
      </c>
      <c r="AN5772" t="s">
        <v>1448</v>
      </c>
      <c r="AO5772" t="s">
        <v>1440</v>
      </c>
      <c r="AQ5772" t="str">
        <f>IF(ISBLANK(AP5772), IFERROR(IF(VLOOKUP(AO5772, Ellens_additions!$A$2:$B$252, 2, FALSE) = "", "", VLOOKUP(AO5772, Ellens_additions!$A$2:$B$252, 2, FALSE)), 0), AP5772)</f>
        <v/>
      </c>
    </row>
    <row r="5773" spans="1:43" ht="14.4" x14ac:dyDescent="0.3"/>
    <row r="5774" spans="1:43" ht="14.4" x14ac:dyDescent="0.3"/>
    <row r="5775" spans="1:43" ht="14.4" x14ac:dyDescent="0.3"/>
    <row r="5776" spans="1:43" ht="14.4" x14ac:dyDescent="0.3"/>
    <row r="5777" ht="14.4" x14ac:dyDescent="0.3"/>
    <row r="5778" ht="14.4" x14ac:dyDescent="0.3"/>
    <row r="5779" ht="14.4" x14ac:dyDescent="0.3"/>
    <row r="5780" ht="14.4" x14ac:dyDescent="0.3"/>
    <row r="5781" ht="14.4" x14ac:dyDescent="0.3"/>
    <row r="5782" ht="14.4" x14ac:dyDescent="0.3"/>
    <row r="5783" ht="14.4" x14ac:dyDescent="0.3"/>
    <row r="5784" ht="14.4" x14ac:dyDescent="0.3"/>
    <row r="5785" ht="14.4" x14ac:dyDescent="0.3"/>
    <row r="5786" ht="14.4" x14ac:dyDescent="0.3"/>
    <row r="5787" ht="14.4" x14ac:dyDescent="0.3"/>
    <row r="5788" ht="14.4" x14ac:dyDescent="0.3"/>
    <row r="5789" ht="14.4" x14ac:dyDescent="0.3"/>
    <row r="5790" ht="14.4" x14ac:dyDescent="0.3"/>
    <row r="5791" ht="14.4" x14ac:dyDescent="0.3"/>
    <row r="5792" ht="14.4" x14ac:dyDescent="0.3"/>
    <row r="5793" ht="14.4" x14ac:dyDescent="0.3"/>
    <row r="5794" ht="14.4" x14ac:dyDescent="0.3"/>
    <row r="5795" ht="14.4" x14ac:dyDescent="0.3"/>
    <row r="5796" ht="14.4" x14ac:dyDescent="0.3"/>
    <row r="5797" ht="14.4" x14ac:dyDescent="0.3"/>
    <row r="5798" ht="14.4" x14ac:dyDescent="0.3"/>
    <row r="5799" ht="14.4" x14ac:dyDescent="0.3"/>
    <row r="5800" ht="14.4" x14ac:dyDescent="0.3"/>
    <row r="5801" ht="14.4" x14ac:dyDescent="0.3"/>
    <row r="5802" ht="14.4" x14ac:dyDescent="0.3"/>
    <row r="5803" ht="14.4" x14ac:dyDescent="0.3"/>
    <row r="5804" ht="14.4" x14ac:dyDescent="0.3"/>
    <row r="5805" ht="14.4" x14ac:dyDescent="0.3"/>
    <row r="5806" ht="14.4" x14ac:dyDescent="0.3"/>
    <row r="5807" ht="14.4" x14ac:dyDescent="0.3"/>
    <row r="5808" ht="14.4" x14ac:dyDescent="0.3"/>
    <row r="5809" ht="14.4" x14ac:dyDescent="0.3"/>
    <row r="5810" ht="14.4" x14ac:dyDescent="0.3"/>
    <row r="5811" ht="14.4" x14ac:dyDescent="0.3"/>
    <row r="5812" ht="14.4" x14ac:dyDescent="0.3"/>
    <row r="5813" ht="14.4" x14ac:dyDescent="0.3"/>
    <row r="5814" ht="14.4" x14ac:dyDescent="0.3"/>
    <row r="5815" ht="14.4" x14ac:dyDescent="0.3"/>
    <row r="5816" ht="14.4" x14ac:dyDescent="0.3"/>
    <row r="5817" ht="14.4" x14ac:dyDescent="0.3"/>
    <row r="5818" ht="14.4" x14ac:dyDescent="0.3"/>
    <row r="5819" ht="14.4" x14ac:dyDescent="0.3"/>
    <row r="5820" ht="14.4" x14ac:dyDescent="0.3"/>
    <row r="5821" ht="14.4" x14ac:dyDescent="0.3"/>
    <row r="5822" ht="14.4" x14ac:dyDescent="0.3"/>
    <row r="5823" ht="14.4" x14ac:dyDescent="0.3"/>
    <row r="5824" ht="14.4" x14ac:dyDescent="0.3"/>
    <row r="5825" ht="14.4" x14ac:dyDescent="0.3"/>
    <row r="5826" ht="14.4" x14ac:dyDescent="0.3"/>
    <row r="5827" ht="14.4" x14ac:dyDescent="0.3"/>
    <row r="5828" ht="14.4" x14ac:dyDescent="0.3"/>
    <row r="5829" ht="14.4" x14ac:dyDescent="0.3"/>
    <row r="5830" ht="14.4" x14ac:dyDescent="0.3"/>
    <row r="5831" ht="14.4" x14ac:dyDescent="0.3"/>
    <row r="5832" ht="14.4" x14ac:dyDescent="0.3"/>
    <row r="5833" ht="14.4" x14ac:dyDescent="0.3"/>
    <row r="5834" ht="14.4" x14ac:dyDescent="0.3"/>
    <row r="5835" ht="14.4" x14ac:dyDescent="0.3"/>
    <row r="5836" ht="14.4" x14ac:dyDescent="0.3"/>
    <row r="5837" ht="14.4" x14ac:dyDescent="0.3"/>
    <row r="5838" ht="14.4" x14ac:dyDescent="0.3"/>
    <row r="5839" ht="14.4" x14ac:dyDescent="0.3"/>
    <row r="5840" ht="14.4" x14ac:dyDescent="0.3"/>
    <row r="5841" ht="14.4" x14ac:dyDescent="0.3"/>
    <row r="5842" ht="14.4" x14ac:dyDescent="0.3"/>
    <row r="5843" ht="14.4" x14ac:dyDescent="0.3"/>
    <row r="5844" ht="14.4" x14ac:dyDescent="0.3"/>
    <row r="5845" ht="14.4" x14ac:dyDescent="0.3"/>
    <row r="5846" ht="14.4" x14ac:dyDescent="0.3"/>
    <row r="5847" ht="14.4" x14ac:dyDescent="0.3"/>
    <row r="5848" ht="14.4" x14ac:dyDescent="0.3"/>
    <row r="5849" ht="14.4" x14ac:dyDescent="0.3"/>
    <row r="5850" ht="14.4" x14ac:dyDescent="0.3"/>
    <row r="5851" ht="14.4" x14ac:dyDescent="0.3"/>
    <row r="5852" ht="14.4" x14ac:dyDescent="0.3"/>
    <row r="5853" ht="14.4" x14ac:dyDescent="0.3"/>
    <row r="5854" ht="14.4" x14ac:dyDescent="0.3"/>
    <row r="5855" ht="14.4" x14ac:dyDescent="0.3"/>
    <row r="5856" ht="14.4" x14ac:dyDescent="0.3"/>
    <row r="5857" ht="14.4" x14ac:dyDescent="0.3"/>
    <row r="5858" ht="14.4" x14ac:dyDescent="0.3"/>
    <row r="5859" ht="14.4" x14ac:dyDescent="0.3"/>
    <row r="5860" ht="14.4" x14ac:dyDescent="0.3"/>
    <row r="5861" ht="14.4" x14ac:dyDescent="0.3"/>
    <row r="5862" ht="14.4" x14ac:dyDescent="0.3"/>
    <row r="5863" ht="14.4" x14ac:dyDescent="0.3"/>
    <row r="5864" ht="14.4" x14ac:dyDescent="0.3"/>
    <row r="5865" ht="14.4" x14ac:dyDescent="0.3"/>
    <row r="5866" ht="14.4" x14ac:dyDescent="0.3"/>
    <row r="5867" ht="14.4" x14ac:dyDescent="0.3"/>
    <row r="5868" ht="14.4" x14ac:dyDescent="0.3"/>
    <row r="5869" ht="14.4" x14ac:dyDescent="0.3"/>
    <row r="5870" ht="14.4" x14ac:dyDescent="0.3"/>
    <row r="5871" ht="14.4" x14ac:dyDescent="0.3"/>
    <row r="5872" ht="14.4" x14ac:dyDescent="0.3"/>
    <row r="5873" ht="14.4" x14ac:dyDescent="0.3"/>
    <row r="5874" ht="14.4" x14ac:dyDescent="0.3"/>
    <row r="5875" ht="14.4" x14ac:dyDescent="0.3"/>
    <row r="5876" ht="14.4" x14ac:dyDescent="0.3"/>
    <row r="5877" ht="14.4" x14ac:dyDescent="0.3"/>
    <row r="5878" ht="14.4" x14ac:dyDescent="0.3"/>
    <row r="5879" ht="14.4" x14ac:dyDescent="0.3"/>
    <row r="5880" ht="14.4" x14ac:dyDescent="0.3"/>
    <row r="5881" ht="14.4" x14ac:dyDescent="0.3"/>
    <row r="5882" ht="14.4" x14ac:dyDescent="0.3"/>
    <row r="5883" ht="14.4" x14ac:dyDescent="0.3"/>
    <row r="5884" ht="14.4" x14ac:dyDescent="0.3"/>
    <row r="5885" ht="14.4" x14ac:dyDescent="0.3"/>
    <row r="5886" ht="14.4" x14ac:dyDescent="0.3"/>
    <row r="5887" ht="14.4" x14ac:dyDescent="0.3"/>
    <row r="5888" ht="14.4" x14ac:dyDescent="0.3"/>
    <row r="5889" ht="14.4" x14ac:dyDescent="0.3"/>
    <row r="5890" ht="14.4" x14ac:dyDescent="0.3"/>
    <row r="5891" ht="14.4" x14ac:dyDescent="0.3"/>
    <row r="5892" ht="14.4" x14ac:dyDescent="0.3"/>
    <row r="5893" ht="14.4" x14ac:dyDescent="0.3"/>
    <row r="5894" ht="14.4" x14ac:dyDescent="0.3"/>
    <row r="5895" ht="14.4" x14ac:dyDescent="0.3"/>
    <row r="5896" ht="14.4" x14ac:dyDescent="0.3"/>
    <row r="5897" ht="14.4" x14ac:dyDescent="0.3"/>
    <row r="5898" ht="14.4" x14ac:dyDescent="0.3"/>
    <row r="5899" ht="14.4" x14ac:dyDescent="0.3"/>
    <row r="5900" ht="14.4" x14ac:dyDescent="0.3"/>
    <row r="5901" ht="14.4" x14ac:dyDescent="0.3"/>
    <row r="5902" ht="14.4" x14ac:dyDescent="0.3"/>
    <row r="5903" ht="14.4" x14ac:dyDescent="0.3"/>
    <row r="5904" ht="14.4" x14ac:dyDescent="0.3"/>
    <row r="5905" spans="1:43" ht="14.4" x14ac:dyDescent="0.3"/>
    <row r="5906" spans="1:43" ht="14.4" x14ac:dyDescent="0.3"/>
    <row r="5907" spans="1:43" ht="14.4" x14ac:dyDescent="0.3"/>
    <row r="5908" spans="1:43" ht="14.4" x14ac:dyDescent="0.3"/>
    <row r="5909" spans="1:43" ht="14.4" x14ac:dyDescent="0.3"/>
    <row r="5910" spans="1:43" ht="14.4" x14ac:dyDescent="0.3"/>
    <row r="5911" spans="1:43" ht="14.4" hidden="1" x14ac:dyDescent="0.3">
      <c r="A5911" t="s">
        <v>1454</v>
      </c>
      <c r="B5911">
        <v>4908848</v>
      </c>
      <c r="C5911" t="s">
        <v>135</v>
      </c>
      <c r="D5911" t="s">
        <v>209</v>
      </c>
      <c r="E5911" t="s">
        <v>210</v>
      </c>
      <c r="F5911" t="s">
        <v>1455</v>
      </c>
      <c r="H5911" t="s">
        <v>483</v>
      </c>
      <c r="J5911" t="s">
        <v>140</v>
      </c>
      <c r="K5911">
        <v>159742.92000000001</v>
      </c>
      <c r="L5911">
        <v>383564.29</v>
      </c>
      <c r="M5911">
        <v>1</v>
      </c>
      <c r="N5911" t="s">
        <v>1456</v>
      </c>
      <c r="O5911" t="s">
        <v>1457</v>
      </c>
      <c r="P5911" t="s">
        <v>829</v>
      </c>
      <c r="Q5911" t="s">
        <v>144</v>
      </c>
      <c r="S5911">
        <v>9</v>
      </c>
      <c r="T5911">
        <v>630</v>
      </c>
      <c r="V5911" t="s">
        <v>146</v>
      </c>
      <c r="W5911" t="s">
        <v>415</v>
      </c>
      <c r="X5911" t="s">
        <v>7</v>
      </c>
      <c r="Y5911" t="s">
        <v>1458</v>
      </c>
      <c r="Z5911" t="s">
        <v>1457</v>
      </c>
      <c r="AA5911" t="s">
        <v>1459</v>
      </c>
      <c r="AB5911">
        <v>0</v>
      </c>
      <c r="AE5911" t="s">
        <v>1460</v>
      </c>
      <c r="AF5911" t="s">
        <v>1457</v>
      </c>
      <c r="AG5911" t="s">
        <v>1459</v>
      </c>
      <c r="AL5911" t="s">
        <v>1461</v>
      </c>
      <c r="AM5911" t="s">
        <v>1462</v>
      </c>
      <c r="AN5911" t="s">
        <v>1463</v>
      </c>
      <c r="AO5911" t="s">
        <v>1456</v>
      </c>
      <c r="AQ5911">
        <f>IF(ISBLANK(AP5911), IFERROR(IF(VLOOKUP(AO5911, Ellens_additions!$A$2:$B$252, 2, FALSE) = "", "", VLOOKUP(AO5911, Ellens_additions!$A$2:$B$252, 2, FALSE)), 0), AP5911)</f>
        <v>0</v>
      </c>
    </row>
    <row r="5912" spans="1:43" ht="14.4" x14ac:dyDescent="0.3"/>
    <row r="5913" spans="1:43" ht="14.4" hidden="1" x14ac:dyDescent="0.3">
      <c r="A5913" t="s">
        <v>1464</v>
      </c>
      <c r="B5913">
        <v>4908850</v>
      </c>
      <c r="C5913" t="s">
        <v>135</v>
      </c>
      <c r="D5913" t="s">
        <v>209</v>
      </c>
      <c r="E5913" t="s">
        <v>210</v>
      </c>
      <c r="F5913" t="s">
        <v>1455</v>
      </c>
      <c r="H5913" t="s">
        <v>464</v>
      </c>
      <c r="J5913" t="s">
        <v>140</v>
      </c>
      <c r="K5913">
        <v>159736.20000000001</v>
      </c>
      <c r="L5913">
        <v>383565.99</v>
      </c>
      <c r="M5913">
        <v>1</v>
      </c>
      <c r="N5913" t="s">
        <v>1456</v>
      </c>
      <c r="O5913" t="s">
        <v>1457</v>
      </c>
      <c r="P5913" t="s">
        <v>829</v>
      </c>
      <c r="Q5913" t="s">
        <v>144</v>
      </c>
      <c r="S5913">
        <v>9</v>
      </c>
      <c r="T5913">
        <v>630</v>
      </c>
      <c r="V5913" t="s">
        <v>146</v>
      </c>
      <c r="W5913" t="s">
        <v>415</v>
      </c>
      <c r="X5913" t="s">
        <v>7</v>
      </c>
      <c r="Y5913" t="s">
        <v>1458</v>
      </c>
      <c r="Z5913" t="s">
        <v>1457</v>
      </c>
      <c r="AA5913" t="s">
        <v>1459</v>
      </c>
      <c r="AB5913">
        <v>0</v>
      </c>
      <c r="AE5913" t="s">
        <v>1460</v>
      </c>
      <c r="AF5913" t="s">
        <v>1457</v>
      </c>
      <c r="AG5913" t="s">
        <v>1459</v>
      </c>
      <c r="AL5913" t="s">
        <v>1465</v>
      </c>
      <c r="AM5913" t="s">
        <v>1466</v>
      </c>
      <c r="AN5913" t="s">
        <v>1467</v>
      </c>
      <c r="AO5913" t="s">
        <v>1456</v>
      </c>
      <c r="AQ5913">
        <f>IF(ISBLANK(AP5913), IFERROR(IF(VLOOKUP(AO5913, Ellens_additions!$A$2:$B$252, 2, FALSE) = "", "", VLOOKUP(AO5913, Ellens_additions!$A$2:$B$252, 2, FALSE)), 0), AP5913)</f>
        <v>0</v>
      </c>
    </row>
    <row r="5914" spans="1:43" ht="14.4" x14ac:dyDescent="0.3"/>
    <row r="5915" spans="1:43" ht="14.4" hidden="1" x14ac:dyDescent="0.3">
      <c r="A5915" t="s">
        <v>1468</v>
      </c>
      <c r="B5915">
        <v>4908851</v>
      </c>
      <c r="C5915" t="s">
        <v>135</v>
      </c>
      <c r="D5915" t="s">
        <v>209</v>
      </c>
      <c r="E5915" t="s">
        <v>210</v>
      </c>
      <c r="F5915" t="s">
        <v>1455</v>
      </c>
      <c r="H5915" t="s">
        <v>301</v>
      </c>
      <c r="J5915" t="s">
        <v>140</v>
      </c>
      <c r="K5915">
        <v>159731.87</v>
      </c>
      <c r="L5915">
        <v>383566.47</v>
      </c>
      <c r="M5915">
        <v>1</v>
      </c>
      <c r="N5915" t="s">
        <v>1456</v>
      </c>
      <c r="O5915" t="s">
        <v>1457</v>
      </c>
      <c r="P5915" t="s">
        <v>829</v>
      </c>
      <c r="Q5915" t="s">
        <v>144</v>
      </c>
      <c r="S5915">
        <v>9</v>
      </c>
      <c r="T5915">
        <v>630</v>
      </c>
      <c r="V5915" t="s">
        <v>146</v>
      </c>
      <c r="W5915" t="s">
        <v>415</v>
      </c>
      <c r="X5915" t="s">
        <v>7</v>
      </c>
      <c r="Y5915" t="s">
        <v>1458</v>
      </c>
      <c r="Z5915" t="s">
        <v>1457</v>
      </c>
      <c r="AA5915" t="s">
        <v>1459</v>
      </c>
      <c r="AB5915">
        <v>0</v>
      </c>
      <c r="AE5915" t="s">
        <v>1460</v>
      </c>
      <c r="AF5915" t="s">
        <v>1457</v>
      </c>
      <c r="AG5915" t="s">
        <v>1459</v>
      </c>
      <c r="AL5915" t="s">
        <v>1469</v>
      </c>
      <c r="AM5915" t="s">
        <v>1470</v>
      </c>
      <c r="AN5915" t="s">
        <v>1471</v>
      </c>
      <c r="AO5915" t="s">
        <v>1456</v>
      </c>
      <c r="AQ5915">
        <f>IF(ISBLANK(AP5915), IFERROR(IF(VLOOKUP(AO5915, Ellens_additions!$A$2:$B$252, 2, FALSE) = "", "", VLOOKUP(AO5915, Ellens_additions!$A$2:$B$252, 2, FALSE)), 0), AP5915)</f>
        <v>0</v>
      </c>
    </row>
    <row r="5916" spans="1:43" ht="14.4" x14ac:dyDescent="0.3"/>
    <row r="5917" spans="1:43" ht="14.4" hidden="1" x14ac:dyDescent="0.3">
      <c r="A5917" t="s">
        <v>1472</v>
      </c>
      <c r="B5917">
        <v>4908854</v>
      </c>
      <c r="C5917" t="s">
        <v>135</v>
      </c>
      <c r="D5917" t="s">
        <v>209</v>
      </c>
      <c r="E5917" t="s">
        <v>210</v>
      </c>
      <c r="F5917" t="s">
        <v>1455</v>
      </c>
      <c r="H5917" t="s">
        <v>482</v>
      </c>
      <c r="J5917" t="s">
        <v>140</v>
      </c>
      <c r="K5917">
        <v>159715.09</v>
      </c>
      <c r="L5917">
        <v>383559.66</v>
      </c>
      <c r="M5917">
        <v>1</v>
      </c>
      <c r="N5917" t="s">
        <v>1456</v>
      </c>
      <c r="O5917" t="s">
        <v>1457</v>
      </c>
      <c r="P5917" t="s">
        <v>829</v>
      </c>
      <c r="Q5917" t="s">
        <v>144</v>
      </c>
      <c r="S5917">
        <v>9</v>
      </c>
      <c r="T5917">
        <v>630</v>
      </c>
      <c r="V5917" t="s">
        <v>146</v>
      </c>
      <c r="W5917" t="s">
        <v>415</v>
      </c>
      <c r="X5917" t="s">
        <v>7</v>
      </c>
      <c r="Y5917" t="s">
        <v>1458</v>
      </c>
      <c r="Z5917" t="s">
        <v>1457</v>
      </c>
      <c r="AA5917" t="s">
        <v>1459</v>
      </c>
      <c r="AB5917">
        <v>0</v>
      </c>
      <c r="AE5917" t="s">
        <v>1460</v>
      </c>
      <c r="AF5917" t="s">
        <v>1457</v>
      </c>
      <c r="AG5917" t="s">
        <v>1459</v>
      </c>
      <c r="AL5917" t="s">
        <v>1473</v>
      </c>
      <c r="AM5917" t="s">
        <v>1474</v>
      </c>
      <c r="AN5917" t="s">
        <v>1475</v>
      </c>
      <c r="AO5917" t="s">
        <v>1456</v>
      </c>
      <c r="AQ5917">
        <f>IF(ISBLANK(AP5917), IFERROR(IF(VLOOKUP(AO5917, Ellens_additions!$A$2:$B$252, 2, FALSE) = "", "", VLOOKUP(AO5917, Ellens_additions!$A$2:$B$252, 2, FALSE)), 0), AP5917)</f>
        <v>0</v>
      </c>
    </row>
    <row r="5918" spans="1:43" ht="14.4" x14ac:dyDescent="0.3"/>
    <row r="5919" spans="1:43" ht="14.4" hidden="1" x14ac:dyDescent="0.3">
      <c r="A5919" t="s">
        <v>1476</v>
      </c>
      <c r="B5919">
        <v>4908857</v>
      </c>
      <c r="C5919" t="s">
        <v>135</v>
      </c>
      <c r="D5919" t="s">
        <v>209</v>
      </c>
      <c r="E5919" t="s">
        <v>210</v>
      </c>
      <c r="F5919" t="s">
        <v>1455</v>
      </c>
      <c r="H5919" t="s">
        <v>408</v>
      </c>
      <c r="J5919" t="s">
        <v>140</v>
      </c>
      <c r="K5919">
        <v>159699.01999999999</v>
      </c>
      <c r="L5919">
        <v>383558.39</v>
      </c>
      <c r="M5919">
        <v>1</v>
      </c>
      <c r="N5919" t="s">
        <v>1456</v>
      </c>
      <c r="O5919" t="s">
        <v>1457</v>
      </c>
      <c r="P5919" t="s">
        <v>829</v>
      </c>
      <c r="Q5919" t="s">
        <v>144</v>
      </c>
      <c r="S5919">
        <v>9</v>
      </c>
      <c r="T5919">
        <v>630</v>
      </c>
      <c r="V5919" t="s">
        <v>146</v>
      </c>
      <c r="W5919" t="s">
        <v>415</v>
      </c>
      <c r="X5919" t="s">
        <v>7</v>
      </c>
      <c r="Y5919" t="s">
        <v>1458</v>
      </c>
      <c r="Z5919" t="s">
        <v>1457</v>
      </c>
      <c r="AA5919" t="s">
        <v>1459</v>
      </c>
      <c r="AB5919">
        <v>0</v>
      </c>
      <c r="AE5919" t="s">
        <v>1460</v>
      </c>
      <c r="AF5919" t="s">
        <v>1457</v>
      </c>
      <c r="AG5919" t="s">
        <v>1459</v>
      </c>
      <c r="AL5919" t="s">
        <v>1477</v>
      </c>
      <c r="AM5919" t="s">
        <v>1478</v>
      </c>
      <c r="AN5919" t="s">
        <v>1479</v>
      </c>
      <c r="AO5919" t="s">
        <v>1456</v>
      </c>
      <c r="AQ5919">
        <f>IF(ISBLANK(AP5919), IFERROR(IF(VLOOKUP(AO5919, Ellens_additions!$A$2:$B$252, 2, FALSE) = "", "", VLOOKUP(AO5919, Ellens_additions!$A$2:$B$252, 2, FALSE)), 0), AP5919)</f>
        <v>0</v>
      </c>
    </row>
    <row r="5920" spans="1:43" ht="14.4" x14ac:dyDescent="0.3"/>
    <row r="5921" spans="1:43" ht="14.4" hidden="1" x14ac:dyDescent="0.3">
      <c r="A5921" t="s">
        <v>1480</v>
      </c>
      <c r="B5921">
        <v>4908858</v>
      </c>
      <c r="C5921" t="s">
        <v>135</v>
      </c>
      <c r="D5921" t="s">
        <v>209</v>
      </c>
      <c r="E5921" t="s">
        <v>210</v>
      </c>
      <c r="F5921" t="s">
        <v>1455</v>
      </c>
      <c r="H5921" t="s">
        <v>380</v>
      </c>
      <c r="J5921" t="s">
        <v>140</v>
      </c>
      <c r="K5921">
        <v>159696.25</v>
      </c>
      <c r="L5921">
        <v>383559.24</v>
      </c>
      <c r="M5921">
        <v>1</v>
      </c>
      <c r="N5921" t="s">
        <v>1456</v>
      </c>
      <c r="O5921" t="s">
        <v>1457</v>
      </c>
      <c r="P5921" t="s">
        <v>829</v>
      </c>
      <c r="Q5921" t="s">
        <v>144</v>
      </c>
      <c r="S5921">
        <v>9</v>
      </c>
      <c r="T5921">
        <v>630</v>
      </c>
      <c r="V5921" t="s">
        <v>146</v>
      </c>
      <c r="W5921" t="s">
        <v>415</v>
      </c>
      <c r="X5921" t="s">
        <v>7</v>
      </c>
      <c r="Y5921" t="s">
        <v>1458</v>
      </c>
      <c r="Z5921" t="s">
        <v>1457</v>
      </c>
      <c r="AA5921" t="s">
        <v>1459</v>
      </c>
      <c r="AB5921">
        <v>0</v>
      </c>
      <c r="AE5921" t="s">
        <v>1460</v>
      </c>
      <c r="AF5921" t="s">
        <v>1457</v>
      </c>
      <c r="AG5921" t="s">
        <v>1459</v>
      </c>
      <c r="AL5921" t="s">
        <v>1481</v>
      </c>
      <c r="AM5921" t="s">
        <v>1482</v>
      </c>
      <c r="AN5921" t="s">
        <v>1483</v>
      </c>
      <c r="AO5921" t="s">
        <v>1456</v>
      </c>
      <c r="AQ5921">
        <f>IF(ISBLANK(AP5921), IFERROR(IF(VLOOKUP(AO5921, Ellens_additions!$A$2:$B$252, 2, FALSE) = "", "", VLOOKUP(AO5921, Ellens_additions!$A$2:$B$252, 2, FALSE)), 0), AP5921)</f>
        <v>0</v>
      </c>
    </row>
    <row r="5922" spans="1:43" ht="14.4" x14ac:dyDescent="0.3"/>
    <row r="5923" spans="1:43" ht="14.4" hidden="1" x14ac:dyDescent="0.3">
      <c r="A5923" t="s">
        <v>1484</v>
      </c>
      <c r="B5923">
        <v>4908859</v>
      </c>
      <c r="C5923" t="s">
        <v>135</v>
      </c>
      <c r="D5923" t="s">
        <v>209</v>
      </c>
      <c r="E5923" t="s">
        <v>210</v>
      </c>
      <c r="F5923" t="s">
        <v>1455</v>
      </c>
      <c r="H5923" t="s">
        <v>212</v>
      </c>
      <c r="J5923" t="s">
        <v>140</v>
      </c>
      <c r="K5923">
        <v>159693.54999999999</v>
      </c>
      <c r="L5923">
        <v>383557.86</v>
      </c>
      <c r="M5923">
        <v>1</v>
      </c>
      <c r="N5923" t="s">
        <v>1456</v>
      </c>
      <c r="O5923" t="s">
        <v>1457</v>
      </c>
      <c r="P5923" t="s">
        <v>829</v>
      </c>
      <c r="Q5923" t="s">
        <v>144</v>
      </c>
      <c r="S5923">
        <v>9</v>
      </c>
      <c r="T5923">
        <v>630</v>
      </c>
      <c r="V5923" t="s">
        <v>146</v>
      </c>
      <c r="W5923" t="s">
        <v>415</v>
      </c>
      <c r="X5923" t="s">
        <v>7</v>
      </c>
      <c r="Y5923" t="s">
        <v>1458</v>
      </c>
      <c r="Z5923" t="s">
        <v>1457</v>
      </c>
      <c r="AA5923" t="s">
        <v>1459</v>
      </c>
      <c r="AB5923">
        <v>0</v>
      </c>
      <c r="AE5923" t="s">
        <v>1460</v>
      </c>
      <c r="AF5923" t="s">
        <v>1457</v>
      </c>
      <c r="AG5923" t="s">
        <v>1459</v>
      </c>
      <c r="AL5923" t="s">
        <v>1485</v>
      </c>
      <c r="AM5923" t="s">
        <v>1486</v>
      </c>
      <c r="AN5923" t="s">
        <v>1487</v>
      </c>
      <c r="AO5923" t="s">
        <v>1456</v>
      </c>
      <c r="AQ5923">
        <f>IF(ISBLANK(AP5923), IFERROR(IF(VLOOKUP(AO5923, Ellens_additions!$A$2:$B$252, 2, FALSE) = "", "", VLOOKUP(AO5923, Ellens_additions!$A$2:$B$252, 2, FALSE)), 0), AP5923)</f>
        <v>0</v>
      </c>
    </row>
    <row r="5924" spans="1:43" ht="14.4" x14ac:dyDescent="0.3"/>
    <row r="5925" spans="1:43" ht="14.4" hidden="1" x14ac:dyDescent="0.3">
      <c r="A5925" t="s">
        <v>1488</v>
      </c>
      <c r="B5925">
        <v>4908860</v>
      </c>
      <c r="C5925" t="s">
        <v>135</v>
      </c>
      <c r="D5925" t="s">
        <v>209</v>
      </c>
      <c r="E5925" t="s">
        <v>210</v>
      </c>
      <c r="F5925" t="s">
        <v>1455</v>
      </c>
      <c r="H5925" t="s">
        <v>281</v>
      </c>
      <c r="J5925" t="s">
        <v>140</v>
      </c>
      <c r="K5925">
        <v>159692.75</v>
      </c>
      <c r="L5925">
        <v>383554.95</v>
      </c>
      <c r="M5925">
        <v>1</v>
      </c>
      <c r="N5925" t="s">
        <v>1456</v>
      </c>
      <c r="O5925" t="s">
        <v>1457</v>
      </c>
      <c r="P5925" t="s">
        <v>829</v>
      </c>
      <c r="Q5925" t="s">
        <v>144</v>
      </c>
      <c r="S5925">
        <v>9</v>
      </c>
      <c r="T5925">
        <v>630</v>
      </c>
      <c r="V5925" t="s">
        <v>146</v>
      </c>
      <c r="W5925" t="s">
        <v>415</v>
      </c>
      <c r="X5925" t="s">
        <v>7</v>
      </c>
      <c r="Y5925" t="s">
        <v>1458</v>
      </c>
      <c r="Z5925" t="s">
        <v>1457</v>
      </c>
      <c r="AA5925" t="s">
        <v>1459</v>
      </c>
      <c r="AB5925">
        <v>0</v>
      </c>
      <c r="AE5925" t="s">
        <v>1460</v>
      </c>
      <c r="AF5925" t="s">
        <v>1457</v>
      </c>
      <c r="AG5925" t="s">
        <v>1459</v>
      </c>
      <c r="AL5925" t="s">
        <v>1489</v>
      </c>
      <c r="AM5925" t="s">
        <v>1490</v>
      </c>
      <c r="AN5925" t="s">
        <v>1491</v>
      </c>
      <c r="AO5925" t="s">
        <v>1456</v>
      </c>
      <c r="AQ5925">
        <f>IF(ISBLANK(AP5925), IFERROR(IF(VLOOKUP(AO5925, Ellens_additions!$A$2:$B$252, 2, FALSE) = "", "", VLOOKUP(AO5925, Ellens_additions!$A$2:$B$252, 2, FALSE)), 0), AP5925)</f>
        <v>0</v>
      </c>
    </row>
    <row r="5926" spans="1:43" ht="14.4" x14ac:dyDescent="0.3"/>
    <row r="5927" spans="1:43" ht="14.4" hidden="1" x14ac:dyDescent="0.3">
      <c r="A5927" t="s">
        <v>1492</v>
      </c>
      <c r="B5927">
        <v>4908869</v>
      </c>
      <c r="C5927" t="s">
        <v>135</v>
      </c>
      <c r="D5927" t="s">
        <v>174</v>
      </c>
      <c r="E5927" t="s">
        <v>316</v>
      </c>
      <c r="F5927" t="s">
        <v>288</v>
      </c>
      <c r="H5927" t="s">
        <v>1493</v>
      </c>
      <c r="J5927" t="s">
        <v>140</v>
      </c>
      <c r="K5927">
        <v>159364.82999999999</v>
      </c>
      <c r="L5927">
        <v>383606.19</v>
      </c>
      <c r="N5927" t="s">
        <v>1494</v>
      </c>
      <c r="O5927" t="s">
        <v>448</v>
      </c>
      <c r="P5927" t="s">
        <v>1495</v>
      </c>
      <c r="Q5927" t="s">
        <v>144</v>
      </c>
      <c r="S5927">
        <v>0</v>
      </c>
      <c r="T5927">
        <v>0</v>
      </c>
      <c r="V5927" t="s">
        <v>146</v>
      </c>
      <c r="W5927" t="s">
        <v>184</v>
      </c>
      <c r="X5927" t="s">
        <v>7</v>
      </c>
      <c r="Y5927" t="s">
        <v>1494</v>
      </c>
      <c r="Z5927" t="s">
        <v>448</v>
      </c>
      <c r="AA5927" t="s">
        <v>456</v>
      </c>
      <c r="AB5927">
        <v>0</v>
      </c>
      <c r="AE5927" t="s">
        <v>1496</v>
      </c>
      <c r="AF5927" t="s">
        <v>448</v>
      </c>
      <c r="AG5927" t="s">
        <v>560</v>
      </c>
      <c r="AL5927" t="s">
        <v>1497</v>
      </c>
      <c r="AM5927" t="s">
        <v>1498</v>
      </c>
      <c r="AN5927" t="s">
        <v>1499</v>
      </c>
      <c r="AO5927" t="s">
        <v>1494</v>
      </c>
      <c r="AQ5927">
        <f>IF(ISBLANK(AP5927), IFERROR(IF(VLOOKUP(AO5927, Ellens_additions!$A$2:$B$252, 2, FALSE) = "", "", VLOOKUP(AO5927, Ellens_additions!$A$2:$B$252, 2, FALSE)), 0), AP5927)</f>
        <v>0</v>
      </c>
    </row>
    <row r="5928" spans="1:43" ht="14.4" x14ac:dyDescent="0.3"/>
    <row r="5929" spans="1:43" ht="14.4" hidden="1" x14ac:dyDescent="0.3">
      <c r="A5929" t="s">
        <v>1500</v>
      </c>
      <c r="B5929">
        <v>4908871</v>
      </c>
      <c r="C5929" t="s">
        <v>135</v>
      </c>
      <c r="D5929" t="s">
        <v>174</v>
      </c>
      <c r="E5929" t="s">
        <v>316</v>
      </c>
      <c r="F5929" t="s">
        <v>288</v>
      </c>
      <c r="H5929" t="s">
        <v>1501</v>
      </c>
      <c r="J5929" t="s">
        <v>140</v>
      </c>
      <c r="K5929">
        <v>159358.17000000001</v>
      </c>
      <c r="L5929">
        <v>383609.91</v>
      </c>
      <c r="N5929" t="s">
        <v>1494</v>
      </c>
      <c r="O5929" t="s">
        <v>448</v>
      </c>
      <c r="P5929" t="s">
        <v>1495</v>
      </c>
      <c r="Q5929" t="s">
        <v>144</v>
      </c>
      <c r="S5929">
        <v>0</v>
      </c>
      <c r="T5929">
        <v>0</v>
      </c>
      <c r="V5929" t="s">
        <v>146</v>
      </c>
      <c r="W5929" t="s">
        <v>184</v>
      </c>
      <c r="X5929" t="s">
        <v>7</v>
      </c>
      <c r="Y5929" t="s">
        <v>1494</v>
      </c>
      <c r="Z5929" t="s">
        <v>448</v>
      </c>
      <c r="AA5929" t="s">
        <v>456</v>
      </c>
      <c r="AB5929">
        <v>0</v>
      </c>
      <c r="AE5929" t="s">
        <v>1496</v>
      </c>
      <c r="AF5929" t="s">
        <v>448</v>
      </c>
      <c r="AG5929" t="s">
        <v>560</v>
      </c>
      <c r="AL5929" t="s">
        <v>1502</v>
      </c>
      <c r="AM5929" t="s">
        <v>1503</v>
      </c>
      <c r="AN5929" t="s">
        <v>1504</v>
      </c>
      <c r="AO5929" t="s">
        <v>1494</v>
      </c>
      <c r="AQ5929">
        <f>IF(ISBLANK(AP5929), IFERROR(IF(VLOOKUP(AO5929, Ellens_additions!$A$2:$B$252, 2, FALSE) = "", "", VLOOKUP(AO5929, Ellens_additions!$A$2:$B$252, 2, FALSE)), 0), AP5929)</f>
        <v>0</v>
      </c>
    </row>
    <row r="5930" spans="1:43" ht="14.4" x14ac:dyDescent="0.3"/>
    <row r="5931" spans="1:43" ht="14.4" hidden="1" x14ac:dyDescent="0.3">
      <c r="A5931" t="s">
        <v>1505</v>
      </c>
      <c r="B5931">
        <v>4908878</v>
      </c>
      <c r="C5931" t="s">
        <v>135</v>
      </c>
      <c r="D5931" t="s">
        <v>174</v>
      </c>
      <c r="E5931" t="s">
        <v>316</v>
      </c>
      <c r="F5931" t="s">
        <v>288</v>
      </c>
      <c r="H5931" t="s">
        <v>1506</v>
      </c>
      <c r="J5931" t="s">
        <v>140</v>
      </c>
      <c r="K5931">
        <v>159354.12</v>
      </c>
      <c r="L5931">
        <v>383536.82</v>
      </c>
      <c r="N5931" t="s">
        <v>1494</v>
      </c>
      <c r="O5931" t="s">
        <v>448</v>
      </c>
      <c r="P5931" t="s">
        <v>1495</v>
      </c>
      <c r="Q5931" t="s">
        <v>144</v>
      </c>
      <c r="S5931">
        <v>0</v>
      </c>
      <c r="T5931">
        <v>0</v>
      </c>
      <c r="V5931" t="s">
        <v>146</v>
      </c>
      <c r="W5931" t="s">
        <v>184</v>
      </c>
      <c r="X5931" t="s">
        <v>7</v>
      </c>
      <c r="Y5931" t="s">
        <v>1494</v>
      </c>
      <c r="Z5931" t="s">
        <v>448</v>
      </c>
      <c r="AA5931" t="s">
        <v>456</v>
      </c>
      <c r="AB5931">
        <v>0</v>
      </c>
      <c r="AE5931" t="s">
        <v>1496</v>
      </c>
      <c r="AF5931" t="s">
        <v>448</v>
      </c>
      <c r="AG5931" t="s">
        <v>560</v>
      </c>
      <c r="AL5931" t="s">
        <v>1507</v>
      </c>
      <c r="AM5931" t="s">
        <v>1508</v>
      </c>
      <c r="AN5931" t="s">
        <v>1509</v>
      </c>
      <c r="AO5931" t="s">
        <v>1494</v>
      </c>
      <c r="AQ5931">
        <f>IF(ISBLANK(AP5931), IFERROR(IF(VLOOKUP(AO5931, Ellens_additions!$A$2:$B$252, 2, FALSE) = "", "", VLOOKUP(AO5931, Ellens_additions!$A$2:$B$252, 2, FALSE)), 0), AP5931)</f>
        <v>0</v>
      </c>
    </row>
    <row r="5932" spans="1:43" ht="14.4" x14ac:dyDescent="0.3"/>
    <row r="5933" spans="1:43" ht="14.4" x14ac:dyDescent="0.3"/>
    <row r="5934" spans="1:43" ht="14.4" x14ac:dyDescent="0.3"/>
    <row r="5935" spans="1:43" ht="14.4" x14ac:dyDescent="0.3"/>
    <row r="5936" spans="1:43" ht="14.4" x14ac:dyDescent="0.3"/>
    <row r="5937" ht="14.4" x14ac:dyDescent="0.3"/>
    <row r="5938" ht="14.4" x14ac:dyDescent="0.3"/>
    <row r="5939" ht="14.4" x14ac:dyDescent="0.3"/>
    <row r="5940" ht="14.4" x14ac:dyDescent="0.3"/>
    <row r="5941" ht="14.4" x14ac:dyDescent="0.3"/>
    <row r="5942" ht="14.4" x14ac:dyDescent="0.3"/>
    <row r="5943" ht="14.4" x14ac:dyDescent="0.3"/>
    <row r="5944" ht="14.4" x14ac:dyDescent="0.3"/>
    <row r="5945" ht="14.4" x14ac:dyDescent="0.3"/>
    <row r="5946" ht="14.4" x14ac:dyDescent="0.3"/>
    <row r="5947" ht="14.4" x14ac:dyDescent="0.3"/>
    <row r="5948" ht="14.4" x14ac:dyDescent="0.3"/>
    <row r="5949" ht="14.4" x14ac:dyDescent="0.3"/>
    <row r="5950" ht="14.4" x14ac:dyDescent="0.3"/>
    <row r="5951" ht="14.4" x14ac:dyDescent="0.3"/>
    <row r="5952" ht="14.4" x14ac:dyDescent="0.3"/>
    <row r="5953" ht="14.4" x14ac:dyDescent="0.3"/>
    <row r="5954" ht="14.4" x14ac:dyDescent="0.3"/>
    <row r="5955" ht="14.4" x14ac:dyDescent="0.3"/>
    <row r="5956" ht="14.4" x14ac:dyDescent="0.3"/>
    <row r="5957" ht="14.4" x14ac:dyDescent="0.3"/>
    <row r="5958" ht="14.4" x14ac:dyDescent="0.3"/>
    <row r="5959" ht="14.4" x14ac:dyDescent="0.3"/>
    <row r="5960" ht="14.4" x14ac:dyDescent="0.3"/>
    <row r="5961" ht="14.4" x14ac:dyDescent="0.3"/>
    <row r="5962" ht="14.4" x14ac:dyDescent="0.3"/>
    <row r="5963" ht="14.4" x14ac:dyDescent="0.3"/>
    <row r="5964" ht="14.4" x14ac:dyDescent="0.3"/>
    <row r="5965" ht="14.4" x14ac:dyDescent="0.3"/>
    <row r="5966" ht="14.4" x14ac:dyDescent="0.3"/>
    <row r="5967" ht="14.4" x14ac:dyDescent="0.3"/>
    <row r="5968" ht="14.4" x14ac:dyDescent="0.3"/>
    <row r="5969" ht="14.4" x14ac:dyDescent="0.3"/>
    <row r="5970" ht="14.4" x14ac:dyDescent="0.3"/>
    <row r="5971" ht="14.4" x14ac:dyDescent="0.3"/>
    <row r="5972" ht="14.4" x14ac:dyDescent="0.3"/>
    <row r="5973" ht="14.4" x14ac:dyDescent="0.3"/>
    <row r="5974" ht="14.4" x14ac:dyDescent="0.3"/>
    <row r="5975" ht="14.4" x14ac:dyDescent="0.3"/>
    <row r="5976" ht="14.4" x14ac:dyDescent="0.3"/>
    <row r="5977" ht="14.4" x14ac:dyDescent="0.3"/>
    <row r="5978" ht="14.4" x14ac:dyDescent="0.3"/>
    <row r="5979" ht="14.4" x14ac:dyDescent="0.3"/>
    <row r="5980" ht="14.4" x14ac:dyDescent="0.3"/>
    <row r="5981" ht="14.4" x14ac:dyDescent="0.3"/>
    <row r="5982" ht="14.4" x14ac:dyDescent="0.3"/>
    <row r="5983" ht="14.4" x14ac:dyDescent="0.3"/>
    <row r="5984" ht="14.4" x14ac:dyDescent="0.3"/>
    <row r="5985" ht="14.4" x14ac:dyDescent="0.3"/>
    <row r="5986" ht="14.4" x14ac:dyDescent="0.3"/>
    <row r="5987" ht="14.4" x14ac:dyDescent="0.3"/>
    <row r="5988" ht="14.4" x14ac:dyDescent="0.3"/>
    <row r="5989" ht="14.4" x14ac:dyDescent="0.3"/>
    <row r="5990" ht="14.4" x14ac:dyDescent="0.3"/>
    <row r="5991" ht="14.4" x14ac:dyDescent="0.3"/>
    <row r="5992" ht="14.4" x14ac:dyDescent="0.3"/>
    <row r="5993" ht="14.4" x14ac:dyDescent="0.3"/>
    <row r="5994" ht="14.4" x14ac:dyDescent="0.3"/>
    <row r="5995" ht="14.4" x14ac:dyDescent="0.3"/>
    <row r="5996" ht="14.4" x14ac:dyDescent="0.3"/>
    <row r="5997" ht="14.4" x14ac:dyDescent="0.3"/>
    <row r="5998" ht="14.4" x14ac:dyDescent="0.3"/>
    <row r="5999" ht="14.4" x14ac:dyDescent="0.3"/>
    <row r="6000" ht="14.4" x14ac:dyDescent="0.3"/>
    <row r="6001" ht="14.4" x14ac:dyDescent="0.3"/>
    <row r="6002" ht="14.4" x14ac:dyDescent="0.3"/>
    <row r="6003" ht="14.4" x14ac:dyDescent="0.3"/>
    <row r="6004" ht="14.4" x14ac:dyDescent="0.3"/>
    <row r="6005" ht="14.4" x14ac:dyDescent="0.3"/>
    <row r="6006" ht="14.4" x14ac:dyDescent="0.3"/>
    <row r="6007" ht="14.4" x14ac:dyDescent="0.3"/>
    <row r="6008" ht="14.4" x14ac:dyDescent="0.3"/>
    <row r="6009" ht="14.4" x14ac:dyDescent="0.3"/>
    <row r="6010" ht="14.4" x14ac:dyDescent="0.3"/>
    <row r="6011" ht="14.4" x14ac:dyDescent="0.3"/>
    <row r="6012" ht="14.4" x14ac:dyDescent="0.3"/>
    <row r="6013" ht="14.4" x14ac:dyDescent="0.3"/>
    <row r="6014" ht="14.4" x14ac:dyDescent="0.3"/>
    <row r="6015" ht="14.4" x14ac:dyDescent="0.3"/>
    <row r="6016" ht="14.4" x14ac:dyDescent="0.3"/>
    <row r="6017" ht="14.4" x14ac:dyDescent="0.3"/>
    <row r="6018" ht="14.4" x14ac:dyDescent="0.3"/>
    <row r="6019" ht="14.4" x14ac:dyDescent="0.3"/>
    <row r="6020" ht="14.4" x14ac:dyDescent="0.3"/>
    <row r="6021" ht="14.4" x14ac:dyDescent="0.3"/>
    <row r="6022" ht="14.4" x14ac:dyDescent="0.3"/>
    <row r="6023" ht="14.4" x14ac:dyDescent="0.3"/>
    <row r="6024" ht="14.4" x14ac:dyDescent="0.3"/>
    <row r="6025" ht="14.4" x14ac:dyDescent="0.3"/>
    <row r="6026" ht="14.4" x14ac:dyDescent="0.3"/>
    <row r="6027" ht="14.4" x14ac:dyDescent="0.3"/>
    <row r="6028" ht="14.4" x14ac:dyDescent="0.3"/>
    <row r="6029" ht="14.4" x14ac:dyDescent="0.3"/>
    <row r="6030" ht="14.4" x14ac:dyDescent="0.3"/>
    <row r="6031" ht="14.4" x14ac:dyDescent="0.3"/>
    <row r="6032" ht="14.4" x14ac:dyDescent="0.3"/>
    <row r="6033" ht="14.4" x14ac:dyDescent="0.3"/>
    <row r="6034" ht="14.4" x14ac:dyDescent="0.3"/>
    <row r="6035" ht="14.4" x14ac:dyDescent="0.3"/>
    <row r="6036" ht="14.4" x14ac:dyDescent="0.3"/>
    <row r="6037" ht="14.4" x14ac:dyDescent="0.3"/>
    <row r="6038" ht="14.4" x14ac:dyDescent="0.3"/>
    <row r="6039" ht="14.4" x14ac:dyDescent="0.3"/>
    <row r="6040" ht="14.4" x14ac:dyDescent="0.3"/>
    <row r="6041" ht="14.4" x14ac:dyDescent="0.3"/>
    <row r="6042" ht="14.4" x14ac:dyDescent="0.3"/>
    <row r="6043" ht="14.4" x14ac:dyDescent="0.3"/>
    <row r="6044" ht="14.4" x14ac:dyDescent="0.3"/>
    <row r="6045" ht="14.4" x14ac:dyDescent="0.3"/>
    <row r="6046" ht="14.4" x14ac:dyDescent="0.3"/>
    <row r="6047" ht="14.4" x14ac:dyDescent="0.3"/>
    <row r="6048" ht="14.4" x14ac:dyDescent="0.3"/>
    <row r="6049" ht="14.4" x14ac:dyDescent="0.3"/>
    <row r="6050" ht="14.4" x14ac:dyDescent="0.3"/>
    <row r="6051" ht="14.4" x14ac:dyDescent="0.3"/>
    <row r="6052" ht="14.4" x14ac:dyDescent="0.3"/>
    <row r="6053" ht="14.4" x14ac:dyDescent="0.3"/>
    <row r="6054" ht="14.4" x14ac:dyDescent="0.3"/>
    <row r="6055" ht="14.4" x14ac:dyDescent="0.3"/>
    <row r="6056" ht="14.4" x14ac:dyDescent="0.3"/>
    <row r="6057" ht="14.4" x14ac:dyDescent="0.3"/>
    <row r="6058" ht="14.4" x14ac:dyDescent="0.3"/>
    <row r="6059" ht="14.4" x14ac:dyDescent="0.3"/>
    <row r="6060" ht="14.4" x14ac:dyDescent="0.3"/>
    <row r="6061" ht="14.4" x14ac:dyDescent="0.3"/>
    <row r="6062" ht="14.4" x14ac:dyDescent="0.3"/>
    <row r="6063" ht="14.4" x14ac:dyDescent="0.3"/>
    <row r="6064" ht="14.4" x14ac:dyDescent="0.3"/>
    <row r="6065" ht="14.4" x14ac:dyDescent="0.3"/>
    <row r="6066" ht="14.4" x14ac:dyDescent="0.3"/>
    <row r="6067" ht="14.4" x14ac:dyDescent="0.3"/>
    <row r="6068" ht="14.4" x14ac:dyDescent="0.3"/>
    <row r="6069" ht="14.4" x14ac:dyDescent="0.3"/>
    <row r="6070" ht="14.4" x14ac:dyDescent="0.3"/>
    <row r="6071" ht="14.4" x14ac:dyDescent="0.3"/>
    <row r="6072" ht="14.4" x14ac:dyDescent="0.3"/>
    <row r="6073" ht="14.4" x14ac:dyDescent="0.3"/>
    <row r="6074" ht="14.4" x14ac:dyDescent="0.3"/>
    <row r="6075" ht="14.4" x14ac:dyDescent="0.3"/>
    <row r="6076" ht="14.4" x14ac:dyDescent="0.3"/>
    <row r="6077" ht="14.4" x14ac:dyDescent="0.3"/>
    <row r="6078" ht="14.4" x14ac:dyDescent="0.3"/>
    <row r="6079" ht="14.4" x14ac:dyDescent="0.3"/>
    <row r="6080" ht="14.4" x14ac:dyDescent="0.3"/>
    <row r="6081" ht="14.4" x14ac:dyDescent="0.3"/>
    <row r="6082" ht="14.4" x14ac:dyDescent="0.3"/>
    <row r="6083" ht="14.4" x14ac:dyDescent="0.3"/>
    <row r="6084" ht="14.4" x14ac:dyDescent="0.3"/>
    <row r="6085" ht="14.4" x14ac:dyDescent="0.3"/>
    <row r="6086" ht="14.4" x14ac:dyDescent="0.3"/>
    <row r="6087" ht="14.4" x14ac:dyDescent="0.3"/>
    <row r="6088" ht="14.4" x14ac:dyDescent="0.3"/>
    <row r="6089" ht="14.4" x14ac:dyDescent="0.3"/>
    <row r="6090" ht="14.4" x14ac:dyDescent="0.3"/>
    <row r="6091" ht="14.4" x14ac:dyDescent="0.3"/>
    <row r="6092" ht="14.4" x14ac:dyDescent="0.3"/>
    <row r="6093" ht="14.4" x14ac:dyDescent="0.3"/>
    <row r="6094" ht="14.4" x14ac:dyDescent="0.3"/>
    <row r="6095" ht="14.4" x14ac:dyDescent="0.3"/>
    <row r="6096" ht="14.4" x14ac:dyDescent="0.3"/>
    <row r="6097" ht="14.4" x14ac:dyDescent="0.3"/>
    <row r="6098" ht="14.4" x14ac:dyDescent="0.3"/>
    <row r="6099" ht="14.4" x14ac:dyDescent="0.3"/>
    <row r="6100" ht="14.4" x14ac:dyDescent="0.3"/>
    <row r="6101" ht="14.4" x14ac:dyDescent="0.3"/>
    <row r="6102" ht="14.4" x14ac:dyDescent="0.3"/>
    <row r="6103" ht="14.4" x14ac:dyDescent="0.3"/>
    <row r="6104" ht="14.4" x14ac:dyDescent="0.3"/>
    <row r="6105" ht="14.4" x14ac:dyDescent="0.3"/>
    <row r="6106" ht="14.4" x14ac:dyDescent="0.3"/>
    <row r="6107" ht="14.4" x14ac:dyDescent="0.3"/>
    <row r="6108" ht="14.4" x14ac:dyDescent="0.3"/>
    <row r="6109" ht="14.4" x14ac:dyDescent="0.3"/>
    <row r="6110" ht="14.4" x14ac:dyDescent="0.3"/>
    <row r="6111" ht="14.4" x14ac:dyDescent="0.3"/>
    <row r="6112" ht="14.4" x14ac:dyDescent="0.3"/>
    <row r="6113" ht="14.4" x14ac:dyDescent="0.3"/>
    <row r="6114" ht="14.4" x14ac:dyDescent="0.3"/>
    <row r="6115" ht="14.4" x14ac:dyDescent="0.3"/>
    <row r="6116" ht="14.4" x14ac:dyDescent="0.3"/>
    <row r="6117" ht="14.4" x14ac:dyDescent="0.3"/>
    <row r="6118" ht="14.4" x14ac:dyDescent="0.3"/>
    <row r="6119" ht="14.4" x14ac:dyDescent="0.3"/>
    <row r="6120" ht="14.4" x14ac:dyDescent="0.3"/>
    <row r="6121" ht="14.4" x14ac:dyDescent="0.3"/>
    <row r="6122" ht="14.4" x14ac:dyDescent="0.3"/>
    <row r="6123" ht="14.4" x14ac:dyDescent="0.3"/>
    <row r="6124" ht="14.4" x14ac:dyDescent="0.3"/>
    <row r="6125" ht="14.4" x14ac:dyDescent="0.3"/>
    <row r="6126" ht="14.4" x14ac:dyDescent="0.3"/>
    <row r="6127" ht="14.4" x14ac:dyDescent="0.3"/>
    <row r="6128" ht="14.4" x14ac:dyDescent="0.3"/>
    <row r="6129" ht="14.4" x14ac:dyDescent="0.3"/>
    <row r="6130" ht="14.4" x14ac:dyDescent="0.3"/>
    <row r="6131" ht="14.4" x14ac:dyDescent="0.3"/>
    <row r="6132" ht="14.4" x14ac:dyDescent="0.3"/>
    <row r="6133" ht="14.4" x14ac:dyDescent="0.3"/>
    <row r="6134" ht="14.4" x14ac:dyDescent="0.3"/>
    <row r="6135" ht="14.4" x14ac:dyDescent="0.3"/>
    <row r="6136" ht="14.4" x14ac:dyDescent="0.3"/>
    <row r="6137" ht="14.4" x14ac:dyDescent="0.3"/>
    <row r="6138" ht="14.4" x14ac:dyDescent="0.3"/>
    <row r="6139" ht="14.4" x14ac:dyDescent="0.3"/>
    <row r="6140" ht="14.4" x14ac:dyDescent="0.3"/>
    <row r="6141" ht="14.4" x14ac:dyDescent="0.3"/>
    <row r="6142" ht="14.4" x14ac:dyDescent="0.3"/>
    <row r="6143" ht="14.4" x14ac:dyDescent="0.3"/>
    <row r="6144" ht="14.4" x14ac:dyDescent="0.3"/>
    <row r="6145" ht="14.4" x14ac:dyDescent="0.3"/>
    <row r="6146" ht="14.4" x14ac:dyDescent="0.3"/>
    <row r="6147" ht="14.4" x14ac:dyDescent="0.3"/>
    <row r="6148" ht="14.4" x14ac:dyDescent="0.3"/>
    <row r="6149" ht="14.4" x14ac:dyDescent="0.3"/>
    <row r="6150" ht="14.4" x14ac:dyDescent="0.3"/>
    <row r="6151" ht="14.4" x14ac:dyDescent="0.3"/>
    <row r="6152" ht="14.4" x14ac:dyDescent="0.3"/>
    <row r="6153" ht="14.4" x14ac:dyDescent="0.3"/>
    <row r="6154" ht="14.4" x14ac:dyDescent="0.3"/>
    <row r="6155" ht="14.4" x14ac:dyDescent="0.3"/>
    <row r="6156" ht="14.4" x14ac:dyDescent="0.3"/>
    <row r="6157" ht="14.4" x14ac:dyDescent="0.3"/>
    <row r="6158" ht="14.4" x14ac:dyDescent="0.3"/>
    <row r="6159" ht="14.4" x14ac:dyDescent="0.3"/>
    <row r="6160" ht="14.4" x14ac:dyDescent="0.3"/>
    <row r="6161" ht="14.4" x14ac:dyDescent="0.3"/>
    <row r="6162" ht="14.4" x14ac:dyDescent="0.3"/>
    <row r="6163" ht="14.4" x14ac:dyDescent="0.3"/>
    <row r="6164" ht="14.4" x14ac:dyDescent="0.3"/>
    <row r="6165" ht="14.4" x14ac:dyDescent="0.3"/>
    <row r="6166" ht="14.4" x14ac:dyDescent="0.3"/>
    <row r="6167" ht="14.4" x14ac:dyDescent="0.3"/>
    <row r="6168" ht="14.4" x14ac:dyDescent="0.3"/>
    <row r="6169" ht="14.4" x14ac:dyDescent="0.3"/>
    <row r="6170" ht="14.4" x14ac:dyDescent="0.3"/>
    <row r="6171" ht="14.4" x14ac:dyDescent="0.3"/>
    <row r="6172" ht="14.4" x14ac:dyDescent="0.3"/>
    <row r="6173" ht="14.4" x14ac:dyDescent="0.3"/>
    <row r="6174" ht="14.4" x14ac:dyDescent="0.3"/>
    <row r="6175" ht="14.4" x14ac:dyDescent="0.3"/>
    <row r="6176" ht="14.4" x14ac:dyDescent="0.3"/>
    <row r="6177" ht="14.4" x14ac:dyDescent="0.3"/>
    <row r="6178" ht="14.4" x14ac:dyDescent="0.3"/>
    <row r="6179" ht="14.4" x14ac:dyDescent="0.3"/>
    <row r="6180" ht="14.4" x14ac:dyDescent="0.3"/>
    <row r="6181" ht="14.4" x14ac:dyDescent="0.3"/>
    <row r="6182" ht="14.4" x14ac:dyDescent="0.3"/>
    <row r="6183" ht="14.4" x14ac:dyDescent="0.3"/>
    <row r="6184" ht="14.4" x14ac:dyDescent="0.3"/>
    <row r="6185" ht="14.4" x14ac:dyDescent="0.3"/>
    <row r="6186" ht="14.4" x14ac:dyDescent="0.3"/>
    <row r="6187" ht="14.4" x14ac:dyDescent="0.3"/>
    <row r="6188" ht="14.4" x14ac:dyDescent="0.3"/>
    <row r="6189" ht="14.4" x14ac:dyDescent="0.3"/>
    <row r="6190" ht="14.4" x14ac:dyDescent="0.3"/>
    <row r="6191" ht="14.4" x14ac:dyDescent="0.3"/>
    <row r="6192" ht="14.4" x14ac:dyDescent="0.3"/>
    <row r="6193" ht="14.4" x14ac:dyDescent="0.3"/>
    <row r="6194" ht="14.4" x14ac:dyDescent="0.3"/>
    <row r="6195" ht="14.4" x14ac:dyDescent="0.3"/>
    <row r="6196" ht="14.4" x14ac:dyDescent="0.3"/>
    <row r="6197" ht="14.4" x14ac:dyDescent="0.3"/>
    <row r="6198" ht="14.4" x14ac:dyDescent="0.3"/>
    <row r="6199" ht="14.4" x14ac:dyDescent="0.3"/>
    <row r="6200" ht="14.4" x14ac:dyDescent="0.3"/>
    <row r="6201" ht="14.4" x14ac:dyDescent="0.3"/>
    <row r="6202" ht="14.4" x14ac:dyDescent="0.3"/>
    <row r="6203" ht="14.4" x14ac:dyDescent="0.3"/>
    <row r="6204" ht="14.4" x14ac:dyDescent="0.3"/>
    <row r="6205" ht="14.4" x14ac:dyDescent="0.3"/>
    <row r="6206" ht="14.4" x14ac:dyDescent="0.3"/>
    <row r="6207" ht="14.4" x14ac:dyDescent="0.3"/>
    <row r="6208" ht="14.4" x14ac:dyDescent="0.3"/>
    <row r="6209" ht="14.4" x14ac:dyDescent="0.3"/>
    <row r="6210" ht="14.4" x14ac:dyDescent="0.3"/>
    <row r="6211" ht="14.4" x14ac:dyDescent="0.3"/>
    <row r="6212" ht="14.4" x14ac:dyDescent="0.3"/>
    <row r="6213" ht="14.4" x14ac:dyDescent="0.3"/>
    <row r="6214" ht="14.4" x14ac:dyDescent="0.3"/>
    <row r="6215" ht="14.4" x14ac:dyDescent="0.3"/>
    <row r="6216" ht="14.4" x14ac:dyDescent="0.3"/>
    <row r="6217" ht="14.4" x14ac:dyDescent="0.3"/>
    <row r="6218" ht="14.4" x14ac:dyDescent="0.3"/>
    <row r="6219" ht="14.4" x14ac:dyDescent="0.3"/>
    <row r="6220" ht="14.4" x14ac:dyDescent="0.3"/>
    <row r="6221" ht="14.4" x14ac:dyDescent="0.3"/>
    <row r="6222" ht="14.4" x14ac:dyDescent="0.3"/>
    <row r="6223" ht="14.4" x14ac:dyDescent="0.3"/>
    <row r="6224" ht="14.4" x14ac:dyDescent="0.3"/>
    <row r="6225" ht="14.4" x14ac:dyDescent="0.3"/>
    <row r="6226" ht="14.4" x14ac:dyDescent="0.3"/>
    <row r="6227" ht="14.4" x14ac:dyDescent="0.3"/>
    <row r="6228" ht="14.4" x14ac:dyDescent="0.3"/>
    <row r="6229" ht="14.4" x14ac:dyDescent="0.3"/>
    <row r="6230" ht="14.4" x14ac:dyDescent="0.3"/>
    <row r="6231" ht="14.4" x14ac:dyDescent="0.3"/>
    <row r="6232" ht="14.4" x14ac:dyDescent="0.3"/>
    <row r="6233" ht="14.4" x14ac:dyDescent="0.3"/>
    <row r="6234" ht="14.4" x14ac:dyDescent="0.3"/>
    <row r="6235" ht="14.4" x14ac:dyDescent="0.3"/>
    <row r="6236" ht="14.4" x14ac:dyDescent="0.3"/>
    <row r="6237" ht="14.4" x14ac:dyDescent="0.3"/>
    <row r="6238" ht="14.4" x14ac:dyDescent="0.3"/>
    <row r="6239" ht="14.4" x14ac:dyDescent="0.3"/>
    <row r="6240" ht="14.4" x14ac:dyDescent="0.3"/>
    <row r="6241" ht="14.4" x14ac:dyDescent="0.3"/>
    <row r="6242" ht="14.4" x14ac:dyDescent="0.3"/>
    <row r="6243" ht="14.4" x14ac:dyDescent="0.3"/>
    <row r="6244" ht="14.4" x14ac:dyDescent="0.3"/>
    <row r="6245" ht="14.4" x14ac:dyDescent="0.3"/>
    <row r="6246" ht="14.4" x14ac:dyDescent="0.3"/>
    <row r="6247" ht="14.4" x14ac:dyDescent="0.3"/>
    <row r="6248" ht="14.4" x14ac:dyDescent="0.3"/>
    <row r="6249" ht="14.4" x14ac:dyDescent="0.3"/>
    <row r="6250" ht="14.4" x14ac:dyDescent="0.3"/>
    <row r="6251" ht="14.4" x14ac:dyDescent="0.3"/>
    <row r="6252" ht="14.4" x14ac:dyDescent="0.3"/>
    <row r="6253" ht="14.4" x14ac:dyDescent="0.3"/>
    <row r="6254" ht="14.4" x14ac:dyDescent="0.3"/>
    <row r="6255" ht="14.4" x14ac:dyDescent="0.3"/>
    <row r="6256" ht="14.4" x14ac:dyDescent="0.3"/>
    <row r="6257" ht="14.4" x14ac:dyDescent="0.3"/>
    <row r="6258" ht="14.4" x14ac:dyDescent="0.3"/>
    <row r="6259" ht="14.4" x14ac:dyDescent="0.3"/>
    <row r="6260" ht="14.4" x14ac:dyDescent="0.3"/>
    <row r="6261" ht="14.4" x14ac:dyDescent="0.3"/>
    <row r="6262" ht="14.4" x14ac:dyDescent="0.3"/>
    <row r="6263" ht="14.4" x14ac:dyDescent="0.3"/>
    <row r="6264" ht="14.4" x14ac:dyDescent="0.3"/>
    <row r="6265" ht="14.4" x14ac:dyDescent="0.3"/>
    <row r="6266" ht="14.4" x14ac:dyDescent="0.3"/>
    <row r="6267" ht="14.4" x14ac:dyDescent="0.3"/>
    <row r="6268" ht="14.4" x14ac:dyDescent="0.3"/>
    <row r="6269" ht="14.4" x14ac:dyDescent="0.3"/>
    <row r="6270" ht="14.4" x14ac:dyDescent="0.3"/>
    <row r="6271" ht="14.4" x14ac:dyDescent="0.3"/>
    <row r="6272" ht="14.4" x14ac:dyDescent="0.3"/>
    <row r="6273" ht="14.4" x14ac:dyDescent="0.3"/>
    <row r="6274" ht="14.4" x14ac:dyDescent="0.3"/>
    <row r="6275" ht="14.4" x14ac:dyDescent="0.3"/>
    <row r="6276" ht="14.4" x14ac:dyDescent="0.3"/>
    <row r="6277" ht="14.4" x14ac:dyDescent="0.3"/>
    <row r="6278" ht="14.4" x14ac:dyDescent="0.3"/>
    <row r="6279" ht="14.4" x14ac:dyDescent="0.3"/>
    <row r="6280" ht="14.4" x14ac:dyDescent="0.3"/>
    <row r="6281" ht="14.4" x14ac:dyDescent="0.3"/>
    <row r="6282" ht="14.4" x14ac:dyDescent="0.3"/>
    <row r="6283" ht="14.4" x14ac:dyDescent="0.3"/>
    <row r="6284" ht="14.4" x14ac:dyDescent="0.3"/>
    <row r="6285" ht="14.4" x14ac:dyDescent="0.3"/>
    <row r="6286" ht="14.4" x14ac:dyDescent="0.3"/>
    <row r="6287" ht="14.4" x14ac:dyDescent="0.3"/>
    <row r="6288" ht="14.4" x14ac:dyDescent="0.3"/>
    <row r="6289" spans="1:43" ht="14.4" x14ac:dyDescent="0.3"/>
    <row r="6290" spans="1:43" ht="14.4" x14ac:dyDescent="0.3"/>
    <row r="6291" spans="1:43" ht="14.4" x14ac:dyDescent="0.3"/>
    <row r="6292" spans="1:43" ht="14.4" x14ac:dyDescent="0.3"/>
    <row r="6293" spans="1:43" ht="14.4" x14ac:dyDescent="0.3"/>
    <row r="6294" spans="1:43" ht="14.4" x14ac:dyDescent="0.3"/>
    <row r="6295" spans="1:43" ht="14.4" x14ac:dyDescent="0.3"/>
    <row r="6296" spans="1:43" ht="14.4" x14ac:dyDescent="0.3"/>
    <row r="6297" spans="1:43" ht="14.4" x14ac:dyDescent="0.3"/>
    <row r="6298" spans="1:43" ht="14.4" x14ac:dyDescent="0.3"/>
    <row r="6299" spans="1:43" ht="14.4" x14ac:dyDescent="0.3"/>
    <row r="6300" spans="1:43" ht="14.4" hidden="1" x14ac:dyDescent="0.3">
      <c r="A6300" t="s">
        <v>1524</v>
      </c>
      <c r="B6300">
        <v>4930279</v>
      </c>
      <c r="C6300" t="s">
        <v>842</v>
      </c>
      <c r="D6300" t="s">
        <v>843</v>
      </c>
      <c r="E6300" t="s">
        <v>1065</v>
      </c>
      <c r="F6300" t="s">
        <v>661</v>
      </c>
      <c r="H6300" t="s">
        <v>299</v>
      </c>
      <c r="J6300" t="s">
        <v>140</v>
      </c>
      <c r="K6300">
        <v>161615.39000000001</v>
      </c>
      <c r="L6300">
        <v>384872.31</v>
      </c>
      <c r="M6300">
        <v>1</v>
      </c>
      <c r="N6300" t="s">
        <v>1525</v>
      </c>
      <c r="O6300" t="s">
        <v>1077</v>
      </c>
      <c r="P6300" t="s">
        <v>1526</v>
      </c>
      <c r="Q6300" t="s">
        <v>144</v>
      </c>
      <c r="S6300">
        <v>97</v>
      </c>
      <c r="T6300">
        <v>0</v>
      </c>
      <c r="V6300" t="s">
        <v>146</v>
      </c>
      <c r="W6300" t="s">
        <v>273</v>
      </c>
      <c r="X6300" t="s">
        <v>7</v>
      </c>
      <c r="Y6300" t="s">
        <v>234</v>
      </c>
      <c r="Z6300" t="s">
        <v>1077</v>
      </c>
      <c r="AA6300" t="s">
        <v>379</v>
      </c>
      <c r="AB6300">
        <v>0</v>
      </c>
      <c r="AE6300" t="s">
        <v>1017</v>
      </c>
      <c r="AF6300" t="s">
        <v>1077</v>
      </c>
      <c r="AG6300" t="s">
        <v>1527</v>
      </c>
      <c r="AI6300" t="s">
        <v>154</v>
      </c>
      <c r="AJ6300" t="s">
        <v>1077</v>
      </c>
      <c r="AK6300" t="s">
        <v>1527</v>
      </c>
      <c r="AL6300" t="s">
        <v>1528</v>
      </c>
      <c r="AM6300" t="s">
        <v>1529</v>
      </c>
      <c r="AN6300" t="s">
        <v>1530</v>
      </c>
      <c r="AO6300" t="s">
        <v>1525</v>
      </c>
      <c r="AP6300" t="s">
        <v>225</v>
      </c>
      <c r="AQ6300" t="str">
        <f>IF(ISBLANK(AP6300), IFERROR(IF(VLOOKUP(AO6300, Ellens_additions!$A$2:$B$252, 2, FALSE) = "", "", VLOOKUP(AO6300, Ellens_additions!$A$2:$B$252, 2, FALSE)), 0), AP6300)</f>
        <v>4000</v>
      </c>
    </row>
    <row r="6301" spans="1:43" ht="14.4" x14ac:dyDescent="0.3"/>
    <row r="6302" spans="1:43" ht="14.4" x14ac:dyDescent="0.3"/>
    <row r="6303" spans="1:43" ht="14.4" x14ac:dyDescent="0.3"/>
    <row r="6304" spans="1:43" ht="14.4" x14ac:dyDescent="0.3"/>
    <row r="6305" ht="14.4" x14ac:dyDescent="0.3"/>
    <row r="6306" ht="14.4" x14ac:dyDescent="0.3"/>
    <row r="6307" ht="14.4" x14ac:dyDescent="0.3"/>
    <row r="6308" ht="14.4" x14ac:dyDescent="0.3"/>
    <row r="6309" ht="14.4" x14ac:dyDescent="0.3"/>
    <row r="6310" ht="14.4" x14ac:dyDescent="0.3"/>
    <row r="6311" ht="14.4" x14ac:dyDescent="0.3"/>
    <row r="6312" ht="14.4" x14ac:dyDescent="0.3"/>
    <row r="6313" ht="14.4" x14ac:dyDescent="0.3"/>
    <row r="6314" ht="14.4" x14ac:dyDescent="0.3"/>
    <row r="6315" ht="14.4" x14ac:dyDescent="0.3"/>
    <row r="6316" ht="14.4" x14ac:dyDescent="0.3"/>
    <row r="6317" ht="14.4" x14ac:dyDescent="0.3"/>
    <row r="6318" ht="14.4" x14ac:dyDescent="0.3"/>
    <row r="6319" ht="14.4" x14ac:dyDescent="0.3"/>
    <row r="6320" ht="14.4" x14ac:dyDescent="0.3"/>
    <row r="6321" ht="14.4" x14ac:dyDescent="0.3"/>
    <row r="6322" ht="14.4" x14ac:dyDescent="0.3"/>
    <row r="6323" ht="14.4" x14ac:dyDescent="0.3"/>
    <row r="6324" ht="14.4" x14ac:dyDescent="0.3"/>
    <row r="6325" ht="14.4" x14ac:dyDescent="0.3"/>
    <row r="6326" ht="14.4" x14ac:dyDescent="0.3"/>
    <row r="6327" ht="14.4" x14ac:dyDescent="0.3"/>
    <row r="6328" ht="14.4" x14ac:dyDescent="0.3"/>
    <row r="6329" ht="14.4" x14ac:dyDescent="0.3"/>
    <row r="6330" ht="14.4" x14ac:dyDescent="0.3"/>
    <row r="6331" ht="14.4" x14ac:dyDescent="0.3"/>
    <row r="6332" ht="14.4" x14ac:dyDescent="0.3"/>
    <row r="6333" ht="14.4" x14ac:dyDescent="0.3"/>
    <row r="6334" ht="14.4" x14ac:dyDescent="0.3"/>
    <row r="6335" ht="14.4" x14ac:dyDescent="0.3"/>
    <row r="6336" ht="14.4" x14ac:dyDescent="0.3"/>
    <row r="6337" ht="14.4" x14ac:dyDescent="0.3"/>
    <row r="6338" ht="14.4" x14ac:dyDescent="0.3"/>
    <row r="6339" ht="14.4" x14ac:dyDescent="0.3"/>
    <row r="6340" ht="14.4" x14ac:dyDescent="0.3"/>
    <row r="6341" ht="14.4" x14ac:dyDescent="0.3"/>
    <row r="6342" ht="14.4" x14ac:dyDescent="0.3"/>
    <row r="6343" ht="14.4" x14ac:dyDescent="0.3"/>
    <row r="6344" ht="14.4" x14ac:dyDescent="0.3"/>
    <row r="6345" ht="14.4" x14ac:dyDescent="0.3"/>
    <row r="6346" ht="14.4" x14ac:dyDescent="0.3"/>
    <row r="6347" ht="14.4" x14ac:dyDescent="0.3"/>
    <row r="6348" ht="14.4" x14ac:dyDescent="0.3"/>
    <row r="6349" ht="14.4" x14ac:dyDescent="0.3"/>
    <row r="6350" ht="14.4" x14ac:dyDescent="0.3"/>
    <row r="6351" ht="14.4" x14ac:dyDescent="0.3"/>
    <row r="6352" ht="14.4" x14ac:dyDescent="0.3"/>
    <row r="6353" ht="14.4" x14ac:dyDescent="0.3"/>
    <row r="6354" ht="14.4" x14ac:dyDescent="0.3"/>
    <row r="6355" ht="14.4" x14ac:dyDescent="0.3"/>
    <row r="6356" ht="14.4" x14ac:dyDescent="0.3"/>
    <row r="6357" ht="14.4" x14ac:dyDescent="0.3"/>
    <row r="6358" ht="14.4" x14ac:dyDescent="0.3"/>
    <row r="6359" ht="14.4" x14ac:dyDescent="0.3"/>
    <row r="6360" ht="14.4" x14ac:dyDescent="0.3"/>
    <row r="6361" ht="14.4" x14ac:dyDescent="0.3"/>
    <row r="6362" ht="14.4" x14ac:dyDescent="0.3"/>
    <row r="6363" ht="14.4" x14ac:dyDescent="0.3"/>
    <row r="6364" ht="14.4" x14ac:dyDescent="0.3"/>
    <row r="6365" ht="14.4" x14ac:dyDescent="0.3"/>
    <row r="6366" ht="14.4" x14ac:dyDescent="0.3"/>
    <row r="6367" ht="14.4" x14ac:dyDescent="0.3"/>
    <row r="6368" ht="14.4" x14ac:dyDescent="0.3"/>
    <row r="6369" ht="14.4" x14ac:dyDescent="0.3"/>
    <row r="6370" ht="14.4" x14ac:dyDescent="0.3"/>
    <row r="6371" ht="14.4" x14ac:dyDescent="0.3"/>
    <row r="6372" ht="14.4" x14ac:dyDescent="0.3"/>
    <row r="6373" ht="14.4" x14ac:dyDescent="0.3"/>
    <row r="6374" ht="14.4" x14ac:dyDescent="0.3"/>
    <row r="6375" ht="14.4" x14ac:dyDescent="0.3"/>
    <row r="6376" ht="14.4" x14ac:dyDescent="0.3"/>
    <row r="6377" ht="14.4" x14ac:dyDescent="0.3"/>
    <row r="6378" ht="14.4" x14ac:dyDescent="0.3"/>
    <row r="6379" ht="14.4" x14ac:dyDescent="0.3"/>
    <row r="6380" ht="14.4" x14ac:dyDescent="0.3"/>
    <row r="6381" ht="14.4" x14ac:dyDescent="0.3"/>
    <row r="6382" ht="14.4" x14ac:dyDescent="0.3"/>
    <row r="6383" ht="14.4" x14ac:dyDescent="0.3"/>
    <row r="6384" ht="14.4" x14ac:dyDescent="0.3"/>
    <row r="6385" ht="14.4" x14ac:dyDescent="0.3"/>
    <row r="6386" ht="14.4" x14ac:dyDescent="0.3"/>
    <row r="6387" ht="14.4" x14ac:dyDescent="0.3"/>
    <row r="6388" ht="14.4" x14ac:dyDescent="0.3"/>
    <row r="6389" ht="14.4" x14ac:dyDescent="0.3"/>
    <row r="6390" ht="14.4" x14ac:dyDescent="0.3"/>
    <row r="6391" ht="14.4" x14ac:dyDescent="0.3"/>
    <row r="6392" ht="14.4" x14ac:dyDescent="0.3"/>
    <row r="6393" ht="14.4" x14ac:dyDescent="0.3"/>
    <row r="6394" ht="14.4" x14ac:dyDescent="0.3"/>
    <row r="6395" ht="14.4" x14ac:dyDescent="0.3"/>
    <row r="6396" ht="14.4" x14ac:dyDescent="0.3"/>
    <row r="6397" ht="14.4" x14ac:dyDescent="0.3"/>
    <row r="6398" ht="14.4" x14ac:dyDescent="0.3"/>
    <row r="6399" ht="14.4" x14ac:dyDescent="0.3"/>
    <row r="6400" ht="14.4" x14ac:dyDescent="0.3"/>
    <row r="6401" ht="14.4" x14ac:dyDescent="0.3"/>
    <row r="6402" ht="14.4" x14ac:dyDescent="0.3"/>
    <row r="6403" ht="14.4" x14ac:dyDescent="0.3"/>
    <row r="6404" ht="14.4" x14ac:dyDescent="0.3"/>
    <row r="6405" ht="14.4" x14ac:dyDescent="0.3"/>
    <row r="6406" ht="14.4" x14ac:dyDescent="0.3"/>
    <row r="6407" ht="14.4" x14ac:dyDescent="0.3"/>
    <row r="6408" ht="14.4" x14ac:dyDescent="0.3"/>
    <row r="6409" ht="14.4" x14ac:dyDescent="0.3"/>
    <row r="6410" ht="14.4" x14ac:dyDescent="0.3"/>
    <row r="6411" ht="14.4" x14ac:dyDescent="0.3"/>
    <row r="6412" ht="14.4" x14ac:dyDescent="0.3"/>
    <row r="6413" ht="14.4" x14ac:dyDescent="0.3"/>
    <row r="6414" ht="14.4" x14ac:dyDescent="0.3"/>
    <row r="6415" ht="14.4" x14ac:dyDescent="0.3"/>
    <row r="6416" ht="14.4" x14ac:dyDescent="0.3"/>
    <row r="6417" ht="14.4" x14ac:dyDescent="0.3"/>
    <row r="6418" ht="14.4" x14ac:dyDescent="0.3"/>
    <row r="6419" ht="14.4" x14ac:dyDescent="0.3"/>
    <row r="6420" ht="14.4" x14ac:dyDescent="0.3"/>
    <row r="6421" ht="14.4" x14ac:dyDescent="0.3"/>
    <row r="6422" ht="14.4" x14ac:dyDescent="0.3"/>
    <row r="6423" ht="14.4" x14ac:dyDescent="0.3"/>
    <row r="6424" ht="14.4" x14ac:dyDescent="0.3"/>
    <row r="6425" ht="14.4" x14ac:dyDescent="0.3"/>
    <row r="6426" ht="14.4" x14ac:dyDescent="0.3"/>
    <row r="6427" ht="14.4" x14ac:dyDescent="0.3"/>
    <row r="6428" ht="14.4" x14ac:dyDescent="0.3"/>
    <row r="6429" ht="14.4" x14ac:dyDescent="0.3"/>
    <row r="6430" ht="14.4" x14ac:dyDescent="0.3"/>
    <row r="6431" ht="14.4" x14ac:dyDescent="0.3"/>
    <row r="6432" ht="14.4" x14ac:dyDescent="0.3"/>
    <row r="6433" ht="14.4" x14ac:dyDescent="0.3"/>
    <row r="6434" ht="14.4" x14ac:dyDescent="0.3"/>
    <row r="6435" ht="14.4" x14ac:dyDescent="0.3"/>
    <row r="6436" ht="14.4" x14ac:dyDescent="0.3"/>
    <row r="6437" ht="14.4" x14ac:dyDescent="0.3"/>
    <row r="6438" ht="14.4" x14ac:dyDescent="0.3"/>
    <row r="6439" ht="14.4" x14ac:dyDescent="0.3"/>
    <row r="6440" ht="14.4" x14ac:dyDescent="0.3"/>
    <row r="6441" ht="14.4" x14ac:dyDescent="0.3"/>
    <row r="6442" ht="14.4" x14ac:dyDescent="0.3"/>
    <row r="6443" ht="14.4" x14ac:dyDescent="0.3"/>
    <row r="6444" ht="14.4" x14ac:dyDescent="0.3"/>
    <row r="6445" ht="14.4" x14ac:dyDescent="0.3"/>
    <row r="6446" ht="14.4" x14ac:dyDescent="0.3"/>
    <row r="6447" ht="14.4" x14ac:dyDescent="0.3"/>
    <row r="6448" ht="14.4" x14ac:dyDescent="0.3"/>
    <row r="6449" ht="14.4" x14ac:dyDescent="0.3"/>
    <row r="6450" ht="14.4" x14ac:dyDescent="0.3"/>
    <row r="6451" ht="14.4" x14ac:dyDescent="0.3"/>
    <row r="6452" ht="14.4" x14ac:dyDescent="0.3"/>
    <row r="6453" ht="14.4" x14ac:dyDescent="0.3"/>
    <row r="6454" ht="14.4" x14ac:dyDescent="0.3"/>
    <row r="6455" ht="14.4" x14ac:dyDescent="0.3"/>
    <row r="6456" ht="14.4" x14ac:dyDescent="0.3"/>
    <row r="6457" ht="14.4" x14ac:dyDescent="0.3"/>
    <row r="6458" ht="14.4" x14ac:dyDescent="0.3"/>
    <row r="6459" ht="14.4" x14ac:dyDescent="0.3"/>
    <row r="6460" ht="14.4" x14ac:dyDescent="0.3"/>
    <row r="6461" ht="14.4" x14ac:dyDescent="0.3"/>
    <row r="6462" ht="14.4" x14ac:dyDescent="0.3"/>
    <row r="6463" ht="14.4" x14ac:dyDescent="0.3"/>
    <row r="6464" ht="14.4" x14ac:dyDescent="0.3"/>
    <row r="6465" ht="14.4" x14ac:dyDescent="0.3"/>
    <row r="6466" ht="14.4" x14ac:dyDescent="0.3"/>
    <row r="6467" ht="14.4" x14ac:dyDescent="0.3"/>
    <row r="6468" ht="14.4" x14ac:dyDescent="0.3"/>
    <row r="6469" ht="14.4" x14ac:dyDescent="0.3"/>
    <row r="6470" ht="14.4" x14ac:dyDescent="0.3"/>
    <row r="6471" ht="14.4" x14ac:dyDescent="0.3"/>
    <row r="6472" ht="14.4" x14ac:dyDescent="0.3"/>
    <row r="6473" ht="14.4" x14ac:dyDescent="0.3"/>
    <row r="6474" ht="14.4" x14ac:dyDescent="0.3"/>
    <row r="6475" ht="14.4" x14ac:dyDescent="0.3"/>
    <row r="6476" ht="14.4" x14ac:dyDescent="0.3"/>
    <row r="6477" ht="14.4" x14ac:dyDescent="0.3"/>
    <row r="6478" ht="14.4" x14ac:dyDescent="0.3"/>
    <row r="6479" ht="14.4" x14ac:dyDescent="0.3"/>
    <row r="6480" ht="14.4" x14ac:dyDescent="0.3"/>
    <row r="6481" ht="14.4" x14ac:dyDescent="0.3"/>
    <row r="6482" ht="14.4" x14ac:dyDescent="0.3"/>
    <row r="6483" ht="14.4" x14ac:dyDescent="0.3"/>
    <row r="6484" ht="14.4" x14ac:dyDescent="0.3"/>
    <row r="6485" ht="14.4" x14ac:dyDescent="0.3"/>
    <row r="6486" ht="14.4" x14ac:dyDescent="0.3"/>
    <row r="6487" ht="14.4" x14ac:dyDescent="0.3"/>
    <row r="6488" ht="14.4" x14ac:dyDescent="0.3"/>
    <row r="6489" ht="14.4" x14ac:dyDescent="0.3"/>
    <row r="6490" ht="14.4" x14ac:dyDescent="0.3"/>
    <row r="6491" ht="14.4" x14ac:dyDescent="0.3"/>
    <row r="6492" ht="14.4" x14ac:dyDescent="0.3"/>
    <row r="6493" ht="14.4" x14ac:dyDescent="0.3"/>
    <row r="6494" ht="14.4" x14ac:dyDescent="0.3"/>
    <row r="6495" ht="14.4" x14ac:dyDescent="0.3"/>
    <row r="6496" ht="14.4" x14ac:dyDescent="0.3"/>
    <row r="6497" ht="14.4" x14ac:dyDescent="0.3"/>
    <row r="6498" ht="14.4" x14ac:dyDescent="0.3"/>
    <row r="6499" ht="14.4" x14ac:dyDescent="0.3"/>
    <row r="6500" ht="14.4" x14ac:dyDescent="0.3"/>
    <row r="6501" ht="14.4" x14ac:dyDescent="0.3"/>
    <row r="6502" ht="14.4" x14ac:dyDescent="0.3"/>
    <row r="6503" ht="14.4" x14ac:dyDescent="0.3"/>
    <row r="6504" ht="14.4" x14ac:dyDescent="0.3"/>
    <row r="6505" ht="14.4" x14ac:dyDescent="0.3"/>
    <row r="6506" ht="14.4" x14ac:dyDescent="0.3"/>
    <row r="6507" ht="14.4" x14ac:dyDescent="0.3"/>
    <row r="6508" ht="14.4" x14ac:dyDescent="0.3"/>
    <row r="6509" ht="14.4" x14ac:dyDescent="0.3"/>
    <row r="6510" ht="14.4" x14ac:dyDescent="0.3"/>
    <row r="6511" ht="14.4" x14ac:dyDescent="0.3"/>
    <row r="6512" ht="14.4" x14ac:dyDescent="0.3"/>
    <row r="6513" ht="14.4" x14ac:dyDescent="0.3"/>
    <row r="6514" ht="14.4" x14ac:dyDescent="0.3"/>
    <row r="6515" ht="14.4" x14ac:dyDescent="0.3"/>
    <row r="6516" ht="14.4" x14ac:dyDescent="0.3"/>
    <row r="6517" ht="14.4" x14ac:dyDescent="0.3"/>
    <row r="6518" ht="14.4" x14ac:dyDescent="0.3"/>
    <row r="6519" ht="14.4" x14ac:dyDescent="0.3"/>
    <row r="6520" ht="14.4" x14ac:dyDescent="0.3"/>
    <row r="6521" ht="14.4" x14ac:dyDescent="0.3"/>
    <row r="6522" ht="14.4" x14ac:dyDescent="0.3"/>
    <row r="6523" ht="14.4" x14ac:dyDescent="0.3"/>
    <row r="6524" ht="14.4" x14ac:dyDescent="0.3"/>
    <row r="6525" ht="14.4" x14ac:dyDescent="0.3"/>
    <row r="6526" ht="14.4" x14ac:dyDescent="0.3"/>
    <row r="6527" ht="14.4" x14ac:dyDescent="0.3"/>
    <row r="6528" ht="14.4" x14ac:dyDescent="0.3"/>
    <row r="6529" ht="14.4" x14ac:dyDescent="0.3"/>
    <row r="6530" ht="14.4" x14ac:dyDescent="0.3"/>
    <row r="6531" ht="14.4" x14ac:dyDescent="0.3"/>
    <row r="6532" ht="14.4" x14ac:dyDescent="0.3"/>
    <row r="6533" ht="14.4" x14ac:dyDescent="0.3"/>
    <row r="6534" ht="14.4" x14ac:dyDescent="0.3"/>
    <row r="6535" ht="14.4" x14ac:dyDescent="0.3"/>
    <row r="6536" ht="14.4" x14ac:dyDescent="0.3"/>
    <row r="6537" ht="14.4" x14ac:dyDescent="0.3"/>
    <row r="6538" ht="14.4" x14ac:dyDescent="0.3"/>
    <row r="6539" ht="14.4" x14ac:dyDescent="0.3"/>
    <row r="6540" ht="14.4" x14ac:dyDescent="0.3"/>
    <row r="6541" ht="14.4" x14ac:dyDescent="0.3"/>
    <row r="6542" ht="14.4" x14ac:dyDescent="0.3"/>
    <row r="6543" ht="14.4" x14ac:dyDescent="0.3"/>
    <row r="6544" ht="14.4" x14ac:dyDescent="0.3"/>
    <row r="6545" ht="14.4" x14ac:dyDescent="0.3"/>
    <row r="6546" ht="14.4" x14ac:dyDescent="0.3"/>
    <row r="6547" ht="14.4" x14ac:dyDescent="0.3"/>
    <row r="6548" ht="14.4" x14ac:dyDescent="0.3"/>
    <row r="6549" ht="14.4" x14ac:dyDescent="0.3"/>
    <row r="6550" ht="14.4" x14ac:dyDescent="0.3"/>
    <row r="6551" ht="14.4" x14ac:dyDescent="0.3"/>
    <row r="6552" ht="14.4" x14ac:dyDescent="0.3"/>
    <row r="6553" ht="14.4" x14ac:dyDescent="0.3"/>
    <row r="6554" ht="14.4" x14ac:dyDescent="0.3"/>
    <row r="6555" ht="14.4" x14ac:dyDescent="0.3"/>
    <row r="6556" ht="14.4" x14ac:dyDescent="0.3"/>
    <row r="6557" ht="14.4" x14ac:dyDescent="0.3"/>
    <row r="6558" ht="14.4" x14ac:dyDescent="0.3"/>
    <row r="6559" ht="14.4" x14ac:dyDescent="0.3"/>
    <row r="6560" ht="14.4" x14ac:dyDescent="0.3"/>
    <row r="6561" ht="14.4" x14ac:dyDescent="0.3"/>
    <row r="6562" ht="14.4" x14ac:dyDescent="0.3"/>
    <row r="6563" ht="14.4" x14ac:dyDescent="0.3"/>
    <row r="6564" ht="14.4" x14ac:dyDescent="0.3"/>
    <row r="6565" ht="14.4" x14ac:dyDescent="0.3"/>
    <row r="6566" ht="14.4" x14ac:dyDescent="0.3"/>
    <row r="6567" ht="14.4" x14ac:dyDescent="0.3"/>
    <row r="6568" ht="14.4" x14ac:dyDescent="0.3"/>
    <row r="6569" ht="14.4" x14ac:dyDescent="0.3"/>
    <row r="6570" ht="14.4" x14ac:dyDescent="0.3"/>
    <row r="6571" ht="14.4" x14ac:dyDescent="0.3"/>
    <row r="6572" ht="14.4" x14ac:dyDescent="0.3"/>
    <row r="6573" ht="14.4" x14ac:dyDescent="0.3"/>
    <row r="6574" ht="14.4" x14ac:dyDescent="0.3"/>
    <row r="6575" ht="14.4" x14ac:dyDescent="0.3"/>
    <row r="6576" ht="14.4" x14ac:dyDescent="0.3"/>
    <row r="6577" ht="14.4" x14ac:dyDescent="0.3"/>
    <row r="6578" ht="14.4" x14ac:dyDescent="0.3"/>
    <row r="6579" ht="14.4" x14ac:dyDescent="0.3"/>
    <row r="6580" ht="14.4" x14ac:dyDescent="0.3"/>
    <row r="6581" ht="14.4" x14ac:dyDescent="0.3"/>
    <row r="6582" ht="14.4" x14ac:dyDescent="0.3"/>
    <row r="6583" ht="14.4" x14ac:dyDescent="0.3"/>
    <row r="6584" ht="14.4" x14ac:dyDescent="0.3"/>
    <row r="6585" ht="14.4" x14ac:dyDescent="0.3"/>
    <row r="6586" ht="14.4" x14ac:dyDescent="0.3"/>
    <row r="6587" ht="14.4" x14ac:dyDescent="0.3"/>
    <row r="6588" ht="14.4" x14ac:dyDescent="0.3"/>
    <row r="6589" ht="14.4" x14ac:dyDescent="0.3"/>
    <row r="6590" ht="14.4" x14ac:dyDescent="0.3"/>
    <row r="6591" ht="14.4" x14ac:dyDescent="0.3"/>
    <row r="6592" ht="14.4" x14ac:dyDescent="0.3"/>
    <row r="6593" ht="14.4" x14ac:dyDescent="0.3"/>
    <row r="6594" ht="14.4" x14ac:dyDescent="0.3"/>
    <row r="6595" ht="14.4" x14ac:dyDescent="0.3"/>
    <row r="6596" ht="14.4" x14ac:dyDescent="0.3"/>
    <row r="6597" ht="14.4" x14ac:dyDescent="0.3"/>
    <row r="6598" ht="14.4" x14ac:dyDescent="0.3"/>
    <row r="6599" ht="14.4" x14ac:dyDescent="0.3"/>
    <row r="6600" ht="14.4" x14ac:dyDescent="0.3"/>
    <row r="6601" ht="14.4" x14ac:dyDescent="0.3"/>
    <row r="6602" ht="14.4" x14ac:dyDescent="0.3"/>
    <row r="6603" ht="14.4" x14ac:dyDescent="0.3"/>
    <row r="6604" ht="14.4" x14ac:dyDescent="0.3"/>
    <row r="6605" ht="14.4" x14ac:dyDescent="0.3"/>
    <row r="6606" ht="14.4" x14ac:dyDescent="0.3"/>
    <row r="6607" ht="14.4" x14ac:dyDescent="0.3"/>
    <row r="6608" ht="14.4" x14ac:dyDescent="0.3"/>
    <row r="6609" ht="14.4" x14ac:dyDescent="0.3"/>
    <row r="6610" ht="14.4" x14ac:dyDescent="0.3"/>
    <row r="6611" ht="14.4" x14ac:dyDescent="0.3"/>
    <row r="6612" ht="14.4" x14ac:dyDescent="0.3"/>
    <row r="6613" ht="14.4" x14ac:dyDescent="0.3"/>
    <row r="6614" ht="14.4" x14ac:dyDescent="0.3"/>
    <row r="6615" ht="14.4" x14ac:dyDescent="0.3"/>
    <row r="6616" ht="14.4" x14ac:dyDescent="0.3"/>
    <row r="6617" ht="14.4" x14ac:dyDescent="0.3"/>
    <row r="6618" ht="14.4" x14ac:dyDescent="0.3"/>
    <row r="6619" ht="14.4" x14ac:dyDescent="0.3"/>
    <row r="6620" ht="14.4" x14ac:dyDescent="0.3"/>
    <row r="6621" ht="14.4" x14ac:dyDescent="0.3"/>
    <row r="6622" ht="14.4" x14ac:dyDescent="0.3"/>
    <row r="6623" ht="14.4" x14ac:dyDescent="0.3"/>
    <row r="6624" ht="14.4" x14ac:dyDescent="0.3"/>
    <row r="6625" ht="14.4" x14ac:dyDescent="0.3"/>
    <row r="6626" ht="14.4" x14ac:dyDescent="0.3"/>
    <row r="6627" ht="14.4" x14ac:dyDescent="0.3"/>
    <row r="6628" ht="14.4" x14ac:dyDescent="0.3"/>
    <row r="6629" ht="14.4" x14ac:dyDescent="0.3"/>
    <row r="6630" ht="14.4" x14ac:dyDescent="0.3"/>
    <row r="6631" ht="14.4" x14ac:dyDescent="0.3"/>
    <row r="6632" ht="14.4" x14ac:dyDescent="0.3"/>
    <row r="6633" ht="14.4" x14ac:dyDescent="0.3"/>
    <row r="6634" ht="14.4" x14ac:dyDescent="0.3"/>
    <row r="6635" ht="14.4" x14ac:dyDescent="0.3"/>
    <row r="6636" ht="14.4" x14ac:dyDescent="0.3"/>
    <row r="6637" ht="14.4" x14ac:dyDescent="0.3"/>
    <row r="6638" ht="14.4" x14ac:dyDescent="0.3"/>
    <row r="6639" ht="14.4" x14ac:dyDescent="0.3"/>
    <row r="6640" ht="14.4" x14ac:dyDescent="0.3"/>
    <row r="6641" ht="14.4" x14ac:dyDescent="0.3"/>
    <row r="6642" ht="14.4" x14ac:dyDescent="0.3"/>
    <row r="6643" ht="14.4" x14ac:dyDescent="0.3"/>
    <row r="6644" ht="14.4" x14ac:dyDescent="0.3"/>
    <row r="6645" ht="14.4" x14ac:dyDescent="0.3"/>
    <row r="6646" ht="14.4" x14ac:dyDescent="0.3"/>
    <row r="6647" ht="14.4" x14ac:dyDescent="0.3"/>
    <row r="6648" ht="14.4" x14ac:dyDescent="0.3"/>
    <row r="6649" ht="14.4" x14ac:dyDescent="0.3"/>
    <row r="6650" ht="14.4" x14ac:dyDescent="0.3"/>
    <row r="6651" ht="14.4" x14ac:dyDescent="0.3"/>
    <row r="6652" ht="14.4" x14ac:dyDescent="0.3"/>
    <row r="6653" ht="14.4" x14ac:dyDescent="0.3"/>
    <row r="6654" ht="14.4" x14ac:dyDescent="0.3"/>
    <row r="6655" ht="14.4" x14ac:dyDescent="0.3"/>
    <row r="6656" ht="14.4" x14ac:dyDescent="0.3"/>
    <row r="6657" ht="14.4" x14ac:dyDescent="0.3"/>
    <row r="6658" ht="14.4" x14ac:dyDescent="0.3"/>
    <row r="6659" ht="14.4" x14ac:dyDescent="0.3"/>
    <row r="6660" ht="14.4" x14ac:dyDescent="0.3"/>
    <row r="6661" ht="14.4" x14ac:dyDescent="0.3"/>
    <row r="6662" ht="14.4" x14ac:dyDescent="0.3"/>
    <row r="6663" ht="14.4" x14ac:dyDescent="0.3"/>
    <row r="6664" ht="14.4" x14ac:dyDescent="0.3"/>
    <row r="6665" ht="14.4" x14ac:dyDescent="0.3"/>
    <row r="6666" ht="14.4" x14ac:dyDescent="0.3"/>
    <row r="6667" ht="14.4" x14ac:dyDescent="0.3"/>
    <row r="6668" ht="14.4" x14ac:dyDescent="0.3"/>
    <row r="6669" ht="14.4" x14ac:dyDescent="0.3"/>
    <row r="6670" ht="14.4" x14ac:dyDescent="0.3"/>
    <row r="6671" ht="14.4" x14ac:dyDescent="0.3"/>
    <row r="6672" ht="14.4" x14ac:dyDescent="0.3"/>
    <row r="6673" ht="14.4" x14ac:dyDescent="0.3"/>
    <row r="6674" ht="14.4" x14ac:dyDescent="0.3"/>
    <row r="6675" ht="14.4" x14ac:dyDescent="0.3"/>
    <row r="6676" ht="14.4" x14ac:dyDescent="0.3"/>
    <row r="6677" ht="14.4" x14ac:dyDescent="0.3"/>
    <row r="6678" ht="14.4" x14ac:dyDescent="0.3"/>
    <row r="6679" ht="14.4" x14ac:dyDescent="0.3"/>
    <row r="6680" ht="14.4" x14ac:dyDescent="0.3"/>
    <row r="6681" ht="14.4" x14ac:dyDescent="0.3"/>
    <row r="6682" ht="14.4" x14ac:dyDescent="0.3"/>
    <row r="6683" ht="14.4" x14ac:dyDescent="0.3"/>
    <row r="6684" ht="14.4" x14ac:dyDescent="0.3"/>
    <row r="6685" ht="14.4" x14ac:dyDescent="0.3"/>
    <row r="6686" ht="14.4" x14ac:dyDescent="0.3"/>
    <row r="6687" ht="14.4" x14ac:dyDescent="0.3"/>
    <row r="6688" ht="14.4" x14ac:dyDescent="0.3"/>
    <row r="6689" ht="14.4" x14ac:dyDescent="0.3"/>
    <row r="6690" ht="14.4" x14ac:dyDescent="0.3"/>
    <row r="6691" ht="14.4" x14ac:dyDescent="0.3"/>
    <row r="6692" ht="14.4" x14ac:dyDescent="0.3"/>
    <row r="6693" ht="14.4" x14ac:dyDescent="0.3"/>
    <row r="6694" ht="14.4" x14ac:dyDescent="0.3"/>
    <row r="6695" ht="14.4" x14ac:dyDescent="0.3"/>
    <row r="6696" ht="14.4" x14ac:dyDescent="0.3"/>
    <row r="6697" ht="14.4" x14ac:dyDescent="0.3"/>
    <row r="6698" ht="14.4" x14ac:dyDescent="0.3"/>
    <row r="6699" ht="14.4" x14ac:dyDescent="0.3"/>
    <row r="6700" ht="14.4" x14ac:dyDescent="0.3"/>
    <row r="6701" ht="14.4" x14ac:dyDescent="0.3"/>
    <row r="6702" ht="14.4" x14ac:dyDescent="0.3"/>
    <row r="6703" ht="14.4" x14ac:dyDescent="0.3"/>
    <row r="6704" ht="14.4" x14ac:dyDescent="0.3"/>
    <row r="6705" ht="14.4" x14ac:dyDescent="0.3"/>
    <row r="6706" ht="14.4" x14ac:dyDescent="0.3"/>
    <row r="6707" ht="14.4" x14ac:dyDescent="0.3"/>
    <row r="6708" ht="14.4" x14ac:dyDescent="0.3"/>
    <row r="6709" ht="14.4" x14ac:dyDescent="0.3"/>
    <row r="6710" ht="14.4" x14ac:dyDescent="0.3"/>
    <row r="6711" ht="14.4" x14ac:dyDescent="0.3"/>
    <row r="6712" ht="14.4" x14ac:dyDescent="0.3"/>
    <row r="6713" ht="14.4" x14ac:dyDescent="0.3"/>
    <row r="6714" ht="14.4" x14ac:dyDescent="0.3"/>
    <row r="6715" ht="14.4" x14ac:dyDescent="0.3"/>
    <row r="6716" ht="14.4" x14ac:dyDescent="0.3"/>
    <row r="6717" ht="14.4" x14ac:dyDescent="0.3"/>
    <row r="6718" ht="14.4" x14ac:dyDescent="0.3"/>
    <row r="6719" ht="14.4" x14ac:dyDescent="0.3"/>
    <row r="6720" ht="14.4" x14ac:dyDescent="0.3"/>
    <row r="6721" ht="14.4" x14ac:dyDescent="0.3"/>
    <row r="6722" ht="14.4" x14ac:dyDescent="0.3"/>
    <row r="6723" ht="14.4" x14ac:dyDescent="0.3"/>
    <row r="6724" ht="14.4" x14ac:dyDescent="0.3"/>
    <row r="6725" ht="14.4" x14ac:dyDescent="0.3"/>
    <row r="6726" ht="14.4" x14ac:dyDescent="0.3"/>
    <row r="6727" ht="14.4" x14ac:dyDescent="0.3"/>
    <row r="6728" ht="14.4" x14ac:dyDescent="0.3"/>
    <row r="6729" ht="14.4" x14ac:dyDescent="0.3"/>
    <row r="6730" ht="14.4" x14ac:dyDescent="0.3"/>
    <row r="6731" ht="14.4" x14ac:dyDescent="0.3"/>
    <row r="6732" ht="14.4" x14ac:dyDescent="0.3"/>
    <row r="6733" ht="14.4" x14ac:dyDescent="0.3"/>
    <row r="6734" ht="14.4" x14ac:dyDescent="0.3"/>
    <row r="6735" ht="14.4" x14ac:dyDescent="0.3"/>
    <row r="6736" ht="14.4" x14ac:dyDescent="0.3"/>
    <row r="6737" ht="14.4" x14ac:dyDescent="0.3"/>
    <row r="6738" ht="14.4" x14ac:dyDescent="0.3"/>
    <row r="6739" ht="14.4" x14ac:dyDescent="0.3"/>
    <row r="6740" ht="14.4" x14ac:dyDescent="0.3"/>
    <row r="6741" ht="14.4" x14ac:dyDescent="0.3"/>
    <row r="6742" ht="14.4" x14ac:dyDescent="0.3"/>
    <row r="6743" ht="14.4" x14ac:dyDescent="0.3"/>
    <row r="6744" ht="14.4" x14ac:dyDescent="0.3"/>
    <row r="6745" ht="14.4" x14ac:dyDescent="0.3"/>
    <row r="6746" ht="14.4" x14ac:dyDescent="0.3"/>
    <row r="6747" ht="14.4" x14ac:dyDescent="0.3"/>
    <row r="6748" ht="14.4" x14ac:dyDescent="0.3"/>
    <row r="6749" ht="14.4" x14ac:dyDescent="0.3"/>
    <row r="6750" ht="14.4" x14ac:dyDescent="0.3"/>
    <row r="6751" ht="14.4" x14ac:dyDescent="0.3"/>
    <row r="6752" ht="14.4" x14ac:dyDescent="0.3"/>
    <row r="6753" ht="14.4" x14ac:dyDescent="0.3"/>
    <row r="6754" ht="14.4" x14ac:dyDescent="0.3"/>
    <row r="6755" ht="14.4" x14ac:dyDescent="0.3"/>
    <row r="6756" ht="14.4" x14ac:dyDescent="0.3"/>
    <row r="6757" ht="14.4" x14ac:dyDescent="0.3"/>
    <row r="6758" ht="14.4" x14ac:dyDescent="0.3"/>
    <row r="6759" ht="14.4" x14ac:dyDescent="0.3"/>
    <row r="6760" ht="14.4" x14ac:dyDescent="0.3"/>
    <row r="6761" ht="14.4" x14ac:dyDescent="0.3"/>
    <row r="6762" ht="14.4" x14ac:dyDescent="0.3"/>
    <row r="6763" ht="14.4" x14ac:dyDescent="0.3"/>
    <row r="6764" ht="14.4" x14ac:dyDescent="0.3"/>
    <row r="6765" ht="14.4" x14ac:dyDescent="0.3"/>
    <row r="6766" ht="14.4" x14ac:dyDescent="0.3"/>
    <row r="6767" ht="14.4" x14ac:dyDescent="0.3"/>
    <row r="6768" ht="14.4" x14ac:dyDescent="0.3"/>
    <row r="6769" ht="14.4" x14ac:dyDescent="0.3"/>
    <row r="6770" ht="14.4" x14ac:dyDescent="0.3"/>
    <row r="6771" ht="14.4" x14ac:dyDescent="0.3"/>
    <row r="6772" ht="14.4" x14ac:dyDescent="0.3"/>
    <row r="6773" ht="14.4" x14ac:dyDescent="0.3"/>
    <row r="6774" ht="14.4" x14ac:dyDescent="0.3"/>
    <row r="6775" ht="14.4" x14ac:dyDescent="0.3"/>
    <row r="6776" ht="14.4" x14ac:dyDescent="0.3"/>
    <row r="6777" ht="14.4" x14ac:dyDescent="0.3"/>
    <row r="6778" ht="14.4" x14ac:dyDescent="0.3"/>
    <row r="6779" ht="14.4" x14ac:dyDescent="0.3"/>
    <row r="6780" ht="14.4" x14ac:dyDescent="0.3"/>
    <row r="6781" ht="14.4" x14ac:dyDescent="0.3"/>
    <row r="6782" ht="14.4" x14ac:dyDescent="0.3"/>
    <row r="6783" ht="14.4" x14ac:dyDescent="0.3"/>
    <row r="6784" ht="14.4" x14ac:dyDescent="0.3"/>
    <row r="6785" ht="14.4" x14ac:dyDescent="0.3"/>
    <row r="6786" ht="14.4" x14ac:dyDescent="0.3"/>
    <row r="6787" ht="14.4" x14ac:dyDescent="0.3"/>
    <row r="6788" ht="14.4" x14ac:dyDescent="0.3"/>
    <row r="6789" ht="14.4" x14ac:dyDescent="0.3"/>
    <row r="6790" ht="14.4" x14ac:dyDescent="0.3"/>
    <row r="6791" ht="14.4" x14ac:dyDescent="0.3"/>
    <row r="6792" ht="14.4" x14ac:dyDescent="0.3"/>
    <row r="6793" ht="14.4" x14ac:dyDescent="0.3"/>
    <row r="6794" ht="14.4" x14ac:dyDescent="0.3"/>
    <row r="6795" ht="14.4" x14ac:dyDescent="0.3"/>
    <row r="6796" ht="14.4" x14ac:dyDescent="0.3"/>
    <row r="6797" ht="14.4" x14ac:dyDescent="0.3"/>
    <row r="6798" ht="14.4" x14ac:dyDescent="0.3"/>
    <row r="6799" ht="14.4" x14ac:dyDescent="0.3"/>
    <row r="6800" ht="14.4" x14ac:dyDescent="0.3"/>
    <row r="6801" ht="14.4" x14ac:dyDescent="0.3"/>
    <row r="6802" ht="14.4" x14ac:dyDescent="0.3"/>
    <row r="6803" ht="14.4" x14ac:dyDescent="0.3"/>
    <row r="6804" ht="14.4" x14ac:dyDescent="0.3"/>
    <row r="6805" ht="14.4" x14ac:dyDescent="0.3"/>
    <row r="6806" ht="14.4" x14ac:dyDescent="0.3"/>
    <row r="6807" ht="14.4" x14ac:dyDescent="0.3"/>
    <row r="6808" ht="14.4" x14ac:dyDescent="0.3"/>
    <row r="6809" ht="14.4" x14ac:dyDescent="0.3"/>
    <row r="6810" ht="14.4" x14ac:dyDescent="0.3"/>
    <row r="6811" ht="14.4" x14ac:dyDescent="0.3"/>
    <row r="6812" ht="14.4" x14ac:dyDescent="0.3"/>
    <row r="6813" ht="14.4" x14ac:dyDescent="0.3"/>
    <row r="6814" ht="14.4" x14ac:dyDescent="0.3"/>
    <row r="6815" ht="14.4" x14ac:dyDescent="0.3"/>
    <row r="6816" ht="14.4" x14ac:dyDescent="0.3"/>
    <row r="6817" ht="14.4" x14ac:dyDescent="0.3"/>
    <row r="6818" ht="14.4" x14ac:dyDescent="0.3"/>
    <row r="6819" ht="14.4" x14ac:dyDescent="0.3"/>
    <row r="6820" ht="14.4" x14ac:dyDescent="0.3"/>
    <row r="6821" ht="14.4" x14ac:dyDescent="0.3"/>
    <row r="6822" ht="14.4" x14ac:dyDescent="0.3"/>
    <row r="6823" ht="14.4" x14ac:dyDescent="0.3"/>
    <row r="6824" ht="14.4" x14ac:dyDescent="0.3"/>
    <row r="6825" ht="14.4" x14ac:dyDescent="0.3"/>
    <row r="6826" ht="14.4" x14ac:dyDescent="0.3"/>
    <row r="6827" ht="14.4" x14ac:dyDescent="0.3"/>
    <row r="6828" ht="14.4" x14ac:dyDescent="0.3"/>
    <row r="6829" ht="14.4" x14ac:dyDescent="0.3"/>
    <row r="6830" ht="14.4" x14ac:dyDescent="0.3"/>
    <row r="6831" ht="14.4" x14ac:dyDescent="0.3"/>
    <row r="6832" ht="14.4" x14ac:dyDescent="0.3"/>
    <row r="6833" ht="14.4" x14ac:dyDescent="0.3"/>
    <row r="6834" ht="14.4" x14ac:dyDescent="0.3"/>
    <row r="6835" ht="14.4" x14ac:dyDescent="0.3"/>
    <row r="6836" ht="14.4" x14ac:dyDescent="0.3"/>
    <row r="6837" ht="14.4" x14ac:dyDescent="0.3"/>
    <row r="6838" ht="14.4" x14ac:dyDescent="0.3"/>
    <row r="6839" ht="14.4" x14ac:dyDescent="0.3"/>
    <row r="6840" ht="14.4" x14ac:dyDescent="0.3"/>
    <row r="6841" ht="14.4" x14ac:dyDescent="0.3"/>
    <row r="6842" ht="14.4" x14ac:dyDescent="0.3"/>
    <row r="6843" ht="14.4" x14ac:dyDescent="0.3"/>
    <row r="6844" ht="14.4" x14ac:dyDescent="0.3"/>
    <row r="6845" ht="14.4" x14ac:dyDescent="0.3"/>
    <row r="6846" ht="14.4" x14ac:dyDescent="0.3"/>
    <row r="6847" ht="14.4" x14ac:dyDescent="0.3"/>
    <row r="6848" ht="14.4" x14ac:dyDescent="0.3"/>
    <row r="6849" ht="14.4" x14ac:dyDescent="0.3"/>
    <row r="6850" ht="14.4" x14ac:dyDescent="0.3"/>
    <row r="6851" ht="14.4" x14ac:dyDescent="0.3"/>
    <row r="6852" ht="14.4" x14ac:dyDescent="0.3"/>
    <row r="6853" ht="14.4" x14ac:dyDescent="0.3"/>
    <row r="6854" ht="14.4" x14ac:dyDescent="0.3"/>
    <row r="6855" ht="14.4" x14ac:dyDescent="0.3"/>
    <row r="6856" ht="14.4" x14ac:dyDescent="0.3"/>
    <row r="6857" ht="14.4" x14ac:dyDescent="0.3"/>
    <row r="6858" ht="14.4" x14ac:dyDescent="0.3"/>
    <row r="6859" ht="14.4" x14ac:dyDescent="0.3"/>
    <row r="6860" ht="14.4" x14ac:dyDescent="0.3"/>
    <row r="6861" ht="14.4" x14ac:dyDescent="0.3"/>
    <row r="6862" ht="14.4" x14ac:dyDescent="0.3"/>
    <row r="6863" ht="14.4" x14ac:dyDescent="0.3"/>
    <row r="6864" ht="14.4" x14ac:dyDescent="0.3"/>
    <row r="6865" ht="14.4" x14ac:dyDescent="0.3"/>
    <row r="6866" ht="14.4" x14ac:dyDescent="0.3"/>
    <row r="6867" ht="14.4" x14ac:dyDescent="0.3"/>
    <row r="6868" ht="14.4" x14ac:dyDescent="0.3"/>
    <row r="6869" ht="14.4" x14ac:dyDescent="0.3"/>
    <row r="6870" ht="14.4" x14ac:dyDescent="0.3"/>
    <row r="6871" ht="14.4" x14ac:dyDescent="0.3"/>
    <row r="6872" ht="14.4" x14ac:dyDescent="0.3"/>
    <row r="6873" ht="14.4" x14ac:dyDescent="0.3"/>
    <row r="6874" ht="14.4" x14ac:dyDescent="0.3"/>
    <row r="6875" ht="14.4" x14ac:dyDescent="0.3"/>
    <row r="6876" ht="14.4" x14ac:dyDescent="0.3"/>
    <row r="6877" ht="14.4" x14ac:dyDescent="0.3"/>
    <row r="6878" ht="14.4" x14ac:dyDescent="0.3"/>
    <row r="6879" ht="14.4" x14ac:dyDescent="0.3"/>
    <row r="6880" ht="14.4" x14ac:dyDescent="0.3"/>
    <row r="6881" ht="14.4" x14ac:dyDescent="0.3"/>
    <row r="6882" ht="14.4" x14ac:dyDescent="0.3"/>
    <row r="6883" ht="14.4" x14ac:dyDescent="0.3"/>
    <row r="6884" ht="14.4" x14ac:dyDescent="0.3"/>
    <row r="6885" ht="14.4" x14ac:dyDescent="0.3"/>
    <row r="6886" ht="14.4" x14ac:dyDescent="0.3"/>
    <row r="6887" ht="14.4" x14ac:dyDescent="0.3"/>
    <row r="6888" ht="14.4" x14ac:dyDescent="0.3"/>
    <row r="6889" ht="14.4" x14ac:dyDescent="0.3"/>
    <row r="6890" ht="14.4" x14ac:dyDescent="0.3"/>
    <row r="6891" ht="14.4" x14ac:dyDescent="0.3"/>
    <row r="6892" ht="14.4" x14ac:dyDescent="0.3"/>
    <row r="6893" ht="14.4" x14ac:dyDescent="0.3"/>
    <row r="6894" ht="14.4" x14ac:dyDescent="0.3"/>
    <row r="6895" ht="14.4" x14ac:dyDescent="0.3"/>
    <row r="6896" ht="14.4" x14ac:dyDescent="0.3"/>
    <row r="6897" ht="14.4" x14ac:dyDescent="0.3"/>
    <row r="6898" ht="14.4" x14ac:dyDescent="0.3"/>
    <row r="6899" ht="14.4" x14ac:dyDescent="0.3"/>
    <row r="6900" ht="14.4" x14ac:dyDescent="0.3"/>
    <row r="6901" ht="14.4" x14ac:dyDescent="0.3"/>
    <row r="6902" ht="14.4" x14ac:dyDescent="0.3"/>
    <row r="6903" ht="14.4" x14ac:dyDescent="0.3"/>
    <row r="6904" ht="14.4" x14ac:dyDescent="0.3"/>
    <row r="6905" ht="14.4" x14ac:dyDescent="0.3"/>
    <row r="6906" ht="14.4" x14ac:dyDescent="0.3"/>
    <row r="6907" ht="14.4" x14ac:dyDescent="0.3"/>
    <row r="6908" ht="14.4" x14ac:dyDescent="0.3"/>
    <row r="6909" ht="14.4" x14ac:dyDescent="0.3"/>
    <row r="6910" ht="14.4" x14ac:dyDescent="0.3"/>
    <row r="6911" ht="14.4" x14ac:dyDescent="0.3"/>
    <row r="6912" ht="14.4" x14ac:dyDescent="0.3"/>
    <row r="6913" ht="14.4" x14ac:dyDescent="0.3"/>
    <row r="6914" ht="14.4" x14ac:dyDescent="0.3"/>
    <row r="6915" ht="14.4" x14ac:dyDescent="0.3"/>
    <row r="6916" ht="14.4" x14ac:dyDescent="0.3"/>
    <row r="6917" ht="14.4" x14ac:dyDescent="0.3"/>
    <row r="6918" ht="14.4" x14ac:dyDescent="0.3"/>
    <row r="6919" ht="14.4" x14ac:dyDescent="0.3"/>
    <row r="6920" ht="14.4" x14ac:dyDescent="0.3"/>
    <row r="6921" ht="14.4" x14ac:dyDescent="0.3"/>
    <row r="6922" ht="14.4" x14ac:dyDescent="0.3"/>
    <row r="6923" ht="14.4" x14ac:dyDescent="0.3"/>
    <row r="6924" ht="14.4" x14ac:dyDescent="0.3"/>
    <row r="6925" ht="14.4" x14ac:dyDescent="0.3"/>
    <row r="6926" ht="14.4" x14ac:dyDescent="0.3"/>
    <row r="6927" ht="14.4" x14ac:dyDescent="0.3"/>
    <row r="6928" ht="14.4" x14ac:dyDescent="0.3"/>
    <row r="6929" ht="14.4" x14ac:dyDescent="0.3"/>
    <row r="6930" ht="14.4" x14ac:dyDescent="0.3"/>
    <row r="6931" ht="14.4" x14ac:dyDescent="0.3"/>
    <row r="6932" ht="14.4" x14ac:dyDescent="0.3"/>
    <row r="6933" ht="14.4" x14ac:dyDescent="0.3"/>
    <row r="6934" ht="14.4" x14ac:dyDescent="0.3"/>
    <row r="6935" ht="14.4" x14ac:dyDescent="0.3"/>
    <row r="6936" ht="14.4" x14ac:dyDescent="0.3"/>
    <row r="6937" ht="14.4" x14ac:dyDescent="0.3"/>
    <row r="6938" ht="14.4" x14ac:dyDescent="0.3"/>
    <row r="6939" ht="14.4" x14ac:dyDescent="0.3"/>
    <row r="6940" ht="14.4" x14ac:dyDescent="0.3"/>
    <row r="6941" ht="14.4" x14ac:dyDescent="0.3"/>
    <row r="6942" ht="14.4" x14ac:dyDescent="0.3"/>
    <row r="6943" ht="14.4" x14ac:dyDescent="0.3"/>
    <row r="6944" ht="14.4" x14ac:dyDescent="0.3"/>
    <row r="6945" ht="14.4" x14ac:dyDescent="0.3"/>
    <row r="6946" ht="14.4" x14ac:dyDescent="0.3"/>
    <row r="6947" ht="14.4" x14ac:dyDescent="0.3"/>
    <row r="6948" ht="14.4" x14ac:dyDescent="0.3"/>
    <row r="6949" ht="14.4" x14ac:dyDescent="0.3"/>
    <row r="6950" ht="14.4" x14ac:dyDescent="0.3"/>
    <row r="6951" ht="14.4" x14ac:dyDescent="0.3"/>
    <row r="6952" ht="14.4" x14ac:dyDescent="0.3"/>
    <row r="6953" ht="14.4" x14ac:dyDescent="0.3"/>
    <row r="6954" ht="14.4" x14ac:dyDescent="0.3"/>
    <row r="6955" ht="14.4" x14ac:dyDescent="0.3"/>
    <row r="6956" ht="14.4" x14ac:dyDescent="0.3"/>
    <row r="6957" ht="14.4" x14ac:dyDescent="0.3"/>
    <row r="6958" ht="14.4" x14ac:dyDescent="0.3"/>
    <row r="6959" ht="14.4" x14ac:dyDescent="0.3"/>
    <row r="6960" ht="14.4" x14ac:dyDescent="0.3"/>
    <row r="6961" ht="14.4" x14ac:dyDescent="0.3"/>
    <row r="6962" ht="14.4" x14ac:dyDescent="0.3"/>
    <row r="6963" ht="14.4" x14ac:dyDescent="0.3"/>
    <row r="6964" ht="14.4" x14ac:dyDescent="0.3"/>
    <row r="6965" ht="14.4" x14ac:dyDescent="0.3"/>
    <row r="6966" ht="14.4" x14ac:dyDescent="0.3"/>
    <row r="6967" ht="14.4" x14ac:dyDescent="0.3"/>
    <row r="6968" ht="14.4" x14ac:dyDescent="0.3"/>
    <row r="6969" ht="14.4" x14ac:dyDescent="0.3"/>
    <row r="6970" ht="14.4" x14ac:dyDescent="0.3"/>
    <row r="6971" ht="14.4" x14ac:dyDescent="0.3"/>
    <row r="6972" ht="14.4" x14ac:dyDescent="0.3"/>
    <row r="6973" ht="14.4" x14ac:dyDescent="0.3"/>
    <row r="6974" ht="14.4" x14ac:dyDescent="0.3"/>
    <row r="6975" ht="14.4" x14ac:dyDescent="0.3"/>
    <row r="6976" ht="14.4" x14ac:dyDescent="0.3"/>
    <row r="6977" ht="14.4" x14ac:dyDescent="0.3"/>
    <row r="6978" ht="14.4" x14ac:dyDescent="0.3"/>
    <row r="6979" ht="14.4" x14ac:dyDescent="0.3"/>
    <row r="6980" ht="14.4" x14ac:dyDescent="0.3"/>
    <row r="6981" ht="14.4" x14ac:dyDescent="0.3"/>
    <row r="6982" ht="14.4" x14ac:dyDescent="0.3"/>
    <row r="6983" ht="14.4" x14ac:dyDescent="0.3"/>
    <row r="6984" ht="14.4" x14ac:dyDescent="0.3"/>
    <row r="6985" ht="14.4" x14ac:dyDescent="0.3"/>
    <row r="6986" ht="14.4" x14ac:dyDescent="0.3"/>
    <row r="6987" ht="14.4" x14ac:dyDescent="0.3"/>
    <row r="6988" ht="14.4" x14ac:dyDescent="0.3"/>
    <row r="6989" ht="14.4" x14ac:dyDescent="0.3"/>
    <row r="6990" ht="14.4" x14ac:dyDescent="0.3"/>
    <row r="6991" ht="14.4" x14ac:dyDescent="0.3"/>
    <row r="6992" ht="14.4" x14ac:dyDescent="0.3"/>
    <row r="6993" ht="14.4" x14ac:dyDescent="0.3"/>
    <row r="6994" ht="14.4" x14ac:dyDescent="0.3"/>
    <row r="6995" ht="14.4" x14ac:dyDescent="0.3"/>
    <row r="6996" ht="14.4" x14ac:dyDescent="0.3"/>
    <row r="6997" ht="14.4" x14ac:dyDescent="0.3"/>
    <row r="6998" ht="14.4" x14ac:dyDescent="0.3"/>
    <row r="6999" ht="14.4" x14ac:dyDescent="0.3"/>
    <row r="7000" ht="14.4" x14ac:dyDescent="0.3"/>
    <row r="7001" ht="14.4" x14ac:dyDescent="0.3"/>
    <row r="7002" ht="14.4" x14ac:dyDescent="0.3"/>
    <row r="7003" ht="14.4" x14ac:dyDescent="0.3"/>
    <row r="7004" ht="14.4" x14ac:dyDescent="0.3"/>
    <row r="7005" ht="14.4" x14ac:dyDescent="0.3"/>
    <row r="7006" ht="14.4" x14ac:dyDescent="0.3"/>
    <row r="7007" ht="14.4" x14ac:dyDescent="0.3"/>
    <row r="7008" ht="14.4" x14ac:dyDescent="0.3"/>
    <row r="7009" ht="14.4" x14ac:dyDescent="0.3"/>
    <row r="7010" ht="14.4" x14ac:dyDescent="0.3"/>
    <row r="7011" ht="14.4" x14ac:dyDescent="0.3"/>
    <row r="7012" ht="14.4" x14ac:dyDescent="0.3"/>
    <row r="7013" ht="14.4" x14ac:dyDescent="0.3"/>
    <row r="7014" ht="14.4" x14ac:dyDescent="0.3"/>
    <row r="7015" ht="14.4" x14ac:dyDescent="0.3"/>
    <row r="7016" ht="14.4" x14ac:dyDescent="0.3"/>
    <row r="7017" ht="14.4" x14ac:dyDescent="0.3"/>
    <row r="7018" ht="14.4" x14ac:dyDescent="0.3"/>
    <row r="7019" ht="14.4" x14ac:dyDescent="0.3"/>
    <row r="7020" ht="14.4" x14ac:dyDescent="0.3"/>
    <row r="7021" ht="14.4" x14ac:dyDescent="0.3"/>
    <row r="7022" ht="14.4" x14ac:dyDescent="0.3"/>
    <row r="7023" ht="14.4" x14ac:dyDescent="0.3"/>
    <row r="7024" ht="14.4" x14ac:dyDescent="0.3"/>
    <row r="7025" ht="14.4" x14ac:dyDescent="0.3"/>
    <row r="7026" ht="14.4" x14ac:dyDescent="0.3"/>
    <row r="7027" ht="14.4" x14ac:dyDescent="0.3"/>
    <row r="7028" ht="14.4" x14ac:dyDescent="0.3"/>
    <row r="7029" ht="14.4" x14ac:dyDescent="0.3"/>
    <row r="7030" ht="14.4" x14ac:dyDescent="0.3"/>
    <row r="7031" ht="14.4" x14ac:dyDescent="0.3"/>
    <row r="7032" ht="14.4" x14ac:dyDescent="0.3"/>
    <row r="7033" ht="14.4" x14ac:dyDescent="0.3"/>
    <row r="7034" ht="14.4" x14ac:dyDescent="0.3"/>
    <row r="7035" ht="14.4" x14ac:dyDescent="0.3"/>
    <row r="7036" ht="14.4" x14ac:dyDescent="0.3"/>
    <row r="7037" ht="14.4" x14ac:dyDescent="0.3"/>
    <row r="7038" ht="14.4" x14ac:dyDescent="0.3"/>
    <row r="7039" ht="14.4" x14ac:dyDescent="0.3"/>
    <row r="7040" ht="14.4" x14ac:dyDescent="0.3"/>
    <row r="7041" ht="14.4" x14ac:dyDescent="0.3"/>
    <row r="7042" ht="14.4" x14ac:dyDescent="0.3"/>
    <row r="7043" ht="14.4" x14ac:dyDescent="0.3"/>
    <row r="7044" ht="14.4" x14ac:dyDescent="0.3"/>
    <row r="7045" ht="14.4" x14ac:dyDescent="0.3"/>
    <row r="7046" ht="14.4" x14ac:dyDescent="0.3"/>
    <row r="7047" ht="14.4" x14ac:dyDescent="0.3"/>
    <row r="7048" ht="14.4" x14ac:dyDescent="0.3"/>
    <row r="7049" ht="14.4" x14ac:dyDescent="0.3"/>
    <row r="7050" ht="14.4" x14ac:dyDescent="0.3"/>
    <row r="7051" ht="14.4" x14ac:dyDescent="0.3"/>
    <row r="7052" ht="14.4" x14ac:dyDescent="0.3"/>
    <row r="7053" ht="14.4" x14ac:dyDescent="0.3"/>
    <row r="7054" ht="14.4" x14ac:dyDescent="0.3"/>
    <row r="7055" ht="14.4" x14ac:dyDescent="0.3"/>
    <row r="7056" ht="14.4" x14ac:dyDescent="0.3"/>
    <row r="7057" ht="14.4" x14ac:dyDescent="0.3"/>
    <row r="7058" ht="14.4" x14ac:dyDescent="0.3"/>
    <row r="7059" ht="14.4" x14ac:dyDescent="0.3"/>
    <row r="7060" ht="14.4" x14ac:dyDescent="0.3"/>
    <row r="7061" ht="14.4" x14ac:dyDescent="0.3"/>
    <row r="7062" ht="14.4" x14ac:dyDescent="0.3"/>
    <row r="7063" ht="14.4" x14ac:dyDescent="0.3"/>
    <row r="7064" ht="14.4" x14ac:dyDescent="0.3"/>
    <row r="7065" ht="14.4" x14ac:dyDescent="0.3"/>
    <row r="7066" ht="14.4" x14ac:dyDescent="0.3"/>
    <row r="7067" ht="14.4" x14ac:dyDescent="0.3"/>
    <row r="7068" ht="14.4" x14ac:dyDescent="0.3"/>
    <row r="7069" ht="14.4" x14ac:dyDescent="0.3"/>
    <row r="7070" ht="14.4" x14ac:dyDescent="0.3"/>
    <row r="7071" ht="14.4" x14ac:dyDescent="0.3"/>
    <row r="7072" ht="14.4" x14ac:dyDescent="0.3"/>
    <row r="7073" ht="14.4" x14ac:dyDescent="0.3"/>
    <row r="7074" ht="14.4" x14ac:dyDescent="0.3"/>
    <row r="7075" ht="14.4" x14ac:dyDescent="0.3"/>
    <row r="7076" ht="14.4" x14ac:dyDescent="0.3"/>
    <row r="7077" ht="14.4" x14ac:dyDescent="0.3"/>
    <row r="7078" ht="14.4" x14ac:dyDescent="0.3"/>
    <row r="7079" ht="14.4" x14ac:dyDescent="0.3"/>
    <row r="7080" ht="14.4" x14ac:dyDescent="0.3"/>
    <row r="7081" ht="14.4" x14ac:dyDescent="0.3"/>
    <row r="7082" ht="14.4" x14ac:dyDescent="0.3"/>
    <row r="7083" ht="14.4" x14ac:dyDescent="0.3"/>
    <row r="7084" ht="14.4" x14ac:dyDescent="0.3"/>
    <row r="7085" ht="14.4" x14ac:dyDescent="0.3"/>
    <row r="7086" ht="14.4" x14ac:dyDescent="0.3"/>
    <row r="7087" ht="14.4" x14ac:dyDescent="0.3"/>
    <row r="7088" ht="14.4" x14ac:dyDescent="0.3"/>
    <row r="7089" ht="14.4" x14ac:dyDescent="0.3"/>
    <row r="7090" ht="14.4" x14ac:dyDescent="0.3"/>
    <row r="7091" ht="14.4" x14ac:dyDescent="0.3"/>
    <row r="7092" ht="14.4" x14ac:dyDescent="0.3"/>
    <row r="7093" ht="14.4" x14ac:dyDescent="0.3"/>
    <row r="7094" ht="14.4" x14ac:dyDescent="0.3"/>
    <row r="7095" ht="14.4" x14ac:dyDescent="0.3"/>
    <row r="7096" ht="14.4" x14ac:dyDescent="0.3"/>
    <row r="7097" ht="14.4" x14ac:dyDescent="0.3"/>
    <row r="7098" ht="14.4" x14ac:dyDescent="0.3"/>
    <row r="7099" ht="14.4" x14ac:dyDescent="0.3"/>
    <row r="7100" ht="14.4" x14ac:dyDescent="0.3"/>
    <row r="7101" ht="14.4" x14ac:dyDescent="0.3"/>
    <row r="7102" ht="14.4" x14ac:dyDescent="0.3"/>
    <row r="7103" ht="14.4" x14ac:dyDescent="0.3"/>
    <row r="7104" ht="14.4" x14ac:dyDescent="0.3"/>
    <row r="7105" ht="14.4" x14ac:dyDescent="0.3"/>
    <row r="7106" ht="14.4" x14ac:dyDescent="0.3"/>
    <row r="7107" ht="14.4" x14ac:dyDescent="0.3"/>
    <row r="7108" ht="14.4" x14ac:dyDescent="0.3"/>
    <row r="7109" ht="14.4" x14ac:dyDescent="0.3"/>
    <row r="7110" ht="14.4" x14ac:dyDescent="0.3"/>
    <row r="7111" ht="14.4" x14ac:dyDescent="0.3"/>
    <row r="7112" ht="14.4" x14ac:dyDescent="0.3"/>
    <row r="7113" ht="14.4" x14ac:dyDescent="0.3"/>
    <row r="7114" ht="14.4" x14ac:dyDescent="0.3"/>
    <row r="7115" ht="14.4" x14ac:dyDescent="0.3"/>
    <row r="7116" ht="14.4" x14ac:dyDescent="0.3"/>
    <row r="7117" ht="14.4" x14ac:dyDescent="0.3"/>
    <row r="7118" ht="14.4" x14ac:dyDescent="0.3"/>
    <row r="7119" ht="14.4" x14ac:dyDescent="0.3"/>
    <row r="7120" ht="14.4" x14ac:dyDescent="0.3"/>
    <row r="7121" ht="14.4" x14ac:dyDescent="0.3"/>
    <row r="7122" ht="14.4" x14ac:dyDescent="0.3"/>
    <row r="7123" ht="14.4" x14ac:dyDescent="0.3"/>
    <row r="7124" ht="14.4" x14ac:dyDescent="0.3"/>
    <row r="7125" ht="14.4" x14ac:dyDescent="0.3"/>
    <row r="7126" ht="14.4" x14ac:dyDescent="0.3"/>
    <row r="7127" ht="14.4" x14ac:dyDescent="0.3"/>
    <row r="7128" ht="14.4" x14ac:dyDescent="0.3"/>
    <row r="7129" ht="14.4" x14ac:dyDescent="0.3"/>
    <row r="7130" ht="14.4" x14ac:dyDescent="0.3"/>
    <row r="7131" ht="14.4" x14ac:dyDescent="0.3"/>
    <row r="7132" ht="14.4" x14ac:dyDescent="0.3"/>
    <row r="7133" ht="14.4" x14ac:dyDescent="0.3"/>
    <row r="7134" ht="14.4" x14ac:dyDescent="0.3"/>
    <row r="7135" ht="14.4" x14ac:dyDescent="0.3"/>
    <row r="7136" ht="14.4" x14ac:dyDescent="0.3"/>
    <row r="7137" ht="14.4" x14ac:dyDescent="0.3"/>
    <row r="7138" ht="14.4" x14ac:dyDescent="0.3"/>
    <row r="7139" ht="14.4" x14ac:dyDescent="0.3"/>
    <row r="7140" ht="14.4" x14ac:dyDescent="0.3"/>
    <row r="7141" ht="14.4" x14ac:dyDescent="0.3"/>
    <row r="7142" ht="14.4" x14ac:dyDescent="0.3"/>
    <row r="7143" ht="14.4" x14ac:dyDescent="0.3"/>
    <row r="7144" ht="14.4" x14ac:dyDescent="0.3"/>
    <row r="7145" ht="14.4" x14ac:dyDescent="0.3"/>
    <row r="7146" ht="14.4" x14ac:dyDescent="0.3"/>
    <row r="7147" ht="14.4" x14ac:dyDescent="0.3"/>
    <row r="7148" ht="14.4" x14ac:dyDescent="0.3"/>
    <row r="7149" ht="14.4" x14ac:dyDescent="0.3"/>
    <row r="7150" ht="14.4" x14ac:dyDescent="0.3"/>
    <row r="7151" ht="14.4" x14ac:dyDescent="0.3"/>
    <row r="7152" ht="14.4" x14ac:dyDescent="0.3"/>
    <row r="7153" ht="14.4" x14ac:dyDescent="0.3"/>
    <row r="7154" ht="14.4" x14ac:dyDescent="0.3"/>
    <row r="7155" ht="14.4" x14ac:dyDescent="0.3"/>
    <row r="7156" ht="14.4" x14ac:dyDescent="0.3"/>
    <row r="7157" ht="14.4" x14ac:dyDescent="0.3"/>
    <row r="7158" ht="14.4" x14ac:dyDescent="0.3"/>
    <row r="7159" ht="14.4" x14ac:dyDescent="0.3"/>
    <row r="7160" ht="14.4" x14ac:dyDescent="0.3"/>
    <row r="7161" ht="14.4" x14ac:dyDescent="0.3"/>
    <row r="7162" ht="14.4" x14ac:dyDescent="0.3"/>
    <row r="7163" ht="14.4" x14ac:dyDescent="0.3"/>
    <row r="7164" ht="14.4" x14ac:dyDescent="0.3"/>
    <row r="7165" ht="14.4" x14ac:dyDescent="0.3"/>
    <row r="7166" ht="14.4" x14ac:dyDescent="0.3"/>
    <row r="7167" ht="14.4" x14ac:dyDescent="0.3"/>
    <row r="7168" ht="14.4" x14ac:dyDescent="0.3"/>
    <row r="7169" ht="14.4" x14ac:dyDescent="0.3"/>
    <row r="7170" ht="14.4" x14ac:dyDescent="0.3"/>
    <row r="7171" ht="14.4" x14ac:dyDescent="0.3"/>
    <row r="7172" ht="14.4" x14ac:dyDescent="0.3"/>
    <row r="7173" ht="14.4" x14ac:dyDescent="0.3"/>
    <row r="7174" ht="14.4" x14ac:dyDescent="0.3"/>
    <row r="7175" ht="14.4" x14ac:dyDescent="0.3"/>
    <row r="7176" ht="14.4" x14ac:dyDescent="0.3"/>
    <row r="7177" ht="14.4" x14ac:dyDescent="0.3"/>
    <row r="7178" ht="14.4" x14ac:dyDescent="0.3"/>
    <row r="7179" ht="14.4" x14ac:dyDescent="0.3"/>
    <row r="7180" ht="14.4" x14ac:dyDescent="0.3"/>
    <row r="7181" ht="14.4" x14ac:dyDescent="0.3"/>
    <row r="7182" ht="14.4" x14ac:dyDescent="0.3"/>
    <row r="7183" ht="14.4" x14ac:dyDescent="0.3"/>
    <row r="7184" ht="14.4" x14ac:dyDescent="0.3"/>
    <row r="7185" ht="14.4" x14ac:dyDescent="0.3"/>
    <row r="7186" ht="14.4" x14ac:dyDescent="0.3"/>
    <row r="7187" ht="14.4" x14ac:dyDescent="0.3"/>
    <row r="7188" ht="14.4" x14ac:dyDescent="0.3"/>
    <row r="7189" ht="14.4" x14ac:dyDescent="0.3"/>
    <row r="7190" ht="14.4" x14ac:dyDescent="0.3"/>
    <row r="7191" ht="14.4" x14ac:dyDescent="0.3"/>
    <row r="7192" ht="14.4" x14ac:dyDescent="0.3"/>
    <row r="7193" ht="14.4" x14ac:dyDescent="0.3"/>
    <row r="7194" ht="14.4" x14ac:dyDescent="0.3"/>
    <row r="7195" ht="14.4" x14ac:dyDescent="0.3"/>
    <row r="7196" ht="14.4" x14ac:dyDescent="0.3"/>
    <row r="7197" ht="14.4" x14ac:dyDescent="0.3"/>
    <row r="7198" ht="14.4" x14ac:dyDescent="0.3"/>
    <row r="7199" ht="14.4" x14ac:dyDescent="0.3"/>
    <row r="7200" ht="14.4" x14ac:dyDescent="0.3"/>
    <row r="7201" ht="14.4" x14ac:dyDescent="0.3"/>
    <row r="7202" ht="14.4" x14ac:dyDescent="0.3"/>
    <row r="7203" ht="14.4" x14ac:dyDescent="0.3"/>
    <row r="7204" ht="14.4" x14ac:dyDescent="0.3"/>
    <row r="7205" ht="14.4" x14ac:dyDescent="0.3"/>
    <row r="7206" ht="14.4" x14ac:dyDescent="0.3"/>
    <row r="7207" ht="14.4" x14ac:dyDescent="0.3"/>
    <row r="7208" ht="14.4" x14ac:dyDescent="0.3"/>
    <row r="7209" ht="14.4" x14ac:dyDescent="0.3"/>
    <row r="7210" ht="14.4" x14ac:dyDescent="0.3"/>
    <row r="7211" ht="14.4" x14ac:dyDescent="0.3"/>
    <row r="7212" ht="14.4" x14ac:dyDescent="0.3"/>
    <row r="7213" ht="14.4" x14ac:dyDescent="0.3"/>
    <row r="7214" ht="14.4" x14ac:dyDescent="0.3"/>
    <row r="7215" ht="14.4" x14ac:dyDescent="0.3"/>
    <row r="7216" ht="14.4" x14ac:dyDescent="0.3"/>
    <row r="7217" ht="14.4" x14ac:dyDescent="0.3"/>
    <row r="7218" ht="14.4" x14ac:dyDescent="0.3"/>
    <row r="7219" ht="14.4" x14ac:dyDescent="0.3"/>
    <row r="7220" ht="14.4" x14ac:dyDescent="0.3"/>
    <row r="7221" ht="14.4" x14ac:dyDescent="0.3"/>
    <row r="7222" ht="14.4" x14ac:dyDescent="0.3"/>
    <row r="7223" ht="14.4" x14ac:dyDescent="0.3"/>
    <row r="7224" ht="14.4" x14ac:dyDescent="0.3"/>
    <row r="7225" ht="14.4" x14ac:dyDescent="0.3"/>
    <row r="7226" ht="14.4" x14ac:dyDescent="0.3"/>
    <row r="7227" ht="14.4" x14ac:dyDescent="0.3"/>
    <row r="7228" ht="14.4" x14ac:dyDescent="0.3"/>
    <row r="7229" ht="14.4" x14ac:dyDescent="0.3"/>
    <row r="7230" ht="14.4" x14ac:dyDescent="0.3"/>
    <row r="7231" ht="14.4" x14ac:dyDescent="0.3"/>
    <row r="7232" ht="14.4" x14ac:dyDescent="0.3"/>
    <row r="7233" ht="14.4" x14ac:dyDescent="0.3"/>
    <row r="7234" ht="14.4" x14ac:dyDescent="0.3"/>
    <row r="7235" ht="14.4" x14ac:dyDescent="0.3"/>
    <row r="7236" ht="14.4" x14ac:dyDescent="0.3"/>
    <row r="7237" ht="14.4" x14ac:dyDescent="0.3"/>
    <row r="7238" ht="14.4" x14ac:dyDescent="0.3"/>
    <row r="7239" ht="14.4" x14ac:dyDescent="0.3"/>
    <row r="7240" ht="14.4" x14ac:dyDescent="0.3"/>
    <row r="7241" ht="14.4" x14ac:dyDescent="0.3"/>
    <row r="7242" ht="14.4" x14ac:dyDescent="0.3"/>
    <row r="7243" ht="14.4" x14ac:dyDescent="0.3"/>
    <row r="7244" ht="14.4" x14ac:dyDescent="0.3"/>
    <row r="7245" ht="14.4" x14ac:dyDescent="0.3"/>
    <row r="7246" ht="14.4" x14ac:dyDescent="0.3"/>
    <row r="7247" ht="14.4" x14ac:dyDescent="0.3"/>
    <row r="7248" ht="14.4" x14ac:dyDescent="0.3"/>
    <row r="7249" ht="14.4" x14ac:dyDescent="0.3"/>
    <row r="7250" ht="14.4" x14ac:dyDescent="0.3"/>
    <row r="7251" ht="14.4" x14ac:dyDescent="0.3"/>
    <row r="7252" ht="14.4" x14ac:dyDescent="0.3"/>
    <row r="7253" ht="14.4" x14ac:dyDescent="0.3"/>
    <row r="7254" ht="14.4" x14ac:dyDescent="0.3"/>
    <row r="7255" ht="14.4" x14ac:dyDescent="0.3"/>
    <row r="7256" ht="14.4" x14ac:dyDescent="0.3"/>
    <row r="7257" ht="14.4" x14ac:dyDescent="0.3"/>
    <row r="7258" ht="14.4" x14ac:dyDescent="0.3"/>
    <row r="7259" ht="14.4" x14ac:dyDescent="0.3"/>
    <row r="7260" ht="14.4" x14ac:dyDescent="0.3"/>
    <row r="7261" ht="14.4" x14ac:dyDescent="0.3"/>
    <row r="7262" ht="14.4" x14ac:dyDescent="0.3"/>
    <row r="7263" ht="14.4" x14ac:dyDescent="0.3"/>
    <row r="7264" ht="14.4" x14ac:dyDescent="0.3"/>
    <row r="7265" ht="14.4" x14ac:dyDescent="0.3"/>
    <row r="7266" ht="14.4" x14ac:dyDescent="0.3"/>
    <row r="7267" ht="14.4" x14ac:dyDescent="0.3"/>
    <row r="7268" ht="14.4" x14ac:dyDescent="0.3"/>
    <row r="7269" ht="14.4" x14ac:dyDescent="0.3"/>
    <row r="7270" ht="14.4" x14ac:dyDescent="0.3"/>
    <row r="7271" ht="14.4" x14ac:dyDescent="0.3"/>
    <row r="7272" ht="14.4" x14ac:dyDescent="0.3"/>
    <row r="7273" ht="14.4" x14ac:dyDescent="0.3"/>
    <row r="7274" ht="14.4" x14ac:dyDescent="0.3"/>
    <row r="7275" ht="14.4" x14ac:dyDescent="0.3"/>
    <row r="7276" ht="14.4" x14ac:dyDescent="0.3"/>
    <row r="7277" ht="14.4" x14ac:dyDescent="0.3"/>
    <row r="7278" ht="14.4" x14ac:dyDescent="0.3"/>
    <row r="7279" ht="14.4" x14ac:dyDescent="0.3"/>
    <row r="7280" ht="14.4" x14ac:dyDescent="0.3"/>
    <row r="7281" ht="14.4" x14ac:dyDescent="0.3"/>
    <row r="7282" ht="14.4" x14ac:dyDescent="0.3"/>
    <row r="7283" ht="14.4" x14ac:dyDescent="0.3"/>
    <row r="7284" ht="14.4" x14ac:dyDescent="0.3"/>
    <row r="7285" ht="14.4" x14ac:dyDescent="0.3"/>
    <row r="7286" ht="14.4" x14ac:dyDescent="0.3"/>
    <row r="7287" ht="14.4" x14ac:dyDescent="0.3"/>
    <row r="7288" ht="14.4" x14ac:dyDescent="0.3"/>
    <row r="7289" ht="14.4" x14ac:dyDescent="0.3"/>
    <row r="7290" ht="14.4" x14ac:dyDescent="0.3"/>
    <row r="7291" ht="14.4" x14ac:dyDescent="0.3"/>
    <row r="7292" ht="14.4" x14ac:dyDescent="0.3"/>
    <row r="7293" ht="14.4" x14ac:dyDescent="0.3"/>
    <row r="7294" ht="14.4" x14ac:dyDescent="0.3"/>
    <row r="7295" ht="14.4" x14ac:dyDescent="0.3"/>
    <row r="7296" ht="14.4" x14ac:dyDescent="0.3"/>
    <row r="7297" ht="14.4" x14ac:dyDescent="0.3"/>
    <row r="7298" ht="14.4" x14ac:dyDescent="0.3"/>
    <row r="7299" ht="14.4" x14ac:dyDescent="0.3"/>
    <row r="7300" ht="14.4" x14ac:dyDescent="0.3"/>
    <row r="7301" ht="14.4" x14ac:dyDescent="0.3"/>
    <row r="7302" ht="14.4" x14ac:dyDescent="0.3"/>
    <row r="7303" ht="14.4" x14ac:dyDescent="0.3"/>
    <row r="7304" ht="14.4" x14ac:dyDescent="0.3"/>
    <row r="7305" ht="14.4" x14ac:dyDescent="0.3"/>
    <row r="7306" ht="14.4" x14ac:dyDescent="0.3"/>
    <row r="7307" ht="14.4" x14ac:dyDescent="0.3"/>
    <row r="7308" ht="14.4" x14ac:dyDescent="0.3"/>
    <row r="7309" ht="14.4" x14ac:dyDescent="0.3"/>
    <row r="7310" ht="14.4" x14ac:dyDescent="0.3"/>
    <row r="7311" ht="14.4" x14ac:dyDescent="0.3"/>
    <row r="7312" ht="14.4" x14ac:dyDescent="0.3"/>
    <row r="7313" ht="14.4" x14ac:dyDescent="0.3"/>
    <row r="7314" ht="14.4" x14ac:dyDescent="0.3"/>
    <row r="7315" ht="14.4" x14ac:dyDescent="0.3"/>
    <row r="7316" ht="14.4" x14ac:dyDescent="0.3"/>
    <row r="7317" ht="14.4" x14ac:dyDescent="0.3"/>
    <row r="7318" ht="14.4" x14ac:dyDescent="0.3"/>
    <row r="7319" ht="14.4" x14ac:dyDescent="0.3"/>
    <row r="7320" ht="14.4" x14ac:dyDescent="0.3"/>
    <row r="7321" ht="14.4" x14ac:dyDescent="0.3"/>
    <row r="7322" ht="14.4" x14ac:dyDescent="0.3"/>
    <row r="7323" ht="14.4" x14ac:dyDescent="0.3"/>
    <row r="7324" ht="14.4" x14ac:dyDescent="0.3"/>
    <row r="7325" ht="14.4" x14ac:dyDescent="0.3"/>
    <row r="7326" ht="14.4" x14ac:dyDescent="0.3"/>
    <row r="7327" ht="14.4" x14ac:dyDescent="0.3"/>
    <row r="7328" ht="14.4" x14ac:dyDescent="0.3"/>
    <row r="7329" ht="14.4" x14ac:dyDescent="0.3"/>
    <row r="7330" ht="14.4" x14ac:dyDescent="0.3"/>
    <row r="7331" ht="14.4" x14ac:dyDescent="0.3"/>
    <row r="7332" ht="14.4" x14ac:dyDescent="0.3"/>
    <row r="7333" ht="14.4" x14ac:dyDescent="0.3"/>
    <row r="7334" ht="14.4" x14ac:dyDescent="0.3"/>
    <row r="7335" ht="14.4" x14ac:dyDescent="0.3"/>
    <row r="7336" ht="14.4" x14ac:dyDescent="0.3"/>
    <row r="7337" ht="14.4" x14ac:dyDescent="0.3"/>
    <row r="7338" ht="14.4" x14ac:dyDescent="0.3"/>
    <row r="7339" ht="14.4" x14ac:dyDescent="0.3"/>
    <row r="7340" ht="14.4" x14ac:dyDescent="0.3"/>
    <row r="7341" ht="14.4" x14ac:dyDescent="0.3"/>
    <row r="7342" ht="14.4" x14ac:dyDescent="0.3"/>
    <row r="7343" ht="14.4" x14ac:dyDescent="0.3"/>
    <row r="7344" ht="14.4" x14ac:dyDescent="0.3"/>
    <row r="7345" ht="14.4" x14ac:dyDescent="0.3"/>
    <row r="7346" ht="14.4" x14ac:dyDescent="0.3"/>
    <row r="7347" ht="14.4" x14ac:dyDescent="0.3"/>
    <row r="7348" ht="14.4" x14ac:dyDescent="0.3"/>
    <row r="7349" ht="14.4" x14ac:dyDescent="0.3"/>
    <row r="7350" ht="14.4" x14ac:dyDescent="0.3"/>
    <row r="7351" ht="14.4" x14ac:dyDescent="0.3"/>
    <row r="7352" ht="14.4" x14ac:dyDescent="0.3"/>
    <row r="7353" ht="14.4" x14ac:dyDescent="0.3"/>
    <row r="7354" ht="14.4" x14ac:dyDescent="0.3"/>
    <row r="7355" ht="14.4" x14ac:dyDescent="0.3"/>
    <row r="7356" ht="14.4" x14ac:dyDescent="0.3"/>
    <row r="7357" ht="14.4" x14ac:dyDescent="0.3"/>
    <row r="7358" ht="14.4" x14ac:dyDescent="0.3"/>
    <row r="7359" ht="14.4" x14ac:dyDescent="0.3"/>
    <row r="7360" ht="14.4" x14ac:dyDescent="0.3"/>
    <row r="7361" ht="14.4" x14ac:dyDescent="0.3"/>
    <row r="7362" ht="14.4" x14ac:dyDescent="0.3"/>
    <row r="7363" ht="14.4" x14ac:dyDescent="0.3"/>
    <row r="7364" ht="14.4" x14ac:dyDescent="0.3"/>
    <row r="7365" ht="14.4" x14ac:dyDescent="0.3"/>
    <row r="7366" ht="14.4" x14ac:dyDescent="0.3"/>
    <row r="7367" ht="14.4" x14ac:dyDescent="0.3"/>
    <row r="7368" ht="14.4" x14ac:dyDescent="0.3"/>
    <row r="7369" ht="14.4" x14ac:dyDescent="0.3"/>
    <row r="7370" ht="14.4" x14ac:dyDescent="0.3"/>
    <row r="7371" ht="14.4" x14ac:dyDescent="0.3"/>
    <row r="7372" ht="14.4" x14ac:dyDescent="0.3"/>
    <row r="7373" ht="14.4" x14ac:dyDescent="0.3"/>
    <row r="7374" ht="14.4" x14ac:dyDescent="0.3"/>
    <row r="7375" ht="14.4" x14ac:dyDescent="0.3"/>
    <row r="7376" ht="14.4" x14ac:dyDescent="0.3"/>
    <row r="7377" ht="14.4" x14ac:dyDescent="0.3"/>
    <row r="7378" ht="14.4" x14ac:dyDescent="0.3"/>
    <row r="7379" ht="14.4" x14ac:dyDescent="0.3"/>
    <row r="7380" ht="14.4" x14ac:dyDescent="0.3"/>
    <row r="7381" ht="14.4" x14ac:dyDescent="0.3"/>
    <row r="7382" ht="14.4" x14ac:dyDescent="0.3"/>
    <row r="7383" ht="14.4" x14ac:dyDescent="0.3"/>
    <row r="7384" ht="14.4" x14ac:dyDescent="0.3"/>
    <row r="7385" ht="14.4" x14ac:dyDescent="0.3"/>
    <row r="7386" ht="14.4" x14ac:dyDescent="0.3"/>
    <row r="7387" ht="14.4" x14ac:dyDescent="0.3"/>
    <row r="7388" ht="14.4" x14ac:dyDescent="0.3"/>
    <row r="7389" ht="14.4" x14ac:dyDescent="0.3"/>
    <row r="7390" ht="14.4" x14ac:dyDescent="0.3"/>
    <row r="7391" ht="14.4" x14ac:dyDescent="0.3"/>
    <row r="7392" ht="14.4" x14ac:dyDescent="0.3"/>
    <row r="7393" ht="14.4" x14ac:dyDescent="0.3"/>
    <row r="7394" ht="14.4" x14ac:dyDescent="0.3"/>
    <row r="7395" ht="14.4" x14ac:dyDescent="0.3"/>
    <row r="7396" ht="14.4" x14ac:dyDescent="0.3"/>
    <row r="7397" ht="14.4" x14ac:dyDescent="0.3"/>
    <row r="7398" ht="14.4" x14ac:dyDescent="0.3"/>
    <row r="7399" ht="14.4" x14ac:dyDescent="0.3"/>
    <row r="7400" ht="14.4" x14ac:dyDescent="0.3"/>
    <row r="7401" ht="14.4" x14ac:dyDescent="0.3"/>
    <row r="7402" ht="14.4" x14ac:dyDescent="0.3"/>
    <row r="7403" ht="14.4" x14ac:dyDescent="0.3"/>
    <row r="7404" ht="14.4" x14ac:dyDescent="0.3"/>
    <row r="7405" ht="14.4" x14ac:dyDescent="0.3"/>
    <row r="7406" ht="14.4" x14ac:dyDescent="0.3"/>
    <row r="7407" ht="14.4" x14ac:dyDescent="0.3"/>
    <row r="7408" ht="14.4" x14ac:dyDescent="0.3"/>
    <row r="7409" ht="14.4" x14ac:dyDescent="0.3"/>
    <row r="7410" ht="14.4" x14ac:dyDescent="0.3"/>
    <row r="7411" ht="14.4" x14ac:dyDescent="0.3"/>
    <row r="7412" ht="14.4" x14ac:dyDescent="0.3"/>
    <row r="7413" ht="14.4" x14ac:dyDescent="0.3"/>
    <row r="7414" ht="14.4" x14ac:dyDescent="0.3"/>
    <row r="7415" ht="14.4" x14ac:dyDescent="0.3"/>
    <row r="7416" ht="14.4" x14ac:dyDescent="0.3"/>
    <row r="7417" ht="14.4" x14ac:dyDescent="0.3"/>
    <row r="7418" ht="14.4" x14ac:dyDescent="0.3"/>
    <row r="7419" ht="14.4" x14ac:dyDescent="0.3"/>
    <row r="7420" ht="14.4" x14ac:dyDescent="0.3"/>
    <row r="7421" ht="14.4" x14ac:dyDescent="0.3"/>
    <row r="7422" ht="14.4" x14ac:dyDescent="0.3"/>
    <row r="7423" ht="14.4" x14ac:dyDescent="0.3"/>
    <row r="7424" ht="14.4" x14ac:dyDescent="0.3"/>
    <row r="7425" ht="14.4" x14ac:dyDescent="0.3"/>
    <row r="7426" ht="14.4" x14ac:dyDescent="0.3"/>
    <row r="7427" ht="14.4" x14ac:dyDescent="0.3"/>
    <row r="7428" ht="14.4" x14ac:dyDescent="0.3"/>
    <row r="7429" ht="14.4" x14ac:dyDescent="0.3"/>
    <row r="7430" ht="14.4" x14ac:dyDescent="0.3"/>
    <row r="7431" ht="14.4" x14ac:dyDescent="0.3"/>
    <row r="7432" ht="14.4" x14ac:dyDescent="0.3"/>
    <row r="7433" ht="14.4" x14ac:dyDescent="0.3"/>
    <row r="7434" ht="14.4" x14ac:dyDescent="0.3"/>
    <row r="7435" ht="14.4" x14ac:dyDescent="0.3"/>
    <row r="7436" ht="14.4" x14ac:dyDescent="0.3"/>
    <row r="7437" ht="14.4" x14ac:dyDescent="0.3"/>
    <row r="7438" ht="14.4" x14ac:dyDescent="0.3"/>
    <row r="7439" ht="14.4" x14ac:dyDescent="0.3"/>
    <row r="7440" ht="14.4" x14ac:dyDescent="0.3"/>
    <row r="7441" ht="14.4" x14ac:dyDescent="0.3"/>
    <row r="7442" ht="14.4" x14ac:dyDescent="0.3"/>
    <row r="7443" ht="14.4" x14ac:dyDescent="0.3"/>
    <row r="7444" ht="14.4" x14ac:dyDescent="0.3"/>
    <row r="7445" ht="14.4" x14ac:dyDescent="0.3"/>
    <row r="7446" ht="14.4" x14ac:dyDescent="0.3"/>
    <row r="7447" ht="14.4" x14ac:dyDescent="0.3"/>
    <row r="7448" ht="14.4" x14ac:dyDescent="0.3"/>
    <row r="7449" ht="14.4" x14ac:dyDescent="0.3"/>
    <row r="7450" ht="14.4" x14ac:dyDescent="0.3"/>
    <row r="7451" ht="14.4" x14ac:dyDescent="0.3"/>
    <row r="7452" ht="14.4" x14ac:dyDescent="0.3"/>
    <row r="7453" ht="14.4" x14ac:dyDescent="0.3"/>
    <row r="7454" ht="14.4" x14ac:dyDescent="0.3"/>
    <row r="7455" ht="14.4" x14ac:dyDescent="0.3"/>
    <row r="7456" ht="14.4" x14ac:dyDescent="0.3"/>
    <row r="7457" ht="14.4" x14ac:dyDescent="0.3"/>
    <row r="7458" ht="14.4" x14ac:dyDescent="0.3"/>
    <row r="7459" ht="14.4" x14ac:dyDescent="0.3"/>
    <row r="7460" ht="14.4" x14ac:dyDescent="0.3"/>
    <row r="7461" ht="14.4" x14ac:dyDescent="0.3"/>
    <row r="7462" ht="14.4" x14ac:dyDescent="0.3"/>
    <row r="7463" ht="14.4" x14ac:dyDescent="0.3"/>
    <row r="7464" ht="14.4" x14ac:dyDescent="0.3"/>
    <row r="7465" ht="14.4" x14ac:dyDescent="0.3"/>
    <row r="7466" ht="14.4" x14ac:dyDescent="0.3"/>
    <row r="7467" ht="14.4" x14ac:dyDescent="0.3"/>
    <row r="7468" ht="14.4" x14ac:dyDescent="0.3"/>
    <row r="7469" ht="14.4" x14ac:dyDescent="0.3"/>
    <row r="7470" ht="14.4" x14ac:dyDescent="0.3"/>
    <row r="7471" ht="14.4" x14ac:dyDescent="0.3"/>
    <row r="7472" ht="14.4" x14ac:dyDescent="0.3"/>
    <row r="7473" ht="14.4" x14ac:dyDescent="0.3"/>
    <row r="7474" ht="14.4" x14ac:dyDescent="0.3"/>
    <row r="7475" ht="14.4" x14ac:dyDescent="0.3"/>
    <row r="7476" ht="14.4" x14ac:dyDescent="0.3"/>
    <row r="7477" ht="14.4" x14ac:dyDescent="0.3"/>
    <row r="7478" ht="14.4" x14ac:dyDescent="0.3"/>
    <row r="7479" ht="14.4" x14ac:dyDescent="0.3"/>
    <row r="7480" ht="14.4" x14ac:dyDescent="0.3"/>
    <row r="7481" ht="14.4" x14ac:dyDescent="0.3"/>
    <row r="7482" ht="14.4" x14ac:dyDescent="0.3"/>
    <row r="7483" ht="14.4" x14ac:dyDescent="0.3"/>
    <row r="7484" ht="14.4" x14ac:dyDescent="0.3"/>
    <row r="7485" ht="14.4" x14ac:dyDescent="0.3"/>
    <row r="7486" ht="14.4" x14ac:dyDescent="0.3"/>
    <row r="7487" ht="14.4" x14ac:dyDescent="0.3"/>
    <row r="7488" ht="14.4" x14ac:dyDescent="0.3"/>
    <row r="7489" ht="14.4" x14ac:dyDescent="0.3"/>
    <row r="7490" ht="14.4" x14ac:dyDescent="0.3"/>
    <row r="7491" ht="14.4" x14ac:dyDescent="0.3"/>
    <row r="7492" ht="14.4" x14ac:dyDescent="0.3"/>
    <row r="7493" ht="14.4" x14ac:dyDescent="0.3"/>
    <row r="7494" ht="14.4" x14ac:dyDescent="0.3"/>
    <row r="7495" ht="14.4" x14ac:dyDescent="0.3"/>
    <row r="7496" ht="14.4" x14ac:dyDescent="0.3"/>
    <row r="7497" ht="14.4" x14ac:dyDescent="0.3"/>
    <row r="7498" ht="14.4" x14ac:dyDescent="0.3"/>
    <row r="7499" ht="14.4" x14ac:dyDescent="0.3"/>
    <row r="7500" ht="14.4" x14ac:dyDescent="0.3"/>
    <row r="7501" ht="14.4" x14ac:dyDescent="0.3"/>
    <row r="7502" ht="14.4" x14ac:dyDescent="0.3"/>
    <row r="7503" ht="14.4" x14ac:dyDescent="0.3"/>
    <row r="7504" ht="14.4" x14ac:dyDescent="0.3"/>
    <row r="7505" ht="14.4" x14ac:dyDescent="0.3"/>
    <row r="7506" ht="14.4" x14ac:dyDescent="0.3"/>
    <row r="7507" ht="14.4" x14ac:dyDescent="0.3"/>
    <row r="7508" ht="14.4" x14ac:dyDescent="0.3"/>
    <row r="7509" ht="14.4" x14ac:dyDescent="0.3"/>
    <row r="7510" ht="14.4" x14ac:dyDescent="0.3"/>
    <row r="7511" ht="14.4" x14ac:dyDescent="0.3"/>
    <row r="7512" ht="14.4" x14ac:dyDescent="0.3"/>
    <row r="7513" ht="14.4" x14ac:dyDescent="0.3"/>
    <row r="7514" ht="14.4" x14ac:dyDescent="0.3"/>
    <row r="7515" ht="14.4" x14ac:dyDescent="0.3"/>
    <row r="7516" ht="14.4" x14ac:dyDescent="0.3"/>
    <row r="7517" ht="14.4" x14ac:dyDescent="0.3"/>
    <row r="7518" ht="14.4" x14ac:dyDescent="0.3"/>
    <row r="7519" ht="14.4" x14ac:dyDescent="0.3"/>
    <row r="7520" ht="14.4" x14ac:dyDescent="0.3"/>
    <row r="7521" ht="14.4" x14ac:dyDescent="0.3"/>
    <row r="7522" ht="14.4" x14ac:dyDescent="0.3"/>
    <row r="7523" ht="14.4" x14ac:dyDescent="0.3"/>
    <row r="7524" ht="14.4" x14ac:dyDescent="0.3"/>
    <row r="7525" ht="14.4" x14ac:dyDescent="0.3"/>
    <row r="7526" ht="14.4" x14ac:dyDescent="0.3"/>
    <row r="7527" ht="14.4" x14ac:dyDescent="0.3"/>
    <row r="7528" ht="14.4" x14ac:dyDescent="0.3"/>
    <row r="7529" ht="14.4" x14ac:dyDescent="0.3"/>
    <row r="7530" ht="14.4" x14ac:dyDescent="0.3"/>
    <row r="7531" ht="14.4" x14ac:dyDescent="0.3"/>
    <row r="7532" ht="14.4" x14ac:dyDescent="0.3"/>
    <row r="7533" ht="14.4" x14ac:dyDescent="0.3"/>
    <row r="7534" ht="14.4" x14ac:dyDescent="0.3"/>
    <row r="7535" ht="14.4" x14ac:dyDescent="0.3"/>
    <row r="7536" ht="14.4" x14ac:dyDescent="0.3"/>
    <row r="7537" ht="14.4" x14ac:dyDescent="0.3"/>
    <row r="7538" ht="14.4" x14ac:dyDescent="0.3"/>
    <row r="7539" ht="14.4" x14ac:dyDescent="0.3"/>
    <row r="7540" ht="14.4" x14ac:dyDescent="0.3"/>
    <row r="7541" ht="14.4" x14ac:dyDescent="0.3"/>
    <row r="7542" ht="14.4" x14ac:dyDescent="0.3"/>
    <row r="7543" ht="14.4" x14ac:dyDescent="0.3"/>
    <row r="7544" ht="14.4" x14ac:dyDescent="0.3"/>
    <row r="7545" ht="14.4" x14ac:dyDescent="0.3"/>
    <row r="7546" ht="14.4" x14ac:dyDescent="0.3"/>
    <row r="7547" ht="14.4" x14ac:dyDescent="0.3"/>
    <row r="7548" ht="14.4" x14ac:dyDescent="0.3"/>
    <row r="7549" ht="14.4" x14ac:dyDescent="0.3"/>
    <row r="7550" ht="14.4" x14ac:dyDescent="0.3"/>
    <row r="7551" ht="14.4" x14ac:dyDescent="0.3"/>
    <row r="7552" ht="14.4" x14ac:dyDescent="0.3"/>
    <row r="7553" ht="14.4" x14ac:dyDescent="0.3"/>
    <row r="7554" ht="14.4" x14ac:dyDescent="0.3"/>
    <row r="7555" ht="14.4" x14ac:dyDescent="0.3"/>
    <row r="7556" ht="14.4" x14ac:dyDescent="0.3"/>
    <row r="7557" ht="14.4" x14ac:dyDescent="0.3"/>
    <row r="7558" ht="14.4" x14ac:dyDescent="0.3"/>
    <row r="7559" ht="14.4" x14ac:dyDescent="0.3"/>
    <row r="7560" ht="14.4" x14ac:dyDescent="0.3"/>
    <row r="7561" ht="14.4" x14ac:dyDescent="0.3"/>
    <row r="7562" ht="14.4" x14ac:dyDescent="0.3"/>
    <row r="7563" ht="14.4" x14ac:dyDescent="0.3"/>
    <row r="7564" ht="14.4" x14ac:dyDescent="0.3"/>
    <row r="7565" ht="14.4" x14ac:dyDescent="0.3"/>
    <row r="7566" ht="14.4" x14ac:dyDescent="0.3"/>
    <row r="7567" ht="14.4" x14ac:dyDescent="0.3"/>
    <row r="7568" ht="14.4" x14ac:dyDescent="0.3"/>
    <row r="7569" ht="14.4" x14ac:dyDescent="0.3"/>
    <row r="7570" ht="14.4" x14ac:dyDescent="0.3"/>
    <row r="7571" ht="14.4" x14ac:dyDescent="0.3"/>
    <row r="7572" ht="14.4" x14ac:dyDescent="0.3"/>
    <row r="7573" ht="14.4" x14ac:dyDescent="0.3"/>
    <row r="7574" ht="14.4" x14ac:dyDescent="0.3"/>
    <row r="7575" ht="14.4" x14ac:dyDescent="0.3"/>
    <row r="7576" ht="14.4" x14ac:dyDescent="0.3"/>
    <row r="7577" ht="14.4" x14ac:dyDescent="0.3"/>
    <row r="7578" ht="14.4" x14ac:dyDescent="0.3"/>
    <row r="7579" ht="14.4" x14ac:dyDescent="0.3"/>
    <row r="7580" ht="14.4" x14ac:dyDescent="0.3"/>
    <row r="7581" ht="14.4" x14ac:dyDescent="0.3"/>
    <row r="7582" ht="14.4" x14ac:dyDescent="0.3"/>
    <row r="7583" ht="14.4" x14ac:dyDescent="0.3"/>
    <row r="7584" ht="14.4" x14ac:dyDescent="0.3"/>
    <row r="7585" ht="14.4" x14ac:dyDescent="0.3"/>
    <row r="7586" ht="14.4" x14ac:dyDescent="0.3"/>
    <row r="7587" ht="14.4" x14ac:dyDescent="0.3"/>
    <row r="7588" ht="14.4" x14ac:dyDescent="0.3"/>
    <row r="7589" ht="14.4" x14ac:dyDescent="0.3"/>
    <row r="7590" ht="14.4" x14ac:dyDescent="0.3"/>
    <row r="7591" ht="14.4" x14ac:dyDescent="0.3"/>
    <row r="7592" ht="14.4" x14ac:dyDescent="0.3"/>
    <row r="7593" ht="14.4" x14ac:dyDescent="0.3"/>
    <row r="7594" ht="14.4" x14ac:dyDescent="0.3"/>
    <row r="7595" ht="14.4" x14ac:dyDescent="0.3"/>
    <row r="7596" ht="14.4" x14ac:dyDescent="0.3"/>
    <row r="7597" ht="14.4" x14ac:dyDescent="0.3"/>
    <row r="7598" ht="14.4" x14ac:dyDescent="0.3"/>
    <row r="7599" ht="14.4" x14ac:dyDescent="0.3"/>
    <row r="7600" ht="14.4" x14ac:dyDescent="0.3"/>
    <row r="7601" ht="14.4" x14ac:dyDescent="0.3"/>
    <row r="7602" ht="14.4" x14ac:dyDescent="0.3"/>
    <row r="7603" ht="14.4" x14ac:dyDescent="0.3"/>
    <row r="7604" ht="14.4" x14ac:dyDescent="0.3"/>
    <row r="7605" ht="14.4" x14ac:dyDescent="0.3"/>
    <row r="7606" ht="14.4" x14ac:dyDescent="0.3"/>
    <row r="7607" ht="14.4" x14ac:dyDescent="0.3"/>
    <row r="7608" ht="14.4" x14ac:dyDescent="0.3"/>
    <row r="7609" ht="14.4" x14ac:dyDescent="0.3"/>
    <row r="7610" ht="14.4" x14ac:dyDescent="0.3"/>
    <row r="7611" ht="14.4" x14ac:dyDescent="0.3"/>
    <row r="7612" ht="14.4" x14ac:dyDescent="0.3"/>
    <row r="7613" ht="14.4" x14ac:dyDescent="0.3"/>
    <row r="7614" ht="14.4" x14ac:dyDescent="0.3"/>
    <row r="7615" ht="14.4" x14ac:dyDescent="0.3"/>
    <row r="7616" ht="14.4" x14ac:dyDescent="0.3"/>
    <row r="7617" ht="14.4" x14ac:dyDescent="0.3"/>
    <row r="7618" ht="14.4" x14ac:dyDescent="0.3"/>
    <row r="7619" ht="14.4" x14ac:dyDescent="0.3"/>
    <row r="7620" ht="14.4" x14ac:dyDescent="0.3"/>
    <row r="7621" ht="14.4" x14ac:dyDescent="0.3"/>
    <row r="7622" ht="14.4" x14ac:dyDescent="0.3"/>
    <row r="7623" ht="14.4" x14ac:dyDescent="0.3"/>
    <row r="7624" ht="14.4" x14ac:dyDescent="0.3"/>
    <row r="7625" ht="14.4" x14ac:dyDescent="0.3"/>
    <row r="7626" ht="14.4" x14ac:dyDescent="0.3"/>
    <row r="7627" ht="14.4" x14ac:dyDescent="0.3"/>
    <row r="7628" ht="14.4" x14ac:dyDescent="0.3"/>
    <row r="7629" ht="14.4" x14ac:dyDescent="0.3"/>
    <row r="7630" ht="14.4" x14ac:dyDescent="0.3"/>
    <row r="7631" ht="14.4" x14ac:dyDescent="0.3"/>
    <row r="7632" ht="14.4" x14ac:dyDescent="0.3"/>
    <row r="7633" ht="14.4" x14ac:dyDescent="0.3"/>
    <row r="7634" ht="14.4" x14ac:dyDescent="0.3"/>
    <row r="7635" ht="14.4" x14ac:dyDescent="0.3"/>
    <row r="7636" ht="14.4" x14ac:dyDescent="0.3"/>
    <row r="7637" ht="14.4" x14ac:dyDescent="0.3"/>
    <row r="7638" ht="14.4" x14ac:dyDescent="0.3"/>
    <row r="7639" ht="14.4" x14ac:dyDescent="0.3"/>
    <row r="7640" ht="14.4" x14ac:dyDescent="0.3"/>
    <row r="7641" ht="14.4" x14ac:dyDescent="0.3"/>
    <row r="7642" ht="14.4" x14ac:dyDescent="0.3"/>
    <row r="7643" ht="14.4" x14ac:dyDescent="0.3"/>
    <row r="7644" ht="14.4" x14ac:dyDescent="0.3"/>
    <row r="7645" ht="14.4" x14ac:dyDescent="0.3"/>
    <row r="7646" ht="14.4" x14ac:dyDescent="0.3"/>
    <row r="7647" ht="14.4" x14ac:dyDescent="0.3"/>
    <row r="7648" ht="14.4" x14ac:dyDescent="0.3"/>
    <row r="7649" ht="14.4" x14ac:dyDescent="0.3"/>
    <row r="7650" ht="14.4" x14ac:dyDescent="0.3"/>
    <row r="7651" ht="14.4" x14ac:dyDescent="0.3"/>
    <row r="7652" ht="14.4" x14ac:dyDescent="0.3"/>
    <row r="7653" ht="14.4" x14ac:dyDescent="0.3"/>
    <row r="7654" ht="14.4" x14ac:dyDescent="0.3"/>
    <row r="7655" ht="14.4" x14ac:dyDescent="0.3"/>
    <row r="7656" ht="14.4" x14ac:dyDescent="0.3"/>
    <row r="7657" ht="14.4" x14ac:dyDescent="0.3"/>
    <row r="7658" ht="14.4" x14ac:dyDescent="0.3"/>
    <row r="7659" ht="14.4" x14ac:dyDescent="0.3"/>
    <row r="7660" ht="14.4" x14ac:dyDescent="0.3"/>
    <row r="7661" ht="14.4" x14ac:dyDescent="0.3"/>
    <row r="7662" ht="14.4" x14ac:dyDescent="0.3"/>
    <row r="7663" ht="14.4" x14ac:dyDescent="0.3"/>
    <row r="7664" ht="14.4" x14ac:dyDescent="0.3"/>
    <row r="7665" ht="14.4" x14ac:dyDescent="0.3"/>
    <row r="7666" ht="14.4" x14ac:dyDescent="0.3"/>
    <row r="7667" ht="14.4" x14ac:dyDescent="0.3"/>
    <row r="7668" ht="14.4" x14ac:dyDescent="0.3"/>
    <row r="7669" ht="14.4" x14ac:dyDescent="0.3"/>
    <row r="7670" ht="14.4" x14ac:dyDescent="0.3"/>
    <row r="7671" ht="14.4" x14ac:dyDescent="0.3"/>
    <row r="7672" ht="14.4" x14ac:dyDescent="0.3"/>
    <row r="7673" ht="14.4" x14ac:dyDescent="0.3"/>
    <row r="7674" ht="14.4" x14ac:dyDescent="0.3"/>
    <row r="7675" ht="14.4" x14ac:dyDescent="0.3"/>
    <row r="7676" ht="14.4" x14ac:dyDescent="0.3"/>
    <row r="7677" ht="14.4" x14ac:dyDescent="0.3"/>
    <row r="7678" ht="14.4" x14ac:dyDescent="0.3"/>
    <row r="7679" ht="14.4" x14ac:dyDescent="0.3"/>
    <row r="7680" ht="14.4" x14ac:dyDescent="0.3"/>
    <row r="7681" ht="14.4" x14ac:dyDescent="0.3"/>
    <row r="7682" ht="14.4" x14ac:dyDescent="0.3"/>
    <row r="7683" ht="14.4" x14ac:dyDescent="0.3"/>
    <row r="7684" ht="14.4" x14ac:dyDescent="0.3"/>
    <row r="7685" ht="14.4" x14ac:dyDescent="0.3"/>
    <row r="7686" ht="14.4" x14ac:dyDescent="0.3"/>
    <row r="7687" ht="14.4" x14ac:dyDescent="0.3"/>
    <row r="7688" ht="14.4" x14ac:dyDescent="0.3"/>
    <row r="7689" ht="14.4" x14ac:dyDescent="0.3"/>
    <row r="7690" ht="14.4" x14ac:dyDescent="0.3"/>
    <row r="7691" ht="14.4" x14ac:dyDescent="0.3"/>
    <row r="7692" ht="14.4" x14ac:dyDescent="0.3"/>
    <row r="7693" ht="14.4" x14ac:dyDescent="0.3"/>
    <row r="7694" ht="14.4" x14ac:dyDescent="0.3"/>
    <row r="7695" ht="14.4" x14ac:dyDescent="0.3"/>
    <row r="7696" ht="14.4" x14ac:dyDescent="0.3"/>
    <row r="7697" ht="14.4" x14ac:dyDescent="0.3"/>
    <row r="7698" ht="14.4" x14ac:dyDescent="0.3"/>
    <row r="7699" ht="14.4" x14ac:dyDescent="0.3"/>
    <row r="7700" ht="14.4" x14ac:dyDescent="0.3"/>
    <row r="7701" ht="14.4" x14ac:dyDescent="0.3"/>
    <row r="7702" ht="14.4" x14ac:dyDescent="0.3"/>
    <row r="7703" ht="14.4" x14ac:dyDescent="0.3"/>
    <row r="7704" ht="14.4" x14ac:dyDescent="0.3"/>
    <row r="7705" ht="14.4" x14ac:dyDescent="0.3"/>
    <row r="7706" ht="14.4" x14ac:dyDescent="0.3"/>
    <row r="7707" ht="14.4" x14ac:dyDescent="0.3"/>
    <row r="7708" ht="14.4" x14ac:dyDescent="0.3"/>
    <row r="7709" ht="14.4" x14ac:dyDescent="0.3"/>
    <row r="7710" ht="14.4" x14ac:dyDescent="0.3"/>
    <row r="7711" ht="14.4" x14ac:dyDescent="0.3"/>
    <row r="7712" ht="14.4" x14ac:dyDescent="0.3"/>
    <row r="7713" ht="14.4" x14ac:dyDescent="0.3"/>
    <row r="7714" ht="14.4" x14ac:dyDescent="0.3"/>
    <row r="7715" ht="14.4" x14ac:dyDescent="0.3"/>
    <row r="7716" ht="14.4" x14ac:dyDescent="0.3"/>
    <row r="7717" ht="14.4" x14ac:dyDescent="0.3"/>
    <row r="7718" ht="14.4" x14ac:dyDescent="0.3"/>
    <row r="7719" ht="14.4" x14ac:dyDescent="0.3"/>
    <row r="7720" ht="14.4" x14ac:dyDescent="0.3"/>
    <row r="7721" ht="14.4" x14ac:dyDescent="0.3"/>
    <row r="7722" ht="14.4" x14ac:dyDescent="0.3"/>
    <row r="7723" ht="14.4" x14ac:dyDescent="0.3"/>
    <row r="7724" ht="14.4" x14ac:dyDescent="0.3"/>
    <row r="7725" ht="14.4" x14ac:dyDescent="0.3"/>
    <row r="7726" ht="14.4" x14ac:dyDescent="0.3"/>
    <row r="7727" ht="14.4" x14ac:dyDescent="0.3"/>
    <row r="7728" ht="14.4" x14ac:dyDescent="0.3"/>
    <row r="7729" ht="14.4" x14ac:dyDescent="0.3"/>
    <row r="7730" ht="14.4" x14ac:dyDescent="0.3"/>
    <row r="7731" ht="14.4" x14ac:dyDescent="0.3"/>
    <row r="7732" ht="14.4" x14ac:dyDescent="0.3"/>
    <row r="7733" ht="14.4" x14ac:dyDescent="0.3"/>
    <row r="7734" ht="14.4" x14ac:dyDescent="0.3"/>
    <row r="7735" ht="14.4" x14ac:dyDescent="0.3"/>
    <row r="7736" ht="14.4" x14ac:dyDescent="0.3"/>
    <row r="7737" ht="14.4" x14ac:dyDescent="0.3"/>
    <row r="7738" ht="14.4" x14ac:dyDescent="0.3"/>
    <row r="7739" ht="14.4" x14ac:dyDescent="0.3"/>
    <row r="7740" ht="14.4" x14ac:dyDescent="0.3"/>
    <row r="7741" ht="14.4" x14ac:dyDescent="0.3"/>
    <row r="7742" ht="14.4" x14ac:dyDescent="0.3"/>
    <row r="7743" ht="14.4" x14ac:dyDescent="0.3"/>
    <row r="7744" ht="14.4" x14ac:dyDescent="0.3"/>
    <row r="7745" ht="14.4" x14ac:dyDescent="0.3"/>
    <row r="7746" ht="14.4" x14ac:dyDescent="0.3"/>
    <row r="7747" ht="14.4" x14ac:dyDescent="0.3"/>
    <row r="7748" ht="14.4" x14ac:dyDescent="0.3"/>
    <row r="7749" ht="14.4" x14ac:dyDescent="0.3"/>
    <row r="7750" ht="14.4" x14ac:dyDescent="0.3"/>
    <row r="7751" ht="14.4" x14ac:dyDescent="0.3"/>
    <row r="7752" ht="14.4" x14ac:dyDescent="0.3"/>
    <row r="7753" ht="14.4" x14ac:dyDescent="0.3"/>
    <row r="7754" ht="14.4" x14ac:dyDescent="0.3"/>
    <row r="7755" ht="14.4" x14ac:dyDescent="0.3"/>
    <row r="7756" ht="14.4" x14ac:dyDescent="0.3"/>
    <row r="7757" ht="14.4" x14ac:dyDescent="0.3"/>
    <row r="7758" ht="14.4" x14ac:dyDescent="0.3"/>
    <row r="7759" ht="14.4" x14ac:dyDescent="0.3"/>
    <row r="7760" ht="14.4" x14ac:dyDescent="0.3"/>
    <row r="7761" ht="14.4" x14ac:dyDescent="0.3"/>
    <row r="7762" ht="14.4" x14ac:dyDescent="0.3"/>
    <row r="7763" ht="14.4" x14ac:dyDescent="0.3"/>
    <row r="7764" ht="14.4" x14ac:dyDescent="0.3"/>
    <row r="7765" ht="14.4" x14ac:dyDescent="0.3"/>
    <row r="7766" ht="14.4" x14ac:dyDescent="0.3"/>
    <row r="7767" ht="14.4" x14ac:dyDescent="0.3"/>
    <row r="7768" ht="14.4" x14ac:dyDescent="0.3"/>
    <row r="7769" ht="14.4" x14ac:dyDescent="0.3"/>
    <row r="7770" ht="14.4" x14ac:dyDescent="0.3"/>
    <row r="7771" ht="14.4" x14ac:dyDescent="0.3"/>
    <row r="7772" ht="14.4" x14ac:dyDescent="0.3"/>
    <row r="7773" ht="14.4" x14ac:dyDescent="0.3"/>
    <row r="7774" ht="14.4" x14ac:dyDescent="0.3"/>
    <row r="7775" ht="14.4" x14ac:dyDescent="0.3"/>
    <row r="7776" ht="14.4" x14ac:dyDescent="0.3"/>
    <row r="7777" ht="14.4" x14ac:dyDescent="0.3"/>
    <row r="7778" ht="14.4" x14ac:dyDescent="0.3"/>
    <row r="7779" ht="14.4" x14ac:dyDescent="0.3"/>
    <row r="7780" ht="14.4" x14ac:dyDescent="0.3"/>
    <row r="7781" ht="14.4" x14ac:dyDescent="0.3"/>
    <row r="7782" ht="14.4" x14ac:dyDescent="0.3"/>
    <row r="7783" ht="14.4" x14ac:dyDescent="0.3"/>
    <row r="7784" ht="14.4" x14ac:dyDescent="0.3"/>
    <row r="7785" ht="14.4" x14ac:dyDescent="0.3"/>
    <row r="7786" ht="14.4" x14ac:dyDescent="0.3"/>
    <row r="7787" ht="14.4" x14ac:dyDescent="0.3"/>
    <row r="7788" ht="14.4" x14ac:dyDescent="0.3"/>
    <row r="7789" ht="14.4" x14ac:dyDescent="0.3"/>
    <row r="7790" ht="14.4" x14ac:dyDescent="0.3"/>
    <row r="7791" ht="14.4" x14ac:dyDescent="0.3"/>
    <row r="7792" ht="14.4" x14ac:dyDescent="0.3"/>
    <row r="7793" ht="14.4" x14ac:dyDescent="0.3"/>
    <row r="7794" ht="14.4" x14ac:dyDescent="0.3"/>
    <row r="7795" ht="14.4" x14ac:dyDescent="0.3"/>
    <row r="7796" ht="14.4" x14ac:dyDescent="0.3"/>
    <row r="7797" ht="14.4" x14ac:dyDescent="0.3"/>
    <row r="7798" ht="14.4" x14ac:dyDescent="0.3"/>
    <row r="7799" ht="14.4" x14ac:dyDescent="0.3"/>
    <row r="7800" ht="14.4" x14ac:dyDescent="0.3"/>
    <row r="7801" ht="14.4" x14ac:dyDescent="0.3"/>
    <row r="7802" ht="14.4" x14ac:dyDescent="0.3"/>
    <row r="7803" ht="14.4" x14ac:dyDescent="0.3"/>
    <row r="7804" ht="14.4" x14ac:dyDescent="0.3"/>
    <row r="7805" ht="14.4" x14ac:dyDescent="0.3"/>
    <row r="7806" ht="14.4" x14ac:dyDescent="0.3"/>
    <row r="7807" ht="14.4" x14ac:dyDescent="0.3"/>
    <row r="7808" ht="14.4" x14ac:dyDescent="0.3"/>
    <row r="7809" ht="14.4" x14ac:dyDescent="0.3"/>
    <row r="7810" ht="14.4" x14ac:dyDescent="0.3"/>
    <row r="7811" ht="14.4" x14ac:dyDescent="0.3"/>
    <row r="7812" ht="14.4" x14ac:dyDescent="0.3"/>
    <row r="7813" ht="14.4" x14ac:dyDescent="0.3"/>
    <row r="7814" ht="14.4" x14ac:dyDescent="0.3"/>
    <row r="7815" ht="14.4" x14ac:dyDescent="0.3"/>
    <row r="7816" ht="14.4" x14ac:dyDescent="0.3"/>
    <row r="7817" ht="14.4" x14ac:dyDescent="0.3"/>
    <row r="7818" ht="14.4" x14ac:dyDescent="0.3"/>
    <row r="7819" ht="14.4" x14ac:dyDescent="0.3"/>
    <row r="7820" ht="14.4" x14ac:dyDescent="0.3"/>
    <row r="7821" ht="14.4" x14ac:dyDescent="0.3"/>
    <row r="7822" ht="14.4" x14ac:dyDescent="0.3"/>
    <row r="7823" ht="14.4" x14ac:dyDescent="0.3"/>
    <row r="7824" ht="14.4" x14ac:dyDescent="0.3"/>
    <row r="7825" ht="14.4" x14ac:dyDescent="0.3"/>
    <row r="7826" ht="14.4" x14ac:dyDescent="0.3"/>
    <row r="7827" ht="14.4" x14ac:dyDescent="0.3"/>
    <row r="7828" ht="14.4" x14ac:dyDescent="0.3"/>
    <row r="7829" ht="14.4" x14ac:dyDescent="0.3"/>
    <row r="7830" ht="14.4" x14ac:dyDescent="0.3"/>
    <row r="7831" ht="14.4" x14ac:dyDescent="0.3"/>
    <row r="7832" ht="14.4" x14ac:dyDescent="0.3"/>
    <row r="7833" ht="14.4" x14ac:dyDescent="0.3"/>
    <row r="7834" ht="14.4" x14ac:dyDescent="0.3"/>
    <row r="7835" ht="14.4" x14ac:dyDescent="0.3"/>
    <row r="7836" ht="14.4" x14ac:dyDescent="0.3"/>
    <row r="7837" ht="14.4" x14ac:dyDescent="0.3"/>
    <row r="7838" ht="14.4" x14ac:dyDescent="0.3"/>
    <row r="7839" ht="14.4" x14ac:dyDescent="0.3"/>
    <row r="7840" ht="14.4" x14ac:dyDescent="0.3"/>
    <row r="7841" ht="14.4" x14ac:dyDescent="0.3"/>
    <row r="7842" ht="14.4" x14ac:dyDescent="0.3"/>
    <row r="7843" ht="14.4" x14ac:dyDescent="0.3"/>
    <row r="7844" ht="14.4" x14ac:dyDescent="0.3"/>
    <row r="7845" ht="14.4" x14ac:dyDescent="0.3"/>
    <row r="7846" ht="14.4" x14ac:dyDescent="0.3"/>
    <row r="7847" ht="14.4" x14ac:dyDescent="0.3"/>
    <row r="7848" ht="14.4" x14ac:dyDescent="0.3"/>
    <row r="7849" ht="14.4" x14ac:dyDescent="0.3"/>
    <row r="7850" ht="14.4" x14ac:dyDescent="0.3"/>
    <row r="7851" ht="14.4" x14ac:dyDescent="0.3"/>
    <row r="7852" ht="14.4" x14ac:dyDescent="0.3"/>
    <row r="7853" ht="14.4" x14ac:dyDescent="0.3"/>
    <row r="7854" ht="14.4" x14ac:dyDescent="0.3"/>
    <row r="7855" ht="14.4" x14ac:dyDescent="0.3"/>
    <row r="7856" ht="14.4" x14ac:dyDescent="0.3"/>
    <row r="7857" ht="14.4" x14ac:dyDescent="0.3"/>
    <row r="7858" ht="14.4" x14ac:dyDescent="0.3"/>
    <row r="7859" ht="14.4" x14ac:dyDescent="0.3"/>
    <row r="7860" ht="14.4" x14ac:dyDescent="0.3"/>
    <row r="7861" ht="14.4" x14ac:dyDescent="0.3"/>
    <row r="7862" ht="14.4" x14ac:dyDescent="0.3"/>
    <row r="7863" ht="14.4" x14ac:dyDescent="0.3"/>
    <row r="7864" ht="14.4" x14ac:dyDescent="0.3"/>
    <row r="7865" ht="14.4" x14ac:dyDescent="0.3"/>
    <row r="7866" ht="14.4" x14ac:dyDescent="0.3"/>
    <row r="7867" ht="14.4" x14ac:dyDescent="0.3"/>
    <row r="7868" ht="14.4" x14ac:dyDescent="0.3"/>
    <row r="7869" ht="14.4" x14ac:dyDescent="0.3"/>
    <row r="7870" ht="14.4" x14ac:dyDescent="0.3"/>
    <row r="7871" ht="14.4" x14ac:dyDescent="0.3"/>
    <row r="7872" ht="14.4" x14ac:dyDescent="0.3"/>
    <row r="7873" ht="14.4" x14ac:dyDescent="0.3"/>
    <row r="7874" ht="14.4" x14ac:dyDescent="0.3"/>
    <row r="7875" ht="14.4" x14ac:dyDescent="0.3"/>
    <row r="7876" ht="14.4" x14ac:dyDescent="0.3"/>
    <row r="7877" ht="14.4" x14ac:dyDescent="0.3"/>
    <row r="7878" ht="14.4" x14ac:dyDescent="0.3"/>
    <row r="7879" ht="14.4" x14ac:dyDescent="0.3"/>
    <row r="7880" ht="14.4" x14ac:dyDescent="0.3"/>
    <row r="7881" ht="14.4" x14ac:dyDescent="0.3"/>
    <row r="7882" ht="14.4" x14ac:dyDescent="0.3"/>
    <row r="7883" ht="14.4" x14ac:dyDescent="0.3"/>
    <row r="7884" ht="14.4" x14ac:dyDescent="0.3"/>
    <row r="7885" ht="14.4" x14ac:dyDescent="0.3"/>
    <row r="7886" ht="14.4" x14ac:dyDescent="0.3"/>
    <row r="7887" ht="14.4" x14ac:dyDescent="0.3"/>
    <row r="7888" ht="14.4" x14ac:dyDescent="0.3"/>
    <row r="7889" ht="14.4" x14ac:dyDescent="0.3"/>
    <row r="7890" ht="14.4" x14ac:dyDescent="0.3"/>
    <row r="7891" ht="14.4" x14ac:dyDescent="0.3"/>
    <row r="7892" ht="14.4" x14ac:dyDescent="0.3"/>
    <row r="7893" ht="14.4" x14ac:dyDescent="0.3"/>
    <row r="7894" ht="14.4" x14ac:dyDescent="0.3"/>
    <row r="7895" ht="14.4" x14ac:dyDescent="0.3"/>
    <row r="7896" ht="14.4" x14ac:dyDescent="0.3"/>
    <row r="7897" ht="14.4" x14ac:dyDescent="0.3"/>
    <row r="7898" ht="14.4" x14ac:dyDescent="0.3"/>
    <row r="7899" ht="14.4" x14ac:dyDescent="0.3"/>
    <row r="7900" ht="14.4" x14ac:dyDescent="0.3"/>
    <row r="7901" ht="14.4" x14ac:dyDescent="0.3"/>
    <row r="7902" ht="14.4" x14ac:dyDescent="0.3"/>
    <row r="7903" ht="14.4" x14ac:dyDescent="0.3"/>
    <row r="7904" ht="14.4" x14ac:dyDescent="0.3"/>
    <row r="7905" ht="14.4" x14ac:dyDescent="0.3"/>
    <row r="7906" ht="14.4" x14ac:dyDescent="0.3"/>
    <row r="7907" ht="14.4" x14ac:dyDescent="0.3"/>
    <row r="7908" ht="14.4" x14ac:dyDescent="0.3"/>
    <row r="7909" ht="14.4" x14ac:dyDescent="0.3"/>
    <row r="7910" ht="14.4" x14ac:dyDescent="0.3"/>
    <row r="7911" ht="14.4" x14ac:dyDescent="0.3"/>
    <row r="7912" ht="14.4" x14ac:dyDescent="0.3"/>
    <row r="7913" ht="14.4" x14ac:dyDescent="0.3"/>
    <row r="7914" ht="14.4" x14ac:dyDescent="0.3"/>
    <row r="7915" ht="14.4" x14ac:dyDescent="0.3"/>
    <row r="7916" ht="14.4" x14ac:dyDescent="0.3"/>
    <row r="7917" ht="14.4" x14ac:dyDescent="0.3"/>
    <row r="7918" ht="14.4" x14ac:dyDescent="0.3"/>
    <row r="7919" ht="14.4" x14ac:dyDescent="0.3"/>
    <row r="7920" ht="14.4" x14ac:dyDescent="0.3"/>
    <row r="7921" ht="14.4" x14ac:dyDescent="0.3"/>
    <row r="7922" ht="14.4" x14ac:dyDescent="0.3"/>
    <row r="7923" ht="14.4" x14ac:dyDescent="0.3"/>
    <row r="7924" ht="14.4" x14ac:dyDescent="0.3"/>
    <row r="7925" ht="14.4" x14ac:dyDescent="0.3"/>
    <row r="7926" ht="14.4" x14ac:dyDescent="0.3"/>
    <row r="7927" ht="14.4" x14ac:dyDescent="0.3"/>
    <row r="7928" ht="14.4" x14ac:dyDescent="0.3"/>
    <row r="7929" ht="14.4" x14ac:dyDescent="0.3"/>
    <row r="7930" ht="14.4" x14ac:dyDescent="0.3"/>
    <row r="7931" ht="14.4" x14ac:dyDescent="0.3"/>
    <row r="7932" ht="14.4" x14ac:dyDescent="0.3"/>
    <row r="7933" ht="14.4" x14ac:dyDescent="0.3"/>
    <row r="7934" ht="14.4" x14ac:dyDescent="0.3"/>
    <row r="7935" ht="14.4" x14ac:dyDescent="0.3"/>
    <row r="7936" ht="14.4" x14ac:dyDescent="0.3"/>
    <row r="7937" ht="14.4" x14ac:dyDescent="0.3"/>
    <row r="7938" ht="14.4" x14ac:dyDescent="0.3"/>
    <row r="7939" ht="14.4" x14ac:dyDescent="0.3"/>
    <row r="7940" ht="14.4" x14ac:dyDescent="0.3"/>
    <row r="7941" ht="14.4" x14ac:dyDescent="0.3"/>
    <row r="7942" ht="14.4" x14ac:dyDescent="0.3"/>
    <row r="7943" ht="14.4" x14ac:dyDescent="0.3"/>
    <row r="7944" ht="14.4" x14ac:dyDescent="0.3"/>
    <row r="7945" ht="14.4" x14ac:dyDescent="0.3"/>
    <row r="7946" ht="14.4" x14ac:dyDescent="0.3"/>
    <row r="7947" ht="14.4" x14ac:dyDescent="0.3"/>
    <row r="7948" ht="14.4" x14ac:dyDescent="0.3"/>
    <row r="7949" ht="14.4" x14ac:dyDescent="0.3"/>
    <row r="7950" ht="14.4" x14ac:dyDescent="0.3"/>
    <row r="7951" ht="14.4" x14ac:dyDescent="0.3"/>
    <row r="7952" ht="14.4" x14ac:dyDescent="0.3"/>
    <row r="7953" ht="14.4" x14ac:dyDescent="0.3"/>
    <row r="7954" ht="14.4" x14ac:dyDescent="0.3"/>
    <row r="7955" ht="14.4" x14ac:dyDescent="0.3"/>
    <row r="7956" ht="14.4" x14ac:dyDescent="0.3"/>
    <row r="7957" ht="14.4" x14ac:dyDescent="0.3"/>
    <row r="7958" ht="14.4" x14ac:dyDescent="0.3"/>
    <row r="7959" ht="14.4" x14ac:dyDescent="0.3"/>
    <row r="7960" ht="14.4" x14ac:dyDescent="0.3"/>
    <row r="7961" ht="14.4" x14ac:dyDescent="0.3"/>
    <row r="7962" ht="14.4" x14ac:dyDescent="0.3"/>
    <row r="7963" ht="14.4" x14ac:dyDescent="0.3"/>
    <row r="7964" ht="14.4" x14ac:dyDescent="0.3"/>
    <row r="7965" ht="14.4" x14ac:dyDescent="0.3"/>
    <row r="7966" ht="14.4" x14ac:dyDescent="0.3"/>
    <row r="7967" ht="14.4" x14ac:dyDescent="0.3"/>
    <row r="7968" ht="14.4" x14ac:dyDescent="0.3"/>
    <row r="7969" ht="14.4" x14ac:dyDescent="0.3"/>
    <row r="7970" ht="14.4" x14ac:dyDescent="0.3"/>
    <row r="7971" ht="14.4" x14ac:dyDescent="0.3"/>
    <row r="7972" ht="14.4" x14ac:dyDescent="0.3"/>
    <row r="7973" ht="14.4" x14ac:dyDescent="0.3"/>
    <row r="7974" ht="14.4" x14ac:dyDescent="0.3"/>
    <row r="7975" ht="14.4" x14ac:dyDescent="0.3"/>
    <row r="7976" ht="14.4" x14ac:dyDescent="0.3"/>
    <row r="7977" ht="14.4" x14ac:dyDescent="0.3"/>
    <row r="7978" ht="14.4" x14ac:dyDescent="0.3"/>
    <row r="7979" ht="14.4" x14ac:dyDescent="0.3"/>
    <row r="7980" ht="14.4" x14ac:dyDescent="0.3"/>
    <row r="7981" ht="14.4" x14ac:dyDescent="0.3"/>
    <row r="7982" ht="14.4" x14ac:dyDescent="0.3"/>
    <row r="7983" ht="14.4" x14ac:dyDescent="0.3"/>
    <row r="7984" ht="14.4" x14ac:dyDescent="0.3"/>
    <row r="7985" ht="14.4" x14ac:dyDescent="0.3"/>
    <row r="7986" ht="14.4" x14ac:dyDescent="0.3"/>
    <row r="7987" ht="14.4" x14ac:dyDescent="0.3"/>
    <row r="7988" ht="14.4" x14ac:dyDescent="0.3"/>
    <row r="7989" ht="14.4" x14ac:dyDescent="0.3"/>
    <row r="7990" ht="14.4" x14ac:dyDescent="0.3"/>
    <row r="7991" ht="14.4" x14ac:dyDescent="0.3"/>
    <row r="7992" ht="14.4" x14ac:dyDescent="0.3"/>
    <row r="7993" ht="14.4" x14ac:dyDescent="0.3"/>
    <row r="7994" ht="14.4" x14ac:dyDescent="0.3"/>
    <row r="7995" ht="14.4" x14ac:dyDescent="0.3"/>
    <row r="7996" ht="14.4" x14ac:dyDescent="0.3"/>
    <row r="7997" ht="14.4" x14ac:dyDescent="0.3"/>
    <row r="7998" ht="14.4" x14ac:dyDescent="0.3"/>
    <row r="7999" ht="14.4" x14ac:dyDescent="0.3"/>
    <row r="8000" ht="14.4" x14ac:dyDescent="0.3"/>
    <row r="8001" ht="14.4" x14ac:dyDescent="0.3"/>
    <row r="8002" ht="14.4" x14ac:dyDescent="0.3"/>
    <row r="8003" ht="14.4" x14ac:dyDescent="0.3"/>
    <row r="8004" ht="14.4" x14ac:dyDescent="0.3"/>
    <row r="8005" ht="14.4" x14ac:dyDescent="0.3"/>
    <row r="8006" ht="14.4" x14ac:dyDescent="0.3"/>
    <row r="8007" ht="14.4" x14ac:dyDescent="0.3"/>
    <row r="8008" ht="14.4" x14ac:dyDescent="0.3"/>
    <row r="8009" ht="14.4" x14ac:dyDescent="0.3"/>
    <row r="8010" ht="14.4" x14ac:dyDescent="0.3"/>
    <row r="8011" ht="14.4" x14ac:dyDescent="0.3"/>
    <row r="8012" ht="14.4" x14ac:dyDescent="0.3"/>
    <row r="8013" ht="14.4" x14ac:dyDescent="0.3"/>
    <row r="8014" ht="14.4" x14ac:dyDescent="0.3"/>
    <row r="8015" ht="14.4" x14ac:dyDescent="0.3"/>
    <row r="8016" ht="14.4" x14ac:dyDescent="0.3"/>
    <row r="8017" ht="14.4" x14ac:dyDescent="0.3"/>
    <row r="8018" ht="14.4" x14ac:dyDescent="0.3"/>
    <row r="8019" ht="14.4" x14ac:dyDescent="0.3"/>
    <row r="8020" ht="14.4" x14ac:dyDescent="0.3"/>
    <row r="8021" ht="14.4" x14ac:dyDescent="0.3"/>
    <row r="8022" ht="14.4" x14ac:dyDescent="0.3"/>
    <row r="8023" ht="14.4" x14ac:dyDescent="0.3"/>
    <row r="8024" ht="14.4" x14ac:dyDescent="0.3"/>
    <row r="8025" ht="14.4" x14ac:dyDescent="0.3"/>
    <row r="8026" ht="14.4" x14ac:dyDescent="0.3"/>
    <row r="8027" ht="14.4" x14ac:dyDescent="0.3"/>
    <row r="8028" ht="14.4" x14ac:dyDescent="0.3"/>
    <row r="8029" ht="14.4" x14ac:dyDescent="0.3"/>
    <row r="8030" ht="14.4" x14ac:dyDescent="0.3"/>
    <row r="8031" ht="14.4" x14ac:dyDescent="0.3"/>
    <row r="8032" ht="14.4" x14ac:dyDescent="0.3"/>
    <row r="8033" ht="14.4" x14ac:dyDescent="0.3"/>
    <row r="8034" ht="14.4" x14ac:dyDescent="0.3"/>
    <row r="8035" ht="14.4" x14ac:dyDescent="0.3"/>
    <row r="8036" ht="14.4" x14ac:dyDescent="0.3"/>
    <row r="8037" ht="14.4" x14ac:dyDescent="0.3"/>
    <row r="8038" ht="14.4" x14ac:dyDescent="0.3"/>
    <row r="8039" ht="14.4" x14ac:dyDescent="0.3"/>
    <row r="8040" ht="14.4" x14ac:dyDescent="0.3"/>
    <row r="8041" ht="14.4" x14ac:dyDescent="0.3"/>
    <row r="8042" ht="14.4" x14ac:dyDescent="0.3"/>
    <row r="8043" ht="14.4" x14ac:dyDescent="0.3"/>
    <row r="8044" ht="14.4" x14ac:dyDescent="0.3"/>
    <row r="8045" ht="14.4" x14ac:dyDescent="0.3"/>
    <row r="8046" ht="14.4" x14ac:dyDescent="0.3"/>
    <row r="8047" ht="14.4" x14ac:dyDescent="0.3"/>
    <row r="8048" ht="14.4" x14ac:dyDescent="0.3"/>
    <row r="8049" ht="14.4" x14ac:dyDescent="0.3"/>
    <row r="8050" ht="14.4" x14ac:dyDescent="0.3"/>
    <row r="8051" ht="14.4" x14ac:dyDescent="0.3"/>
    <row r="8052" ht="14.4" x14ac:dyDescent="0.3"/>
    <row r="8053" ht="14.4" x14ac:dyDescent="0.3"/>
    <row r="8054" ht="14.4" x14ac:dyDescent="0.3"/>
    <row r="8055" ht="14.4" x14ac:dyDescent="0.3"/>
    <row r="8056" ht="14.4" x14ac:dyDescent="0.3"/>
    <row r="8057" ht="14.4" x14ac:dyDescent="0.3"/>
    <row r="8058" ht="14.4" x14ac:dyDescent="0.3"/>
    <row r="8059" ht="14.4" x14ac:dyDescent="0.3"/>
    <row r="8060" ht="14.4" x14ac:dyDescent="0.3"/>
    <row r="8061" ht="14.4" x14ac:dyDescent="0.3"/>
    <row r="8062" ht="14.4" x14ac:dyDescent="0.3"/>
    <row r="8063" ht="14.4" x14ac:dyDescent="0.3"/>
    <row r="8064" ht="14.4" x14ac:dyDescent="0.3"/>
    <row r="8065" ht="14.4" x14ac:dyDescent="0.3"/>
    <row r="8066" ht="14.4" x14ac:dyDescent="0.3"/>
    <row r="8067" ht="14.4" x14ac:dyDescent="0.3"/>
    <row r="8068" ht="14.4" x14ac:dyDescent="0.3"/>
    <row r="8069" ht="14.4" x14ac:dyDescent="0.3"/>
    <row r="8070" ht="14.4" x14ac:dyDescent="0.3"/>
    <row r="8071" ht="14.4" x14ac:dyDescent="0.3"/>
    <row r="8072" ht="14.4" x14ac:dyDescent="0.3"/>
    <row r="8073" ht="14.4" x14ac:dyDescent="0.3"/>
    <row r="8074" ht="14.4" x14ac:dyDescent="0.3"/>
    <row r="8075" ht="14.4" x14ac:dyDescent="0.3"/>
    <row r="8076" ht="14.4" x14ac:dyDescent="0.3"/>
    <row r="8077" ht="14.4" x14ac:dyDescent="0.3"/>
    <row r="8078" ht="14.4" x14ac:dyDescent="0.3"/>
    <row r="8079" ht="14.4" x14ac:dyDescent="0.3"/>
    <row r="8080" ht="14.4" x14ac:dyDescent="0.3"/>
    <row r="8081" ht="14.4" x14ac:dyDescent="0.3"/>
    <row r="8082" ht="14.4" x14ac:dyDescent="0.3"/>
    <row r="8083" ht="14.4" x14ac:dyDescent="0.3"/>
    <row r="8084" ht="14.4" x14ac:dyDescent="0.3"/>
    <row r="8085" ht="14.4" x14ac:dyDescent="0.3"/>
    <row r="8086" ht="14.4" x14ac:dyDescent="0.3"/>
    <row r="8087" ht="14.4" x14ac:dyDescent="0.3"/>
    <row r="8088" ht="14.4" x14ac:dyDescent="0.3"/>
    <row r="8089" ht="14.4" x14ac:dyDescent="0.3"/>
    <row r="8090" ht="14.4" x14ac:dyDescent="0.3"/>
    <row r="8091" ht="14.4" x14ac:dyDescent="0.3"/>
    <row r="8092" ht="14.4" x14ac:dyDescent="0.3"/>
    <row r="8093" ht="14.4" x14ac:dyDescent="0.3"/>
    <row r="8094" ht="14.4" x14ac:dyDescent="0.3"/>
    <row r="8095" ht="14.4" x14ac:dyDescent="0.3"/>
    <row r="8096" ht="14.4" x14ac:dyDescent="0.3"/>
    <row r="8097" ht="14.4" x14ac:dyDescent="0.3"/>
    <row r="8098" ht="14.4" x14ac:dyDescent="0.3"/>
    <row r="8099" ht="14.4" x14ac:dyDescent="0.3"/>
    <row r="8100" ht="14.4" x14ac:dyDescent="0.3"/>
    <row r="8101" ht="14.4" x14ac:dyDescent="0.3"/>
    <row r="8102" ht="14.4" x14ac:dyDescent="0.3"/>
    <row r="8103" ht="14.4" x14ac:dyDescent="0.3"/>
    <row r="8104" ht="14.4" x14ac:dyDescent="0.3"/>
    <row r="8105" ht="14.4" x14ac:dyDescent="0.3"/>
    <row r="8106" ht="14.4" x14ac:dyDescent="0.3"/>
    <row r="8107" ht="14.4" x14ac:dyDescent="0.3"/>
    <row r="8108" ht="14.4" x14ac:dyDescent="0.3"/>
    <row r="8109" ht="14.4" x14ac:dyDescent="0.3"/>
    <row r="8110" ht="14.4" x14ac:dyDescent="0.3"/>
    <row r="8111" ht="14.4" x14ac:dyDescent="0.3"/>
    <row r="8112" ht="14.4" x14ac:dyDescent="0.3"/>
    <row r="8113" ht="14.4" x14ac:dyDescent="0.3"/>
    <row r="8114" ht="14.4" x14ac:dyDescent="0.3"/>
    <row r="8115" ht="14.4" x14ac:dyDescent="0.3"/>
    <row r="8116" ht="14.4" x14ac:dyDescent="0.3"/>
    <row r="8117" ht="14.4" x14ac:dyDescent="0.3"/>
    <row r="8118" ht="14.4" x14ac:dyDescent="0.3"/>
    <row r="8119" ht="14.4" x14ac:dyDescent="0.3"/>
    <row r="8120" ht="14.4" x14ac:dyDescent="0.3"/>
    <row r="8121" ht="14.4" x14ac:dyDescent="0.3"/>
    <row r="8122" ht="14.4" x14ac:dyDescent="0.3"/>
    <row r="8123" ht="14.4" x14ac:dyDescent="0.3"/>
    <row r="8124" ht="14.4" x14ac:dyDescent="0.3"/>
    <row r="8125" ht="14.4" x14ac:dyDescent="0.3"/>
    <row r="8126" ht="14.4" x14ac:dyDescent="0.3"/>
    <row r="8127" ht="14.4" x14ac:dyDescent="0.3"/>
    <row r="8128" ht="14.4" x14ac:dyDescent="0.3"/>
    <row r="8129" ht="14.4" x14ac:dyDescent="0.3"/>
    <row r="8130" ht="14.4" x14ac:dyDescent="0.3"/>
    <row r="8131" ht="14.4" x14ac:dyDescent="0.3"/>
    <row r="8132" ht="14.4" x14ac:dyDescent="0.3"/>
    <row r="8133" ht="14.4" x14ac:dyDescent="0.3"/>
    <row r="8134" ht="14.4" x14ac:dyDescent="0.3"/>
    <row r="8135" ht="14.4" x14ac:dyDescent="0.3"/>
    <row r="8136" ht="14.4" x14ac:dyDescent="0.3"/>
    <row r="8137" ht="14.4" x14ac:dyDescent="0.3"/>
    <row r="8138" ht="14.4" x14ac:dyDescent="0.3"/>
    <row r="8139" ht="14.4" x14ac:dyDescent="0.3"/>
    <row r="8140" ht="14.4" x14ac:dyDescent="0.3"/>
    <row r="8141" ht="14.4" x14ac:dyDescent="0.3"/>
    <row r="8142" ht="14.4" x14ac:dyDescent="0.3"/>
    <row r="8143" ht="14.4" x14ac:dyDescent="0.3"/>
    <row r="8144" ht="14.4" x14ac:dyDescent="0.3"/>
    <row r="8145" ht="14.4" x14ac:dyDescent="0.3"/>
    <row r="8146" ht="14.4" x14ac:dyDescent="0.3"/>
    <row r="8147" ht="14.4" x14ac:dyDescent="0.3"/>
    <row r="8148" ht="14.4" x14ac:dyDescent="0.3"/>
    <row r="8149" ht="14.4" x14ac:dyDescent="0.3"/>
    <row r="8150" ht="14.4" x14ac:dyDescent="0.3"/>
    <row r="8151" ht="14.4" x14ac:dyDescent="0.3"/>
    <row r="8152" ht="14.4" x14ac:dyDescent="0.3"/>
    <row r="8153" ht="14.4" x14ac:dyDescent="0.3"/>
    <row r="8154" ht="14.4" x14ac:dyDescent="0.3"/>
    <row r="8155" ht="14.4" x14ac:dyDescent="0.3"/>
    <row r="8156" ht="14.4" x14ac:dyDescent="0.3"/>
    <row r="8157" ht="14.4" x14ac:dyDescent="0.3"/>
    <row r="8158" ht="14.4" x14ac:dyDescent="0.3"/>
    <row r="8159" ht="14.4" x14ac:dyDescent="0.3"/>
    <row r="8160" ht="14.4" x14ac:dyDescent="0.3"/>
    <row r="8161" ht="14.4" x14ac:dyDescent="0.3"/>
    <row r="8162" ht="14.4" x14ac:dyDescent="0.3"/>
    <row r="8163" ht="14.4" x14ac:dyDescent="0.3"/>
    <row r="8164" ht="14.4" x14ac:dyDescent="0.3"/>
    <row r="8165" ht="14.4" x14ac:dyDescent="0.3"/>
    <row r="8166" ht="14.4" x14ac:dyDescent="0.3"/>
    <row r="8167" ht="14.4" x14ac:dyDescent="0.3"/>
    <row r="8168" ht="14.4" x14ac:dyDescent="0.3"/>
    <row r="8169" ht="14.4" x14ac:dyDescent="0.3"/>
    <row r="8170" ht="14.4" x14ac:dyDescent="0.3"/>
    <row r="8171" ht="14.4" x14ac:dyDescent="0.3"/>
    <row r="8172" ht="14.4" x14ac:dyDescent="0.3"/>
    <row r="8173" ht="14.4" x14ac:dyDescent="0.3"/>
    <row r="8174" ht="14.4" x14ac:dyDescent="0.3"/>
    <row r="8175" ht="14.4" x14ac:dyDescent="0.3"/>
    <row r="8176" ht="14.4" x14ac:dyDescent="0.3"/>
    <row r="8177" ht="14.4" x14ac:dyDescent="0.3"/>
    <row r="8178" ht="14.4" x14ac:dyDescent="0.3"/>
    <row r="8179" ht="14.4" x14ac:dyDescent="0.3"/>
    <row r="8180" ht="14.4" x14ac:dyDescent="0.3"/>
    <row r="8181" ht="14.4" x14ac:dyDescent="0.3"/>
    <row r="8182" ht="14.4" x14ac:dyDescent="0.3"/>
    <row r="8183" ht="14.4" x14ac:dyDescent="0.3"/>
    <row r="8184" ht="14.4" x14ac:dyDescent="0.3"/>
    <row r="8185" ht="14.4" x14ac:dyDescent="0.3"/>
    <row r="8186" ht="14.4" x14ac:dyDescent="0.3"/>
    <row r="8187" ht="14.4" x14ac:dyDescent="0.3"/>
    <row r="8188" ht="14.4" x14ac:dyDescent="0.3"/>
    <row r="8189" ht="14.4" x14ac:dyDescent="0.3"/>
    <row r="8190" ht="14.4" x14ac:dyDescent="0.3"/>
    <row r="8191" ht="14.4" x14ac:dyDescent="0.3"/>
    <row r="8192" ht="14.4" x14ac:dyDescent="0.3"/>
    <row r="8193" ht="14.4" x14ac:dyDescent="0.3"/>
    <row r="8194" ht="14.4" x14ac:dyDescent="0.3"/>
    <row r="8195" ht="14.4" x14ac:dyDescent="0.3"/>
    <row r="8196" ht="14.4" x14ac:dyDescent="0.3"/>
    <row r="8197" ht="14.4" x14ac:dyDescent="0.3"/>
    <row r="8198" ht="14.4" x14ac:dyDescent="0.3"/>
    <row r="8199" ht="14.4" x14ac:dyDescent="0.3"/>
    <row r="8200" ht="14.4" x14ac:dyDescent="0.3"/>
    <row r="8201" ht="14.4" x14ac:dyDescent="0.3"/>
    <row r="8202" ht="14.4" x14ac:dyDescent="0.3"/>
    <row r="8203" ht="14.4" x14ac:dyDescent="0.3"/>
    <row r="8204" ht="14.4" x14ac:dyDescent="0.3"/>
    <row r="8205" ht="14.4" x14ac:dyDescent="0.3"/>
    <row r="8206" ht="14.4" x14ac:dyDescent="0.3"/>
    <row r="8207" ht="14.4" x14ac:dyDescent="0.3"/>
    <row r="8208" ht="14.4" x14ac:dyDescent="0.3"/>
    <row r="8209" ht="14.4" x14ac:dyDescent="0.3"/>
    <row r="8210" ht="14.4" x14ac:dyDescent="0.3"/>
    <row r="8211" ht="14.4" x14ac:dyDescent="0.3"/>
    <row r="8212" ht="14.4" x14ac:dyDescent="0.3"/>
    <row r="8213" ht="14.4" x14ac:dyDescent="0.3"/>
    <row r="8214" ht="14.4" x14ac:dyDescent="0.3"/>
    <row r="8215" ht="14.4" x14ac:dyDescent="0.3"/>
    <row r="8216" ht="14.4" x14ac:dyDescent="0.3"/>
    <row r="8217" ht="14.4" x14ac:dyDescent="0.3"/>
    <row r="8218" ht="14.4" x14ac:dyDescent="0.3"/>
    <row r="8219" ht="14.4" x14ac:dyDescent="0.3"/>
    <row r="8220" ht="14.4" x14ac:dyDescent="0.3"/>
    <row r="8221" ht="14.4" x14ac:dyDescent="0.3"/>
    <row r="8222" ht="14.4" x14ac:dyDescent="0.3"/>
    <row r="8223" ht="14.4" x14ac:dyDescent="0.3"/>
    <row r="8224" ht="14.4" x14ac:dyDescent="0.3"/>
    <row r="8225" ht="14.4" x14ac:dyDescent="0.3"/>
    <row r="8226" ht="14.4" x14ac:dyDescent="0.3"/>
    <row r="8227" ht="14.4" x14ac:dyDescent="0.3"/>
    <row r="8228" ht="14.4" x14ac:dyDescent="0.3"/>
    <row r="8229" ht="14.4" x14ac:dyDescent="0.3"/>
    <row r="8230" ht="14.4" x14ac:dyDescent="0.3"/>
    <row r="8231" ht="14.4" x14ac:dyDescent="0.3"/>
    <row r="8232" ht="14.4" x14ac:dyDescent="0.3"/>
    <row r="8233" ht="14.4" x14ac:dyDescent="0.3"/>
    <row r="8234" ht="14.4" x14ac:dyDescent="0.3"/>
    <row r="8235" ht="14.4" x14ac:dyDescent="0.3"/>
    <row r="8236" ht="14.4" x14ac:dyDescent="0.3"/>
    <row r="8237" ht="14.4" x14ac:dyDescent="0.3"/>
    <row r="8238" ht="14.4" x14ac:dyDescent="0.3"/>
    <row r="8239" ht="14.4" x14ac:dyDescent="0.3"/>
    <row r="8240" ht="14.4" x14ac:dyDescent="0.3"/>
    <row r="8241" ht="14.4" x14ac:dyDescent="0.3"/>
    <row r="8242" ht="14.4" x14ac:dyDescent="0.3"/>
    <row r="8243" ht="14.4" x14ac:dyDescent="0.3"/>
    <row r="8244" ht="14.4" x14ac:dyDescent="0.3"/>
    <row r="8245" ht="14.4" x14ac:dyDescent="0.3"/>
    <row r="8246" ht="14.4" x14ac:dyDescent="0.3"/>
    <row r="8247" ht="14.4" x14ac:dyDescent="0.3"/>
    <row r="8248" ht="14.4" x14ac:dyDescent="0.3"/>
    <row r="8249" ht="14.4" x14ac:dyDescent="0.3"/>
    <row r="8250" ht="14.4" x14ac:dyDescent="0.3"/>
    <row r="8251" ht="14.4" x14ac:dyDescent="0.3"/>
    <row r="8252" ht="14.4" x14ac:dyDescent="0.3"/>
    <row r="8253" ht="14.4" x14ac:dyDescent="0.3"/>
    <row r="8254" ht="14.4" x14ac:dyDescent="0.3"/>
    <row r="8255" ht="14.4" x14ac:dyDescent="0.3"/>
    <row r="8256" ht="14.4" x14ac:dyDescent="0.3"/>
    <row r="8257" ht="14.4" x14ac:dyDescent="0.3"/>
    <row r="8258" ht="14.4" x14ac:dyDescent="0.3"/>
    <row r="8259" ht="14.4" x14ac:dyDescent="0.3"/>
    <row r="8260" ht="14.4" x14ac:dyDescent="0.3"/>
    <row r="8261" ht="14.4" x14ac:dyDescent="0.3"/>
    <row r="8262" ht="14.4" x14ac:dyDescent="0.3"/>
    <row r="8263" ht="14.4" x14ac:dyDescent="0.3"/>
    <row r="8264" ht="14.4" x14ac:dyDescent="0.3"/>
    <row r="8265" ht="14.4" x14ac:dyDescent="0.3"/>
    <row r="8266" ht="14.4" x14ac:dyDescent="0.3"/>
    <row r="8267" ht="14.4" x14ac:dyDescent="0.3"/>
    <row r="8268" ht="14.4" x14ac:dyDescent="0.3"/>
    <row r="8269" ht="14.4" x14ac:dyDescent="0.3"/>
    <row r="8270" ht="14.4" x14ac:dyDescent="0.3"/>
    <row r="8271" ht="14.4" x14ac:dyDescent="0.3"/>
    <row r="8272" ht="14.4" x14ac:dyDescent="0.3"/>
    <row r="8273" ht="14.4" x14ac:dyDescent="0.3"/>
    <row r="8274" ht="14.4" x14ac:dyDescent="0.3"/>
    <row r="8275" ht="14.4" x14ac:dyDescent="0.3"/>
    <row r="8276" ht="14.4" x14ac:dyDescent="0.3"/>
    <row r="8277" ht="14.4" x14ac:dyDescent="0.3"/>
    <row r="8278" ht="14.4" x14ac:dyDescent="0.3"/>
    <row r="8279" ht="14.4" x14ac:dyDescent="0.3"/>
    <row r="8280" ht="14.4" x14ac:dyDescent="0.3"/>
    <row r="8281" ht="14.4" x14ac:dyDescent="0.3"/>
    <row r="8282" ht="14.4" x14ac:dyDescent="0.3"/>
    <row r="8283" ht="14.4" x14ac:dyDescent="0.3"/>
    <row r="8284" ht="14.4" x14ac:dyDescent="0.3"/>
    <row r="8285" ht="14.4" x14ac:dyDescent="0.3"/>
    <row r="8286" ht="14.4" x14ac:dyDescent="0.3"/>
    <row r="8287" ht="14.4" x14ac:dyDescent="0.3"/>
    <row r="8288" ht="14.4" x14ac:dyDescent="0.3"/>
    <row r="8289" ht="14.4" x14ac:dyDescent="0.3"/>
    <row r="8290" ht="14.4" x14ac:dyDescent="0.3"/>
    <row r="8291" ht="14.4" x14ac:dyDescent="0.3"/>
    <row r="8292" ht="14.4" x14ac:dyDescent="0.3"/>
    <row r="8293" ht="14.4" x14ac:dyDescent="0.3"/>
    <row r="8294" ht="14.4" x14ac:dyDescent="0.3"/>
    <row r="8295" ht="14.4" x14ac:dyDescent="0.3"/>
    <row r="8296" ht="14.4" x14ac:dyDescent="0.3"/>
    <row r="8297" ht="14.4" x14ac:dyDescent="0.3"/>
    <row r="8298" ht="14.4" x14ac:dyDescent="0.3"/>
    <row r="8299" ht="14.4" x14ac:dyDescent="0.3"/>
    <row r="8300" ht="14.4" x14ac:dyDescent="0.3"/>
    <row r="8301" ht="14.4" x14ac:dyDescent="0.3"/>
    <row r="8302" ht="14.4" x14ac:dyDescent="0.3"/>
    <row r="8303" ht="14.4" x14ac:dyDescent="0.3"/>
    <row r="8304" ht="14.4" x14ac:dyDescent="0.3"/>
    <row r="8305" ht="14.4" x14ac:dyDescent="0.3"/>
    <row r="8306" ht="14.4" x14ac:dyDescent="0.3"/>
    <row r="8307" ht="14.4" x14ac:dyDescent="0.3"/>
    <row r="8308" ht="14.4" x14ac:dyDescent="0.3"/>
    <row r="8309" ht="14.4" x14ac:dyDescent="0.3"/>
    <row r="8310" ht="14.4" x14ac:dyDescent="0.3"/>
    <row r="8311" ht="14.4" x14ac:dyDescent="0.3"/>
    <row r="8312" ht="14.4" x14ac:dyDescent="0.3"/>
    <row r="8313" ht="14.4" x14ac:dyDescent="0.3"/>
    <row r="8314" ht="14.4" x14ac:dyDescent="0.3"/>
    <row r="8315" ht="14.4" x14ac:dyDescent="0.3"/>
    <row r="8316" ht="14.4" x14ac:dyDescent="0.3"/>
    <row r="8317" ht="14.4" x14ac:dyDescent="0.3"/>
    <row r="8318" ht="14.4" x14ac:dyDescent="0.3"/>
    <row r="8319" ht="14.4" x14ac:dyDescent="0.3"/>
    <row r="8320" ht="14.4" x14ac:dyDescent="0.3"/>
    <row r="8321" ht="14.4" x14ac:dyDescent="0.3"/>
    <row r="8322" ht="14.4" x14ac:dyDescent="0.3"/>
    <row r="8323" ht="14.4" x14ac:dyDescent="0.3"/>
    <row r="8324" ht="14.4" x14ac:dyDescent="0.3"/>
    <row r="8325" ht="14.4" x14ac:dyDescent="0.3"/>
    <row r="8326" ht="14.4" x14ac:dyDescent="0.3"/>
    <row r="8327" ht="14.4" x14ac:dyDescent="0.3"/>
    <row r="8328" ht="14.4" x14ac:dyDescent="0.3"/>
    <row r="8329" ht="14.4" x14ac:dyDescent="0.3"/>
    <row r="8330" ht="14.4" x14ac:dyDescent="0.3"/>
    <row r="8331" ht="14.4" x14ac:dyDescent="0.3"/>
    <row r="8332" ht="14.4" x14ac:dyDescent="0.3"/>
    <row r="8333" ht="14.4" x14ac:dyDescent="0.3"/>
    <row r="8334" ht="14.4" x14ac:dyDescent="0.3"/>
    <row r="8335" ht="14.4" x14ac:dyDescent="0.3"/>
    <row r="8336" ht="14.4" x14ac:dyDescent="0.3"/>
    <row r="8337" ht="14.4" x14ac:dyDescent="0.3"/>
    <row r="8338" ht="14.4" x14ac:dyDescent="0.3"/>
    <row r="8339" ht="14.4" x14ac:dyDescent="0.3"/>
    <row r="8340" ht="14.4" x14ac:dyDescent="0.3"/>
    <row r="8341" ht="14.4" x14ac:dyDescent="0.3"/>
    <row r="8342" ht="14.4" x14ac:dyDescent="0.3"/>
    <row r="8343" ht="14.4" x14ac:dyDescent="0.3"/>
    <row r="8344" ht="14.4" x14ac:dyDescent="0.3"/>
    <row r="8345" ht="14.4" x14ac:dyDescent="0.3"/>
    <row r="8346" ht="14.4" x14ac:dyDescent="0.3"/>
    <row r="8347" ht="14.4" x14ac:dyDescent="0.3"/>
    <row r="8348" ht="14.4" x14ac:dyDescent="0.3"/>
    <row r="8349" ht="14.4" x14ac:dyDescent="0.3"/>
    <row r="8350" ht="14.4" x14ac:dyDescent="0.3"/>
    <row r="8351" ht="14.4" x14ac:dyDescent="0.3"/>
    <row r="8352" ht="14.4" x14ac:dyDescent="0.3"/>
    <row r="8353" ht="14.4" x14ac:dyDescent="0.3"/>
    <row r="8354" ht="14.4" x14ac:dyDescent="0.3"/>
    <row r="8355" ht="14.4" x14ac:dyDescent="0.3"/>
    <row r="8356" ht="14.4" x14ac:dyDescent="0.3"/>
    <row r="8357" ht="14.4" x14ac:dyDescent="0.3"/>
    <row r="8358" ht="14.4" x14ac:dyDescent="0.3"/>
    <row r="8359" ht="14.4" x14ac:dyDescent="0.3"/>
    <row r="8360" ht="14.4" x14ac:dyDescent="0.3"/>
    <row r="8361" ht="14.4" x14ac:dyDescent="0.3"/>
    <row r="8362" ht="14.4" x14ac:dyDescent="0.3"/>
    <row r="8363" ht="14.4" x14ac:dyDescent="0.3"/>
    <row r="8364" ht="14.4" x14ac:dyDescent="0.3"/>
    <row r="8365" ht="14.4" x14ac:dyDescent="0.3"/>
    <row r="8366" ht="14.4" x14ac:dyDescent="0.3"/>
    <row r="8367" ht="14.4" x14ac:dyDescent="0.3"/>
    <row r="8368" ht="14.4" x14ac:dyDescent="0.3"/>
    <row r="8369" ht="14.4" x14ac:dyDescent="0.3"/>
    <row r="8370" ht="14.4" x14ac:dyDescent="0.3"/>
    <row r="8371" ht="14.4" x14ac:dyDescent="0.3"/>
    <row r="8372" ht="14.4" x14ac:dyDescent="0.3"/>
    <row r="8373" ht="14.4" x14ac:dyDescent="0.3"/>
    <row r="8374" ht="14.4" x14ac:dyDescent="0.3"/>
    <row r="8375" ht="14.4" x14ac:dyDescent="0.3"/>
    <row r="8376" ht="14.4" x14ac:dyDescent="0.3"/>
    <row r="8377" ht="14.4" x14ac:dyDescent="0.3"/>
    <row r="8378" ht="14.4" x14ac:dyDescent="0.3"/>
    <row r="8379" ht="14.4" x14ac:dyDescent="0.3"/>
    <row r="8380" ht="14.4" x14ac:dyDescent="0.3"/>
    <row r="8381" ht="14.4" x14ac:dyDescent="0.3"/>
    <row r="8382" ht="14.4" x14ac:dyDescent="0.3"/>
    <row r="8383" ht="14.4" x14ac:dyDescent="0.3"/>
    <row r="8384" ht="14.4" x14ac:dyDescent="0.3"/>
    <row r="8385" ht="14.4" x14ac:dyDescent="0.3"/>
    <row r="8386" ht="14.4" x14ac:dyDescent="0.3"/>
    <row r="8387" ht="14.4" x14ac:dyDescent="0.3"/>
    <row r="8388" ht="14.4" x14ac:dyDescent="0.3"/>
    <row r="8389" ht="14.4" x14ac:dyDescent="0.3"/>
    <row r="8390" ht="14.4" x14ac:dyDescent="0.3"/>
    <row r="8391" ht="14.4" x14ac:dyDescent="0.3"/>
    <row r="8392" ht="14.4" x14ac:dyDescent="0.3"/>
    <row r="8393" ht="14.4" x14ac:dyDescent="0.3"/>
    <row r="8394" ht="14.4" x14ac:dyDescent="0.3"/>
    <row r="8395" ht="14.4" x14ac:dyDescent="0.3"/>
    <row r="8396" ht="14.4" x14ac:dyDescent="0.3"/>
    <row r="8397" ht="14.4" x14ac:dyDescent="0.3"/>
    <row r="8398" ht="14.4" x14ac:dyDescent="0.3"/>
    <row r="8399" ht="14.4" x14ac:dyDescent="0.3"/>
    <row r="8400" ht="14.4" x14ac:dyDescent="0.3"/>
    <row r="8401" ht="14.4" x14ac:dyDescent="0.3"/>
    <row r="8402" ht="14.4" x14ac:dyDescent="0.3"/>
    <row r="8403" ht="14.4" x14ac:dyDescent="0.3"/>
    <row r="8404" ht="14.4" x14ac:dyDescent="0.3"/>
    <row r="8405" ht="14.4" x14ac:dyDescent="0.3"/>
    <row r="8406" ht="14.4" x14ac:dyDescent="0.3"/>
    <row r="8407" ht="14.4" x14ac:dyDescent="0.3"/>
    <row r="8408" ht="14.4" x14ac:dyDescent="0.3"/>
    <row r="8409" ht="14.4" x14ac:dyDescent="0.3"/>
    <row r="8410" ht="14.4" x14ac:dyDescent="0.3"/>
    <row r="8411" ht="14.4" x14ac:dyDescent="0.3"/>
    <row r="8412" ht="14.4" x14ac:dyDescent="0.3"/>
    <row r="8413" ht="14.4" x14ac:dyDescent="0.3"/>
    <row r="8414" ht="14.4" x14ac:dyDescent="0.3"/>
    <row r="8415" ht="14.4" x14ac:dyDescent="0.3"/>
    <row r="8416" ht="14.4" x14ac:dyDescent="0.3"/>
    <row r="8417" spans="1:43" ht="14.4" x14ac:dyDescent="0.3"/>
    <row r="8418" spans="1:43" ht="14.4" x14ac:dyDescent="0.3"/>
    <row r="8419" spans="1:43" ht="14.4" x14ac:dyDescent="0.3"/>
    <row r="8420" spans="1:43" ht="14.4" x14ac:dyDescent="0.3"/>
    <row r="8421" spans="1:43" ht="14.4" x14ac:dyDescent="0.3"/>
    <row r="8422" spans="1:43" ht="14.4" x14ac:dyDescent="0.3"/>
    <row r="8423" spans="1:43" ht="14.4" x14ac:dyDescent="0.3"/>
    <row r="8424" spans="1:43" ht="14.4" x14ac:dyDescent="0.3"/>
    <row r="8425" spans="1:43" ht="14.4" x14ac:dyDescent="0.3"/>
    <row r="8426" spans="1:43" ht="14.4" x14ac:dyDescent="0.3"/>
    <row r="8427" spans="1:43" ht="14.4" hidden="1" x14ac:dyDescent="0.3">
      <c r="A8427" t="s">
        <v>1556</v>
      </c>
      <c r="B8427">
        <v>4924085</v>
      </c>
      <c r="C8427" t="s">
        <v>424</v>
      </c>
      <c r="D8427" t="s">
        <v>433</v>
      </c>
      <c r="E8427" t="s">
        <v>803</v>
      </c>
      <c r="F8427" t="s">
        <v>876</v>
      </c>
      <c r="H8427" t="s">
        <v>308</v>
      </c>
      <c r="J8427" t="s">
        <v>140</v>
      </c>
      <c r="K8427">
        <v>160744.32000000001</v>
      </c>
      <c r="L8427">
        <v>387970.97</v>
      </c>
      <c r="M8427">
        <v>1</v>
      </c>
      <c r="N8427" t="s">
        <v>263</v>
      </c>
      <c r="O8427" t="s">
        <v>1385</v>
      </c>
      <c r="P8427" t="s">
        <v>489</v>
      </c>
      <c r="Q8427" t="s">
        <v>264</v>
      </c>
      <c r="R8427" t="s">
        <v>145</v>
      </c>
      <c r="S8427">
        <v>36</v>
      </c>
      <c r="T8427">
        <v>2900</v>
      </c>
      <c r="V8427" t="s">
        <v>265</v>
      </c>
      <c r="W8427" t="s">
        <v>147</v>
      </c>
      <c r="X8427" t="s">
        <v>7</v>
      </c>
      <c r="Y8427" t="s">
        <v>549</v>
      </c>
      <c r="Z8427" t="s">
        <v>1557</v>
      </c>
      <c r="AA8427" t="s">
        <v>1453</v>
      </c>
      <c r="AB8427">
        <v>0</v>
      </c>
      <c r="AE8427" t="s">
        <v>615</v>
      </c>
      <c r="AF8427" t="s">
        <v>1557</v>
      </c>
      <c r="AG8427" t="s">
        <v>1453</v>
      </c>
      <c r="AL8427" t="s">
        <v>1558</v>
      </c>
      <c r="AM8427" t="s">
        <v>1559</v>
      </c>
      <c r="AN8427" t="s">
        <v>1560</v>
      </c>
      <c r="AO8427" t="s">
        <v>263</v>
      </c>
      <c r="AQ8427" t="str">
        <f>IF(ISBLANK(AP8427), IFERROR(IF(VLOOKUP(AO8427, Ellens_additions!$A$2:$B$252, 2, FALSE) = "", "", VLOOKUP(AO8427, Ellens_additions!$A$2:$B$252, 2, FALSE)), 0), AP8427)</f>
        <v/>
      </c>
    </row>
    <row r="8428" spans="1:43" ht="14.4" x14ac:dyDescent="0.3"/>
    <row r="8429" spans="1:43" ht="14.4" x14ac:dyDescent="0.3"/>
    <row r="8430" spans="1:43" ht="14.4" x14ac:dyDescent="0.3"/>
    <row r="8431" spans="1:43" ht="14.4" x14ac:dyDescent="0.3"/>
    <row r="8432" spans="1:43" ht="14.4" x14ac:dyDescent="0.3"/>
    <row r="8433" spans="1:43" ht="14.4" x14ac:dyDescent="0.3"/>
    <row r="8434" spans="1:43" ht="14.4" x14ac:dyDescent="0.3"/>
    <row r="8435" spans="1:43" ht="14.4" x14ac:dyDescent="0.3"/>
    <row r="8436" spans="1:43" ht="14.4" x14ac:dyDescent="0.3"/>
    <row r="8437" spans="1:43" ht="14.4" x14ac:dyDescent="0.3"/>
    <row r="8438" spans="1:43" ht="14.4" x14ac:dyDescent="0.3"/>
    <row r="8439" spans="1:43" ht="14.4" x14ac:dyDescent="0.3"/>
    <row r="8440" spans="1:43" ht="14.4" x14ac:dyDescent="0.3"/>
    <row r="8441" spans="1:43" ht="14.4" x14ac:dyDescent="0.3"/>
    <row r="8442" spans="1:43" ht="14.4" x14ac:dyDescent="0.3"/>
    <row r="8443" spans="1:43" ht="14.4" hidden="1" x14ac:dyDescent="0.3">
      <c r="A8443" t="s">
        <v>1561</v>
      </c>
      <c r="B8443">
        <v>4924116</v>
      </c>
      <c r="C8443" t="s">
        <v>424</v>
      </c>
      <c r="D8443" t="s">
        <v>433</v>
      </c>
      <c r="E8443" t="s">
        <v>754</v>
      </c>
      <c r="F8443" t="s">
        <v>792</v>
      </c>
      <c r="H8443" t="s">
        <v>290</v>
      </c>
      <c r="J8443" t="s">
        <v>140</v>
      </c>
      <c r="K8443">
        <v>160820.26</v>
      </c>
      <c r="L8443">
        <v>388357.05</v>
      </c>
      <c r="M8443">
        <v>1</v>
      </c>
      <c r="N8443" t="s">
        <v>1562</v>
      </c>
      <c r="O8443" t="s">
        <v>510</v>
      </c>
      <c r="P8443" t="s">
        <v>787</v>
      </c>
      <c r="Q8443" t="s">
        <v>144</v>
      </c>
      <c r="R8443" t="s">
        <v>145</v>
      </c>
      <c r="S8443">
        <v>27</v>
      </c>
      <c r="T8443">
        <v>2500</v>
      </c>
      <c r="V8443" t="s">
        <v>146</v>
      </c>
      <c r="W8443" t="s">
        <v>147</v>
      </c>
      <c r="X8443" t="s">
        <v>7</v>
      </c>
      <c r="Y8443" t="s">
        <v>863</v>
      </c>
      <c r="Z8443" t="s">
        <v>510</v>
      </c>
      <c r="AA8443" t="s">
        <v>685</v>
      </c>
      <c r="AB8443">
        <v>40</v>
      </c>
      <c r="AE8443" t="s">
        <v>816</v>
      </c>
      <c r="AF8443" t="s">
        <v>612</v>
      </c>
      <c r="AG8443" t="s">
        <v>1088</v>
      </c>
      <c r="AL8443" t="s">
        <v>1563</v>
      </c>
      <c r="AM8443" t="s">
        <v>1564</v>
      </c>
      <c r="AN8443" t="s">
        <v>1565</v>
      </c>
      <c r="AO8443" t="s">
        <v>1562</v>
      </c>
      <c r="AP8443" t="s">
        <v>158</v>
      </c>
      <c r="AQ8443" t="str">
        <f>IF(ISBLANK(AP8443), IFERROR(IF(VLOOKUP(AO8443, Ellens_additions!$A$2:$B$252, 2, FALSE) = "", "", VLOOKUP(AO8443, Ellens_additions!$A$2:$B$252, 2, FALSE)), 0), AP8443)</f>
        <v>3000</v>
      </c>
    </row>
    <row r="8444" spans="1:43" ht="14.4" x14ac:dyDescent="0.3"/>
    <row r="8445" spans="1:43" ht="14.4" x14ac:dyDescent="0.3"/>
    <row r="8446" spans="1:43" ht="14.4" x14ac:dyDescent="0.3"/>
    <row r="8447" spans="1:43" ht="14.4" hidden="1" x14ac:dyDescent="0.3">
      <c r="A8447" t="s">
        <v>1566</v>
      </c>
      <c r="B8447">
        <v>4924130</v>
      </c>
      <c r="C8447" t="s">
        <v>424</v>
      </c>
      <c r="D8447" t="s">
        <v>428</v>
      </c>
      <c r="E8447" t="s">
        <v>750</v>
      </c>
      <c r="F8447" t="s">
        <v>620</v>
      </c>
      <c r="H8447" t="s">
        <v>1567</v>
      </c>
      <c r="J8447" t="s">
        <v>140</v>
      </c>
      <c r="K8447">
        <v>162501.65</v>
      </c>
      <c r="L8447">
        <v>388619.97</v>
      </c>
      <c r="N8447" t="s">
        <v>1494</v>
      </c>
      <c r="O8447" t="s">
        <v>1568</v>
      </c>
      <c r="P8447" t="s">
        <v>785</v>
      </c>
      <c r="Q8447" t="s">
        <v>144</v>
      </c>
      <c r="S8447">
        <v>0</v>
      </c>
      <c r="T8447">
        <v>0</v>
      </c>
      <c r="V8447" t="s">
        <v>146</v>
      </c>
      <c r="W8447" t="s">
        <v>184</v>
      </c>
      <c r="Y8447" t="s">
        <v>1569</v>
      </c>
      <c r="Z8447" t="s">
        <v>1568</v>
      </c>
      <c r="AA8447" t="s">
        <v>936</v>
      </c>
      <c r="AB8447">
        <v>0</v>
      </c>
      <c r="AE8447" t="s">
        <v>1496</v>
      </c>
      <c r="AF8447" t="s">
        <v>1568</v>
      </c>
      <c r="AG8447" t="s">
        <v>1570</v>
      </c>
      <c r="AL8447" t="s">
        <v>1571</v>
      </c>
      <c r="AM8447" t="s">
        <v>1572</v>
      </c>
      <c r="AN8447" t="s">
        <v>1573</v>
      </c>
      <c r="AO8447" t="s">
        <v>1494</v>
      </c>
      <c r="AQ8447">
        <f>IF(ISBLANK(AP8447), IFERROR(IF(VLOOKUP(AO8447, Ellens_additions!$A$2:$B$252, 2, FALSE) = "", "", VLOOKUP(AO8447, Ellens_additions!$A$2:$B$252, 2, FALSE)), 0), AP8447)</f>
        <v>0</v>
      </c>
    </row>
    <row r="8448" spans="1:43" ht="14.4" hidden="1" x14ac:dyDescent="0.3">
      <c r="A8448" t="s">
        <v>1574</v>
      </c>
      <c r="B8448">
        <v>4924133</v>
      </c>
      <c r="C8448" t="s">
        <v>424</v>
      </c>
      <c r="D8448" t="s">
        <v>428</v>
      </c>
      <c r="E8448" t="s">
        <v>619</v>
      </c>
      <c r="F8448" t="s">
        <v>620</v>
      </c>
      <c r="H8448" t="s">
        <v>1575</v>
      </c>
      <c r="J8448" t="s">
        <v>140</v>
      </c>
      <c r="K8448">
        <v>162489.75</v>
      </c>
      <c r="L8448">
        <v>388644.39</v>
      </c>
      <c r="N8448" t="s">
        <v>1494</v>
      </c>
      <c r="O8448" t="s">
        <v>1568</v>
      </c>
      <c r="P8448" t="s">
        <v>785</v>
      </c>
      <c r="Q8448" t="s">
        <v>144</v>
      </c>
      <c r="S8448">
        <v>0</v>
      </c>
      <c r="T8448">
        <v>0</v>
      </c>
      <c r="V8448" t="s">
        <v>146</v>
      </c>
      <c r="W8448" t="s">
        <v>184</v>
      </c>
      <c r="Y8448" t="s">
        <v>1569</v>
      </c>
      <c r="Z8448" t="s">
        <v>1568</v>
      </c>
      <c r="AA8448" t="s">
        <v>936</v>
      </c>
      <c r="AB8448">
        <v>0</v>
      </c>
      <c r="AE8448" t="s">
        <v>1496</v>
      </c>
      <c r="AF8448" t="s">
        <v>1568</v>
      </c>
      <c r="AG8448" t="s">
        <v>1570</v>
      </c>
      <c r="AL8448" t="s">
        <v>1576</v>
      </c>
      <c r="AM8448" t="s">
        <v>1577</v>
      </c>
      <c r="AN8448" t="s">
        <v>1578</v>
      </c>
      <c r="AO8448" t="s">
        <v>1494</v>
      </c>
      <c r="AQ8448">
        <f>IF(ISBLANK(AP8448), IFERROR(IF(VLOOKUP(AO8448, Ellens_additions!$A$2:$B$252, 2, FALSE) = "", "", VLOOKUP(AO8448, Ellens_additions!$A$2:$B$252, 2, FALSE)), 0), AP8448)</f>
        <v>0</v>
      </c>
    </row>
    <row r="8449" spans="1:43" ht="14.4" hidden="1" x14ac:dyDescent="0.3">
      <c r="A8449" t="s">
        <v>1579</v>
      </c>
      <c r="B8449">
        <v>4924143</v>
      </c>
      <c r="C8449" t="s">
        <v>424</v>
      </c>
      <c r="D8449" t="s">
        <v>428</v>
      </c>
      <c r="E8449" t="s">
        <v>755</v>
      </c>
      <c r="F8449" t="s">
        <v>620</v>
      </c>
      <c r="H8449" t="s">
        <v>1580</v>
      </c>
      <c r="J8449" t="s">
        <v>140</v>
      </c>
      <c r="K8449">
        <v>162536.82999999999</v>
      </c>
      <c r="L8449">
        <v>388646.31</v>
      </c>
      <c r="N8449" t="s">
        <v>1494</v>
      </c>
      <c r="O8449" t="s">
        <v>1568</v>
      </c>
      <c r="P8449" t="s">
        <v>785</v>
      </c>
      <c r="Q8449" t="s">
        <v>144</v>
      </c>
      <c r="S8449">
        <v>0</v>
      </c>
      <c r="T8449">
        <v>0</v>
      </c>
      <c r="V8449" t="s">
        <v>146</v>
      </c>
      <c r="W8449" t="s">
        <v>184</v>
      </c>
      <c r="Y8449" t="s">
        <v>1569</v>
      </c>
      <c r="Z8449" t="s">
        <v>1568</v>
      </c>
      <c r="AA8449" t="s">
        <v>936</v>
      </c>
      <c r="AB8449">
        <v>0</v>
      </c>
      <c r="AE8449" t="s">
        <v>1496</v>
      </c>
      <c r="AF8449" t="s">
        <v>1568</v>
      </c>
      <c r="AG8449" t="s">
        <v>1570</v>
      </c>
      <c r="AL8449" t="s">
        <v>1581</v>
      </c>
      <c r="AM8449" t="s">
        <v>1582</v>
      </c>
      <c r="AN8449" t="s">
        <v>1583</v>
      </c>
      <c r="AO8449" t="s">
        <v>1494</v>
      </c>
      <c r="AQ8449">
        <f>IF(ISBLANK(AP8449), IFERROR(IF(VLOOKUP(AO8449, Ellens_additions!$A$2:$B$252, 2, FALSE) = "", "", VLOOKUP(AO8449, Ellens_additions!$A$2:$B$252, 2, FALSE)), 0), AP8449)</f>
        <v>0</v>
      </c>
    </row>
    <row r="8450" spans="1:43" ht="14.4" hidden="1" x14ac:dyDescent="0.3">
      <c r="A8450" t="s">
        <v>1584</v>
      </c>
      <c r="B8450">
        <v>4924144</v>
      </c>
      <c r="C8450" t="s">
        <v>424</v>
      </c>
      <c r="D8450" t="s">
        <v>428</v>
      </c>
      <c r="E8450" t="s">
        <v>755</v>
      </c>
      <c r="F8450" t="s">
        <v>620</v>
      </c>
      <c r="H8450" t="s">
        <v>1585</v>
      </c>
      <c r="J8450" t="s">
        <v>140</v>
      </c>
      <c r="K8450">
        <v>162535.84</v>
      </c>
      <c r="L8450">
        <v>388632.47</v>
      </c>
      <c r="N8450" t="s">
        <v>1494</v>
      </c>
      <c r="O8450" t="s">
        <v>1568</v>
      </c>
      <c r="P8450" t="s">
        <v>785</v>
      </c>
      <c r="Q8450" t="s">
        <v>144</v>
      </c>
      <c r="S8450">
        <v>0</v>
      </c>
      <c r="T8450">
        <v>0</v>
      </c>
      <c r="V8450" t="s">
        <v>146</v>
      </c>
      <c r="W8450" t="s">
        <v>184</v>
      </c>
      <c r="Y8450" t="s">
        <v>1569</v>
      </c>
      <c r="Z8450" t="s">
        <v>1568</v>
      </c>
      <c r="AA8450" t="s">
        <v>936</v>
      </c>
      <c r="AB8450">
        <v>0</v>
      </c>
      <c r="AE8450" t="s">
        <v>1496</v>
      </c>
      <c r="AF8450" t="s">
        <v>1568</v>
      </c>
      <c r="AG8450" t="s">
        <v>1570</v>
      </c>
      <c r="AL8450" t="s">
        <v>1586</v>
      </c>
      <c r="AM8450" t="s">
        <v>1587</v>
      </c>
      <c r="AN8450" t="s">
        <v>1588</v>
      </c>
      <c r="AO8450" t="s">
        <v>1494</v>
      </c>
      <c r="AQ8450">
        <f>IF(ISBLANK(AP8450), IFERROR(IF(VLOOKUP(AO8450, Ellens_additions!$A$2:$B$252, 2, FALSE) = "", "", VLOOKUP(AO8450, Ellens_additions!$A$2:$B$252, 2, FALSE)), 0), AP8450)</f>
        <v>0</v>
      </c>
    </row>
    <row r="8451" spans="1:43" ht="14.4" hidden="1" x14ac:dyDescent="0.3">
      <c r="A8451" t="s">
        <v>1589</v>
      </c>
      <c r="B8451">
        <v>4924145</v>
      </c>
      <c r="C8451" t="s">
        <v>424</v>
      </c>
      <c r="D8451" t="s">
        <v>428</v>
      </c>
      <c r="E8451" t="s">
        <v>755</v>
      </c>
      <c r="F8451" t="s">
        <v>620</v>
      </c>
      <c r="H8451" t="s">
        <v>1590</v>
      </c>
      <c r="J8451" t="s">
        <v>140</v>
      </c>
      <c r="K8451">
        <v>162536.99</v>
      </c>
      <c r="L8451">
        <v>388636</v>
      </c>
      <c r="N8451" t="s">
        <v>1494</v>
      </c>
      <c r="O8451" t="s">
        <v>1568</v>
      </c>
      <c r="P8451" t="s">
        <v>785</v>
      </c>
      <c r="Q8451" t="s">
        <v>144</v>
      </c>
      <c r="S8451">
        <v>0</v>
      </c>
      <c r="T8451">
        <v>0</v>
      </c>
      <c r="V8451" t="s">
        <v>146</v>
      </c>
      <c r="W8451" t="s">
        <v>184</v>
      </c>
      <c r="Y8451" t="s">
        <v>1569</v>
      </c>
      <c r="Z8451" t="s">
        <v>1568</v>
      </c>
      <c r="AA8451" t="s">
        <v>936</v>
      </c>
      <c r="AB8451">
        <v>0</v>
      </c>
      <c r="AE8451" t="s">
        <v>1496</v>
      </c>
      <c r="AF8451" t="s">
        <v>1568</v>
      </c>
      <c r="AG8451" t="s">
        <v>1570</v>
      </c>
      <c r="AL8451" t="s">
        <v>1591</v>
      </c>
      <c r="AM8451" t="s">
        <v>1592</v>
      </c>
      <c r="AN8451" t="s">
        <v>1593</v>
      </c>
      <c r="AO8451" t="s">
        <v>1494</v>
      </c>
      <c r="AQ8451">
        <f>IF(ISBLANK(AP8451), IFERROR(IF(VLOOKUP(AO8451, Ellens_additions!$A$2:$B$252, 2, FALSE) = "", "", VLOOKUP(AO8451, Ellens_additions!$A$2:$B$252, 2, FALSE)), 0), AP8451)</f>
        <v>0</v>
      </c>
    </row>
    <row r="8452" spans="1:43" ht="14.4" hidden="1" x14ac:dyDescent="0.3">
      <c r="A8452" t="s">
        <v>1594</v>
      </c>
      <c r="B8452">
        <v>4924147</v>
      </c>
      <c r="C8452" t="s">
        <v>424</v>
      </c>
      <c r="D8452" t="s">
        <v>428</v>
      </c>
      <c r="E8452" t="s">
        <v>755</v>
      </c>
      <c r="F8452" t="s">
        <v>620</v>
      </c>
      <c r="H8452" t="s">
        <v>1595</v>
      </c>
      <c r="J8452" t="s">
        <v>140</v>
      </c>
      <c r="K8452">
        <v>162537.45000000001</v>
      </c>
      <c r="L8452">
        <v>388642.74</v>
      </c>
      <c r="N8452" t="s">
        <v>1494</v>
      </c>
      <c r="O8452" t="s">
        <v>1568</v>
      </c>
      <c r="P8452" t="s">
        <v>785</v>
      </c>
      <c r="Q8452" t="s">
        <v>144</v>
      </c>
      <c r="S8452">
        <v>0</v>
      </c>
      <c r="T8452">
        <v>0</v>
      </c>
      <c r="V8452" t="s">
        <v>146</v>
      </c>
      <c r="W8452" t="s">
        <v>184</v>
      </c>
      <c r="Y8452" t="s">
        <v>1569</v>
      </c>
      <c r="Z8452" t="s">
        <v>1568</v>
      </c>
      <c r="AA8452" t="s">
        <v>936</v>
      </c>
      <c r="AB8452">
        <v>0</v>
      </c>
      <c r="AE8452" t="s">
        <v>1496</v>
      </c>
      <c r="AF8452" t="s">
        <v>1568</v>
      </c>
      <c r="AG8452" t="s">
        <v>1570</v>
      </c>
      <c r="AL8452" t="s">
        <v>1596</v>
      </c>
      <c r="AM8452" t="s">
        <v>1597</v>
      </c>
      <c r="AN8452" t="s">
        <v>1598</v>
      </c>
      <c r="AO8452" t="s">
        <v>1494</v>
      </c>
      <c r="AQ8452">
        <f>IF(ISBLANK(AP8452), IFERROR(IF(VLOOKUP(AO8452, Ellens_additions!$A$2:$B$252, 2, FALSE) = "", "", VLOOKUP(AO8452, Ellens_additions!$A$2:$B$252, 2, FALSE)), 0), AP8452)</f>
        <v>0</v>
      </c>
    </row>
    <row r="8453" spans="1:43" ht="14.4" hidden="1" x14ac:dyDescent="0.3">
      <c r="A8453" t="s">
        <v>1599</v>
      </c>
      <c r="B8453">
        <v>4924150</v>
      </c>
      <c r="C8453" t="s">
        <v>424</v>
      </c>
      <c r="D8453" t="s">
        <v>428</v>
      </c>
      <c r="E8453" t="s">
        <v>755</v>
      </c>
      <c r="F8453" t="s">
        <v>620</v>
      </c>
      <c r="H8453" t="s">
        <v>1600</v>
      </c>
      <c r="J8453" t="s">
        <v>140</v>
      </c>
      <c r="K8453">
        <v>162517.63</v>
      </c>
      <c r="L8453">
        <v>388664.46</v>
      </c>
      <c r="N8453" t="s">
        <v>1494</v>
      </c>
      <c r="O8453" t="s">
        <v>1568</v>
      </c>
      <c r="P8453" t="s">
        <v>785</v>
      </c>
      <c r="Q8453" t="s">
        <v>144</v>
      </c>
      <c r="S8453">
        <v>0</v>
      </c>
      <c r="T8453">
        <v>0</v>
      </c>
      <c r="V8453" t="s">
        <v>146</v>
      </c>
      <c r="W8453" t="s">
        <v>184</v>
      </c>
      <c r="Y8453" t="s">
        <v>1569</v>
      </c>
      <c r="Z8453" t="s">
        <v>1568</v>
      </c>
      <c r="AA8453" t="s">
        <v>936</v>
      </c>
      <c r="AB8453">
        <v>0</v>
      </c>
      <c r="AE8453" t="s">
        <v>1496</v>
      </c>
      <c r="AF8453" t="s">
        <v>1568</v>
      </c>
      <c r="AG8453" t="s">
        <v>1570</v>
      </c>
      <c r="AL8453" t="s">
        <v>1601</v>
      </c>
      <c r="AM8453" t="s">
        <v>1602</v>
      </c>
      <c r="AN8453" t="s">
        <v>1603</v>
      </c>
      <c r="AO8453" t="s">
        <v>1494</v>
      </c>
      <c r="AQ8453">
        <f>IF(ISBLANK(AP8453), IFERROR(IF(VLOOKUP(AO8453, Ellens_additions!$A$2:$B$252, 2, FALSE) = "", "", VLOOKUP(AO8453, Ellens_additions!$A$2:$B$252, 2, FALSE)), 0), AP8453)</f>
        <v>0</v>
      </c>
    </row>
    <row r="8454" spans="1:43" ht="14.4" hidden="1" x14ac:dyDescent="0.3">
      <c r="A8454" t="s">
        <v>1604</v>
      </c>
      <c r="B8454">
        <v>4924154</v>
      </c>
      <c r="C8454" t="s">
        <v>424</v>
      </c>
      <c r="D8454" t="s">
        <v>428</v>
      </c>
      <c r="E8454" t="s">
        <v>755</v>
      </c>
      <c r="F8454" t="s">
        <v>620</v>
      </c>
      <c r="H8454" t="s">
        <v>1605</v>
      </c>
      <c r="J8454" t="s">
        <v>140</v>
      </c>
      <c r="K8454">
        <v>162531.62</v>
      </c>
      <c r="L8454">
        <v>388656.5</v>
      </c>
      <c r="N8454" t="s">
        <v>1494</v>
      </c>
      <c r="O8454" t="s">
        <v>1568</v>
      </c>
      <c r="P8454" t="s">
        <v>785</v>
      </c>
      <c r="Q8454" t="s">
        <v>144</v>
      </c>
      <c r="S8454">
        <v>0</v>
      </c>
      <c r="T8454">
        <v>0</v>
      </c>
      <c r="V8454" t="s">
        <v>146</v>
      </c>
      <c r="W8454" t="s">
        <v>184</v>
      </c>
      <c r="Y8454" t="s">
        <v>1569</v>
      </c>
      <c r="Z8454" t="s">
        <v>1568</v>
      </c>
      <c r="AA8454" t="s">
        <v>936</v>
      </c>
      <c r="AB8454">
        <v>0</v>
      </c>
      <c r="AE8454" t="s">
        <v>1496</v>
      </c>
      <c r="AF8454" t="s">
        <v>1568</v>
      </c>
      <c r="AG8454" t="s">
        <v>1570</v>
      </c>
      <c r="AL8454" t="s">
        <v>1606</v>
      </c>
      <c r="AM8454" t="s">
        <v>1607</v>
      </c>
      <c r="AN8454" t="s">
        <v>1608</v>
      </c>
      <c r="AO8454" t="s">
        <v>1494</v>
      </c>
      <c r="AQ8454">
        <f>IF(ISBLANK(AP8454), IFERROR(IF(VLOOKUP(AO8454, Ellens_additions!$A$2:$B$252, 2, FALSE) = "", "", VLOOKUP(AO8454, Ellens_additions!$A$2:$B$252, 2, FALSE)), 0), AP8454)</f>
        <v>0</v>
      </c>
    </row>
    <row r="8455" spans="1:43" ht="14.4" hidden="1" x14ac:dyDescent="0.3">
      <c r="A8455" t="s">
        <v>1609</v>
      </c>
      <c r="B8455">
        <v>4924156</v>
      </c>
      <c r="C8455" t="s">
        <v>424</v>
      </c>
      <c r="D8455" t="s">
        <v>428</v>
      </c>
      <c r="E8455" t="s">
        <v>755</v>
      </c>
      <c r="F8455" t="s">
        <v>620</v>
      </c>
      <c r="H8455" t="s">
        <v>1610</v>
      </c>
      <c r="J8455" t="s">
        <v>140</v>
      </c>
      <c r="K8455">
        <v>162525.51999999999</v>
      </c>
      <c r="L8455">
        <v>388661.59</v>
      </c>
      <c r="N8455" t="s">
        <v>1494</v>
      </c>
      <c r="O8455" t="s">
        <v>1568</v>
      </c>
      <c r="P8455" t="s">
        <v>785</v>
      </c>
      <c r="Q8455" t="s">
        <v>144</v>
      </c>
      <c r="S8455">
        <v>0</v>
      </c>
      <c r="T8455">
        <v>0</v>
      </c>
      <c r="V8455" t="s">
        <v>146</v>
      </c>
      <c r="W8455" t="s">
        <v>184</v>
      </c>
      <c r="Y8455" t="s">
        <v>1569</v>
      </c>
      <c r="Z8455" t="s">
        <v>1568</v>
      </c>
      <c r="AA8455" t="s">
        <v>936</v>
      </c>
      <c r="AB8455">
        <v>0</v>
      </c>
      <c r="AE8455" t="s">
        <v>1496</v>
      </c>
      <c r="AF8455" t="s">
        <v>1568</v>
      </c>
      <c r="AG8455" t="s">
        <v>1570</v>
      </c>
      <c r="AL8455" t="s">
        <v>1611</v>
      </c>
      <c r="AM8455" t="s">
        <v>1612</v>
      </c>
      <c r="AN8455" t="s">
        <v>1613</v>
      </c>
      <c r="AO8455" t="s">
        <v>1494</v>
      </c>
      <c r="AQ8455">
        <f>IF(ISBLANK(AP8455), IFERROR(IF(VLOOKUP(AO8455, Ellens_additions!$A$2:$B$252, 2, FALSE) = "", "", VLOOKUP(AO8455, Ellens_additions!$A$2:$B$252, 2, FALSE)), 0), AP8455)</f>
        <v>0</v>
      </c>
    </row>
    <row r="8456" spans="1:43" ht="14.4" hidden="1" x14ac:dyDescent="0.3">
      <c r="A8456" t="s">
        <v>1614</v>
      </c>
      <c r="B8456">
        <v>4924158</v>
      </c>
      <c r="C8456" t="s">
        <v>424</v>
      </c>
      <c r="D8456" t="s">
        <v>428</v>
      </c>
      <c r="E8456" t="s">
        <v>619</v>
      </c>
      <c r="F8456" t="s">
        <v>620</v>
      </c>
      <c r="H8456" t="s">
        <v>1615</v>
      </c>
      <c r="J8456" t="s">
        <v>140</v>
      </c>
      <c r="K8456">
        <v>162496.67000000001</v>
      </c>
      <c r="L8456">
        <v>388657.89</v>
      </c>
      <c r="N8456" t="s">
        <v>1494</v>
      </c>
      <c r="O8456" t="s">
        <v>1568</v>
      </c>
      <c r="P8456" t="s">
        <v>785</v>
      </c>
      <c r="Q8456" t="s">
        <v>144</v>
      </c>
      <c r="S8456">
        <v>0</v>
      </c>
      <c r="T8456">
        <v>0</v>
      </c>
      <c r="V8456" t="s">
        <v>146</v>
      </c>
      <c r="W8456" t="s">
        <v>184</v>
      </c>
      <c r="Y8456" t="s">
        <v>1569</v>
      </c>
      <c r="Z8456" t="s">
        <v>1568</v>
      </c>
      <c r="AA8456" t="s">
        <v>936</v>
      </c>
      <c r="AB8456">
        <v>0</v>
      </c>
      <c r="AE8456" t="s">
        <v>1496</v>
      </c>
      <c r="AF8456" t="s">
        <v>1568</v>
      </c>
      <c r="AG8456" t="s">
        <v>1570</v>
      </c>
      <c r="AL8456" t="s">
        <v>1616</v>
      </c>
      <c r="AM8456" t="s">
        <v>1617</v>
      </c>
      <c r="AN8456" t="s">
        <v>1618</v>
      </c>
      <c r="AO8456" t="s">
        <v>1494</v>
      </c>
      <c r="AQ8456">
        <f>IF(ISBLANK(AP8456), IFERROR(IF(VLOOKUP(AO8456, Ellens_additions!$A$2:$B$252, 2, FALSE) = "", "", VLOOKUP(AO8456, Ellens_additions!$A$2:$B$252, 2, FALSE)), 0), AP8456)</f>
        <v>0</v>
      </c>
    </row>
    <row r="8457" spans="1:43" ht="14.4" hidden="1" x14ac:dyDescent="0.3">
      <c r="A8457" t="s">
        <v>1619</v>
      </c>
      <c r="B8457">
        <v>4924159</v>
      </c>
      <c r="C8457" t="s">
        <v>424</v>
      </c>
      <c r="D8457" t="s">
        <v>428</v>
      </c>
      <c r="E8457" t="s">
        <v>619</v>
      </c>
      <c r="F8457" t="s">
        <v>620</v>
      </c>
      <c r="H8457" t="s">
        <v>1620</v>
      </c>
      <c r="J8457" t="s">
        <v>140</v>
      </c>
      <c r="K8457">
        <v>162499.35</v>
      </c>
      <c r="L8457">
        <v>388660.2</v>
      </c>
      <c r="N8457" t="s">
        <v>1494</v>
      </c>
      <c r="O8457" t="s">
        <v>1568</v>
      </c>
      <c r="P8457" t="s">
        <v>785</v>
      </c>
      <c r="Q8457" t="s">
        <v>144</v>
      </c>
      <c r="S8457">
        <v>0</v>
      </c>
      <c r="T8457">
        <v>0</v>
      </c>
      <c r="V8457" t="s">
        <v>146</v>
      </c>
      <c r="W8457" t="s">
        <v>184</v>
      </c>
      <c r="Y8457" t="s">
        <v>1569</v>
      </c>
      <c r="Z8457" t="s">
        <v>1568</v>
      </c>
      <c r="AA8457" t="s">
        <v>936</v>
      </c>
      <c r="AB8457">
        <v>0</v>
      </c>
      <c r="AE8457" t="s">
        <v>1496</v>
      </c>
      <c r="AF8457" t="s">
        <v>1568</v>
      </c>
      <c r="AG8457" t="s">
        <v>1570</v>
      </c>
      <c r="AL8457" t="s">
        <v>1621</v>
      </c>
      <c r="AM8457" t="s">
        <v>1622</v>
      </c>
      <c r="AN8457" t="s">
        <v>1623</v>
      </c>
      <c r="AO8457" t="s">
        <v>1494</v>
      </c>
      <c r="AQ8457">
        <f>IF(ISBLANK(AP8457), IFERROR(IF(VLOOKUP(AO8457, Ellens_additions!$A$2:$B$252, 2, FALSE) = "", "", VLOOKUP(AO8457, Ellens_additions!$A$2:$B$252, 2, FALSE)), 0), AP8457)</f>
        <v>0</v>
      </c>
    </row>
    <row r="8458" spans="1:43" ht="14.4" hidden="1" x14ac:dyDescent="0.3">
      <c r="A8458" t="s">
        <v>1624</v>
      </c>
      <c r="B8458">
        <v>4924162</v>
      </c>
      <c r="C8458" t="s">
        <v>424</v>
      </c>
      <c r="D8458" t="s">
        <v>428</v>
      </c>
      <c r="E8458" t="s">
        <v>619</v>
      </c>
      <c r="F8458" t="s">
        <v>620</v>
      </c>
      <c r="H8458" t="s">
        <v>1625</v>
      </c>
      <c r="J8458" t="s">
        <v>140</v>
      </c>
      <c r="K8458">
        <v>162508.92000000001</v>
      </c>
      <c r="L8458">
        <v>388664.48</v>
      </c>
      <c r="N8458" t="s">
        <v>1494</v>
      </c>
      <c r="O8458" t="s">
        <v>1568</v>
      </c>
      <c r="P8458" t="s">
        <v>785</v>
      </c>
      <c r="Q8458" t="s">
        <v>144</v>
      </c>
      <c r="S8458">
        <v>0</v>
      </c>
      <c r="T8458">
        <v>0</v>
      </c>
      <c r="V8458" t="s">
        <v>146</v>
      </c>
      <c r="W8458" t="s">
        <v>184</v>
      </c>
      <c r="Y8458" t="s">
        <v>1569</v>
      </c>
      <c r="Z8458" t="s">
        <v>1568</v>
      </c>
      <c r="AA8458" t="s">
        <v>936</v>
      </c>
      <c r="AB8458">
        <v>0</v>
      </c>
      <c r="AE8458" t="s">
        <v>1496</v>
      </c>
      <c r="AF8458" t="s">
        <v>1568</v>
      </c>
      <c r="AG8458" t="s">
        <v>1570</v>
      </c>
      <c r="AL8458" t="s">
        <v>1626</v>
      </c>
      <c r="AM8458" t="s">
        <v>1627</v>
      </c>
      <c r="AN8458" t="s">
        <v>1628</v>
      </c>
      <c r="AO8458" t="s">
        <v>1494</v>
      </c>
      <c r="AQ8458">
        <f>IF(ISBLANK(AP8458), IFERROR(IF(VLOOKUP(AO8458, Ellens_additions!$A$2:$B$252, 2, FALSE) = "", "", VLOOKUP(AO8458, Ellens_additions!$A$2:$B$252, 2, FALSE)), 0), AP8458)</f>
        <v>0</v>
      </c>
    </row>
    <row r="8459" spans="1:43" ht="14.4" x14ac:dyDescent="0.3"/>
    <row r="8460" spans="1:43" ht="14.4" x14ac:dyDescent="0.3"/>
    <row r="8461" spans="1:43" ht="14.4" x14ac:dyDescent="0.3"/>
    <row r="8462" spans="1:43" ht="14.4" x14ac:dyDescent="0.3"/>
    <row r="8463" spans="1:43" ht="14.4" x14ac:dyDescent="0.3"/>
    <row r="8464" spans="1:43" ht="14.4" x14ac:dyDescent="0.3"/>
    <row r="8465" ht="14.4" x14ac:dyDescent="0.3"/>
    <row r="8466" ht="14.4" x14ac:dyDescent="0.3"/>
    <row r="8467" ht="14.4" x14ac:dyDescent="0.3"/>
    <row r="8468" ht="14.4" x14ac:dyDescent="0.3"/>
    <row r="8469" ht="14.4" x14ac:dyDescent="0.3"/>
    <row r="8470" ht="14.4" x14ac:dyDescent="0.3"/>
    <row r="8471" ht="14.4" x14ac:dyDescent="0.3"/>
    <row r="8472" ht="14.4" x14ac:dyDescent="0.3"/>
    <row r="8473" ht="14.4" x14ac:dyDescent="0.3"/>
    <row r="8474" ht="14.4" x14ac:dyDescent="0.3"/>
    <row r="8475" ht="14.4" x14ac:dyDescent="0.3"/>
    <row r="8476" ht="14.4" x14ac:dyDescent="0.3"/>
    <row r="8477" ht="14.4" x14ac:dyDescent="0.3"/>
    <row r="8478" ht="14.4" x14ac:dyDescent="0.3"/>
    <row r="8479" ht="14.4" x14ac:dyDescent="0.3"/>
    <row r="8480" ht="14.4" x14ac:dyDescent="0.3"/>
    <row r="8481" ht="14.4" x14ac:dyDescent="0.3"/>
    <row r="8482" ht="14.4" x14ac:dyDescent="0.3"/>
    <row r="8483" ht="14.4" x14ac:dyDescent="0.3"/>
    <row r="8484" ht="14.4" x14ac:dyDescent="0.3"/>
    <row r="8485" ht="14.4" x14ac:dyDescent="0.3"/>
    <row r="8486" ht="14.4" x14ac:dyDescent="0.3"/>
    <row r="8487" ht="14.4" x14ac:dyDescent="0.3"/>
    <row r="8488" ht="14.4" x14ac:dyDescent="0.3"/>
    <row r="8489" ht="14.4" x14ac:dyDescent="0.3"/>
    <row r="8490" ht="14.4" x14ac:dyDescent="0.3"/>
    <row r="8491" ht="14.4" x14ac:dyDescent="0.3"/>
    <row r="8492" ht="14.4" x14ac:dyDescent="0.3"/>
    <row r="8493" ht="14.4" x14ac:dyDescent="0.3"/>
    <row r="8494" ht="14.4" x14ac:dyDescent="0.3"/>
    <row r="8495" ht="14.4" x14ac:dyDescent="0.3"/>
    <row r="8496" ht="14.4" x14ac:dyDescent="0.3"/>
    <row r="8497" ht="14.4" x14ac:dyDescent="0.3"/>
    <row r="8498" ht="14.4" x14ac:dyDescent="0.3"/>
    <row r="8499" ht="14.4" x14ac:dyDescent="0.3"/>
    <row r="8500" ht="14.4" x14ac:dyDescent="0.3"/>
    <row r="8501" ht="14.4" x14ac:dyDescent="0.3"/>
    <row r="8502" ht="14.4" x14ac:dyDescent="0.3"/>
    <row r="8503" ht="14.4" x14ac:dyDescent="0.3"/>
    <row r="8504" ht="14.4" x14ac:dyDescent="0.3"/>
    <row r="8505" ht="14.4" x14ac:dyDescent="0.3"/>
    <row r="8506" ht="14.4" x14ac:dyDescent="0.3"/>
    <row r="8507" ht="14.4" x14ac:dyDescent="0.3"/>
    <row r="8508" ht="14.4" x14ac:dyDescent="0.3"/>
    <row r="8509" ht="14.4" x14ac:dyDescent="0.3"/>
    <row r="8510" ht="14.4" x14ac:dyDescent="0.3"/>
    <row r="8511" ht="14.4" x14ac:dyDescent="0.3"/>
    <row r="8512" ht="14.4" x14ac:dyDescent="0.3"/>
    <row r="8513" spans="1:43" ht="14.4" x14ac:dyDescent="0.3"/>
    <row r="8514" spans="1:43" ht="14.4" x14ac:dyDescent="0.3"/>
    <row r="8515" spans="1:43" ht="14.4" x14ac:dyDescent="0.3"/>
    <row r="8516" spans="1:43" ht="14.4" x14ac:dyDescent="0.3"/>
    <row r="8517" spans="1:43" ht="14.4" x14ac:dyDescent="0.3"/>
    <row r="8518" spans="1:43" ht="14.4" x14ac:dyDescent="0.3"/>
    <row r="8519" spans="1:43" ht="14.4" x14ac:dyDescent="0.3"/>
    <row r="8520" spans="1:43" ht="14.4" x14ac:dyDescent="0.3"/>
    <row r="8521" spans="1:43" ht="14.4" hidden="1" x14ac:dyDescent="0.3">
      <c r="A8521" t="s">
        <v>1629</v>
      </c>
      <c r="B8521">
        <v>4924348</v>
      </c>
      <c r="C8521" t="s">
        <v>424</v>
      </c>
      <c r="D8521" t="s">
        <v>425</v>
      </c>
      <c r="E8521" t="s">
        <v>436</v>
      </c>
      <c r="F8521" t="s">
        <v>775</v>
      </c>
      <c r="H8521" t="s">
        <v>1630</v>
      </c>
      <c r="J8521" t="s">
        <v>140</v>
      </c>
      <c r="K8521">
        <v>159911.26999999999</v>
      </c>
      <c r="L8521">
        <v>387430.08</v>
      </c>
      <c r="M8521">
        <v>1</v>
      </c>
      <c r="N8521" t="s">
        <v>1631</v>
      </c>
      <c r="O8521" t="s">
        <v>548</v>
      </c>
      <c r="P8521" t="s">
        <v>709</v>
      </c>
      <c r="Q8521" t="s">
        <v>144</v>
      </c>
      <c r="R8521" t="s">
        <v>145</v>
      </c>
      <c r="S8521">
        <v>9.8000000000000007</v>
      </c>
      <c r="T8521">
        <v>1200</v>
      </c>
      <c r="V8521" t="s">
        <v>146</v>
      </c>
      <c r="W8521" t="s">
        <v>147</v>
      </c>
      <c r="X8521" t="s">
        <v>7</v>
      </c>
      <c r="Y8521" t="s">
        <v>815</v>
      </c>
      <c r="Z8521" t="s">
        <v>548</v>
      </c>
      <c r="AA8521" t="s">
        <v>710</v>
      </c>
      <c r="AB8521">
        <v>0</v>
      </c>
      <c r="AE8521" t="s">
        <v>763</v>
      </c>
      <c r="AF8521" t="s">
        <v>548</v>
      </c>
      <c r="AG8521" t="s">
        <v>1632</v>
      </c>
      <c r="AL8521" t="s">
        <v>1633</v>
      </c>
      <c r="AM8521" t="s">
        <v>1634</v>
      </c>
      <c r="AN8521" t="s">
        <v>1635</v>
      </c>
      <c r="AO8521" t="s">
        <v>1631</v>
      </c>
      <c r="AQ8521" t="str">
        <f>IF(ISBLANK(AP8521), IFERROR(IF(VLOOKUP(AO8521, Ellens_additions!$A$2:$B$252, 2, FALSE) = "", "", VLOOKUP(AO8521, Ellens_additions!$A$2:$B$252, 2, FALSE)), 0), AP8521)</f>
        <v/>
      </c>
    </row>
    <row r="8522" spans="1:43" ht="14.4" hidden="1" x14ac:dyDescent="0.3">
      <c r="A8522" t="s">
        <v>1636</v>
      </c>
      <c r="B8522">
        <v>4924349</v>
      </c>
      <c r="C8522" t="s">
        <v>424</v>
      </c>
      <c r="D8522" t="s">
        <v>425</v>
      </c>
      <c r="E8522" t="s">
        <v>436</v>
      </c>
      <c r="F8522" t="s">
        <v>775</v>
      </c>
      <c r="H8522" t="s">
        <v>1637</v>
      </c>
      <c r="J8522" t="s">
        <v>140</v>
      </c>
      <c r="K8522">
        <v>159904.64000000001</v>
      </c>
      <c r="L8522">
        <v>387425.95</v>
      </c>
      <c r="M8522">
        <v>1</v>
      </c>
      <c r="N8522" t="s">
        <v>1631</v>
      </c>
      <c r="O8522" t="s">
        <v>548</v>
      </c>
      <c r="P8522" t="s">
        <v>709</v>
      </c>
      <c r="Q8522" t="s">
        <v>144</v>
      </c>
      <c r="R8522" t="s">
        <v>145</v>
      </c>
      <c r="S8522">
        <v>9.8000000000000007</v>
      </c>
      <c r="T8522">
        <v>1200</v>
      </c>
      <c r="V8522" t="s">
        <v>146</v>
      </c>
      <c r="W8522" t="s">
        <v>147</v>
      </c>
      <c r="X8522" t="s">
        <v>7</v>
      </c>
      <c r="Y8522" t="s">
        <v>815</v>
      </c>
      <c r="Z8522" t="s">
        <v>548</v>
      </c>
      <c r="AA8522" t="s">
        <v>710</v>
      </c>
      <c r="AB8522">
        <v>0</v>
      </c>
      <c r="AE8522" t="s">
        <v>763</v>
      </c>
      <c r="AF8522" t="s">
        <v>548</v>
      </c>
      <c r="AG8522" t="s">
        <v>1632</v>
      </c>
      <c r="AL8522" t="s">
        <v>1638</v>
      </c>
      <c r="AM8522" t="s">
        <v>1639</v>
      </c>
      <c r="AN8522" t="s">
        <v>1640</v>
      </c>
      <c r="AO8522" t="s">
        <v>1631</v>
      </c>
      <c r="AQ8522" t="str">
        <f>IF(ISBLANK(AP8522), IFERROR(IF(VLOOKUP(AO8522, Ellens_additions!$A$2:$B$252, 2, FALSE) = "", "", VLOOKUP(AO8522, Ellens_additions!$A$2:$B$252, 2, FALSE)), 0), AP8522)</f>
        <v/>
      </c>
    </row>
    <row r="8523" spans="1:43" ht="14.4" hidden="1" x14ac:dyDescent="0.3">
      <c r="A8523" t="s">
        <v>1641</v>
      </c>
      <c r="B8523">
        <v>4924351</v>
      </c>
      <c r="C8523" t="s">
        <v>424</v>
      </c>
      <c r="D8523" t="s">
        <v>425</v>
      </c>
      <c r="E8523" t="s">
        <v>436</v>
      </c>
      <c r="F8523" t="s">
        <v>775</v>
      </c>
      <c r="H8523" t="s">
        <v>1642</v>
      </c>
      <c r="J8523" t="s">
        <v>140</v>
      </c>
      <c r="K8523">
        <v>159886.32</v>
      </c>
      <c r="L8523">
        <v>387421.37</v>
      </c>
      <c r="M8523">
        <v>1</v>
      </c>
      <c r="N8523" t="s">
        <v>1631</v>
      </c>
      <c r="O8523" t="s">
        <v>548</v>
      </c>
      <c r="P8523" t="s">
        <v>709</v>
      </c>
      <c r="Q8523" t="s">
        <v>144</v>
      </c>
      <c r="R8523" t="s">
        <v>145</v>
      </c>
      <c r="S8523">
        <v>9.8000000000000007</v>
      </c>
      <c r="T8523">
        <v>1200</v>
      </c>
      <c r="V8523" t="s">
        <v>146</v>
      </c>
      <c r="W8523" t="s">
        <v>147</v>
      </c>
      <c r="X8523" t="s">
        <v>7</v>
      </c>
      <c r="Y8523" t="s">
        <v>815</v>
      </c>
      <c r="Z8523" t="s">
        <v>548</v>
      </c>
      <c r="AA8523" t="s">
        <v>710</v>
      </c>
      <c r="AB8523">
        <v>0</v>
      </c>
      <c r="AE8523" t="s">
        <v>763</v>
      </c>
      <c r="AF8523" t="s">
        <v>548</v>
      </c>
      <c r="AG8523" t="s">
        <v>1632</v>
      </c>
      <c r="AL8523" t="s">
        <v>1643</v>
      </c>
      <c r="AM8523" t="s">
        <v>1644</v>
      </c>
      <c r="AN8523" t="s">
        <v>1645</v>
      </c>
      <c r="AO8523" t="s">
        <v>1631</v>
      </c>
      <c r="AQ8523" t="str">
        <f>IF(ISBLANK(AP8523), IFERROR(IF(VLOOKUP(AO8523, Ellens_additions!$A$2:$B$252, 2, FALSE) = "", "", VLOOKUP(AO8523, Ellens_additions!$A$2:$B$252, 2, FALSE)), 0), AP8523)</f>
        <v/>
      </c>
    </row>
    <row r="8524" spans="1:43" ht="14.4" hidden="1" x14ac:dyDescent="0.3">
      <c r="A8524" t="s">
        <v>1646</v>
      </c>
      <c r="B8524">
        <v>4924352</v>
      </c>
      <c r="C8524" t="s">
        <v>424</v>
      </c>
      <c r="D8524" t="s">
        <v>425</v>
      </c>
      <c r="E8524" t="s">
        <v>436</v>
      </c>
      <c r="F8524" t="s">
        <v>775</v>
      </c>
      <c r="H8524" t="s">
        <v>1647</v>
      </c>
      <c r="J8524" t="s">
        <v>140</v>
      </c>
      <c r="K8524">
        <v>159887.59</v>
      </c>
      <c r="L8524">
        <v>387429.5</v>
      </c>
      <c r="M8524">
        <v>1</v>
      </c>
      <c r="N8524" t="s">
        <v>1631</v>
      </c>
      <c r="O8524" t="s">
        <v>1648</v>
      </c>
      <c r="P8524" t="s">
        <v>1649</v>
      </c>
      <c r="Q8524" t="s">
        <v>144</v>
      </c>
      <c r="R8524" t="s">
        <v>145</v>
      </c>
      <c r="S8524">
        <v>9.8000000000000007</v>
      </c>
      <c r="T8524">
        <v>1200</v>
      </c>
      <c r="V8524" t="s">
        <v>146</v>
      </c>
      <c r="W8524" t="s">
        <v>147</v>
      </c>
      <c r="X8524" t="s">
        <v>7</v>
      </c>
      <c r="Y8524" t="s">
        <v>815</v>
      </c>
      <c r="Z8524" t="s">
        <v>1648</v>
      </c>
      <c r="AA8524" t="s">
        <v>1650</v>
      </c>
      <c r="AB8524">
        <v>0</v>
      </c>
      <c r="AE8524" t="s">
        <v>763</v>
      </c>
      <c r="AF8524" t="s">
        <v>1648</v>
      </c>
      <c r="AG8524" t="s">
        <v>1651</v>
      </c>
      <c r="AL8524" t="s">
        <v>1652</v>
      </c>
      <c r="AM8524" t="s">
        <v>1653</v>
      </c>
      <c r="AN8524" t="s">
        <v>1654</v>
      </c>
      <c r="AO8524" t="s">
        <v>1631</v>
      </c>
      <c r="AQ8524" t="str">
        <f>IF(ISBLANK(AP8524), IFERROR(IF(VLOOKUP(AO8524, Ellens_additions!$A$2:$B$252, 2, FALSE) = "", "", VLOOKUP(AO8524, Ellens_additions!$A$2:$B$252, 2, FALSE)), 0), AP8524)</f>
        <v/>
      </c>
    </row>
    <row r="8525" spans="1:43" ht="14.4" hidden="1" x14ac:dyDescent="0.3">
      <c r="A8525" t="s">
        <v>1655</v>
      </c>
      <c r="B8525">
        <v>4924353</v>
      </c>
      <c r="C8525" t="s">
        <v>424</v>
      </c>
      <c r="D8525" t="s">
        <v>425</v>
      </c>
      <c r="E8525" t="s">
        <v>436</v>
      </c>
      <c r="F8525" t="s">
        <v>775</v>
      </c>
      <c r="H8525" t="s">
        <v>1656</v>
      </c>
      <c r="J8525" t="s">
        <v>140</v>
      </c>
      <c r="K8525">
        <v>159881.75</v>
      </c>
      <c r="L8525">
        <v>387435.82</v>
      </c>
      <c r="M8525">
        <v>1</v>
      </c>
      <c r="N8525" t="s">
        <v>1631</v>
      </c>
      <c r="O8525" t="s">
        <v>548</v>
      </c>
      <c r="P8525" t="s">
        <v>709</v>
      </c>
      <c r="Q8525" t="s">
        <v>144</v>
      </c>
      <c r="R8525" t="s">
        <v>145</v>
      </c>
      <c r="S8525">
        <v>9.8000000000000007</v>
      </c>
      <c r="T8525">
        <v>1200</v>
      </c>
      <c r="V8525" t="s">
        <v>146</v>
      </c>
      <c r="W8525" t="s">
        <v>147</v>
      </c>
      <c r="X8525" t="s">
        <v>7</v>
      </c>
      <c r="Y8525" t="s">
        <v>815</v>
      </c>
      <c r="Z8525" t="s">
        <v>548</v>
      </c>
      <c r="AA8525" t="s">
        <v>710</v>
      </c>
      <c r="AB8525">
        <v>0</v>
      </c>
      <c r="AE8525" t="s">
        <v>763</v>
      </c>
      <c r="AF8525" t="s">
        <v>548</v>
      </c>
      <c r="AG8525" t="s">
        <v>1632</v>
      </c>
      <c r="AL8525" t="s">
        <v>1657</v>
      </c>
      <c r="AM8525" t="s">
        <v>1658</v>
      </c>
      <c r="AN8525" t="s">
        <v>1659</v>
      </c>
      <c r="AO8525" t="s">
        <v>1631</v>
      </c>
      <c r="AQ8525" t="str">
        <f>IF(ISBLANK(AP8525), IFERROR(IF(VLOOKUP(AO8525, Ellens_additions!$A$2:$B$252, 2, FALSE) = "", "", VLOOKUP(AO8525, Ellens_additions!$A$2:$B$252, 2, FALSE)), 0), AP8525)</f>
        <v/>
      </c>
    </row>
    <row r="8526" spans="1:43" ht="14.4" hidden="1" x14ac:dyDescent="0.3">
      <c r="A8526" t="s">
        <v>1660</v>
      </c>
      <c r="B8526">
        <v>4924355</v>
      </c>
      <c r="C8526" t="s">
        <v>424</v>
      </c>
      <c r="D8526" t="s">
        <v>425</v>
      </c>
      <c r="E8526" t="s">
        <v>436</v>
      </c>
      <c r="F8526" t="s">
        <v>775</v>
      </c>
      <c r="H8526" t="s">
        <v>1661</v>
      </c>
      <c r="J8526" t="s">
        <v>140</v>
      </c>
      <c r="K8526">
        <v>159861.96</v>
      </c>
      <c r="L8526">
        <v>387397.81</v>
      </c>
      <c r="M8526">
        <v>1</v>
      </c>
      <c r="N8526" t="s">
        <v>1631</v>
      </c>
      <c r="O8526" t="s">
        <v>548</v>
      </c>
      <c r="P8526" t="s">
        <v>709</v>
      </c>
      <c r="Q8526" t="s">
        <v>144</v>
      </c>
      <c r="R8526" t="s">
        <v>145</v>
      </c>
      <c r="S8526">
        <v>9.8000000000000007</v>
      </c>
      <c r="T8526">
        <v>1200</v>
      </c>
      <c r="V8526" t="s">
        <v>146</v>
      </c>
      <c r="W8526" t="s">
        <v>147</v>
      </c>
      <c r="X8526" t="s">
        <v>7</v>
      </c>
      <c r="Y8526" t="s">
        <v>815</v>
      </c>
      <c r="Z8526" t="s">
        <v>548</v>
      </c>
      <c r="AA8526" t="s">
        <v>710</v>
      </c>
      <c r="AB8526">
        <v>0</v>
      </c>
      <c r="AE8526" t="s">
        <v>763</v>
      </c>
      <c r="AF8526" t="s">
        <v>548</v>
      </c>
      <c r="AG8526" t="s">
        <v>1632</v>
      </c>
      <c r="AL8526" t="s">
        <v>1662</v>
      </c>
      <c r="AM8526" t="s">
        <v>1663</v>
      </c>
      <c r="AN8526" t="s">
        <v>1664</v>
      </c>
      <c r="AO8526" t="s">
        <v>1631</v>
      </c>
      <c r="AQ8526" t="str">
        <f>IF(ISBLANK(AP8526), IFERROR(IF(VLOOKUP(AO8526, Ellens_additions!$A$2:$B$252, 2, FALSE) = "", "", VLOOKUP(AO8526, Ellens_additions!$A$2:$B$252, 2, FALSE)), 0), AP8526)</f>
        <v/>
      </c>
    </row>
    <row r="8527" spans="1:43" ht="14.4" hidden="1" x14ac:dyDescent="0.3">
      <c r="A8527" t="s">
        <v>1665</v>
      </c>
      <c r="B8527">
        <v>4924357</v>
      </c>
      <c r="C8527" t="s">
        <v>424</v>
      </c>
      <c r="D8527" t="s">
        <v>425</v>
      </c>
      <c r="E8527" t="s">
        <v>436</v>
      </c>
      <c r="F8527" t="s">
        <v>775</v>
      </c>
      <c r="H8527" t="s">
        <v>1666</v>
      </c>
      <c r="J8527" t="s">
        <v>140</v>
      </c>
      <c r="K8527">
        <v>159864.65</v>
      </c>
      <c r="L8527">
        <v>387442.21</v>
      </c>
      <c r="M8527">
        <v>1</v>
      </c>
      <c r="N8527" t="s">
        <v>1631</v>
      </c>
      <c r="O8527" t="s">
        <v>548</v>
      </c>
      <c r="P8527" t="s">
        <v>709</v>
      </c>
      <c r="Q8527" t="s">
        <v>144</v>
      </c>
      <c r="R8527" t="s">
        <v>145</v>
      </c>
      <c r="S8527">
        <v>9.8000000000000007</v>
      </c>
      <c r="T8527">
        <v>1200</v>
      </c>
      <c r="V8527" t="s">
        <v>146</v>
      </c>
      <c r="W8527" t="s">
        <v>147</v>
      </c>
      <c r="X8527" t="s">
        <v>7</v>
      </c>
      <c r="Y8527" t="s">
        <v>815</v>
      </c>
      <c r="Z8527" t="s">
        <v>548</v>
      </c>
      <c r="AA8527" t="s">
        <v>710</v>
      </c>
      <c r="AB8527">
        <v>0</v>
      </c>
      <c r="AE8527" t="s">
        <v>763</v>
      </c>
      <c r="AF8527" t="s">
        <v>548</v>
      </c>
      <c r="AG8527" t="s">
        <v>1632</v>
      </c>
      <c r="AL8527" t="s">
        <v>1667</v>
      </c>
      <c r="AM8527" t="s">
        <v>1668</v>
      </c>
      <c r="AN8527" t="s">
        <v>1669</v>
      </c>
      <c r="AO8527" t="s">
        <v>1631</v>
      </c>
      <c r="AQ8527" t="str">
        <f>IF(ISBLANK(AP8527), IFERROR(IF(VLOOKUP(AO8527, Ellens_additions!$A$2:$B$252, 2, FALSE) = "", "", VLOOKUP(AO8527, Ellens_additions!$A$2:$B$252, 2, FALSE)), 0), AP8527)</f>
        <v/>
      </c>
    </row>
    <row r="8528" spans="1:43" ht="14.4" hidden="1" x14ac:dyDescent="0.3">
      <c r="A8528" t="s">
        <v>1670</v>
      </c>
      <c r="B8528">
        <v>4924360</v>
      </c>
      <c r="C8528" t="s">
        <v>424</v>
      </c>
      <c r="D8528" t="s">
        <v>425</v>
      </c>
      <c r="E8528" t="s">
        <v>436</v>
      </c>
      <c r="F8528" t="s">
        <v>775</v>
      </c>
      <c r="H8528" t="s">
        <v>1671</v>
      </c>
      <c r="J8528" t="s">
        <v>140</v>
      </c>
      <c r="K8528">
        <v>159854.04999999999</v>
      </c>
      <c r="L8528">
        <v>387458.23</v>
      </c>
      <c r="M8528">
        <v>1</v>
      </c>
      <c r="N8528" t="s">
        <v>1631</v>
      </c>
      <c r="O8528" t="s">
        <v>548</v>
      </c>
      <c r="P8528" t="s">
        <v>709</v>
      </c>
      <c r="Q8528" t="s">
        <v>144</v>
      </c>
      <c r="R8528" t="s">
        <v>145</v>
      </c>
      <c r="S8528">
        <v>9.8000000000000007</v>
      </c>
      <c r="T8528">
        <v>1200</v>
      </c>
      <c r="V8528" t="s">
        <v>146</v>
      </c>
      <c r="W8528" t="s">
        <v>147</v>
      </c>
      <c r="X8528" t="s">
        <v>7</v>
      </c>
      <c r="Y8528" t="s">
        <v>815</v>
      </c>
      <c r="Z8528" t="s">
        <v>548</v>
      </c>
      <c r="AA8528" t="s">
        <v>710</v>
      </c>
      <c r="AB8528">
        <v>0</v>
      </c>
      <c r="AE8528" t="s">
        <v>763</v>
      </c>
      <c r="AF8528" t="s">
        <v>548</v>
      </c>
      <c r="AG8528" t="s">
        <v>1632</v>
      </c>
      <c r="AL8528" t="s">
        <v>1672</v>
      </c>
      <c r="AM8528" t="s">
        <v>1673</v>
      </c>
      <c r="AN8528" t="s">
        <v>1674</v>
      </c>
      <c r="AO8528" t="s">
        <v>1631</v>
      </c>
      <c r="AQ8528" t="str">
        <f>IF(ISBLANK(AP8528), IFERROR(IF(VLOOKUP(AO8528, Ellens_additions!$A$2:$B$252, 2, FALSE) = "", "", VLOOKUP(AO8528, Ellens_additions!$A$2:$B$252, 2, FALSE)), 0), AP8528)</f>
        <v/>
      </c>
    </row>
    <row r="8529" ht="14.4" x14ac:dyDescent="0.3"/>
    <row r="8530" ht="14.4" x14ac:dyDescent="0.3"/>
    <row r="8531" ht="14.4" x14ac:dyDescent="0.3"/>
    <row r="8532" ht="14.4" x14ac:dyDescent="0.3"/>
    <row r="8533" ht="14.4" x14ac:dyDescent="0.3"/>
    <row r="8534" ht="14.4" x14ac:dyDescent="0.3"/>
    <row r="8535" ht="14.4" x14ac:dyDescent="0.3"/>
    <row r="8536" ht="14.4" x14ac:dyDescent="0.3"/>
    <row r="8537" ht="14.4" x14ac:dyDescent="0.3"/>
    <row r="8538" ht="14.4" x14ac:dyDescent="0.3"/>
    <row r="8539" ht="14.4" x14ac:dyDescent="0.3"/>
    <row r="8540" ht="14.4" x14ac:dyDescent="0.3"/>
    <row r="8541" ht="14.4" x14ac:dyDescent="0.3"/>
    <row r="8542" ht="14.4" x14ac:dyDescent="0.3"/>
    <row r="8543" ht="14.4" x14ac:dyDescent="0.3"/>
    <row r="8544" ht="14.4" x14ac:dyDescent="0.3"/>
    <row r="8545" spans="1:43" ht="14.4" x14ac:dyDescent="0.3"/>
    <row r="8546" spans="1:43" ht="14.4" x14ac:dyDescent="0.3"/>
    <row r="8547" spans="1:43" ht="14.4" x14ac:dyDescent="0.3"/>
    <row r="8548" spans="1:43" ht="14.4" x14ac:dyDescent="0.3"/>
    <row r="8549" spans="1:43" ht="14.4" x14ac:dyDescent="0.3"/>
    <row r="8550" spans="1:43" ht="14.4" hidden="1" x14ac:dyDescent="0.3">
      <c r="A8550" t="s">
        <v>1675</v>
      </c>
      <c r="B8550">
        <v>4924444</v>
      </c>
      <c r="C8550" t="s">
        <v>424</v>
      </c>
      <c r="D8550" t="s">
        <v>433</v>
      </c>
      <c r="E8550" t="s">
        <v>754</v>
      </c>
      <c r="F8550" t="s">
        <v>1676</v>
      </c>
      <c r="H8550" t="s">
        <v>160</v>
      </c>
      <c r="J8550" t="s">
        <v>140</v>
      </c>
      <c r="K8550">
        <v>161169.53</v>
      </c>
      <c r="L8550">
        <v>389725.91</v>
      </c>
      <c r="N8550" t="s">
        <v>1677</v>
      </c>
      <c r="O8550" t="s">
        <v>551</v>
      </c>
      <c r="P8550" t="s">
        <v>1678</v>
      </c>
      <c r="Q8550" t="s">
        <v>144</v>
      </c>
      <c r="S8550">
        <v>13</v>
      </c>
      <c r="T8550">
        <v>1800</v>
      </c>
      <c r="V8550" t="s">
        <v>146</v>
      </c>
      <c r="W8550" t="s">
        <v>147</v>
      </c>
      <c r="Y8550" t="s">
        <v>1679</v>
      </c>
      <c r="Z8550" t="s">
        <v>551</v>
      </c>
      <c r="AA8550" t="s">
        <v>1680</v>
      </c>
      <c r="AB8550">
        <v>0</v>
      </c>
      <c r="AE8550" t="s">
        <v>1407</v>
      </c>
      <c r="AF8550" t="s">
        <v>551</v>
      </c>
      <c r="AG8550" t="s">
        <v>1681</v>
      </c>
      <c r="AL8550" t="s">
        <v>1682</v>
      </c>
      <c r="AM8550" t="s">
        <v>1683</v>
      </c>
      <c r="AN8550" t="s">
        <v>1684</v>
      </c>
      <c r="AO8550" t="s">
        <v>1677</v>
      </c>
      <c r="AQ8550" t="str">
        <f>IF(ISBLANK(AP8550), IFERROR(IF(VLOOKUP(AO8550, Ellens_additions!$A$2:$B$252, 2, FALSE) = "", "", VLOOKUP(AO8550, Ellens_additions!$A$2:$B$252, 2, FALSE)), 0), AP8550)</f>
        <v/>
      </c>
    </row>
    <row r="8551" spans="1:43" ht="14.4" x14ac:dyDescent="0.3"/>
    <row r="8552" spans="1:43" ht="14.4" hidden="1" x14ac:dyDescent="0.3">
      <c r="A8552" t="s">
        <v>1685</v>
      </c>
      <c r="B8552">
        <v>4924457</v>
      </c>
      <c r="C8552" t="s">
        <v>424</v>
      </c>
      <c r="D8552" t="s">
        <v>433</v>
      </c>
      <c r="E8552" t="s">
        <v>754</v>
      </c>
      <c r="F8552" t="s">
        <v>1676</v>
      </c>
      <c r="H8552" t="s">
        <v>454</v>
      </c>
      <c r="J8552" t="s">
        <v>140</v>
      </c>
      <c r="K8552">
        <v>161308.09</v>
      </c>
      <c r="L8552">
        <v>389692.67</v>
      </c>
      <c r="N8552" t="s">
        <v>1677</v>
      </c>
      <c r="O8552" t="s">
        <v>530</v>
      </c>
      <c r="P8552" t="s">
        <v>1686</v>
      </c>
      <c r="Q8552" t="s">
        <v>144</v>
      </c>
      <c r="S8552">
        <v>13</v>
      </c>
      <c r="T8552">
        <v>1800</v>
      </c>
      <c r="V8552" t="s">
        <v>146</v>
      </c>
      <c r="W8552" t="s">
        <v>147</v>
      </c>
      <c r="Y8552" t="s">
        <v>1679</v>
      </c>
      <c r="Z8552" t="s">
        <v>530</v>
      </c>
      <c r="AA8552" t="s">
        <v>1437</v>
      </c>
      <c r="AB8552">
        <v>0</v>
      </c>
      <c r="AE8552" t="s">
        <v>1407</v>
      </c>
      <c r="AF8552" t="s">
        <v>530</v>
      </c>
      <c r="AG8552" t="s">
        <v>1687</v>
      </c>
      <c r="AL8552" t="s">
        <v>1688</v>
      </c>
      <c r="AM8552" t="s">
        <v>1689</v>
      </c>
      <c r="AN8552" t="s">
        <v>1690</v>
      </c>
      <c r="AO8552" t="s">
        <v>1677</v>
      </c>
      <c r="AQ8552" t="str">
        <f>IF(ISBLANK(AP8552), IFERROR(IF(VLOOKUP(AO8552, Ellens_additions!$A$2:$B$252, 2, FALSE) = "", "", VLOOKUP(AO8552, Ellens_additions!$A$2:$B$252, 2, FALSE)), 0), AP8552)</f>
        <v/>
      </c>
    </row>
    <row r="8553" spans="1:43" ht="14.4" hidden="1" x14ac:dyDescent="0.3">
      <c r="A8553" t="s">
        <v>1691</v>
      </c>
      <c r="B8553">
        <v>4924463</v>
      </c>
      <c r="C8553" t="s">
        <v>424</v>
      </c>
      <c r="D8553" t="s">
        <v>433</v>
      </c>
      <c r="E8553" t="s">
        <v>754</v>
      </c>
      <c r="F8553" t="s">
        <v>1676</v>
      </c>
      <c r="H8553" t="s">
        <v>348</v>
      </c>
      <c r="J8553" t="s">
        <v>140</v>
      </c>
      <c r="K8553">
        <v>161368.63</v>
      </c>
      <c r="L8553">
        <v>389590.87</v>
      </c>
      <c r="N8553" t="s">
        <v>1677</v>
      </c>
      <c r="O8553" t="s">
        <v>530</v>
      </c>
      <c r="P8553" t="s">
        <v>1686</v>
      </c>
      <c r="Q8553" t="s">
        <v>144</v>
      </c>
      <c r="S8553">
        <v>13</v>
      </c>
      <c r="T8553">
        <v>1800</v>
      </c>
      <c r="V8553" t="s">
        <v>146</v>
      </c>
      <c r="W8553" t="s">
        <v>147</v>
      </c>
      <c r="Y8553" t="s">
        <v>1679</v>
      </c>
      <c r="Z8553" t="s">
        <v>530</v>
      </c>
      <c r="AA8553" t="s">
        <v>1437</v>
      </c>
      <c r="AB8553">
        <v>0</v>
      </c>
      <c r="AE8553" t="s">
        <v>1407</v>
      </c>
      <c r="AF8553" t="s">
        <v>530</v>
      </c>
      <c r="AG8553" t="s">
        <v>1687</v>
      </c>
      <c r="AL8553" t="s">
        <v>1692</v>
      </c>
      <c r="AM8553" t="s">
        <v>1693</v>
      </c>
      <c r="AN8553" t="s">
        <v>1694</v>
      </c>
      <c r="AO8553" t="s">
        <v>1677</v>
      </c>
      <c r="AQ8553" t="str">
        <f>IF(ISBLANK(AP8553), IFERROR(IF(VLOOKUP(AO8553, Ellens_additions!$A$2:$B$252, 2, FALSE) = "", "", VLOOKUP(AO8553, Ellens_additions!$A$2:$B$252, 2, FALSE)), 0), AP8553)</f>
        <v/>
      </c>
    </row>
    <row r="8554" spans="1:43" ht="14.4" hidden="1" x14ac:dyDescent="0.3">
      <c r="A8554" t="s">
        <v>1695</v>
      </c>
      <c r="B8554">
        <v>4924468</v>
      </c>
      <c r="C8554" t="s">
        <v>424</v>
      </c>
      <c r="D8554" t="s">
        <v>433</v>
      </c>
      <c r="E8554" t="s">
        <v>754</v>
      </c>
      <c r="F8554" t="s">
        <v>1676</v>
      </c>
      <c r="H8554" t="s">
        <v>272</v>
      </c>
      <c r="J8554" t="s">
        <v>140</v>
      </c>
      <c r="K8554">
        <v>161331.32</v>
      </c>
      <c r="L8554">
        <v>389540.39</v>
      </c>
      <c r="N8554" t="s">
        <v>1677</v>
      </c>
      <c r="O8554" t="s">
        <v>530</v>
      </c>
      <c r="P8554" t="s">
        <v>1686</v>
      </c>
      <c r="Q8554" t="s">
        <v>144</v>
      </c>
      <c r="S8554">
        <v>13</v>
      </c>
      <c r="T8554">
        <v>1800</v>
      </c>
      <c r="V8554" t="s">
        <v>146</v>
      </c>
      <c r="W8554" t="s">
        <v>147</v>
      </c>
      <c r="Y8554" t="s">
        <v>1679</v>
      </c>
      <c r="Z8554" t="s">
        <v>530</v>
      </c>
      <c r="AA8554" t="s">
        <v>1437</v>
      </c>
      <c r="AB8554">
        <v>0</v>
      </c>
      <c r="AE8554" t="s">
        <v>1407</v>
      </c>
      <c r="AF8554" t="s">
        <v>530</v>
      </c>
      <c r="AG8554" t="s">
        <v>1687</v>
      </c>
      <c r="AL8554" t="s">
        <v>1696</v>
      </c>
      <c r="AM8554" t="s">
        <v>1697</v>
      </c>
      <c r="AN8554" t="s">
        <v>1698</v>
      </c>
      <c r="AO8554" t="s">
        <v>1677</v>
      </c>
      <c r="AQ8554" t="str">
        <f>IF(ISBLANK(AP8554), IFERROR(IF(VLOOKUP(AO8554, Ellens_additions!$A$2:$B$252, 2, FALSE) = "", "", VLOOKUP(AO8554, Ellens_additions!$A$2:$B$252, 2, FALSE)), 0), AP8554)</f>
        <v/>
      </c>
    </row>
    <row r="8555" spans="1:43" ht="14.4" hidden="1" x14ac:dyDescent="0.3">
      <c r="A8555" t="s">
        <v>1699</v>
      </c>
      <c r="B8555">
        <v>4924472</v>
      </c>
      <c r="C8555" t="s">
        <v>424</v>
      </c>
      <c r="D8555" t="s">
        <v>433</v>
      </c>
      <c r="E8555" t="s">
        <v>754</v>
      </c>
      <c r="F8555" t="s">
        <v>1676</v>
      </c>
      <c r="H8555" t="s">
        <v>577</v>
      </c>
      <c r="J8555" t="s">
        <v>140</v>
      </c>
      <c r="K8555">
        <v>161269.13</v>
      </c>
      <c r="L8555">
        <v>389577.51</v>
      </c>
      <c r="N8555" t="s">
        <v>1677</v>
      </c>
      <c r="O8555" t="s">
        <v>530</v>
      </c>
      <c r="P8555" t="s">
        <v>1686</v>
      </c>
      <c r="Q8555" t="s">
        <v>144</v>
      </c>
      <c r="S8555">
        <v>13</v>
      </c>
      <c r="T8555">
        <v>1800</v>
      </c>
      <c r="V8555" t="s">
        <v>146</v>
      </c>
      <c r="W8555" t="s">
        <v>147</v>
      </c>
      <c r="Y8555" t="s">
        <v>1679</v>
      </c>
      <c r="Z8555" t="s">
        <v>530</v>
      </c>
      <c r="AA8555" t="s">
        <v>1437</v>
      </c>
      <c r="AB8555">
        <v>0</v>
      </c>
      <c r="AE8555" t="s">
        <v>1407</v>
      </c>
      <c r="AF8555" t="s">
        <v>530</v>
      </c>
      <c r="AG8555" t="s">
        <v>1687</v>
      </c>
      <c r="AL8555" t="s">
        <v>1700</v>
      </c>
      <c r="AM8555" t="s">
        <v>1701</v>
      </c>
      <c r="AN8555" t="s">
        <v>1702</v>
      </c>
      <c r="AO8555" t="s">
        <v>1677</v>
      </c>
      <c r="AQ8555" t="str">
        <f>IF(ISBLANK(AP8555), IFERROR(IF(VLOOKUP(AO8555, Ellens_additions!$A$2:$B$252, 2, FALSE) = "", "", VLOOKUP(AO8555, Ellens_additions!$A$2:$B$252, 2, FALSE)), 0), AP8555)</f>
        <v/>
      </c>
    </row>
    <row r="8556" spans="1:43" ht="14.4" hidden="1" x14ac:dyDescent="0.3">
      <c r="A8556" t="s">
        <v>1703</v>
      </c>
      <c r="B8556">
        <v>4924473</v>
      </c>
      <c r="C8556" t="s">
        <v>424</v>
      </c>
      <c r="D8556" t="s">
        <v>433</v>
      </c>
      <c r="E8556" t="s">
        <v>754</v>
      </c>
      <c r="F8556" t="s">
        <v>1676</v>
      </c>
      <c r="H8556" t="s">
        <v>409</v>
      </c>
      <c r="J8556" t="s">
        <v>140</v>
      </c>
      <c r="K8556">
        <v>161250.20000000001</v>
      </c>
      <c r="L8556">
        <v>389579.25</v>
      </c>
      <c r="N8556" t="s">
        <v>1677</v>
      </c>
      <c r="O8556" t="s">
        <v>530</v>
      </c>
      <c r="P8556" t="s">
        <v>1686</v>
      </c>
      <c r="Q8556" t="s">
        <v>144</v>
      </c>
      <c r="S8556">
        <v>13</v>
      </c>
      <c r="T8556">
        <v>1800</v>
      </c>
      <c r="V8556" t="s">
        <v>146</v>
      </c>
      <c r="W8556" t="s">
        <v>147</v>
      </c>
      <c r="Y8556" t="s">
        <v>1679</v>
      </c>
      <c r="Z8556" t="s">
        <v>530</v>
      </c>
      <c r="AA8556" t="s">
        <v>1437</v>
      </c>
      <c r="AB8556">
        <v>0</v>
      </c>
      <c r="AE8556" t="s">
        <v>1407</v>
      </c>
      <c r="AF8556" t="s">
        <v>530</v>
      </c>
      <c r="AG8556" t="s">
        <v>1687</v>
      </c>
      <c r="AL8556" t="s">
        <v>1704</v>
      </c>
      <c r="AM8556" t="s">
        <v>1705</v>
      </c>
      <c r="AN8556" t="s">
        <v>1706</v>
      </c>
      <c r="AO8556" t="s">
        <v>1677</v>
      </c>
      <c r="AQ8556" t="str">
        <f>IF(ISBLANK(AP8556), IFERROR(IF(VLOOKUP(AO8556, Ellens_additions!$A$2:$B$252, 2, FALSE) = "", "", VLOOKUP(AO8556, Ellens_additions!$A$2:$B$252, 2, FALSE)), 0), AP8556)</f>
        <v/>
      </c>
    </row>
    <row r="8557" spans="1:43" ht="14.4" hidden="1" x14ac:dyDescent="0.3">
      <c r="A8557" t="s">
        <v>1707</v>
      </c>
      <c r="B8557">
        <v>4924476</v>
      </c>
      <c r="C8557" t="s">
        <v>424</v>
      </c>
      <c r="D8557" t="s">
        <v>433</v>
      </c>
      <c r="E8557" t="s">
        <v>754</v>
      </c>
      <c r="F8557" t="s">
        <v>1708</v>
      </c>
      <c r="H8557" t="s">
        <v>229</v>
      </c>
      <c r="J8557" t="s">
        <v>140</v>
      </c>
      <c r="K8557">
        <v>161279.67999999999</v>
      </c>
      <c r="L8557">
        <v>389607.46</v>
      </c>
      <c r="N8557" t="s">
        <v>1677</v>
      </c>
      <c r="O8557" t="s">
        <v>530</v>
      </c>
      <c r="P8557" t="s">
        <v>1686</v>
      </c>
      <c r="Q8557" t="s">
        <v>144</v>
      </c>
      <c r="S8557">
        <v>11</v>
      </c>
      <c r="T8557">
        <v>1500</v>
      </c>
      <c r="V8557" t="s">
        <v>146</v>
      </c>
      <c r="W8557" t="s">
        <v>147</v>
      </c>
      <c r="Y8557" t="s">
        <v>1679</v>
      </c>
      <c r="Z8557" t="s">
        <v>530</v>
      </c>
      <c r="AA8557" t="s">
        <v>1437</v>
      </c>
      <c r="AB8557">
        <v>0</v>
      </c>
      <c r="AE8557" t="s">
        <v>1407</v>
      </c>
      <c r="AF8557" t="s">
        <v>530</v>
      </c>
      <c r="AG8557" t="s">
        <v>1687</v>
      </c>
      <c r="AL8557" t="s">
        <v>1709</v>
      </c>
      <c r="AM8557" t="s">
        <v>1710</v>
      </c>
      <c r="AN8557" t="s">
        <v>1711</v>
      </c>
      <c r="AO8557" t="s">
        <v>1677</v>
      </c>
      <c r="AQ8557" t="str">
        <f>IF(ISBLANK(AP8557), IFERROR(IF(VLOOKUP(AO8557, Ellens_additions!$A$2:$B$252, 2, FALSE) = "", "", VLOOKUP(AO8557, Ellens_additions!$A$2:$B$252, 2, FALSE)), 0), AP8557)</f>
        <v/>
      </c>
    </row>
    <row r="8558" spans="1:43" ht="14.4" hidden="1" x14ac:dyDescent="0.3">
      <c r="A8558" t="s">
        <v>1712</v>
      </c>
      <c r="B8558">
        <v>4924482</v>
      </c>
      <c r="C8558" t="s">
        <v>424</v>
      </c>
      <c r="D8558" t="s">
        <v>433</v>
      </c>
      <c r="E8558" t="s">
        <v>754</v>
      </c>
      <c r="F8558" t="s">
        <v>1713</v>
      </c>
      <c r="H8558" t="s">
        <v>229</v>
      </c>
      <c r="J8558" t="s">
        <v>140</v>
      </c>
      <c r="K8558">
        <v>161231.96</v>
      </c>
      <c r="L8558">
        <v>389697.67</v>
      </c>
      <c r="N8558" t="s">
        <v>1677</v>
      </c>
      <c r="O8558" t="s">
        <v>777</v>
      </c>
      <c r="P8558" t="s">
        <v>1714</v>
      </c>
      <c r="Q8558" t="s">
        <v>144</v>
      </c>
      <c r="S8558">
        <v>9</v>
      </c>
      <c r="T8558">
        <v>1200</v>
      </c>
      <c r="V8558" t="s">
        <v>146</v>
      </c>
      <c r="W8558" t="s">
        <v>147</v>
      </c>
      <c r="Y8558" t="s">
        <v>1679</v>
      </c>
      <c r="Z8558" t="s">
        <v>777</v>
      </c>
      <c r="AA8558" t="s">
        <v>1533</v>
      </c>
      <c r="AB8558">
        <v>0</v>
      </c>
      <c r="AE8558" t="s">
        <v>1407</v>
      </c>
      <c r="AF8558" t="s">
        <v>777</v>
      </c>
      <c r="AG8558" t="s">
        <v>1240</v>
      </c>
      <c r="AL8558" t="s">
        <v>1715</v>
      </c>
      <c r="AM8558" t="s">
        <v>1716</v>
      </c>
      <c r="AN8558" t="s">
        <v>1717</v>
      </c>
      <c r="AO8558" t="s">
        <v>1677</v>
      </c>
      <c r="AQ8558" t="str">
        <f>IF(ISBLANK(AP8558), IFERROR(IF(VLOOKUP(AO8558, Ellens_additions!$A$2:$B$252, 2, FALSE) = "", "", VLOOKUP(AO8558, Ellens_additions!$A$2:$B$252, 2, FALSE)), 0), AP8558)</f>
        <v/>
      </c>
    </row>
    <row r="8559" spans="1:43" ht="14.4" hidden="1" x14ac:dyDescent="0.3">
      <c r="A8559" t="s">
        <v>1718</v>
      </c>
      <c r="B8559">
        <v>4924483</v>
      </c>
      <c r="C8559" t="s">
        <v>424</v>
      </c>
      <c r="D8559" t="s">
        <v>433</v>
      </c>
      <c r="E8559" t="s">
        <v>754</v>
      </c>
      <c r="F8559" t="s">
        <v>1713</v>
      </c>
      <c r="H8559" t="s">
        <v>296</v>
      </c>
      <c r="J8559" t="s">
        <v>140</v>
      </c>
      <c r="K8559">
        <v>161225.63</v>
      </c>
      <c r="L8559">
        <v>389677.12</v>
      </c>
      <c r="N8559" t="s">
        <v>1677</v>
      </c>
      <c r="O8559" t="s">
        <v>777</v>
      </c>
      <c r="P8559" t="s">
        <v>1714</v>
      </c>
      <c r="Q8559" t="s">
        <v>144</v>
      </c>
      <c r="S8559">
        <v>9</v>
      </c>
      <c r="T8559">
        <v>1200</v>
      </c>
      <c r="V8559" t="s">
        <v>146</v>
      </c>
      <c r="W8559" t="s">
        <v>147</v>
      </c>
      <c r="Y8559" t="s">
        <v>1679</v>
      </c>
      <c r="Z8559" t="s">
        <v>777</v>
      </c>
      <c r="AA8559" t="s">
        <v>1533</v>
      </c>
      <c r="AB8559">
        <v>0</v>
      </c>
      <c r="AE8559" t="s">
        <v>1407</v>
      </c>
      <c r="AF8559" t="s">
        <v>777</v>
      </c>
      <c r="AG8559" t="s">
        <v>1240</v>
      </c>
      <c r="AL8559" t="s">
        <v>1719</v>
      </c>
      <c r="AM8559" t="s">
        <v>1720</v>
      </c>
      <c r="AN8559" t="s">
        <v>1721</v>
      </c>
      <c r="AO8559" t="s">
        <v>1677</v>
      </c>
      <c r="AQ8559" t="str">
        <f>IF(ISBLANK(AP8559), IFERROR(IF(VLOOKUP(AO8559, Ellens_additions!$A$2:$B$252, 2, FALSE) = "", "", VLOOKUP(AO8559, Ellens_additions!$A$2:$B$252, 2, FALSE)), 0), AP8559)</f>
        <v/>
      </c>
    </row>
    <row r="8560" spans="1:43" ht="14.4" hidden="1" x14ac:dyDescent="0.3">
      <c r="A8560" t="s">
        <v>1722</v>
      </c>
      <c r="B8560">
        <v>4924484</v>
      </c>
      <c r="C8560" t="s">
        <v>424</v>
      </c>
      <c r="D8560" t="s">
        <v>433</v>
      </c>
      <c r="E8560" t="s">
        <v>754</v>
      </c>
      <c r="F8560" t="s">
        <v>1713</v>
      </c>
      <c r="H8560" t="s">
        <v>274</v>
      </c>
      <c r="J8560" t="s">
        <v>140</v>
      </c>
      <c r="K8560">
        <v>161225.65</v>
      </c>
      <c r="L8560">
        <v>389661.55</v>
      </c>
      <c r="N8560" t="s">
        <v>1677</v>
      </c>
      <c r="O8560" t="s">
        <v>777</v>
      </c>
      <c r="P8560" t="s">
        <v>1714</v>
      </c>
      <c r="Q8560" t="s">
        <v>144</v>
      </c>
      <c r="S8560">
        <v>9</v>
      </c>
      <c r="T8560">
        <v>1200</v>
      </c>
      <c r="V8560" t="s">
        <v>146</v>
      </c>
      <c r="W8560" t="s">
        <v>147</v>
      </c>
      <c r="Y8560" t="s">
        <v>1679</v>
      </c>
      <c r="Z8560" t="s">
        <v>777</v>
      </c>
      <c r="AA8560" t="s">
        <v>1533</v>
      </c>
      <c r="AB8560">
        <v>0</v>
      </c>
      <c r="AE8560" t="s">
        <v>1407</v>
      </c>
      <c r="AF8560" t="s">
        <v>777</v>
      </c>
      <c r="AG8560" t="s">
        <v>1240</v>
      </c>
      <c r="AL8560" t="s">
        <v>1723</v>
      </c>
      <c r="AM8560" t="s">
        <v>1724</v>
      </c>
      <c r="AN8560" t="s">
        <v>1725</v>
      </c>
      <c r="AO8560" t="s">
        <v>1677</v>
      </c>
      <c r="AQ8560" t="str">
        <f>IF(ISBLANK(AP8560), IFERROR(IF(VLOOKUP(AO8560, Ellens_additions!$A$2:$B$252, 2, FALSE) = "", "", VLOOKUP(AO8560, Ellens_additions!$A$2:$B$252, 2, FALSE)), 0), AP8560)</f>
        <v/>
      </c>
    </row>
    <row r="8561" spans="1:43" ht="14.4" x14ac:dyDescent="0.3"/>
    <row r="8562" spans="1:43" ht="14.4" x14ac:dyDescent="0.3"/>
    <row r="8563" spans="1:43" ht="14.4" x14ac:dyDescent="0.3"/>
    <row r="8564" spans="1:43" ht="14.4" x14ac:dyDescent="0.3"/>
    <row r="8565" spans="1:43" ht="14.4" x14ac:dyDescent="0.3"/>
    <row r="8566" spans="1:43" ht="14.4" x14ac:dyDescent="0.3"/>
    <row r="8567" spans="1:43" ht="14.4" x14ac:dyDescent="0.3"/>
    <row r="8568" spans="1:43" ht="14.4" x14ac:dyDescent="0.3"/>
    <row r="8569" spans="1:43" ht="14.4" x14ac:dyDescent="0.3"/>
    <row r="8570" spans="1:43" ht="14.4" hidden="1" x14ac:dyDescent="0.3">
      <c r="A8570" t="s">
        <v>1726</v>
      </c>
      <c r="B8570">
        <v>4924524</v>
      </c>
      <c r="C8570" t="s">
        <v>424</v>
      </c>
      <c r="D8570" t="s">
        <v>433</v>
      </c>
      <c r="E8570" t="s">
        <v>754</v>
      </c>
      <c r="F8570" t="s">
        <v>1676</v>
      </c>
      <c r="H8570" t="s">
        <v>578</v>
      </c>
      <c r="J8570" t="s">
        <v>140</v>
      </c>
      <c r="K8570">
        <v>161173.49</v>
      </c>
      <c r="L8570">
        <v>389578.76</v>
      </c>
      <c r="N8570" t="s">
        <v>1677</v>
      </c>
      <c r="O8570" t="s">
        <v>588</v>
      </c>
      <c r="P8570" t="s">
        <v>589</v>
      </c>
      <c r="Q8570" t="s">
        <v>144</v>
      </c>
      <c r="S8570">
        <v>11</v>
      </c>
      <c r="T8570">
        <v>1500</v>
      </c>
      <c r="V8570" t="s">
        <v>146</v>
      </c>
      <c r="W8570" t="s">
        <v>147</v>
      </c>
      <c r="Y8570" t="s">
        <v>1679</v>
      </c>
      <c r="Z8570" t="s">
        <v>588</v>
      </c>
      <c r="AA8570" t="s">
        <v>1727</v>
      </c>
      <c r="AB8570">
        <v>0</v>
      </c>
      <c r="AE8570" t="s">
        <v>1407</v>
      </c>
      <c r="AF8570" t="s">
        <v>588</v>
      </c>
      <c r="AG8570" t="s">
        <v>592</v>
      </c>
      <c r="AL8570" t="s">
        <v>1728</v>
      </c>
      <c r="AM8570" t="s">
        <v>1729</v>
      </c>
      <c r="AN8570" t="s">
        <v>1730</v>
      </c>
      <c r="AO8570" t="s">
        <v>1677</v>
      </c>
      <c r="AQ8570" t="str">
        <f>IF(ISBLANK(AP8570), IFERROR(IF(VLOOKUP(AO8570, Ellens_additions!$A$2:$B$252, 2, FALSE) = "", "", VLOOKUP(AO8570, Ellens_additions!$A$2:$B$252, 2, FALSE)), 0), AP8570)</f>
        <v/>
      </c>
    </row>
    <row r="8571" spans="1:43" ht="14.4" hidden="1" x14ac:dyDescent="0.3">
      <c r="A8571" t="s">
        <v>1731</v>
      </c>
      <c r="B8571">
        <v>4924531</v>
      </c>
      <c r="C8571" t="s">
        <v>424</v>
      </c>
      <c r="D8571" t="s">
        <v>433</v>
      </c>
      <c r="E8571" t="s">
        <v>754</v>
      </c>
      <c r="F8571" t="s">
        <v>1676</v>
      </c>
      <c r="H8571" t="s">
        <v>352</v>
      </c>
      <c r="J8571" t="s">
        <v>140</v>
      </c>
      <c r="K8571">
        <v>161224.25</v>
      </c>
      <c r="L8571">
        <v>389572.61</v>
      </c>
      <c r="N8571" t="s">
        <v>1677</v>
      </c>
      <c r="O8571" t="s">
        <v>588</v>
      </c>
      <c r="P8571" t="s">
        <v>589</v>
      </c>
      <c r="Q8571" t="s">
        <v>144</v>
      </c>
      <c r="S8571">
        <v>9</v>
      </c>
      <c r="T8571">
        <v>1200</v>
      </c>
      <c r="V8571" t="s">
        <v>146</v>
      </c>
      <c r="W8571" t="s">
        <v>147</v>
      </c>
      <c r="Y8571" t="s">
        <v>1679</v>
      </c>
      <c r="Z8571" t="s">
        <v>588</v>
      </c>
      <c r="AA8571" t="s">
        <v>1727</v>
      </c>
      <c r="AB8571">
        <v>0</v>
      </c>
      <c r="AE8571" t="s">
        <v>1407</v>
      </c>
      <c r="AF8571" t="s">
        <v>588</v>
      </c>
      <c r="AG8571" t="s">
        <v>592</v>
      </c>
      <c r="AL8571" t="s">
        <v>1732</v>
      </c>
      <c r="AM8571" t="s">
        <v>1733</v>
      </c>
      <c r="AN8571" t="s">
        <v>1734</v>
      </c>
      <c r="AO8571" t="s">
        <v>1677</v>
      </c>
      <c r="AQ8571" t="str">
        <f>IF(ISBLANK(AP8571), IFERROR(IF(VLOOKUP(AO8571, Ellens_additions!$A$2:$B$252, 2, FALSE) = "", "", VLOOKUP(AO8571, Ellens_additions!$A$2:$B$252, 2, FALSE)), 0), AP8571)</f>
        <v/>
      </c>
    </row>
    <row r="8572" spans="1:43" ht="14.4" hidden="1" x14ac:dyDescent="0.3">
      <c r="A8572" t="s">
        <v>1735</v>
      </c>
      <c r="B8572">
        <v>4924534</v>
      </c>
      <c r="C8572" t="s">
        <v>424</v>
      </c>
      <c r="D8572" t="s">
        <v>433</v>
      </c>
      <c r="E8572" t="s">
        <v>754</v>
      </c>
      <c r="F8572" t="s">
        <v>1676</v>
      </c>
      <c r="H8572" t="s">
        <v>516</v>
      </c>
      <c r="J8572" t="s">
        <v>140</v>
      </c>
      <c r="K8572">
        <v>161179</v>
      </c>
      <c r="L8572">
        <v>389583.29</v>
      </c>
      <c r="N8572" t="s">
        <v>1677</v>
      </c>
      <c r="O8572" t="s">
        <v>588</v>
      </c>
      <c r="P8572" t="s">
        <v>589</v>
      </c>
      <c r="Q8572" t="s">
        <v>144</v>
      </c>
      <c r="S8572">
        <v>13</v>
      </c>
      <c r="T8572">
        <v>1800</v>
      </c>
      <c r="V8572" t="s">
        <v>146</v>
      </c>
      <c r="W8572" t="s">
        <v>147</v>
      </c>
      <c r="Y8572" t="s">
        <v>1679</v>
      </c>
      <c r="Z8572" t="s">
        <v>588</v>
      </c>
      <c r="AA8572" t="s">
        <v>1727</v>
      </c>
      <c r="AB8572">
        <v>0</v>
      </c>
      <c r="AE8572" t="s">
        <v>1407</v>
      </c>
      <c r="AF8572" t="s">
        <v>588</v>
      </c>
      <c r="AG8572" t="s">
        <v>592</v>
      </c>
      <c r="AL8572" t="s">
        <v>1736</v>
      </c>
      <c r="AM8572" t="s">
        <v>1737</v>
      </c>
      <c r="AN8572" t="s">
        <v>1738</v>
      </c>
      <c r="AO8572" t="s">
        <v>1677</v>
      </c>
      <c r="AQ8572" t="str">
        <f>IF(ISBLANK(AP8572), IFERROR(IF(VLOOKUP(AO8572, Ellens_additions!$A$2:$B$252, 2, FALSE) = "", "", VLOOKUP(AO8572, Ellens_additions!$A$2:$B$252, 2, FALSE)), 0), AP8572)</f>
        <v/>
      </c>
    </row>
    <row r="8573" spans="1:43" ht="14.4" x14ac:dyDescent="0.3"/>
    <row r="8574" spans="1:43" ht="14.4" x14ac:dyDescent="0.3"/>
    <row r="8575" spans="1:43" ht="14.4" x14ac:dyDescent="0.3"/>
    <row r="8576" spans="1:43" ht="14.4" x14ac:dyDescent="0.3"/>
    <row r="8577" spans="1:43" ht="14.4" hidden="1" x14ac:dyDescent="0.3">
      <c r="A8577" t="s">
        <v>1739</v>
      </c>
      <c r="B8577">
        <v>4924546</v>
      </c>
      <c r="C8577" t="s">
        <v>424</v>
      </c>
      <c r="D8577" t="s">
        <v>425</v>
      </c>
      <c r="E8577" t="s">
        <v>436</v>
      </c>
      <c r="F8577" t="s">
        <v>775</v>
      </c>
      <c r="H8577" t="s">
        <v>450</v>
      </c>
      <c r="J8577" t="s">
        <v>140</v>
      </c>
      <c r="K8577">
        <v>159714.62</v>
      </c>
      <c r="L8577">
        <v>387513.81</v>
      </c>
      <c r="N8577" t="s">
        <v>1740</v>
      </c>
      <c r="O8577" t="s">
        <v>1741</v>
      </c>
      <c r="P8577" t="s">
        <v>1742</v>
      </c>
      <c r="Q8577" t="s">
        <v>144</v>
      </c>
      <c r="S8577">
        <v>13.5</v>
      </c>
      <c r="T8577">
        <v>1450</v>
      </c>
      <c r="V8577" t="s">
        <v>146</v>
      </c>
      <c r="W8577" t="s">
        <v>147</v>
      </c>
      <c r="Y8577" t="s">
        <v>863</v>
      </c>
      <c r="Z8577" t="s">
        <v>1741</v>
      </c>
      <c r="AA8577" t="s">
        <v>1743</v>
      </c>
      <c r="AB8577">
        <v>0</v>
      </c>
      <c r="AE8577" t="s">
        <v>1407</v>
      </c>
      <c r="AF8577" t="s">
        <v>1741</v>
      </c>
      <c r="AG8577" t="s">
        <v>1744</v>
      </c>
      <c r="AL8577" t="s">
        <v>1745</v>
      </c>
      <c r="AM8577" t="s">
        <v>1746</v>
      </c>
      <c r="AN8577" t="s">
        <v>1747</v>
      </c>
      <c r="AO8577" t="s">
        <v>1740</v>
      </c>
      <c r="AP8577" t="s">
        <v>158</v>
      </c>
      <c r="AQ8577" t="str">
        <f>IF(ISBLANK(AP8577), IFERROR(IF(VLOOKUP(AO8577, Ellens_additions!$A$2:$B$252, 2, FALSE) = "", "", VLOOKUP(AO8577, Ellens_additions!$A$2:$B$252, 2, FALSE)), 0), AP8577)</f>
        <v>3000</v>
      </c>
    </row>
    <row r="8578" spans="1:43" ht="14.4" hidden="1" x14ac:dyDescent="0.3">
      <c r="A8578" t="s">
        <v>1748</v>
      </c>
      <c r="B8578">
        <v>4924548</v>
      </c>
      <c r="C8578" t="s">
        <v>424</v>
      </c>
      <c r="D8578" t="s">
        <v>425</v>
      </c>
      <c r="E8578" t="s">
        <v>436</v>
      </c>
      <c r="F8578" t="s">
        <v>775</v>
      </c>
      <c r="H8578" t="s">
        <v>544</v>
      </c>
      <c r="J8578" t="s">
        <v>140</v>
      </c>
      <c r="K8578">
        <v>159732.17000000001</v>
      </c>
      <c r="L8578">
        <v>387477.95</v>
      </c>
      <c r="N8578" t="s">
        <v>1740</v>
      </c>
      <c r="O8578" t="s">
        <v>1741</v>
      </c>
      <c r="P8578" t="s">
        <v>1742</v>
      </c>
      <c r="Q8578" t="s">
        <v>144</v>
      </c>
      <c r="S8578">
        <v>13.5</v>
      </c>
      <c r="T8578">
        <v>1450</v>
      </c>
      <c r="V8578" t="s">
        <v>146</v>
      </c>
      <c r="W8578" t="s">
        <v>147</v>
      </c>
      <c r="Y8578" t="s">
        <v>863</v>
      </c>
      <c r="Z8578" t="s">
        <v>1741</v>
      </c>
      <c r="AA8578" t="s">
        <v>1743</v>
      </c>
      <c r="AB8578">
        <v>0</v>
      </c>
      <c r="AE8578" t="s">
        <v>1407</v>
      </c>
      <c r="AF8578" t="s">
        <v>1741</v>
      </c>
      <c r="AG8578" t="s">
        <v>1744</v>
      </c>
      <c r="AL8578" t="s">
        <v>1749</v>
      </c>
      <c r="AM8578" t="s">
        <v>1750</v>
      </c>
      <c r="AN8578" t="s">
        <v>1751</v>
      </c>
      <c r="AO8578" t="s">
        <v>1740</v>
      </c>
      <c r="AP8578" t="s">
        <v>158</v>
      </c>
      <c r="AQ8578" t="str">
        <f>IF(ISBLANK(AP8578), IFERROR(IF(VLOOKUP(AO8578, Ellens_additions!$A$2:$B$252, 2, FALSE) = "", "", VLOOKUP(AO8578, Ellens_additions!$A$2:$B$252, 2, FALSE)), 0), AP8578)</f>
        <v>3000</v>
      </c>
    </row>
    <row r="8579" spans="1:43" ht="14.4" hidden="1" x14ac:dyDescent="0.3">
      <c r="A8579" t="s">
        <v>1752</v>
      </c>
      <c r="B8579">
        <v>4924549</v>
      </c>
      <c r="C8579" t="s">
        <v>424</v>
      </c>
      <c r="D8579" t="s">
        <v>425</v>
      </c>
      <c r="E8579" t="s">
        <v>436</v>
      </c>
      <c r="F8579" t="s">
        <v>775</v>
      </c>
      <c r="H8579" t="s">
        <v>347</v>
      </c>
      <c r="J8579" t="s">
        <v>140</v>
      </c>
      <c r="K8579">
        <v>159741.29</v>
      </c>
      <c r="L8579">
        <v>387460.28</v>
      </c>
      <c r="N8579" t="s">
        <v>1740</v>
      </c>
      <c r="O8579" t="s">
        <v>1741</v>
      </c>
      <c r="P8579" t="s">
        <v>1742</v>
      </c>
      <c r="Q8579" t="s">
        <v>144</v>
      </c>
      <c r="S8579">
        <v>13.5</v>
      </c>
      <c r="T8579">
        <v>1450</v>
      </c>
      <c r="V8579" t="s">
        <v>146</v>
      </c>
      <c r="W8579" t="s">
        <v>147</v>
      </c>
      <c r="Y8579" t="s">
        <v>863</v>
      </c>
      <c r="Z8579" t="s">
        <v>1741</v>
      </c>
      <c r="AA8579" t="s">
        <v>1743</v>
      </c>
      <c r="AB8579">
        <v>0</v>
      </c>
      <c r="AE8579" t="s">
        <v>1407</v>
      </c>
      <c r="AF8579" t="s">
        <v>1741</v>
      </c>
      <c r="AG8579" t="s">
        <v>1744</v>
      </c>
      <c r="AL8579" t="s">
        <v>1753</v>
      </c>
      <c r="AM8579" t="s">
        <v>1754</v>
      </c>
      <c r="AN8579" t="s">
        <v>1755</v>
      </c>
      <c r="AO8579" t="s">
        <v>1740</v>
      </c>
      <c r="AP8579" t="s">
        <v>158</v>
      </c>
      <c r="AQ8579" t="str">
        <f>IF(ISBLANK(AP8579), IFERROR(IF(VLOOKUP(AO8579, Ellens_additions!$A$2:$B$252, 2, FALSE) = "", "", VLOOKUP(AO8579, Ellens_additions!$A$2:$B$252, 2, FALSE)), 0), AP8579)</f>
        <v>3000</v>
      </c>
    </row>
    <row r="8580" spans="1:43" ht="14.4" hidden="1" x14ac:dyDescent="0.3">
      <c r="A8580" t="s">
        <v>1756</v>
      </c>
      <c r="B8580">
        <v>4924551</v>
      </c>
      <c r="C8580" t="s">
        <v>424</v>
      </c>
      <c r="D8580" t="s">
        <v>425</v>
      </c>
      <c r="E8580" t="s">
        <v>436</v>
      </c>
      <c r="F8580" t="s">
        <v>775</v>
      </c>
      <c r="H8580" t="s">
        <v>348</v>
      </c>
      <c r="J8580" t="s">
        <v>140</v>
      </c>
      <c r="K8580">
        <v>159760.68</v>
      </c>
      <c r="L8580">
        <v>387422.44</v>
      </c>
      <c r="N8580" t="s">
        <v>1740</v>
      </c>
      <c r="O8580" t="s">
        <v>1741</v>
      </c>
      <c r="P8580" t="s">
        <v>1742</v>
      </c>
      <c r="Q8580" t="s">
        <v>144</v>
      </c>
      <c r="S8580">
        <v>13.5</v>
      </c>
      <c r="T8580">
        <v>1450</v>
      </c>
      <c r="V8580" t="s">
        <v>146</v>
      </c>
      <c r="W8580" t="s">
        <v>147</v>
      </c>
      <c r="Y8580" t="s">
        <v>863</v>
      </c>
      <c r="Z8580" t="s">
        <v>1741</v>
      </c>
      <c r="AA8580" t="s">
        <v>1743</v>
      </c>
      <c r="AB8580">
        <v>0</v>
      </c>
      <c r="AE8580" t="s">
        <v>1407</v>
      </c>
      <c r="AF8580" t="s">
        <v>1741</v>
      </c>
      <c r="AG8580" t="s">
        <v>1744</v>
      </c>
      <c r="AL8580" t="s">
        <v>1757</v>
      </c>
      <c r="AM8580" t="s">
        <v>1758</v>
      </c>
      <c r="AN8580" t="s">
        <v>1759</v>
      </c>
      <c r="AO8580" t="s">
        <v>1740</v>
      </c>
      <c r="AP8580" t="s">
        <v>158</v>
      </c>
      <c r="AQ8580" t="str">
        <f>IF(ISBLANK(AP8580), IFERROR(IF(VLOOKUP(AO8580, Ellens_additions!$A$2:$B$252, 2, FALSE) = "", "", VLOOKUP(AO8580, Ellens_additions!$A$2:$B$252, 2, FALSE)), 0), AP8580)</f>
        <v>3000</v>
      </c>
    </row>
    <row r="8581" spans="1:43" ht="14.4" hidden="1" x14ac:dyDescent="0.3">
      <c r="A8581" t="s">
        <v>1760</v>
      </c>
      <c r="B8581">
        <v>4924552</v>
      </c>
      <c r="C8581" t="s">
        <v>424</v>
      </c>
      <c r="D8581" t="s">
        <v>425</v>
      </c>
      <c r="E8581" t="s">
        <v>436</v>
      </c>
      <c r="F8581" t="s">
        <v>775</v>
      </c>
      <c r="H8581" t="s">
        <v>555</v>
      </c>
      <c r="J8581" t="s">
        <v>140</v>
      </c>
      <c r="K8581">
        <v>159770.10999999999</v>
      </c>
      <c r="L8581">
        <v>387403.87</v>
      </c>
      <c r="N8581" t="s">
        <v>1740</v>
      </c>
      <c r="O8581" t="s">
        <v>1741</v>
      </c>
      <c r="P8581" t="s">
        <v>1742</v>
      </c>
      <c r="Q8581" t="s">
        <v>144</v>
      </c>
      <c r="S8581">
        <v>13.5</v>
      </c>
      <c r="T8581">
        <v>1450</v>
      </c>
      <c r="V8581" t="s">
        <v>146</v>
      </c>
      <c r="W8581" t="s">
        <v>147</v>
      </c>
      <c r="Y8581" t="s">
        <v>863</v>
      </c>
      <c r="Z8581" t="s">
        <v>1741</v>
      </c>
      <c r="AA8581" t="s">
        <v>1743</v>
      </c>
      <c r="AB8581">
        <v>0</v>
      </c>
      <c r="AE8581" t="s">
        <v>1407</v>
      </c>
      <c r="AF8581" t="s">
        <v>1741</v>
      </c>
      <c r="AG8581" t="s">
        <v>1744</v>
      </c>
      <c r="AL8581" t="s">
        <v>1761</v>
      </c>
      <c r="AM8581" t="s">
        <v>1762</v>
      </c>
      <c r="AN8581" t="s">
        <v>1763</v>
      </c>
      <c r="AO8581" t="s">
        <v>1740</v>
      </c>
      <c r="AP8581" t="s">
        <v>158</v>
      </c>
      <c r="AQ8581" t="str">
        <f>IF(ISBLANK(AP8581), IFERROR(IF(VLOOKUP(AO8581, Ellens_additions!$A$2:$B$252, 2, FALSE) = "", "", VLOOKUP(AO8581, Ellens_additions!$A$2:$B$252, 2, FALSE)), 0), AP8581)</f>
        <v>3000</v>
      </c>
    </row>
    <row r="8582" spans="1:43" ht="14.4" hidden="1" x14ac:dyDescent="0.3">
      <c r="A8582" t="s">
        <v>1764</v>
      </c>
      <c r="B8582">
        <v>4924553</v>
      </c>
      <c r="C8582" t="s">
        <v>424</v>
      </c>
      <c r="D8582" t="s">
        <v>425</v>
      </c>
      <c r="E8582" t="s">
        <v>436</v>
      </c>
      <c r="F8582" t="s">
        <v>775</v>
      </c>
      <c r="H8582" t="s">
        <v>561</v>
      </c>
      <c r="J8582" t="s">
        <v>140</v>
      </c>
      <c r="K8582">
        <v>159779.47</v>
      </c>
      <c r="L8582">
        <v>387387.19</v>
      </c>
      <c r="N8582" t="s">
        <v>1740</v>
      </c>
      <c r="O8582" t="s">
        <v>1741</v>
      </c>
      <c r="P8582" t="s">
        <v>1742</v>
      </c>
      <c r="Q8582" t="s">
        <v>144</v>
      </c>
      <c r="S8582">
        <v>13.5</v>
      </c>
      <c r="T8582">
        <v>1450</v>
      </c>
      <c r="V8582" t="s">
        <v>146</v>
      </c>
      <c r="W8582" t="s">
        <v>147</v>
      </c>
      <c r="Y8582" t="s">
        <v>863</v>
      </c>
      <c r="Z8582" t="s">
        <v>1741</v>
      </c>
      <c r="AA8582" t="s">
        <v>1743</v>
      </c>
      <c r="AB8582">
        <v>0</v>
      </c>
      <c r="AE8582" t="s">
        <v>1407</v>
      </c>
      <c r="AF8582" t="s">
        <v>1741</v>
      </c>
      <c r="AG8582" t="s">
        <v>1744</v>
      </c>
      <c r="AL8582" t="s">
        <v>1765</v>
      </c>
      <c r="AM8582" t="s">
        <v>1766</v>
      </c>
      <c r="AN8582" t="s">
        <v>1767</v>
      </c>
      <c r="AO8582" t="s">
        <v>1740</v>
      </c>
      <c r="AP8582" t="s">
        <v>158</v>
      </c>
      <c r="AQ8582" t="str">
        <f>IF(ISBLANK(AP8582), IFERROR(IF(VLOOKUP(AO8582, Ellens_additions!$A$2:$B$252, 2, FALSE) = "", "", VLOOKUP(AO8582, Ellens_additions!$A$2:$B$252, 2, FALSE)), 0), AP8582)</f>
        <v>3000</v>
      </c>
    </row>
    <row r="8583" spans="1:43" ht="14.4" x14ac:dyDescent="0.3"/>
    <row r="8584" spans="1:43" ht="14.4" x14ac:dyDescent="0.3"/>
    <row r="8585" spans="1:43" ht="14.4" x14ac:dyDescent="0.3"/>
    <row r="8586" spans="1:43" ht="14.4" x14ac:dyDescent="0.3"/>
    <row r="8587" spans="1:43" ht="14.4" x14ac:dyDescent="0.3"/>
    <row r="8588" spans="1:43" ht="14.4" x14ac:dyDescent="0.3"/>
    <row r="8589" spans="1:43" ht="14.4" x14ac:dyDescent="0.3"/>
    <row r="8590" spans="1:43" ht="14.4" x14ac:dyDescent="0.3"/>
    <row r="8591" spans="1:43" ht="14.4" x14ac:dyDescent="0.3"/>
    <row r="8592" spans="1:43" ht="14.4" x14ac:dyDescent="0.3"/>
    <row r="8593" ht="14.4" x14ac:dyDescent="0.3"/>
    <row r="8594" ht="14.4" x14ac:dyDescent="0.3"/>
    <row r="8595" ht="14.4" x14ac:dyDescent="0.3"/>
    <row r="8596" ht="14.4" x14ac:dyDescent="0.3"/>
    <row r="8597" ht="14.4" x14ac:dyDescent="0.3"/>
    <row r="8598" ht="14.4" x14ac:dyDescent="0.3"/>
    <row r="8599" ht="14.4" x14ac:dyDescent="0.3"/>
    <row r="8600" ht="14.4" x14ac:dyDescent="0.3"/>
    <row r="8601" ht="14.4" x14ac:dyDescent="0.3"/>
    <row r="8602" ht="14.4" x14ac:dyDescent="0.3"/>
    <row r="8603" ht="14.4" x14ac:dyDescent="0.3"/>
    <row r="8604" ht="14.4" x14ac:dyDescent="0.3"/>
    <row r="8605" ht="14.4" x14ac:dyDescent="0.3"/>
    <row r="8606" ht="14.4" x14ac:dyDescent="0.3"/>
    <row r="8607" ht="14.4" x14ac:dyDescent="0.3"/>
    <row r="8608" ht="14.4" x14ac:dyDescent="0.3"/>
    <row r="8609" spans="1:43" ht="14.4" x14ac:dyDescent="0.3"/>
    <row r="8610" spans="1:43" ht="14.4" x14ac:dyDescent="0.3"/>
    <row r="8611" spans="1:43" ht="14.4" x14ac:dyDescent="0.3"/>
    <row r="8612" spans="1:43" ht="14.4" hidden="1" x14ac:dyDescent="0.3">
      <c r="A8612" t="s">
        <v>1769</v>
      </c>
      <c r="B8612">
        <v>4924659</v>
      </c>
      <c r="C8612" t="s">
        <v>424</v>
      </c>
      <c r="D8612" t="s">
        <v>439</v>
      </c>
      <c r="E8612" t="s">
        <v>440</v>
      </c>
      <c r="F8612" t="s">
        <v>653</v>
      </c>
      <c r="H8612" t="s">
        <v>1251</v>
      </c>
      <c r="J8612" t="s">
        <v>140</v>
      </c>
      <c r="K8612">
        <v>158289.46</v>
      </c>
      <c r="L8612">
        <v>388057.1</v>
      </c>
      <c r="N8612" t="s">
        <v>823</v>
      </c>
      <c r="O8612" t="s">
        <v>511</v>
      </c>
      <c r="P8612" t="s">
        <v>1770</v>
      </c>
      <c r="Q8612" t="s">
        <v>144</v>
      </c>
      <c r="S8612">
        <v>17</v>
      </c>
      <c r="T8612">
        <v>2000</v>
      </c>
      <c r="V8612" t="s">
        <v>146</v>
      </c>
      <c r="W8612" t="s">
        <v>788</v>
      </c>
      <c r="Y8612" t="s">
        <v>815</v>
      </c>
      <c r="Z8612" t="s">
        <v>511</v>
      </c>
      <c r="AA8612" t="s">
        <v>1771</v>
      </c>
      <c r="AB8612">
        <v>0</v>
      </c>
      <c r="AE8612" t="s">
        <v>1407</v>
      </c>
      <c r="AF8612" t="s">
        <v>511</v>
      </c>
      <c r="AG8612" t="s">
        <v>1772</v>
      </c>
      <c r="AL8612" t="s">
        <v>1773</v>
      </c>
      <c r="AM8612" t="s">
        <v>1774</v>
      </c>
      <c r="AN8612" t="s">
        <v>1775</v>
      </c>
      <c r="AO8612" t="s">
        <v>823</v>
      </c>
      <c r="AQ8612" t="str">
        <f>IF(ISBLANK(AP8612), IFERROR(IF(VLOOKUP(AO8612, Ellens_additions!$A$2:$B$252, 2, FALSE) = "", "", VLOOKUP(AO8612, Ellens_additions!$A$2:$B$252, 2, FALSE)), 0), AP8612)</f>
        <v/>
      </c>
    </row>
    <row r="8613" spans="1:43" ht="14.4" hidden="1" x14ac:dyDescent="0.3">
      <c r="A8613" t="s">
        <v>1776</v>
      </c>
      <c r="B8613">
        <v>4924661</v>
      </c>
      <c r="C8613" t="s">
        <v>424</v>
      </c>
      <c r="D8613" t="s">
        <v>439</v>
      </c>
      <c r="E8613" t="s">
        <v>440</v>
      </c>
      <c r="F8613" t="s">
        <v>653</v>
      </c>
      <c r="H8613" t="s">
        <v>1777</v>
      </c>
      <c r="J8613" t="s">
        <v>140</v>
      </c>
      <c r="K8613">
        <v>158257.53</v>
      </c>
      <c r="L8613">
        <v>388107.8</v>
      </c>
      <c r="N8613" t="s">
        <v>823</v>
      </c>
      <c r="O8613" t="s">
        <v>511</v>
      </c>
      <c r="P8613" t="s">
        <v>1770</v>
      </c>
      <c r="Q8613" t="s">
        <v>144</v>
      </c>
      <c r="S8613">
        <v>17</v>
      </c>
      <c r="T8613">
        <v>2000</v>
      </c>
      <c r="V8613" t="s">
        <v>146</v>
      </c>
      <c r="W8613" t="s">
        <v>788</v>
      </c>
      <c r="Y8613" t="s">
        <v>815</v>
      </c>
      <c r="Z8613" t="s">
        <v>511</v>
      </c>
      <c r="AA8613" t="s">
        <v>1771</v>
      </c>
      <c r="AB8613">
        <v>0</v>
      </c>
      <c r="AE8613" t="s">
        <v>1407</v>
      </c>
      <c r="AF8613" t="s">
        <v>511</v>
      </c>
      <c r="AG8613" t="s">
        <v>1772</v>
      </c>
      <c r="AL8613" t="s">
        <v>1778</v>
      </c>
      <c r="AM8613" t="s">
        <v>1779</v>
      </c>
      <c r="AN8613" t="s">
        <v>1780</v>
      </c>
      <c r="AO8613" t="s">
        <v>823</v>
      </c>
      <c r="AQ8613" t="str">
        <f>IF(ISBLANK(AP8613), IFERROR(IF(VLOOKUP(AO8613, Ellens_additions!$A$2:$B$252, 2, FALSE) = "", "", VLOOKUP(AO8613, Ellens_additions!$A$2:$B$252, 2, FALSE)), 0), AP8613)</f>
        <v/>
      </c>
    </row>
    <row r="8614" spans="1:43" ht="14.4" x14ac:dyDescent="0.3"/>
    <row r="8615" spans="1:43" ht="14.4" x14ac:dyDescent="0.3"/>
    <row r="8616" spans="1:43" ht="14.4" x14ac:dyDescent="0.3"/>
    <row r="8617" spans="1:43" ht="14.4" x14ac:dyDescent="0.3"/>
    <row r="8618" spans="1:43" ht="14.4" x14ac:dyDescent="0.3"/>
    <row r="8619" spans="1:43" ht="14.4" x14ac:dyDescent="0.3"/>
    <row r="8620" spans="1:43" ht="14.4" x14ac:dyDescent="0.3"/>
    <row r="8621" spans="1:43" ht="14.4" x14ac:dyDescent="0.3"/>
    <row r="8622" spans="1:43" ht="14.4" x14ac:dyDescent="0.3"/>
    <row r="8623" spans="1:43" ht="14.4" x14ac:dyDescent="0.3"/>
    <row r="8624" spans="1:43" ht="14.4" x14ac:dyDescent="0.3"/>
    <row r="8625" ht="14.4" x14ac:dyDescent="0.3"/>
    <row r="8626" ht="14.4" x14ac:dyDescent="0.3"/>
    <row r="8627" ht="14.4" x14ac:dyDescent="0.3"/>
    <row r="8628" ht="14.4" x14ac:dyDescent="0.3"/>
    <row r="8629" ht="14.4" x14ac:dyDescent="0.3"/>
    <row r="8630" ht="14.4" x14ac:dyDescent="0.3"/>
    <row r="8631" ht="14.4" x14ac:dyDescent="0.3"/>
    <row r="8632" ht="14.4" x14ac:dyDescent="0.3"/>
    <row r="8633" ht="14.4" x14ac:dyDescent="0.3"/>
    <row r="8634" ht="14.4" x14ac:dyDescent="0.3"/>
    <row r="8635" ht="14.4" x14ac:dyDescent="0.3"/>
    <row r="8636" ht="14.4" x14ac:dyDescent="0.3"/>
    <row r="8637" ht="14.4" x14ac:dyDescent="0.3"/>
    <row r="8638" ht="14.4" x14ac:dyDescent="0.3"/>
    <row r="8639" ht="14.4" x14ac:dyDescent="0.3"/>
    <row r="8640" ht="14.4" x14ac:dyDescent="0.3"/>
    <row r="8641" ht="14.4" x14ac:dyDescent="0.3"/>
    <row r="8642" ht="14.4" x14ac:dyDescent="0.3"/>
    <row r="8643" ht="14.4" x14ac:dyDescent="0.3"/>
    <row r="8644" ht="14.4" x14ac:dyDescent="0.3"/>
    <row r="8645" ht="14.4" x14ac:dyDescent="0.3"/>
    <row r="8646" ht="14.4" x14ac:dyDescent="0.3"/>
    <row r="8647" ht="14.4" x14ac:dyDescent="0.3"/>
    <row r="8648" ht="14.4" x14ac:dyDescent="0.3"/>
    <row r="8649" ht="14.4" x14ac:dyDescent="0.3"/>
    <row r="8650" ht="14.4" x14ac:dyDescent="0.3"/>
    <row r="8651" ht="14.4" x14ac:dyDescent="0.3"/>
    <row r="8652" ht="14.4" x14ac:dyDescent="0.3"/>
    <row r="8653" ht="14.4" x14ac:dyDescent="0.3"/>
    <row r="8654" ht="14.4" x14ac:dyDescent="0.3"/>
    <row r="8655" ht="14.4" x14ac:dyDescent="0.3"/>
    <row r="8656" ht="14.4" x14ac:dyDescent="0.3"/>
    <row r="8657" ht="14.4" x14ac:dyDescent="0.3"/>
    <row r="8658" ht="14.4" x14ac:dyDescent="0.3"/>
    <row r="8659" ht="14.4" x14ac:dyDescent="0.3"/>
    <row r="8660" ht="14.4" x14ac:dyDescent="0.3"/>
    <row r="8661" ht="14.4" x14ac:dyDescent="0.3"/>
    <row r="8662" ht="14.4" x14ac:dyDescent="0.3"/>
    <row r="8663" ht="14.4" x14ac:dyDescent="0.3"/>
    <row r="8664" ht="14.4" x14ac:dyDescent="0.3"/>
    <row r="8665" ht="14.4" x14ac:dyDescent="0.3"/>
    <row r="8666" ht="14.4" x14ac:dyDescent="0.3"/>
    <row r="8667" ht="14.4" x14ac:dyDescent="0.3"/>
    <row r="8668" ht="14.4" x14ac:dyDescent="0.3"/>
    <row r="8669" ht="14.4" x14ac:dyDescent="0.3"/>
    <row r="8670" ht="14.4" x14ac:dyDescent="0.3"/>
    <row r="8671" ht="14.4" x14ac:dyDescent="0.3"/>
    <row r="8672" ht="14.4" x14ac:dyDescent="0.3"/>
    <row r="8673" ht="14.4" x14ac:dyDescent="0.3"/>
    <row r="8674" ht="14.4" x14ac:dyDescent="0.3"/>
    <row r="8675" ht="14.4" x14ac:dyDescent="0.3"/>
    <row r="8676" ht="14.4" x14ac:dyDescent="0.3"/>
    <row r="8677" ht="14.4" x14ac:dyDescent="0.3"/>
    <row r="8678" ht="14.4" x14ac:dyDescent="0.3"/>
    <row r="8679" ht="14.4" x14ac:dyDescent="0.3"/>
    <row r="8680" ht="14.4" x14ac:dyDescent="0.3"/>
    <row r="8681" ht="14.4" x14ac:dyDescent="0.3"/>
    <row r="8682" ht="14.4" x14ac:dyDescent="0.3"/>
    <row r="8683" ht="14.4" x14ac:dyDescent="0.3"/>
    <row r="8684" ht="14.4" x14ac:dyDescent="0.3"/>
    <row r="8685" ht="14.4" x14ac:dyDescent="0.3"/>
    <row r="8686" ht="14.4" x14ac:dyDescent="0.3"/>
    <row r="8687" ht="14.4" x14ac:dyDescent="0.3"/>
    <row r="8688" ht="14.4" x14ac:dyDescent="0.3"/>
    <row r="8689" ht="14.4" x14ac:dyDescent="0.3"/>
    <row r="8690" ht="14.4" x14ac:dyDescent="0.3"/>
    <row r="8691" ht="14.4" x14ac:dyDescent="0.3"/>
    <row r="8692" ht="14.4" x14ac:dyDescent="0.3"/>
    <row r="8693" ht="14.4" x14ac:dyDescent="0.3"/>
    <row r="8694" ht="14.4" x14ac:dyDescent="0.3"/>
    <row r="8695" ht="14.4" x14ac:dyDescent="0.3"/>
    <row r="8696" ht="14.4" x14ac:dyDescent="0.3"/>
    <row r="8697" ht="14.4" x14ac:dyDescent="0.3"/>
    <row r="8698" ht="14.4" x14ac:dyDescent="0.3"/>
    <row r="8699" ht="14.4" x14ac:dyDescent="0.3"/>
    <row r="8700" ht="14.4" x14ac:dyDescent="0.3"/>
    <row r="8701" ht="14.4" x14ac:dyDescent="0.3"/>
    <row r="8702" ht="14.4" x14ac:dyDescent="0.3"/>
    <row r="8703" ht="14.4" x14ac:dyDescent="0.3"/>
    <row r="8704" ht="14.4" x14ac:dyDescent="0.3"/>
    <row r="8705" ht="14.4" x14ac:dyDescent="0.3"/>
    <row r="8706" ht="14.4" x14ac:dyDescent="0.3"/>
    <row r="8707" ht="14.4" x14ac:dyDescent="0.3"/>
    <row r="8708" ht="14.4" x14ac:dyDescent="0.3"/>
    <row r="8709" ht="14.4" x14ac:dyDescent="0.3"/>
    <row r="8710" ht="14.4" x14ac:dyDescent="0.3"/>
    <row r="8711" ht="14.4" x14ac:dyDescent="0.3"/>
    <row r="8712" ht="14.4" x14ac:dyDescent="0.3"/>
    <row r="8713" ht="14.4" x14ac:dyDescent="0.3"/>
    <row r="8714" ht="14.4" x14ac:dyDescent="0.3"/>
    <row r="8715" ht="14.4" x14ac:dyDescent="0.3"/>
    <row r="8716" ht="14.4" x14ac:dyDescent="0.3"/>
    <row r="8717" ht="14.4" x14ac:dyDescent="0.3"/>
    <row r="8718" ht="14.4" x14ac:dyDescent="0.3"/>
    <row r="8719" ht="14.4" x14ac:dyDescent="0.3"/>
    <row r="8720" ht="14.4" x14ac:dyDescent="0.3"/>
    <row r="8721" ht="14.4" x14ac:dyDescent="0.3"/>
    <row r="8722" ht="14.4" x14ac:dyDescent="0.3"/>
    <row r="8723" ht="14.4" x14ac:dyDescent="0.3"/>
    <row r="8724" ht="14.4" x14ac:dyDescent="0.3"/>
    <row r="8725" ht="14.4" x14ac:dyDescent="0.3"/>
    <row r="8726" ht="14.4" x14ac:dyDescent="0.3"/>
    <row r="8727" ht="14.4" x14ac:dyDescent="0.3"/>
    <row r="8728" ht="14.4" x14ac:dyDescent="0.3"/>
    <row r="8729" ht="14.4" x14ac:dyDescent="0.3"/>
    <row r="8730" ht="14.4" x14ac:dyDescent="0.3"/>
    <row r="8731" ht="14.4" x14ac:dyDescent="0.3"/>
    <row r="8732" ht="14.4" x14ac:dyDescent="0.3"/>
    <row r="8733" ht="14.4" x14ac:dyDescent="0.3"/>
    <row r="8734" ht="14.4" x14ac:dyDescent="0.3"/>
    <row r="8735" ht="14.4" x14ac:dyDescent="0.3"/>
    <row r="8736" ht="14.4" x14ac:dyDescent="0.3"/>
    <row r="8737" ht="14.4" x14ac:dyDescent="0.3"/>
    <row r="8738" ht="14.4" x14ac:dyDescent="0.3"/>
    <row r="8739" ht="14.4" x14ac:dyDescent="0.3"/>
    <row r="8740" ht="14.4" x14ac:dyDescent="0.3"/>
    <row r="8741" ht="14.4" x14ac:dyDescent="0.3"/>
    <row r="8742" ht="14.4" x14ac:dyDescent="0.3"/>
    <row r="8743" ht="14.4" x14ac:dyDescent="0.3"/>
    <row r="8744" ht="14.4" x14ac:dyDescent="0.3"/>
    <row r="8745" ht="14.4" x14ac:dyDescent="0.3"/>
    <row r="8746" ht="14.4" x14ac:dyDescent="0.3"/>
    <row r="8747" ht="14.4" x14ac:dyDescent="0.3"/>
    <row r="8748" ht="14.4" x14ac:dyDescent="0.3"/>
    <row r="8749" ht="14.4" x14ac:dyDescent="0.3"/>
    <row r="8750" ht="14.4" x14ac:dyDescent="0.3"/>
    <row r="8751" ht="14.4" x14ac:dyDescent="0.3"/>
    <row r="8752" ht="14.4" x14ac:dyDescent="0.3"/>
    <row r="8753" ht="14.4" x14ac:dyDescent="0.3"/>
    <row r="8754" ht="14.4" x14ac:dyDescent="0.3"/>
    <row r="8755" ht="14.4" x14ac:dyDescent="0.3"/>
    <row r="8756" ht="14.4" x14ac:dyDescent="0.3"/>
    <row r="8757" ht="14.4" x14ac:dyDescent="0.3"/>
    <row r="8758" ht="14.4" x14ac:dyDescent="0.3"/>
    <row r="8759" ht="14.4" x14ac:dyDescent="0.3"/>
    <row r="8760" ht="14.4" x14ac:dyDescent="0.3"/>
    <row r="8761" ht="14.4" x14ac:dyDescent="0.3"/>
    <row r="8762" ht="14.4" x14ac:dyDescent="0.3"/>
    <row r="8763" ht="14.4" x14ac:dyDescent="0.3"/>
    <row r="8764" ht="14.4" x14ac:dyDescent="0.3"/>
    <row r="8765" ht="14.4" x14ac:dyDescent="0.3"/>
    <row r="8766" ht="14.4" x14ac:dyDescent="0.3"/>
    <row r="8767" ht="14.4" x14ac:dyDescent="0.3"/>
    <row r="8768" ht="14.4" x14ac:dyDescent="0.3"/>
    <row r="8769" ht="14.4" x14ac:dyDescent="0.3"/>
    <row r="8770" ht="14.4" x14ac:dyDescent="0.3"/>
    <row r="8771" ht="14.4" x14ac:dyDescent="0.3"/>
    <row r="8772" ht="14.4" x14ac:dyDescent="0.3"/>
    <row r="8773" ht="14.4" x14ac:dyDescent="0.3"/>
    <row r="8774" ht="14.4" x14ac:dyDescent="0.3"/>
    <row r="8775" ht="14.4" x14ac:dyDescent="0.3"/>
    <row r="8776" ht="14.4" x14ac:dyDescent="0.3"/>
    <row r="8777" ht="14.4" x14ac:dyDescent="0.3"/>
    <row r="8778" ht="14.4" x14ac:dyDescent="0.3"/>
    <row r="8779" ht="14.4" x14ac:dyDescent="0.3"/>
    <row r="8780" ht="14.4" x14ac:dyDescent="0.3"/>
    <row r="8781" ht="14.4" x14ac:dyDescent="0.3"/>
    <row r="8782" ht="14.4" x14ac:dyDescent="0.3"/>
    <row r="8783" ht="14.4" x14ac:dyDescent="0.3"/>
    <row r="8784" ht="14.4" x14ac:dyDescent="0.3"/>
    <row r="8785" ht="14.4" x14ac:dyDescent="0.3"/>
    <row r="8786" ht="14.4" x14ac:dyDescent="0.3"/>
    <row r="8787" ht="14.4" x14ac:dyDescent="0.3"/>
    <row r="8788" ht="14.4" x14ac:dyDescent="0.3"/>
    <row r="8789" ht="14.4" x14ac:dyDescent="0.3"/>
    <row r="8790" ht="14.4" x14ac:dyDescent="0.3"/>
    <row r="8791" ht="14.4" x14ac:dyDescent="0.3"/>
    <row r="8792" ht="14.4" x14ac:dyDescent="0.3"/>
    <row r="8793" ht="14.4" x14ac:dyDescent="0.3"/>
    <row r="8794" ht="14.4" x14ac:dyDescent="0.3"/>
    <row r="8795" ht="14.4" x14ac:dyDescent="0.3"/>
    <row r="8796" ht="14.4" x14ac:dyDescent="0.3"/>
    <row r="8797" ht="14.4" x14ac:dyDescent="0.3"/>
    <row r="8798" ht="14.4" x14ac:dyDescent="0.3"/>
    <row r="8799" ht="14.4" x14ac:dyDescent="0.3"/>
    <row r="8800" ht="14.4" x14ac:dyDescent="0.3"/>
    <row r="8801" ht="14.4" x14ac:dyDescent="0.3"/>
    <row r="8802" ht="14.4" x14ac:dyDescent="0.3"/>
    <row r="8803" ht="14.4" x14ac:dyDescent="0.3"/>
    <row r="8804" ht="14.4" x14ac:dyDescent="0.3"/>
    <row r="8805" ht="14.4" x14ac:dyDescent="0.3"/>
    <row r="8806" ht="14.4" x14ac:dyDescent="0.3"/>
    <row r="8807" ht="14.4" x14ac:dyDescent="0.3"/>
    <row r="8808" ht="14.4" x14ac:dyDescent="0.3"/>
    <row r="8809" ht="14.4" x14ac:dyDescent="0.3"/>
    <row r="8810" ht="14.4" x14ac:dyDescent="0.3"/>
    <row r="8811" ht="14.4" x14ac:dyDescent="0.3"/>
    <row r="8812" ht="14.4" x14ac:dyDescent="0.3"/>
    <row r="8813" ht="14.4" x14ac:dyDescent="0.3"/>
    <row r="8814" ht="14.4" x14ac:dyDescent="0.3"/>
    <row r="8815" ht="14.4" x14ac:dyDescent="0.3"/>
    <row r="8816" ht="14.4" x14ac:dyDescent="0.3"/>
    <row r="8817" ht="14.4" x14ac:dyDescent="0.3"/>
    <row r="8818" ht="14.4" x14ac:dyDescent="0.3"/>
    <row r="8819" ht="14.4" x14ac:dyDescent="0.3"/>
    <row r="8820" ht="14.4" x14ac:dyDescent="0.3"/>
    <row r="8821" ht="14.4" x14ac:dyDescent="0.3"/>
    <row r="8822" ht="14.4" x14ac:dyDescent="0.3"/>
    <row r="8823" ht="14.4" x14ac:dyDescent="0.3"/>
    <row r="8824" ht="14.4" x14ac:dyDescent="0.3"/>
    <row r="8825" ht="14.4" x14ac:dyDescent="0.3"/>
    <row r="8826" ht="14.4" x14ac:dyDescent="0.3"/>
    <row r="8827" ht="14.4" x14ac:dyDescent="0.3"/>
    <row r="8828" ht="14.4" x14ac:dyDescent="0.3"/>
    <row r="8829" ht="14.4" x14ac:dyDescent="0.3"/>
    <row r="8830" ht="14.4" x14ac:dyDescent="0.3"/>
    <row r="8831" ht="14.4" x14ac:dyDescent="0.3"/>
    <row r="8832" ht="14.4" x14ac:dyDescent="0.3"/>
    <row r="8833" ht="14.4" x14ac:dyDescent="0.3"/>
    <row r="8834" ht="14.4" x14ac:dyDescent="0.3"/>
    <row r="8835" ht="14.4" x14ac:dyDescent="0.3"/>
    <row r="8836" ht="14.4" x14ac:dyDescent="0.3"/>
    <row r="8837" ht="14.4" x14ac:dyDescent="0.3"/>
    <row r="8838" ht="14.4" x14ac:dyDescent="0.3"/>
    <row r="8839" ht="14.4" x14ac:dyDescent="0.3"/>
    <row r="8840" ht="14.4" x14ac:dyDescent="0.3"/>
    <row r="8841" ht="14.4" x14ac:dyDescent="0.3"/>
    <row r="8842" ht="14.4" x14ac:dyDescent="0.3"/>
    <row r="8843" ht="14.4" x14ac:dyDescent="0.3"/>
    <row r="8844" ht="14.4" x14ac:dyDescent="0.3"/>
    <row r="8845" ht="14.4" x14ac:dyDescent="0.3"/>
    <row r="8846" ht="14.4" x14ac:dyDescent="0.3"/>
    <row r="8847" ht="14.4" x14ac:dyDescent="0.3"/>
    <row r="8848" ht="14.4" x14ac:dyDescent="0.3"/>
    <row r="8849" ht="14.4" x14ac:dyDescent="0.3"/>
    <row r="8850" ht="14.4" x14ac:dyDescent="0.3"/>
    <row r="8851" ht="14.4" x14ac:dyDescent="0.3"/>
    <row r="8852" ht="14.4" x14ac:dyDescent="0.3"/>
    <row r="8853" ht="14.4" x14ac:dyDescent="0.3"/>
    <row r="8854" ht="14.4" x14ac:dyDescent="0.3"/>
    <row r="8855" ht="14.4" x14ac:dyDescent="0.3"/>
    <row r="8856" ht="14.4" x14ac:dyDescent="0.3"/>
    <row r="8857" ht="14.4" x14ac:dyDescent="0.3"/>
    <row r="8858" ht="14.4" x14ac:dyDescent="0.3"/>
    <row r="8859" ht="14.4" x14ac:dyDescent="0.3"/>
    <row r="8860" ht="14.4" x14ac:dyDescent="0.3"/>
    <row r="8861" ht="14.4" x14ac:dyDescent="0.3"/>
    <row r="8862" ht="14.4" x14ac:dyDescent="0.3"/>
    <row r="8863" ht="14.4" x14ac:dyDescent="0.3"/>
    <row r="8864" ht="14.4" x14ac:dyDescent="0.3"/>
    <row r="8865" ht="14.4" x14ac:dyDescent="0.3"/>
    <row r="8866" ht="14.4" x14ac:dyDescent="0.3"/>
    <row r="8867" ht="14.4" x14ac:dyDescent="0.3"/>
    <row r="8868" ht="14.4" x14ac:dyDescent="0.3"/>
    <row r="8869" ht="14.4" x14ac:dyDescent="0.3"/>
    <row r="8870" ht="14.4" x14ac:dyDescent="0.3"/>
    <row r="8871" ht="14.4" x14ac:dyDescent="0.3"/>
    <row r="8872" ht="14.4" x14ac:dyDescent="0.3"/>
    <row r="8873" ht="14.4" x14ac:dyDescent="0.3"/>
    <row r="8874" ht="14.4" x14ac:dyDescent="0.3"/>
    <row r="8875" ht="14.4" x14ac:dyDescent="0.3"/>
    <row r="8876" ht="14.4" x14ac:dyDescent="0.3"/>
    <row r="8877" ht="14.4" x14ac:dyDescent="0.3"/>
    <row r="8878" ht="14.4" x14ac:dyDescent="0.3"/>
    <row r="8879" ht="14.4" x14ac:dyDescent="0.3"/>
    <row r="8880" ht="14.4" x14ac:dyDescent="0.3"/>
    <row r="8881" ht="14.4" x14ac:dyDescent="0.3"/>
    <row r="8882" ht="14.4" x14ac:dyDescent="0.3"/>
    <row r="8883" ht="14.4" x14ac:dyDescent="0.3"/>
    <row r="8884" ht="14.4" x14ac:dyDescent="0.3"/>
    <row r="8885" ht="14.4" x14ac:dyDescent="0.3"/>
    <row r="8886" ht="14.4" x14ac:dyDescent="0.3"/>
    <row r="8887" ht="14.4" x14ac:dyDescent="0.3"/>
    <row r="8888" ht="14.4" x14ac:dyDescent="0.3"/>
    <row r="8889" ht="14.4" x14ac:dyDescent="0.3"/>
    <row r="8890" ht="14.4" x14ac:dyDescent="0.3"/>
    <row r="8891" ht="14.4" x14ac:dyDescent="0.3"/>
    <row r="8892" ht="14.4" x14ac:dyDescent="0.3"/>
    <row r="8893" ht="14.4" x14ac:dyDescent="0.3"/>
    <row r="8894" ht="14.4" x14ac:dyDescent="0.3"/>
    <row r="8895" ht="14.4" x14ac:dyDescent="0.3"/>
    <row r="8896" ht="14.4" x14ac:dyDescent="0.3"/>
    <row r="8897" ht="14.4" x14ac:dyDescent="0.3"/>
    <row r="8898" ht="14.4" x14ac:dyDescent="0.3"/>
    <row r="8899" ht="14.4" x14ac:dyDescent="0.3"/>
    <row r="8900" ht="14.4" x14ac:dyDescent="0.3"/>
    <row r="8901" ht="14.4" x14ac:dyDescent="0.3"/>
    <row r="8902" ht="14.4" x14ac:dyDescent="0.3"/>
    <row r="8903" ht="14.4" x14ac:dyDescent="0.3"/>
    <row r="8904" ht="14.4" x14ac:dyDescent="0.3"/>
    <row r="8905" ht="14.4" x14ac:dyDescent="0.3"/>
    <row r="8906" ht="14.4" x14ac:dyDescent="0.3"/>
    <row r="8907" ht="14.4" x14ac:dyDescent="0.3"/>
    <row r="8908" ht="14.4" x14ac:dyDescent="0.3"/>
    <row r="8909" ht="14.4" x14ac:dyDescent="0.3"/>
    <row r="8910" ht="14.4" x14ac:dyDescent="0.3"/>
    <row r="8911" ht="14.4" x14ac:dyDescent="0.3"/>
    <row r="8912" ht="14.4" x14ac:dyDescent="0.3"/>
    <row r="8913" ht="14.4" x14ac:dyDescent="0.3"/>
    <row r="8914" ht="14.4" x14ac:dyDescent="0.3"/>
    <row r="8915" ht="14.4" x14ac:dyDescent="0.3"/>
    <row r="8916" ht="14.4" x14ac:dyDescent="0.3"/>
    <row r="8917" ht="14.4" x14ac:dyDescent="0.3"/>
    <row r="8918" ht="14.4" x14ac:dyDescent="0.3"/>
    <row r="8919" ht="14.4" x14ac:dyDescent="0.3"/>
    <row r="8920" ht="14.4" x14ac:dyDescent="0.3"/>
    <row r="8921" ht="14.4" x14ac:dyDescent="0.3"/>
    <row r="8922" ht="14.4" x14ac:dyDescent="0.3"/>
    <row r="8923" ht="14.4" x14ac:dyDescent="0.3"/>
    <row r="8924" ht="14.4" x14ac:dyDescent="0.3"/>
    <row r="8925" ht="14.4" x14ac:dyDescent="0.3"/>
    <row r="8926" ht="14.4" x14ac:dyDescent="0.3"/>
    <row r="8927" ht="14.4" x14ac:dyDescent="0.3"/>
    <row r="8928" ht="14.4" x14ac:dyDescent="0.3"/>
    <row r="8929" ht="14.4" x14ac:dyDescent="0.3"/>
    <row r="8930" ht="14.4" x14ac:dyDescent="0.3"/>
    <row r="8931" ht="14.4" x14ac:dyDescent="0.3"/>
    <row r="8932" ht="14.4" x14ac:dyDescent="0.3"/>
    <row r="8933" ht="14.4" x14ac:dyDescent="0.3"/>
    <row r="8934" ht="14.4" x14ac:dyDescent="0.3"/>
    <row r="8935" ht="14.4" x14ac:dyDescent="0.3"/>
    <row r="8936" ht="14.4" x14ac:dyDescent="0.3"/>
    <row r="8937" ht="14.4" x14ac:dyDescent="0.3"/>
    <row r="8938" ht="14.4" x14ac:dyDescent="0.3"/>
    <row r="8939" ht="14.4" x14ac:dyDescent="0.3"/>
    <row r="8940" ht="14.4" x14ac:dyDescent="0.3"/>
    <row r="8941" ht="14.4" x14ac:dyDescent="0.3"/>
    <row r="8942" ht="14.4" x14ac:dyDescent="0.3"/>
    <row r="8943" ht="14.4" x14ac:dyDescent="0.3"/>
    <row r="8944" ht="14.4" x14ac:dyDescent="0.3"/>
    <row r="8945" ht="14.4" x14ac:dyDescent="0.3"/>
    <row r="8946" ht="14.4" x14ac:dyDescent="0.3"/>
    <row r="8947" ht="14.4" x14ac:dyDescent="0.3"/>
    <row r="8948" ht="14.4" x14ac:dyDescent="0.3"/>
    <row r="8949" ht="14.4" x14ac:dyDescent="0.3"/>
    <row r="8950" ht="14.4" x14ac:dyDescent="0.3"/>
    <row r="8951" ht="14.4" x14ac:dyDescent="0.3"/>
    <row r="8952" ht="14.4" x14ac:dyDescent="0.3"/>
    <row r="8953" ht="14.4" x14ac:dyDescent="0.3"/>
    <row r="8954" ht="14.4" x14ac:dyDescent="0.3"/>
    <row r="8955" ht="14.4" x14ac:dyDescent="0.3"/>
    <row r="8956" ht="14.4" x14ac:dyDescent="0.3"/>
    <row r="8957" ht="14.4" x14ac:dyDescent="0.3"/>
    <row r="8958" ht="14.4" x14ac:dyDescent="0.3"/>
    <row r="8959" ht="14.4" x14ac:dyDescent="0.3"/>
    <row r="8960" ht="14.4" x14ac:dyDescent="0.3"/>
    <row r="8961" ht="14.4" x14ac:dyDescent="0.3"/>
    <row r="8962" ht="14.4" x14ac:dyDescent="0.3"/>
    <row r="8963" ht="14.4" x14ac:dyDescent="0.3"/>
    <row r="8964" ht="14.4" x14ac:dyDescent="0.3"/>
    <row r="8965" ht="14.4" x14ac:dyDescent="0.3"/>
    <row r="8966" ht="14.4" x14ac:dyDescent="0.3"/>
    <row r="8967" ht="14.4" x14ac:dyDescent="0.3"/>
    <row r="8968" ht="14.4" x14ac:dyDescent="0.3"/>
    <row r="8969" ht="14.4" x14ac:dyDescent="0.3"/>
    <row r="8970" ht="14.4" x14ac:dyDescent="0.3"/>
    <row r="8971" ht="14.4" x14ac:dyDescent="0.3"/>
    <row r="8972" ht="14.4" x14ac:dyDescent="0.3"/>
    <row r="8973" ht="14.4" x14ac:dyDescent="0.3"/>
    <row r="8974" ht="14.4" x14ac:dyDescent="0.3"/>
    <row r="8975" ht="14.4" x14ac:dyDescent="0.3"/>
    <row r="8976" ht="14.4" x14ac:dyDescent="0.3"/>
    <row r="8977" ht="14.4" x14ac:dyDescent="0.3"/>
    <row r="8978" ht="14.4" x14ac:dyDescent="0.3"/>
    <row r="8979" ht="14.4" x14ac:dyDescent="0.3"/>
    <row r="8980" ht="14.4" x14ac:dyDescent="0.3"/>
    <row r="8981" ht="14.4" x14ac:dyDescent="0.3"/>
    <row r="8982" ht="14.4" x14ac:dyDescent="0.3"/>
    <row r="8983" ht="14.4" x14ac:dyDescent="0.3"/>
    <row r="8984" ht="14.4" x14ac:dyDescent="0.3"/>
    <row r="8985" ht="14.4" x14ac:dyDescent="0.3"/>
    <row r="8986" ht="14.4" x14ac:dyDescent="0.3"/>
    <row r="8987" ht="14.4" x14ac:dyDescent="0.3"/>
    <row r="8988" ht="14.4" x14ac:dyDescent="0.3"/>
    <row r="8989" ht="14.4" x14ac:dyDescent="0.3"/>
    <row r="8990" ht="14.4" x14ac:dyDescent="0.3"/>
    <row r="8991" ht="14.4" x14ac:dyDescent="0.3"/>
    <row r="8992" ht="14.4" x14ac:dyDescent="0.3"/>
    <row r="8993" ht="14.4" x14ac:dyDescent="0.3"/>
    <row r="8994" ht="14.4" x14ac:dyDescent="0.3"/>
    <row r="8995" ht="14.4" x14ac:dyDescent="0.3"/>
    <row r="8996" ht="14.4" x14ac:dyDescent="0.3"/>
    <row r="8997" ht="14.4" x14ac:dyDescent="0.3"/>
    <row r="8998" ht="14.4" x14ac:dyDescent="0.3"/>
    <row r="8999" ht="14.4" x14ac:dyDescent="0.3"/>
    <row r="9000" ht="14.4" x14ac:dyDescent="0.3"/>
    <row r="9001" ht="14.4" x14ac:dyDescent="0.3"/>
    <row r="9002" ht="14.4" x14ac:dyDescent="0.3"/>
    <row r="9003" ht="14.4" x14ac:dyDescent="0.3"/>
    <row r="9004" ht="14.4" x14ac:dyDescent="0.3"/>
    <row r="9005" ht="14.4" x14ac:dyDescent="0.3"/>
    <row r="9006" ht="14.4" x14ac:dyDescent="0.3"/>
    <row r="9007" ht="14.4" x14ac:dyDescent="0.3"/>
    <row r="9008" ht="14.4" x14ac:dyDescent="0.3"/>
    <row r="9009" ht="14.4" x14ac:dyDescent="0.3"/>
    <row r="9010" ht="14.4" x14ac:dyDescent="0.3"/>
    <row r="9011" ht="14.4" x14ac:dyDescent="0.3"/>
    <row r="9012" ht="14.4" x14ac:dyDescent="0.3"/>
    <row r="9013" ht="14.4" x14ac:dyDescent="0.3"/>
    <row r="9014" ht="14.4" x14ac:dyDescent="0.3"/>
    <row r="9015" ht="14.4" x14ac:dyDescent="0.3"/>
    <row r="9016" ht="14.4" x14ac:dyDescent="0.3"/>
    <row r="9017" ht="14.4" x14ac:dyDescent="0.3"/>
    <row r="9018" ht="14.4" x14ac:dyDescent="0.3"/>
    <row r="9019" ht="14.4" x14ac:dyDescent="0.3"/>
    <row r="9020" ht="14.4" x14ac:dyDescent="0.3"/>
    <row r="9021" ht="14.4" x14ac:dyDescent="0.3"/>
    <row r="9022" ht="14.4" x14ac:dyDescent="0.3"/>
    <row r="9023" ht="14.4" x14ac:dyDescent="0.3"/>
    <row r="9024" ht="14.4" x14ac:dyDescent="0.3"/>
    <row r="9025" ht="14.4" x14ac:dyDescent="0.3"/>
    <row r="9026" ht="14.4" x14ac:dyDescent="0.3"/>
    <row r="9027" ht="14.4" x14ac:dyDescent="0.3"/>
    <row r="9028" ht="14.4" x14ac:dyDescent="0.3"/>
    <row r="9029" ht="14.4" x14ac:dyDescent="0.3"/>
    <row r="9030" ht="14.4" x14ac:dyDescent="0.3"/>
    <row r="9031" ht="14.4" x14ac:dyDescent="0.3"/>
    <row r="9032" ht="14.4" x14ac:dyDescent="0.3"/>
    <row r="9033" ht="14.4" x14ac:dyDescent="0.3"/>
    <row r="9034" ht="14.4" x14ac:dyDescent="0.3"/>
    <row r="9035" ht="14.4" x14ac:dyDescent="0.3"/>
    <row r="9036" ht="14.4" x14ac:dyDescent="0.3"/>
    <row r="9037" ht="14.4" x14ac:dyDescent="0.3"/>
    <row r="9038" ht="14.4" x14ac:dyDescent="0.3"/>
    <row r="9039" ht="14.4" x14ac:dyDescent="0.3"/>
    <row r="9040" ht="14.4" x14ac:dyDescent="0.3"/>
    <row r="9041" ht="14.4" x14ac:dyDescent="0.3"/>
    <row r="9042" ht="14.4" x14ac:dyDescent="0.3"/>
    <row r="9043" ht="14.4" x14ac:dyDescent="0.3"/>
    <row r="9044" ht="14.4" x14ac:dyDescent="0.3"/>
    <row r="9045" ht="14.4" x14ac:dyDescent="0.3"/>
    <row r="9046" ht="14.4" x14ac:dyDescent="0.3"/>
    <row r="9047" ht="14.4" x14ac:dyDescent="0.3"/>
    <row r="9048" ht="14.4" x14ac:dyDescent="0.3"/>
    <row r="9049" ht="14.4" x14ac:dyDescent="0.3"/>
    <row r="9050" ht="14.4" x14ac:dyDescent="0.3"/>
    <row r="9051" ht="14.4" x14ac:dyDescent="0.3"/>
    <row r="9052" ht="14.4" x14ac:dyDescent="0.3"/>
    <row r="9053" ht="14.4" x14ac:dyDescent="0.3"/>
    <row r="9054" ht="14.4" x14ac:dyDescent="0.3"/>
    <row r="9055" ht="14.4" x14ac:dyDescent="0.3"/>
    <row r="9056" ht="14.4" x14ac:dyDescent="0.3"/>
    <row r="9057" ht="14.4" x14ac:dyDescent="0.3"/>
    <row r="9058" ht="14.4" x14ac:dyDescent="0.3"/>
    <row r="9059" ht="14.4" x14ac:dyDescent="0.3"/>
    <row r="9060" ht="14.4" x14ac:dyDescent="0.3"/>
    <row r="9061" ht="14.4" x14ac:dyDescent="0.3"/>
    <row r="9062" ht="14.4" x14ac:dyDescent="0.3"/>
    <row r="9063" ht="14.4" x14ac:dyDescent="0.3"/>
    <row r="9064" ht="14.4" x14ac:dyDescent="0.3"/>
    <row r="9065" ht="14.4" x14ac:dyDescent="0.3"/>
    <row r="9066" ht="14.4" x14ac:dyDescent="0.3"/>
    <row r="9067" ht="14.4" x14ac:dyDescent="0.3"/>
    <row r="9068" ht="14.4" x14ac:dyDescent="0.3"/>
    <row r="9069" ht="14.4" x14ac:dyDescent="0.3"/>
    <row r="9070" ht="14.4" x14ac:dyDescent="0.3"/>
    <row r="9071" ht="14.4" x14ac:dyDescent="0.3"/>
    <row r="9072" ht="14.4" x14ac:dyDescent="0.3"/>
    <row r="9073" ht="14.4" x14ac:dyDescent="0.3"/>
    <row r="9074" ht="14.4" x14ac:dyDescent="0.3"/>
    <row r="9075" ht="14.4" x14ac:dyDescent="0.3"/>
    <row r="9076" ht="14.4" x14ac:dyDescent="0.3"/>
    <row r="9077" ht="14.4" x14ac:dyDescent="0.3"/>
    <row r="9078" ht="14.4" x14ac:dyDescent="0.3"/>
    <row r="9079" ht="14.4" x14ac:dyDescent="0.3"/>
    <row r="9080" ht="14.4" x14ac:dyDescent="0.3"/>
    <row r="9081" ht="14.4" x14ac:dyDescent="0.3"/>
    <row r="9082" ht="14.4" x14ac:dyDescent="0.3"/>
    <row r="9083" ht="14.4" x14ac:dyDescent="0.3"/>
    <row r="9084" ht="14.4" x14ac:dyDescent="0.3"/>
    <row r="9085" ht="14.4" x14ac:dyDescent="0.3"/>
    <row r="9086" ht="14.4" x14ac:dyDescent="0.3"/>
    <row r="9087" ht="14.4" x14ac:dyDescent="0.3"/>
    <row r="9088" ht="14.4" x14ac:dyDescent="0.3"/>
    <row r="9089" ht="14.4" x14ac:dyDescent="0.3"/>
    <row r="9090" ht="14.4" x14ac:dyDescent="0.3"/>
    <row r="9091" ht="14.4" x14ac:dyDescent="0.3"/>
    <row r="9092" ht="14.4" x14ac:dyDescent="0.3"/>
    <row r="9093" ht="14.4" x14ac:dyDescent="0.3"/>
    <row r="9094" ht="14.4" x14ac:dyDescent="0.3"/>
    <row r="9095" ht="14.4" x14ac:dyDescent="0.3"/>
    <row r="9096" ht="14.4" x14ac:dyDescent="0.3"/>
    <row r="9097" ht="14.4" x14ac:dyDescent="0.3"/>
    <row r="9098" ht="14.4" x14ac:dyDescent="0.3"/>
    <row r="9099" ht="14.4" x14ac:dyDescent="0.3"/>
    <row r="9100" ht="14.4" x14ac:dyDescent="0.3"/>
    <row r="9101" ht="14.4" x14ac:dyDescent="0.3"/>
    <row r="9102" ht="14.4" x14ac:dyDescent="0.3"/>
    <row r="9103" ht="14.4" x14ac:dyDescent="0.3"/>
    <row r="9104" ht="14.4" x14ac:dyDescent="0.3"/>
    <row r="9105" ht="14.4" x14ac:dyDescent="0.3"/>
    <row r="9106" ht="14.4" x14ac:dyDescent="0.3"/>
    <row r="9107" ht="14.4" x14ac:dyDescent="0.3"/>
    <row r="9108" ht="14.4" x14ac:dyDescent="0.3"/>
    <row r="9109" ht="14.4" x14ac:dyDescent="0.3"/>
    <row r="9110" ht="14.4" x14ac:dyDescent="0.3"/>
    <row r="9111" ht="14.4" x14ac:dyDescent="0.3"/>
    <row r="9112" ht="14.4" x14ac:dyDescent="0.3"/>
    <row r="9113" ht="14.4" x14ac:dyDescent="0.3"/>
    <row r="9114" ht="14.4" x14ac:dyDescent="0.3"/>
    <row r="9115" ht="14.4" x14ac:dyDescent="0.3"/>
    <row r="9116" ht="14.4" x14ac:dyDescent="0.3"/>
    <row r="9117" ht="14.4" x14ac:dyDescent="0.3"/>
    <row r="9118" ht="14.4" x14ac:dyDescent="0.3"/>
    <row r="9119" ht="14.4" x14ac:dyDescent="0.3"/>
    <row r="9120" ht="14.4" x14ac:dyDescent="0.3"/>
    <row r="9121" ht="14.4" x14ac:dyDescent="0.3"/>
    <row r="9122" ht="14.4" x14ac:dyDescent="0.3"/>
    <row r="9123" ht="14.4" x14ac:dyDescent="0.3"/>
    <row r="9124" ht="14.4" x14ac:dyDescent="0.3"/>
    <row r="9125" ht="14.4" x14ac:dyDescent="0.3"/>
    <row r="9126" ht="14.4" x14ac:dyDescent="0.3"/>
    <row r="9127" ht="14.4" x14ac:dyDescent="0.3"/>
    <row r="9128" ht="14.4" x14ac:dyDescent="0.3"/>
    <row r="9129" ht="14.4" x14ac:dyDescent="0.3"/>
    <row r="9130" ht="14.4" x14ac:dyDescent="0.3"/>
    <row r="9131" ht="14.4" x14ac:dyDescent="0.3"/>
    <row r="9132" ht="14.4" x14ac:dyDescent="0.3"/>
    <row r="9133" ht="14.4" x14ac:dyDescent="0.3"/>
    <row r="9134" ht="14.4" x14ac:dyDescent="0.3"/>
    <row r="9135" ht="14.4" x14ac:dyDescent="0.3"/>
    <row r="9136" ht="14.4" x14ac:dyDescent="0.3"/>
    <row r="9137" ht="14.4" x14ac:dyDescent="0.3"/>
    <row r="9138" ht="14.4" x14ac:dyDescent="0.3"/>
    <row r="9139" ht="14.4" x14ac:dyDescent="0.3"/>
    <row r="9140" ht="14.4" x14ac:dyDescent="0.3"/>
    <row r="9141" ht="14.4" x14ac:dyDescent="0.3"/>
    <row r="9142" ht="14.4" x14ac:dyDescent="0.3"/>
    <row r="9143" ht="14.4" x14ac:dyDescent="0.3"/>
    <row r="9144" ht="14.4" x14ac:dyDescent="0.3"/>
    <row r="9145" ht="14.4" x14ac:dyDescent="0.3"/>
    <row r="9146" ht="14.4" x14ac:dyDescent="0.3"/>
    <row r="9147" ht="14.4" x14ac:dyDescent="0.3"/>
    <row r="9148" ht="14.4" x14ac:dyDescent="0.3"/>
    <row r="9149" ht="14.4" x14ac:dyDescent="0.3"/>
    <row r="9150" ht="14.4" x14ac:dyDescent="0.3"/>
    <row r="9151" ht="14.4" x14ac:dyDescent="0.3"/>
    <row r="9152" ht="14.4" x14ac:dyDescent="0.3"/>
    <row r="9153" ht="14.4" x14ac:dyDescent="0.3"/>
    <row r="9154" ht="14.4" x14ac:dyDescent="0.3"/>
    <row r="9155" ht="14.4" x14ac:dyDescent="0.3"/>
    <row r="9156" ht="14.4" x14ac:dyDescent="0.3"/>
    <row r="9157" ht="14.4" x14ac:dyDescent="0.3"/>
    <row r="9158" ht="14.4" x14ac:dyDescent="0.3"/>
    <row r="9159" ht="14.4" x14ac:dyDescent="0.3"/>
    <row r="9160" ht="14.4" x14ac:dyDescent="0.3"/>
    <row r="9161" ht="14.4" x14ac:dyDescent="0.3"/>
    <row r="9162" ht="14.4" x14ac:dyDescent="0.3"/>
    <row r="9163" ht="14.4" x14ac:dyDescent="0.3"/>
    <row r="9164" ht="14.4" x14ac:dyDescent="0.3"/>
    <row r="9165" ht="14.4" x14ac:dyDescent="0.3"/>
    <row r="9166" ht="14.4" x14ac:dyDescent="0.3"/>
    <row r="9167" ht="14.4" x14ac:dyDescent="0.3"/>
    <row r="9168" ht="14.4" x14ac:dyDescent="0.3"/>
    <row r="9169" ht="14.4" x14ac:dyDescent="0.3"/>
    <row r="9170" ht="14.4" x14ac:dyDescent="0.3"/>
    <row r="9171" ht="14.4" x14ac:dyDescent="0.3"/>
    <row r="9172" ht="14.4" x14ac:dyDescent="0.3"/>
    <row r="9173" ht="14.4" x14ac:dyDescent="0.3"/>
    <row r="9174" ht="14.4" x14ac:dyDescent="0.3"/>
    <row r="9175" ht="14.4" x14ac:dyDescent="0.3"/>
    <row r="9176" ht="14.4" x14ac:dyDescent="0.3"/>
    <row r="9177" ht="14.4" x14ac:dyDescent="0.3"/>
    <row r="9178" ht="14.4" x14ac:dyDescent="0.3"/>
    <row r="9179" ht="14.4" x14ac:dyDescent="0.3"/>
    <row r="9180" ht="14.4" x14ac:dyDescent="0.3"/>
    <row r="9181" ht="14.4" x14ac:dyDescent="0.3"/>
    <row r="9182" ht="14.4" x14ac:dyDescent="0.3"/>
    <row r="9183" ht="14.4" x14ac:dyDescent="0.3"/>
    <row r="9184" ht="14.4" x14ac:dyDescent="0.3"/>
    <row r="9185" ht="14.4" x14ac:dyDescent="0.3"/>
    <row r="9186" ht="14.4" x14ac:dyDescent="0.3"/>
    <row r="9187" ht="14.4" x14ac:dyDescent="0.3"/>
    <row r="9188" ht="14.4" x14ac:dyDescent="0.3"/>
    <row r="9189" ht="14.4" x14ac:dyDescent="0.3"/>
    <row r="9190" ht="14.4" x14ac:dyDescent="0.3"/>
    <row r="9191" ht="14.4" x14ac:dyDescent="0.3"/>
    <row r="9192" ht="14.4" x14ac:dyDescent="0.3"/>
    <row r="9193" ht="14.4" x14ac:dyDescent="0.3"/>
    <row r="9194" ht="14.4" x14ac:dyDescent="0.3"/>
    <row r="9195" ht="14.4" x14ac:dyDescent="0.3"/>
    <row r="9196" ht="14.4" x14ac:dyDescent="0.3"/>
    <row r="9197" ht="14.4" x14ac:dyDescent="0.3"/>
    <row r="9198" ht="14.4" x14ac:dyDescent="0.3"/>
    <row r="9199" ht="14.4" x14ac:dyDescent="0.3"/>
    <row r="9200" ht="14.4" x14ac:dyDescent="0.3"/>
    <row r="9201" ht="14.4" x14ac:dyDescent="0.3"/>
    <row r="9202" ht="14.4" x14ac:dyDescent="0.3"/>
    <row r="9203" ht="14.4" x14ac:dyDescent="0.3"/>
    <row r="9204" ht="14.4" x14ac:dyDescent="0.3"/>
    <row r="9205" ht="14.4" x14ac:dyDescent="0.3"/>
    <row r="9206" ht="14.4" x14ac:dyDescent="0.3"/>
    <row r="9207" ht="14.4" x14ac:dyDescent="0.3"/>
    <row r="9208" ht="14.4" x14ac:dyDescent="0.3"/>
    <row r="9209" ht="14.4" x14ac:dyDescent="0.3"/>
    <row r="9210" ht="14.4" x14ac:dyDescent="0.3"/>
    <row r="9211" ht="14.4" x14ac:dyDescent="0.3"/>
    <row r="9212" ht="14.4" x14ac:dyDescent="0.3"/>
    <row r="9213" ht="14.4" x14ac:dyDescent="0.3"/>
    <row r="9214" ht="14.4" x14ac:dyDescent="0.3"/>
    <row r="9215" ht="14.4" x14ac:dyDescent="0.3"/>
    <row r="9216" ht="14.4" x14ac:dyDescent="0.3"/>
    <row r="9217" ht="14.4" x14ac:dyDescent="0.3"/>
    <row r="9218" ht="14.4" x14ac:dyDescent="0.3"/>
    <row r="9219" ht="14.4" x14ac:dyDescent="0.3"/>
    <row r="9220" ht="14.4" x14ac:dyDescent="0.3"/>
    <row r="9221" ht="14.4" x14ac:dyDescent="0.3"/>
    <row r="9222" ht="14.4" x14ac:dyDescent="0.3"/>
    <row r="9223" ht="14.4" x14ac:dyDescent="0.3"/>
    <row r="9224" ht="14.4" x14ac:dyDescent="0.3"/>
    <row r="9225" ht="14.4" x14ac:dyDescent="0.3"/>
    <row r="9226" ht="14.4" x14ac:dyDescent="0.3"/>
    <row r="9227" ht="14.4" x14ac:dyDescent="0.3"/>
    <row r="9228" ht="14.4" x14ac:dyDescent="0.3"/>
    <row r="9229" ht="14.4" x14ac:dyDescent="0.3"/>
    <row r="9230" ht="14.4" x14ac:dyDescent="0.3"/>
    <row r="9231" ht="14.4" x14ac:dyDescent="0.3"/>
    <row r="9232" ht="14.4" x14ac:dyDescent="0.3"/>
    <row r="9233" ht="14.4" x14ac:dyDescent="0.3"/>
    <row r="9234" ht="14.4" x14ac:dyDescent="0.3"/>
    <row r="9235" ht="14.4" x14ac:dyDescent="0.3"/>
    <row r="9236" ht="14.4" x14ac:dyDescent="0.3"/>
    <row r="9237" ht="14.4" x14ac:dyDescent="0.3"/>
    <row r="9238" ht="14.4" x14ac:dyDescent="0.3"/>
    <row r="9239" ht="14.4" x14ac:dyDescent="0.3"/>
    <row r="9240" ht="14.4" x14ac:dyDescent="0.3"/>
    <row r="9241" ht="14.4" x14ac:dyDescent="0.3"/>
    <row r="9242" ht="14.4" x14ac:dyDescent="0.3"/>
    <row r="9243" ht="14.4" x14ac:dyDescent="0.3"/>
    <row r="9244" ht="14.4" x14ac:dyDescent="0.3"/>
    <row r="9245" ht="14.4" x14ac:dyDescent="0.3"/>
    <row r="9246" ht="14.4" x14ac:dyDescent="0.3"/>
    <row r="9247" ht="14.4" x14ac:dyDescent="0.3"/>
    <row r="9248" ht="14.4" x14ac:dyDescent="0.3"/>
    <row r="9249" ht="14.4" x14ac:dyDescent="0.3"/>
    <row r="9250" ht="14.4" x14ac:dyDescent="0.3"/>
    <row r="9251" ht="14.4" x14ac:dyDescent="0.3"/>
    <row r="9252" ht="14.4" x14ac:dyDescent="0.3"/>
    <row r="9253" ht="14.4" x14ac:dyDescent="0.3"/>
    <row r="9254" ht="14.4" x14ac:dyDescent="0.3"/>
    <row r="9255" ht="14.4" x14ac:dyDescent="0.3"/>
    <row r="9256" ht="14.4" x14ac:dyDescent="0.3"/>
    <row r="9257" ht="14.4" x14ac:dyDescent="0.3"/>
    <row r="9258" ht="14.4" x14ac:dyDescent="0.3"/>
    <row r="9259" ht="14.4" x14ac:dyDescent="0.3"/>
    <row r="9260" ht="14.4" x14ac:dyDescent="0.3"/>
    <row r="9261" ht="14.4" x14ac:dyDescent="0.3"/>
    <row r="9262" ht="14.4" x14ac:dyDescent="0.3"/>
    <row r="9263" ht="14.4" x14ac:dyDescent="0.3"/>
    <row r="9264" ht="14.4" x14ac:dyDescent="0.3"/>
    <row r="9265" ht="14.4" x14ac:dyDescent="0.3"/>
    <row r="9266" ht="14.4" x14ac:dyDescent="0.3"/>
    <row r="9267" ht="14.4" x14ac:dyDescent="0.3"/>
    <row r="9268" ht="14.4" x14ac:dyDescent="0.3"/>
    <row r="9269" ht="14.4" x14ac:dyDescent="0.3"/>
    <row r="9270" ht="14.4" x14ac:dyDescent="0.3"/>
    <row r="9271" ht="14.4" x14ac:dyDescent="0.3"/>
    <row r="9272" ht="14.4" x14ac:dyDescent="0.3"/>
    <row r="9273" ht="14.4" x14ac:dyDescent="0.3"/>
    <row r="9274" ht="14.4" x14ac:dyDescent="0.3"/>
    <row r="9275" ht="14.4" x14ac:dyDescent="0.3"/>
    <row r="9276" ht="14.4" x14ac:dyDescent="0.3"/>
    <row r="9277" ht="14.4" x14ac:dyDescent="0.3"/>
    <row r="9278" ht="14.4" x14ac:dyDescent="0.3"/>
    <row r="9279" ht="14.4" x14ac:dyDescent="0.3"/>
    <row r="9280" ht="14.4" x14ac:dyDescent="0.3"/>
    <row r="9281" ht="14.4" x14ac:dyDescent="0.3"/>
    <row r="9282" ht="14.4" x14ac:dyDescent="0.3"/>
    <row r="9283" ht="14.4" x14ac:dyDescent="0.3"/>
    <row r="9284" ht="14.4" x14ac:dyDescent="0.3"/>
    <row r="9285" ht="14.4" x14ac:dyDescent="0.3"/>
    <row r="9286" ht="14.4" x14ac:dyDescent="0.3"/>
    <row r="9287" ht="14.4" x14ac:dyDescent="0.3"/>
    <row r="9288" ht="14.4" x14ac:dyDescent="0.3"/>
    <row r="9289" ht="14.4" x14ac:dyDescent="0.3"/>
    <row r="9290" ht="14.4" x14ac:dyDescent="0.3"/>
    <row r="9291" ht="14.4" x14ac:dyDescent="0.3"/>
    <row r="9292" ht="14.4" x14ac:dyDescent="0.3"/>
    <row r="9293" ht="14.4" x14ac:dyDescent="0.3"/>
    <row r="9294" ht="14.4" x14ac:dyDescent="0.3"/>
    <row r="9295" ht="14.4" x14ac:dyDescent="0.3"/>
    <row r="9296" ht="14.4" x14ac:dyDescent="0.3"/>
    <row r="9297" ht="14.4" x14ac:dyDescent="0.3"/>
    <row r="9298" ht="14.4" x14ac:dyDescent="0.3"/>
    <row r="9299" ht="14.4" x14ac:dyDescent="0.3"/>
    <row r="9300" ht="14.4" x14ac:dyDescent="0.3"/>
    <row r="9301" ht="14.4" x14ac:dyDescent="0.3"/>
    <row r="9302" ht="14.4" x14ac:dyDescent="0.3"/>
    <row r="9303" ht="14.4" x14ac:dyDescent="0.3"/>
    <row r="9304" ht="14.4" x14ac:dyDescent="0.3"/>
    <row r="9305" ht="14.4" x14ac:dyDescent="0.3"/>
    <row r="9306" ht="14.4" x14ac:dyDescent="0.3"/>
    <row r="9307" ht="14.4" x14ac:dyDescent="0.3"/>
    <row r="9308" ht="14.4" x14ac:dyDescent="0.3"/>
    <row r="9309" ht="14.4" x14ac:dyDescent="0.3"/>
    <row r="9310" ht="14.4" x14ac:dyDescent="0.3"/>
    <row r="9311" ht="14.4" x14ac:dyDescent="0.3"/>
    <row r="9312" ht="14.4" x14ac:dyDescent="0.3"/>
    <row r="9313" ht="14.4" x14ac:dyDescent="0.3"/>
    <row r="9314" ht="14.4" x14ac:dyDescent="0.3"/>
    <row r="9315" ht="14.4" x14ac:dyDescent="0.3"/>
    <row r="9316" ht="14.4" x14ac:dyDescent="0.3"/>
    <row r="9317" ht="14.4" x14ac:dyDescent="0.3"/>
    <row r="9318" ht="14.4" x14ac:dyDescent="0.3"/>
    <row r="9319" ht="14.4" x14ac:dyDescent="0.3"/>
    <row r="9320" ht="14.4" x14ac:dyDescent="0.3"/>
    <row r="9321" ht="14.4" x14ac:dyDescent="0.3"/>
    <row r="9322" ht="14.4" x14ac:dyDescent="0.3"/>
    <row r="9323" ht="14.4" x14ac:dyDescent="0.3"/>
    <row r="9324" ht="14.4" x14ac:dyDescent="0.3"/>
    <row r="9325" ht="14.4" x14ac:dyDescent="0.3"/>
    <row r="9326" ht="14.4" x14ac:dyDescent="0.3"/>
    <row r="9327" ht="14.4" x14ac:dyDescent="0.3"/>
    <row r="9328" ht="14.4" x14ac:dyDescent="0.3"/>
    <row r="9329" ht="14.4" x14ac:dyDescent="0.3"/>
    <row r="9330" ht="14.4" x14ac:dyDescent="0.3"/>
    <row r="9331" ht="14.4" x14ac:dyDescent="0.3"/>
    <row r="9332" ht="14.4" x14ac:dyDescent="0.3"/>
    <row r="9333" ht="14.4" x14ac:dyDescent="0.3"/>
    <row r="9334" ht="14.4" x14ac:dyDescent="0.3"/>
    <row r="9335" ht="14.4" x14ac:dyDescent="0.3"/>
    <row r="9336" ht="14.4" x14ac:dyDescent="0.3"/>
    <row r="9337" ht="14.4" x14ac:dyDescent="0.3"/>
    <row r="9338" ht="14.4" x14ac:dyDescent="0.3"/>
    <row r="9339" ht="14.4" x14ac:dyDescent="0.3"/>
    <row r="9340" ht="14.4" x14ac:dyDescent="0.3"/>
    <row r="9341" ht="14.4" x14ac:dyDescent="0.3"/>
    <row r="9342" ht="14.4" x14ac:dyDescent="0.3"/>
    <row r="9343" ht="14.4" x14ac:dyDescent="0.3"/>
    <row r="9344" ht="14.4" x14ac:dyDescent="0.3"/>
    <row r="9345" ht="14.4" x14ac:dyDescent="0.3"/>
    <row r="9346" ht="14.4" x14ac:dyDescent="0.3"/>
    <row r="9347" ht="14.4" x14ac:dyDescent="0.3"/>
    <row r="9348" ht="14.4" x14ac:dyDescent="0.3"/>
    <row r="9349" ht="14.4" x14ac:dyDescent="0.3"/>
    <row r="9350" ht="14.4" x14ac:dyDescent="0.3"/>
    <row r="9351" ht="14.4" x14ac:dyDescent="0.3"/>
    <row r="9352" ht="14.4" x14ac:dyDescent="0.3"/>
    <row r="9353" ht="14.4" x14ac:dyDescent="0.3"/>
    <row r="9354" ht="14.4" x14ac:dyDescent="0.3"/>
    <row r="9355" ht="14.4" x14ac:dyDescent="0.3"/>
    <row r="9356" ht="14.4" x14ac:dyDescent="0.3"/>
    <row r="9357" ht="14.4" x14ac:dyDescent="0.3"/>
    <row r="9358" ht="14.4" x14ac:dyDescent="0.3"/>
    <row r="9359" ht="14.4" x14ac:dyDescent="0.3"/>
    <row r="9360" ht="14.4" x14ac:dyDescent="0.3"/>
    <row r="9361" ht="14.4" x14ac:dyDescent="0.3"/>
    <row r="9362" ht="14.4" x14ac:dyDescent="0.3"/>
    <row r="9363" ht="14.4" x14ac:dyDescent="0.3"/>
    <row r="9364" ht="14.4" x14ac:dyDescent="0.3"/>
    <row r="9365" ht="14.4" x14ac:dyDescent="0.3"/>
    <row r="9366" ht="14.4" x14ac:dyDescent="0.3"/>
    <row r="9367" ht="14.4" x14ac:dyDescent="0.3"/>
    <row r="9368" ht="14.4" x14ac:dyDescent="0.3"/>
    <row r="9369" ht="14.4" x14ac:dyDescent="0.3"/>
    <row r="9370" ht="14.4" x14ac:dyDescent="0.3"/>
    <row r="9371" ht="14.4" x14ac:dyDescent="0.3"/>
    <row r="9372" ht="14.4" x14ac:dyDescent="0.3"/>
    <row r="9373" ht="14.4" x14ac:dyDescent="0.3"/>
    <row r="9374" ht="14.4" x14ac:dyDescent="0.3"/>
    <row r="9375" ht="14.4" x14ac:dyDescent="0.3"/>
    <row r="9376" ht="14.4" x14ac:dyDescent="0.3"/>
    <row r="9377" ht="14.4" x14ac:dyDescent="0.3"/>
    <row r="9378" ht="14.4" x14ac:dyDescent="0.3"/>
    <row r="9379" ht="14.4" x14ac:dyDescent="0.3"/>
    <row r="9380" ht="14.4" x14ac:dyDescent="0.3"/>
    <row r="9381" ht="14.4" x14ac:dyDescent="0.3"/>
    <row r="9382" ht="14.4" x14ac:dyDescent="0.3"/>
    <row r="9383" ht="14.4" x14ac:dyDescent="0.3"/>
    <row r="9384" ht="14.4" x14ac:dyDescent="0.3"/>
    <row r="9385" ht="14.4" x14ac:dyDescent="0.3"/>
    <row r="9386" ht="14.4" x14ac:dyDescent="0.3"/>
    <row r="9387" ht="14.4" x14ac:dyDescent="0.3"/>
    <row r="9388" ht="14.4" x14ac:dyDescent="0.3"/>
    <row r="9389" ht="14.4" x14ac:dyDescent="0.3"/>
    <row r="9390" ht="14.4" x14ac:dyDescent="0.3"/>
    <row r="9391" ht="14.4" x14ac:dyDescent="0.3"/>
    <row r="9392" ht="14.4" x14ac:dyDescent="0.3"/>
    <row r="9393" ht="14.4" x14ac:dyDescent="0.3"/>
    <row r="9394" ht="14.4" x14ac:dyDescent="0.3"/>
    <row r="9395" ht="14.4" x14ac:dyDescent="0.3"/>
    <row r="9396" ht="14.4" x14ac:dyDescent="0.3"/>
    <row r="9397" ht="14.4" x14ac:dyDescent="0.3"/>
    <row r="9398" ht="14.4" x14ac:dyDescent="0.3"/>
    <row r="9399" ht="14.4" x14ac:dyDescent="0.3"/>
    <row r="9400" ht="14.4" x14ac:dyDescent="0.3"/>
    <row r="9401" ht="14.4" x14ac:dyDescent="0.3"/>
    <row r="9402" ht="14.4" x14ac:dyDescent="0.3"/>
    <row r="9403" ht="14.4" x14ac:dyDescent="0.3"/>
    <row r="9404" ht="14.4" x14ac:dyDescent="0.3"/>
    <row r="9405" ht="14.4" x14ac:dyDescent="0.3"/>
    <row r="9406" ht="14.4" x14ac:dyDescent="0.3"/>
    <row r="9407" ht="14.4" x14ac:dyDescent="0.3"/>
    <row r="9408" ht="14.4" x14ac:dyDescent="0.3"/>
    <row r="9409" ht="14.4" x14ac:dyDescent="0.3"/>
    <row r="9410" ht="14.4" x14ac:dyDescent="0.3"/>
    <row r="9411" ht="14.4" x14ac:dyDescent="0.3"/>
    <row r="9412" ht="14.4" x14ac:dyDescent="0.3"/>
    <row r="9413" ht="14.4" x14ac:dyDescent="0.3"/>
    <row r="9414" ht="14.4" x14ac:dyDescent="0.3"/>
    <row r="9415" ht="14.4" x14ac:dyDescent="0.3"/>
    <row r="9416" ht="14.4" x14ac:dyDescent="0.3"/>
    <row r="9417" ht="14.4" x14ac:dyDescent="0.3"/>
    <row r="9418" ht="14.4" x14ac:dyDescent="0.3"/>
    <row r="9419" ht="14.4" x14ac:dyDescent="0.3"/>
    <row r="9420" ht="14.4" x14ac:dyDescent="0.3"/>
    <row r="9421" ht="14.4" x14ac:dyDescent="0.3"/>
    <row r="9422" ht="14.4" x14ac:dyDescent="0.3"/>
    <row r="9423" ht="14.4" x14ac:dyDescent="0.3"/>
    <row r="9424" ht="14.4" x14ac:dyDescent="0.3"/>
    <row r="9425" ht="14.4" x14ac:dyDescent="0.3"/>
    <row r="9426" ht="14.4" x14ac:dyDescent="0.3"/>
    <row r="9427" ht="14.4" x14ac:dyDescent="0.3"/>
    <row r="9428" ht="14.4" x14ac:dyDescent="0.3"/>
    <row r="9429" ht="14.4" x14ac:dyDescent="0.3"/>
    <row r="9430" ht="14.4" x14ac:dyDescent="0.3"/>
    <row r="9431" ht="14.4" x14ac:dyDescent="0.3"/>
    <row r="9432" ht="14.4" x14ac:dyDescent="0.3"/>
    <row r="9433" ht="14.4" x14ac:dyDescent="0.3"/>
    <row r="9434" ht="14.4" x14ac:dyDescent="0.3"/>
    <row r="9435" ht="14.4" x14ac:dyDescent="0.3"/>
    <row r="9436" ht="14.4" x14ac:dyDescent="0.3"/>
    <row r="9437" ht="14.4" x14ac:dyDescent="0.3"/>
    <row r="9438" ht="14.4" x14ac:dyDescent="0.3"/>
    <row r="9439" ht="14.4" x14ac:dyDescent="0.3"/>
    <row r="9440" ht="14.4" x14ac:dyDescent="0.3"/>
    <row r="9441" ht="14.4" x14ac:dyDescent="0.3"/>
    <row r="9442" ht="14.4" x14ac:dyDescent="0.3"/>
    <row r="9443" ht="14.4" x14ac:dyDescent="0.3"/>
    <row r="9444" ht="14.4" x14ac:dyDescent="0.3"/>
    <row r="9445" ht="14.4" x14ac:dyDescent="0.3"/>
    <row r="9446" ht="14.4" x14ac:dyDescent="0.3"/>
    <row r="9447" ht="14.4" x14ac:dyDescent="0.3"/>
    <row r="9448" ht="14.4" x14ac:dyDescent="0.3"/>
    <row r="9449" ht="14.4" x14ac:dyDescent="0.3"/>
    <row r="9450" ht="14.4" x14ac:dyDescent="0.3"/>
    <row r="9451" ht="14.4" x14ac:dyDescent="0.3"/>
    <row r="9452" ht="14.4" x14ac:dyDescent="0.3"/>
    <row r="9453" ht="14.4" x14ac:dyDescent="0.3"/>
    <row r="9454" ht="14.4" x14ac:dyDescent="0.3"/>
    <row r="9455" ht="14.4" x14ac:dyDescent="0.3"/>
    <row r="9456" ht="14.4" x14ac:dyDescent="0.3"/>
    <row r="9457" ht="14.4" x14ac:dyDescent="0.3"/>
    <row r="9458" ht="14.4" x14ac:dyDescent="0.3"/>
    <row r="9459" ht="14.4" x14ac:dyDescent="0.3"/>
    <row r="9460" ht="14.4" x14ac:dyDescent="0.3"/>
    <row r="9461" ht="14.4" x14ac:dyDescent="0.3"/>
    <row r="9462" ht="14.4" x14ac:dyDescent="0.3"/>
    <row r="9463" ht="14.4" x14ac:dyDescent="0.3"/>
    <row r="9464" ht="14.4" x14ac:dyDescent="0.3"/>
    <row r="9465" ht="14.4" x14ac:dyDescent="0.3"/>
    <row r="9466" ht="14.4" x14ac:dyDescent="0.3"/>
    <row r="9467" ht="14.4" x14ac:dyDescent="0.3"/>
    <row r="9468" ht="14.4" x14ac:dyDescent="0.3"/>
    <row r="9469" ht="14.4" x14ac:dyDescent="0.3"/>
    <row r="9470" ht="14.4" x14ac:dyDescent="0.3"/>
    <row r="9471" ht="14.4" x14ac:dyDescent="0.3"/>
    <row r="9472" ht="14.4" x14ac:dyDescent="0.3"/>
    <row r="9473" ht="14.4" x14ac:dyDescent="0.3"/>
    <row r="9474" ht="14.4" x14ac:dyDescent="0.3"/>
    <row r="9475" ht="14.4" x14ac:dyDescent="0.3"/>
    <row r="9476" ht="14.4" x14ac:dyDescent="0.3"/>
    <row r="9477" ht="14.4" x14ac:dyDescent="0.3"/>
    <row r="9478" ht="14.4" x14ac:dyDescent="0.3"/>
    <row r="9479" ht="14.4" x14ac:dyDescent="0.3"/>
    <row r="9480" ht="14.4" x14ac:dyDescent="0.3"/>
    <row r="9481" ht="14.4" x14ac:dyDescent="0.3"/>
    <row r="9482" ht="14.4" x14ac:dyDescent="0.3"/>
    <row r="9483" ht="14.4" x14ac:dyDescent="0.3"/>
    <row r="9484" ht="14.4" x14ac:dyDescent="0.3"/>
    <row r="9485" ht="14.4" x14ac:dyDescent="0.3"/>
    <row r="9486" ht="14.4" x14ac:dyDescent="0.3"/>
    <row r="9487" ht="14.4" x14ac:dyDescent="0.3"/>
    <row r="9488" ht="14.4" x14ac:dyDescent="0.3"/>
    <row r="9489" ht="14.4" x14ac:dyDescent="0.3"/>
    <row r="9490" ht="14.4" x14ac:dyDescent="0.3"/>
    <row r="9491" ht="14.4" x14ac:dyDescent="0.3"/>
    <row r="9492" ht="14.4" x14ac:dyDescent="0.3"/>
    <row r="9493" ht="14.4" x14ac:dyDescent="0.3"/>
    <row r="9494" ht="14.4" x14ac:dyDescent="0.3"/>
    <row r="9495" ht="14.4" x14ac:dyDescent="0.3"/>
    <row r="9496" ht="14.4" x14ac:dyDescent="0.3"/>
    <row r="9497" ht="14.4" x14ac:dyDescent="0.3"/>
    <row r="9498" ht="14.4" x14ac:dyDescent="0.3"/>
    <row r="9499" ht="14.4" x14ac:dyDescent="0.3"/>
    <row r="9500" ht="14.4" x14ac:dyDescent="0.3"/>
    <row r="9501" ht="14.4" x14ac:dyDescent="0.3"/>
    <row r="9502" ht="14.4" x14ac:dyDescent="0.3"/>
    <row r="9503" ht="14.4" x14ac:dyDescent="0.3"/>
    <row r="9504" ht="14.4" x14ac:dyDescent="0.3"/>
    <row r="9505" ht="14.4" x14ac:dyDescent="0.3"/>
    <row r="9506" ht="14.4" x14ac:dyDescent="0.3"/>
    <row r="9507" ht="14.4" x14ac:dyDescent="0.3"/>
    <row r="9508" ht="14.4" x14ac:dyDescent="0.3"/>
    <row r="9509" ht="14.4" x14ac:dyDescent="0.3"/>
    <row r="9510" ht="14.4" x14ac:dyDescent="0.3"/>
    <row r="9511" ht="14.4" x14ac:dyDescent="0.3"/>
    <row r="9512" ht="14.4" x14ac:dyDescent="0.3"/>
    <row r="9513" ht="14.4" x14ac:dyDescent="0.3"/>
    <row r="9514" ht="14.4" x14ac:dyDescent="0.3"/>
    <row r="9515" ht="14.4" x14ac:dyDescent="0.3"/>
    <row r="9516" ht="14.4" x14ac:dyDescent="0.3"/>
    <row r="9517" ht="14.4" x14ac:dyDescent="0.3"/>
    <row r="9518" ht="14.4" x14ac:dyDescent="0.3"/>
    <row r="9519" ht="14.4" x14ac:dyDescent="0.3"/>
    <row r="9520" ht="14.4" x14ac:dyDescent="0.3"/>
    <row r="9521" ht="14.4" x14ac:dyDescent="0.3"/>
    <row r="9522" ht="14.4" x14ac:dyDescent="0.3"/>
    <row r="9523" ht="14.4" x14ac:dyDescent="0.3"/>
    <row r="9524" ht="14.4" x14ac:dyDescent="0.3"/>
    <row r="9525" ht="14.4" x14ac:dyDescent="0.3"/>
    <row r="9526" ht="14.4" x14ac:dyDescent="0.3"/>
    <row r="9527" ht="14.4" x14ac:dyDescent="0.3"/>
    <row r="9528" ht="14.4" x14ac:dyDescent="0.3"/>
    <row r="9529" ht="14.4" x14ac:dyDescent="0.3"/>
    <row r="9530" ht="14.4" x14ac:dyDescent="0.3"/>
    <row r="9531" ht="14.4" x14ac:dyDescent="0.3"/>
    <row r="9532" ht="14.4" x14ac:dyDescent="0.3"/>
    <row r="9533" ht="14.4" x14ac:dyDescent="0.3"/>
    <row r="9534" ht="14.4" x14ac:dyDescent="0.3"/>
    <row r="9535" ht="14.4" x14ac:dyDescent="0.3"/>
    <row r="9536" ht="14.4" x14ac:dyDescent="0.3"/>
    <row r="9537" ht="14.4" x14ac:dyDescent="0.3"/>
    <row r="9538" ht="14.4" x14ac:dyDescent="0.3"/>
    <row r="9539" ht="14.4" x14ac:dyDescent="0.3"/>
    <row r="9540" ht="14.4" x14ac:dyDescent="0.3"/>
    <row r="9541" ht="14.4" x14ac:dyDescent="0.3"/>
    <row r="9542" ht="14.4" x14ac:dyDescent="0.3"/>
    <row r="9543" ht="14.4" x14ac:dyDescent="0.3"/>
    <row r="9544" ht="14.4" x14ac:dyDescent="0.3"/>
    <row r="9545" ht="14.4" x14ac:dyDescent="0.3"/>
    <row r="9546" ht="14.4" x14ac:dyDescent="0.3"/>
    <row r="9547" ht="14.4" x14ac:dyDescent="0.3"/>
    <row r="9548" ht="14.4" x14ac:dyDescent="0.3"/>
    <row r="9549" ht="14.4" x14ac:dyDescent="0.3"/>
    <row r="9550" ht="14.4" x14ac:dyDescent="0.3"/>
    <row r="9551" ht="14.4" x14ac:dyDescent="0.3"/>
    <row r="9552" ht="14.4" x14ac:dyDescent="0.3"/>
    <row r="9553" ht="14.4" x14ac:dyDescent="0.3"/>
    <row r="9554" ht="14.4" x14ac:dyDescent="0.3"/>
    <row r="9555" ht="14.4" x14ac:dyDescent="0.3"/>
    <row r="9556" ht="14.4" x14ac:dyDescent="0.3"/>
    <row r="9557" ht="14.4" x14ac:dyDescent="0.3"/>
    <row r="9558" ht="14.4" x14ac:dyDescent="0.3"/>
    <row r="9559" ht="14.4" x14ac:dyDescent="0.3"/>
    <row r="9560" ht="14.4" x14ac:dyDescent="0.3"/>
    <row r="9561" ht="14.4" x14ac:dyDescent="0.3"/>
    <row r="9562" ht="14.4" x14ac:dyDescent="0.3"/>
    <row r="9563" ht="14.4" x14ac:dyDescent="0.3"/>
    <row r="9564" ht="14.4" x14ac:dyDescent="0.3"/>
    <row r="9565" ht="14.4" x14ac:dyDescent="0.3"/>
    <row r="9566" ht="14.4" x14ac:dyDescent="0.3"/>
    <row r="9567" ht="14.4" x14ac:dyDescent="0.3"/>
    <row r="9568" ht="14.4" x14ac:dyDescent="0.3"/>
    <row r="9569" ht="14.4" x14ac:dyDescent="0.3"/>
    <row r="9570" ht="14.4" x14ac:dyDescent="0.3"/>
    <row r="9571" ht="14.4" x14ac:dyDescent="0.3"/>
    <row r="9572" ht="14.4" x14ac:dyDescent="0.3"/>
    <row r="9573" ht="14.4" x14ac:dyDescent="0.3"/>
    <row r="9574" ht="14.4" x14ac:dyDescent="0.3"/>
    <row r="9575" ht="14.4" x14ac:dyDescent="0.3"/>
    <row r="9576" ht="14.4" x14ac:dyDescent="0.3"/>
    <row r="9577" ht="14.4" x14ac:dyDescent="0.3"/>
    <row r="9578" ht="14.4" x14ac:dyDescent="0.3"/>
    <row r="9579" ht="14.4" x14ac:dyDescent="0.3"/>
    <row r="9580" ht="14.4" x14ac:dyDescent="0.3"/>
    <row r="9581" ht="14.4" x14ac:dyDescent="0.3"/>
    <row r="9582" ht="14.4" x14ac:dyDescent="0.3"/>
    <row r="9583" ht="14.4" x14ac:dyDescent="0.3"/>
    <row r="9584" ht="14.4" x14ac:dyDescent="0.3"/>
    <row r="9585" ht="14.4" x14ac:dyDescent="0.3"/>
    <row r="9586" ht="14.4" x14ac:dyDescent="0.3"/>
    <row r="9587" ht="14.4" x14ac:dyDescent="0.3"/>
    <row r="9588" ht="14.4" x14ac:dyDescent="0.3"/>
    <row r="9589" ht="14.4" x14ac:dyDescent="0.3"/>
    <row r="9590" ht="14.4" x14ac:dyDescent="0.3"/>
    <row r="9591" ht="14.4" x14ac:dyDescent="0.3"/>
    <row r="9592" ht="14.4" x14ac:dyDescent="0.3"/>
    <row r="9593" ht="14.4" x14ac:dyDescent="0.3"/>
    <row r="9594" ht="14.4" x14ac:dyDescent="0.3"/>
    <row r="9595" ht="14.4" x14ac:dyDescent="0.3"/>
    <row r="9596" ht="14.4" x14ac:dyDescent="0.3"/>
    <row r="9597" ht="14.4" x14ac:dyDescent="0.3"/>
    <row r="9598" ht="14.4" x14ac:dyDescent="0.3"/>
    <row r="9599" ht="14.4" x14ac:dyDescent="0.3"/>
    <row r="9600" ht="14.4" x14ac:dyDescent="0.3"/>
    <row r="9601" ht="14.4" x14ac:dyDescent="0.3"/>
    <row r="9602" ht="14.4" x14ac:dyDescent="0.3"/>
    <row r="9603" ht="14.4" x14ac:dyDescent="0.3"/>
    <row r="9604" ht="14.4" x14ac:dyDescent="0.3"/>
    <row r="9605" ht="14.4" x14ac:dyDescent="0.3"/>
    <row r="9606" ht="14.4" x14ac:dyDescent="0.3"/>
    <row r="9607" ht="14.4" x14ac:dyDescent="0.3"/>
    <row r="9608" ht="14.4" x14ac:dyDescent="0.3"/>
    <row r="9609" ht="14.4" x14ac:dyDescent="0.3"/>
    <row r="9610" ht="14.4" x14ac:dyDescent="0.3"/>
    <row r="9611" ht="14.4" x14ac:dyDescent="0.3"/>
    <row r="9612" ht="14.4" x14ac:dyDescent="0.3"/>
    <row r="9613" ht="14.4" x14ac:dyDescent="0.3"/>
    <row r="9614" ht="14.4" x14ac:dyDescent="0.3"/>
    <row r="9615" ht="14.4" x14ac:dyDescent="0.3"/>
    <row r="9616" ht="14.4" x14ac:dyDescent="0.3"/>
    <row r="9617" ht="14.4" x14ac:dyDescent="0.3"/>
    <row r="9618" ht="14.4" x14ac:dyDescent="0.3"/>
    <row r="9619" ht="14.4" x14ac:dyDescent="0.3"/>
    <row r="9620" ht="14.4" x14ac:dyDescent="0.3"/>
    <row r="9621" ht="14.4" x14ac:dyDescent="0.3"/>
    <row r="9622" ht="14.4" x14ac:dyDescent="0.3"/>
    <row r="9623" ht="14.4" x14ac:dyDescent="0.3"/>
    <row r="9624" ht="14.4" x14ac:dyDescent="0.3"/>
    <row r="9625" ht="14.4" x14ac:dyDescent="0.3"/>
    <row r="9626" ht="14.4" x14ac:dyDescent="0.3"/>
    <row r="9627" ht="14.4" x14ac:dyDescent="0.3"/>
    <row r="9628" ht="14.4" x14ac:dyDescent="0.3"/>
    <row r="9629" ht="14.4" x14ac:dyDescent="0.3"/>
    <row r="9630" ht="14.4" x14ac:dyDescent="0.3"/>
    <row r="9631" ht="14.4" x14ac:dyDescent="0.3"/>
    <row r="9632" ht="14.4" x14ac:dyDescent="0.3"/>
    <row r="9633" ht="14.4" x14ac:dyDescent="0.3"/>
    <row r="9634" ht="14.4" x14ac:dyDescent="0.3"/>
    <row r="9635" ht="14.4" x14ac:dyDescent="0.3"/>
    <row r="9636" ht="14.4" x14ac:dyDescent="0.3"/>
    <row r="9637" ht="14.4" x14ac:dyDescent="0.3"/>
    <row r="9638" ht="14.4" x14ac:dyDescent="0.3"/>
    <row r="9639" ht="14.4" x14ac:dyDescent="0.3"/>
    <row r="9640" ht="14.4" x14ac:dyDescent="0.3"/>
    <row r="9641" ht="14.4" x14ac:dyDescent="0.3"/>
    <row r="9642" ht="14.4" x14ac:dyDescent="0.3"/>
    <row r="9643" ht="14.4" x14ac:dyDescent="0.3"/>
    <row r="9644" ht="14.4" x14ac:dyDescent="0.3"/>
    <row r="9645" ht="14.4" x14ac:dyDescent="0.3"/>
    <row r="9646" ht="14.4" x14ac:dyDescent="0.3"/>
    <row r="9647" ht="14.4" x14ac:dyDescent="0.3"/>
    <row r="9648" ht="14.4" x14ac:dyDescent="0.3"/>
    <row r="9649" ht="14.4" x14ac:dyDescent="0.3"/>
    <row r="9650" ht="14.4" x14ac:dyDescent="0.3"/>
    <row r="9651" ht="14.4" x14ac:dyDescent="0.3"/>
    <row r="9652" ht="14.4" x14ac:dyDescent="0.3"/>
    <row r="9653" ht="14.4" x14ac:dyDescent="0.3"/>
    <row r="9654" ht="14.4" x14ac:dyDescent="0.3"/>
    <row r="9655" ht="14.4" x14ac:dyDescent="0.3"/>
    <row r="9656" ht="14.4" x14ac:dyDescent="0.3"/>
    <row r="9657" ht="14.4" x14ac:dyDescent="0.3"/>
    <row r="9658" ht="14.4" x14ac:dyDescent="0.3"/>
    <row r="9659" ht="14.4" x14ac:dyDescent="0.3"/>
    <row r="9660" ht="14.4" x14ac:dyDescent="0.3"/>
    <row r="9661" ht="14.4" x14ac:dyDescent="0.3"/>
    <row r="9662" ht="14.4" x14ac:dyDescent="0.3"/>
    <row r="9663" ht="14.4" x14ac:dyDescent="0.3"/>
    <row r="9664" ht="14.4" x14ac:dyDescent="0.3"/>
    <row r="9665" ht="14.4" x14ac:dyDescent="0.3"/>
    <row r="9666" ht="14.4" x14ac:dyDescent="0.3"/>
    <row r="9667" ht="14.4" x14ac:dyDescent="0.3"/>
    <row r="9668" ht="14.4" x14ac:dyDescent="0.3"/>
    <row r="9669" ht="14.4" x14ac:dyDescent="0.3"/>
    <row r="9670" ht="14.4" x14ac:dyDescent="0.3"/>
    <row r="9671" ht="14.4" x14ac:dyDescent="0.3"/>
    <row r="9672" ht="14.4" x14ac:dyDescent="0.3"/>
    <row r="9673" ht="14.4" x14ac:dyDescent="0.3"/>
    <row r="9674" ht="14.4" x14ac:dyDescent="0.3"/>
    <row r="9675" ht="14.4" x14ac:dyDescent="0.3"/>
    <row r="9676" ht="14.4" x14ac:dyDescent="0.3"/>
    <row r="9677" ht="14.4" x14ac:dyDescent="0.3"/>
    <row r="9678" ht="14.4" x14ac:dyDescent="0.3"/>
    <row r="9679" ht="14.4" x14ac:dyDescent="0.3"/>
    <row r="9680" ht="14.4" x14ac:dyDescent="0.3"/>
    <row r="9681" ht="14.4" x14ac:dyDescent="0.3"/>
    <row r="9682" ht="14.4" x14ac:dyDescent="0.3"/>
    <row r="9683" ht="14.4" x14ac:dyDescent="0.3"/>
    <row r="9684" ht="14.4" x14ac:dyDescent="0.3"/>
    <row r="9685" ht="14.4" x14ac:dyDescent="0.3"/>
    <row r="9686" ht="14.4" x14ac:dyDescent="0.3"/>
    <row r="9687" ht="14.4" x14ac:dyDescent="0.3"/>
    <row r="9688" ht="14.4" x14ac:dyDescent="0.3"/>
    <row r="9689" ht="14.4" x14ac:dyDescent="0.3"/>
    <row r="9690" ht="14.4" x14ac:dyDescent="0.3"/>
    <row r="9691" ht="14.4" x14ac:dyDescent="0.3"/>
    <row r="9692" ht="14.4" x14ac:dyDescent="0.3"/>
    <row r="9693" ht="14.4" x14ac:dyDescent="0.3"/>
    <row r="9694" ht="14.4" x14ac:dyDescent="0.3"/>
    <row r="9695" ht="14.4" x14ac:dyDescent="0.3"/>
    <row r="9696" ht="14.4" x14ac:dyDescent="0.3"/>
    <row r="9697" ht="14.4" x14ac:dyDescent="0.3"/>
    <row r="9698" ht="14.4" x14ac:dyDescent="0.3"/>
    <row r="9699" ht="14.4" x14ac:dyDescent="0.3"/>
    <row r="9700" ht="14.4" x14ac:dyDescent="0.3"/>
    <row r="9701" ht="14.4" x14ac:dyDescent="0.3"/>
    <row r="9702" ht="14.4" x14ac:dyDescent="0.3"/>
    <row r="9703" ht="14.4" x14ac:dyDescent="0.3"/>
    <row r="9704" ht="14.4" x14ac:dyDescent="0.3"/>
    <row r="9705" ht="14.4" x14ac:dyDescent="0.3"/>
    <row r="9706" ht="14.4" x14ac:dyDescent="0.3"/>
    <row r="9707" ht="14.4" x14ac:dyDescent="0.3"/>
    <row r="9708" ht="14.4" x14ac:dyDescent="0.3"/>
    <row r="9709" ht="14.4" x14ac:dyDescent="0.3"/>
    <row r="9710" ht="14.4" x14ac:dyDescent="0.3"/>
    <row r="9711" ht="14.4" x14ac:dyDescent="0.3"/>
    <row r="9712" ht="14.4" x14ac:dyDescent="0.3"/>
    <row r="9713" ht="14.4" x14ac:dyDescent="0.3"/>
    <row r="9714" ht="14.4" x14ac:dyDescent="0.3"/>
    <row r="9715" ht="14.4" x14ac:dyDescent="0.3"/>
    <row r="9716" ht="14.4" x14ac:dyDescent="0.3"/>
    <row r="9717" ht="14.4" x14ac:dyDescent="0.3"/>
    <row r="9718" ht="14.4" x14ac:dyDescent="0.3"/>
    <row r="9719" ht="14.4" x14ac:dyDescent="0.3"/>
    <row r="9720" ht="14.4" x14ac:dyDescent="0.3"/>
    <row r="9721" ht="14.4" x14ac:dyDescent="0.3"/>
    <row r="9722" ht="14.4" x14ac:dyDescent="0.3"/>
    <row r="9723" ht="14.4" x14ac:dyDescent="0.3"/>
    <row r="9724" ht="14.4" x14ac:dyDescent="0.3"/>
    <row r="9725" ht="14.4" x14ac:dyDescent="0.3"/>
    <row r="9726" ht="14.4" x14ac:dyDescent="0.3"/>
    <row r="9727" ht="14.4" x14ac:dyDescent="0.3"/>
    <row r="9728" ht="14.4" x14ac:dyDescent="0.3"/>
    <row r="9729" ht="14.4" x14ac:dyDescent="0.3"/>
    <row r="9730" ht="14.4" x14ac:dyDescent="0.3"/>
    <row r="9731" ht="14.4" x14ac:dyDescent="0.3"/>
    <row r="9732" ht="14.4" x14ac:dyDescent="0.3"/>
    <row r="9733" ht="14.4" x14ac:dyDescent="0.3"/>
    <row r="9734" ht="14.4" x14ac:dyDescent="0.3"/>
    <row r="9735" ht="14.4" x14ac:dyDescent="0.3"/>
    <row r="9736" ht="14.4" x14ac:dyDescent="0.3"/>
    <row r="9737" ht="14.4" x14ac:dyDescent="0.3"/>
    <row r="9738" ht="14.4" x14ac:dyDescent="0.3"/>
    <row r="9739" ht="14.4" x14ac:dyDescent="0.3"/>
    <row r="9740" ht="14.4" x14ac:dyDescent="0.3"/>
    <row r="9741" ht="14.4" x14ac:dyDescent="0.3"/>
    <row r="9742" ht="14.4" x14ac:dyDescent="0.3"/>
    <row r="9743" ht="14.4" x14ac:dyDescent="0.3"/>
    <row r="9744" ht="14.4" x14ac:dyDescent="0.3"/>
    <row r="9745" ht="14.4" x14ac:dyDescent="0.3"/>
    <row r="9746" ht="14.4" x14ac:dyDescent="0.3"/>
    <row r="9747" ht="14.4" x14ac:dyDescent="0.3"/>
    <row r="9748" ht="14.4" x14ac:dyDescent="0.3"/>
    <row r="9749" ht="14.4" x14ac:dyDescent="0.3"/>
    <row r="9750" ht="14.4" x14ac:dyDescent="0.3"/>
    <row r="9751" ht="14.4" x14ac:dyDescent="0.3"/>
    <row r="9752" ht="14.4" x14ac:dyDescent="0.3"/>
    <row r="9753" ht="14.4" x14ac:dyDescent="0.3"/>
    <row r="9754" ht="14.4" x14ac:dyDescent="0.3"/>
    <row r="9755" ht="14.4" x14ac:dyDescent="0.3"/>
    <row r="9756" ht="14.4" x14ac:dyDescent="0.3"/>
    <row r="9757" ht="14.4" x14ac:dyDescent="0.3"/>
    <row r="9758" ht="14.4" x14ac:dyDescent="0.3"/>
    <row r="9759" ht="14.4" x14ac:dyDescent="0.3"/>
    <row r="9760" ht="14.4" x14ac:dyDescent="0.3"/>
    <row r="9761" ht="14.4" x14ac:dyDescent="0.3"/>
    <row r="9762" ht="14.4" x14ac:dyDescent="0.3"/>
    <row r="9763" ht="14.4" x14ac:dyDescent="0.3"/>
    <row r="9764" ht="14.4" x14ac:dyDescent="0.3"/>
    <row r="9765" ht="14.4" x14ac:dyDescent="0.3"/>
    <row r="9766" ht="14.4" x14ac:dyDescent="0.3"/>
    <row r="9767" ht="14.4" x14ac:dyDescent="0.3"/>
    <row r="9768" ht="14.4" x14ac:dyDescent="0.3"/>
    <row r="9769" ht="14.4" x14ac:dyDescent="0.3"/>
    <row r="9770" ht="14.4" x14ac:dyDescent="0.3"/>
    <row r="9771" ht="14.4" x14ac:dyDescent="0.3"/>
    <row r="9772" ht="14.4" x14ac:dyDescent="0.3"/>
    <row r="9773" ht="14.4" x14ac:dyDescent="0.3"/>
    <row r="9774" ht="14.4" x14ac:dyDescent="0.3"/>
    <row r="9775" ht="14.4" x14ac:dyDescent="0.3"/>
    <row r="9776" ht="14.4" x14ac:dyDescent="0.3"/>
    <row r="9777" ht="14.4" x14ac:dyDescent="0.3"/>
    <row r="9778" ht="14.4" x14ac:dyDescent="0.3"/>
    <row r="9779" ht="14.4" x14ac:dyDescent="0.3"/>
    <row r="9780" ht="14.4" x14ac:dyDescent="0.3"/>
    <row r="9781" ht="14.4" x14ac:dyDescent="0.3"/>
    <row r="9782" ht="14.4" x14ac:dyDescent="0.3"/>
    <row r="9783" ht="14.4" x14ac:dyDescent="0.3"/>
    <row r="9784" ht="14.4" x14ac:dyDescent="0.3"/>
    <row r="9785" ht="14.4" x14ac:dyDescent="0.3"/>
    <row r="9786" ht="14.4" x14ac:dyDescent="0.3"/>
    <row r="9787" ht="14.4" x14ac:dyDescent="0.3"/>
    <row r="9788" ht="14.4" x14ac:dyDescent="0.3"/>
    <row r="9789" ht="14.4" x14ac:dyDescent="0.3"/>
    <row r="9790" ht="14.4" x14ac:dyDescent="0.3"/>
    <row r="9791" ht="14.4" x14ac:dyDescent="0.3"/>
    <row r="9792" ht="14.4" x14ac:dyDescent="0.3"/>
    <row r="9793" ht="14.4" x14ac:dyDescent="0.3"/>
    <row r="9794" ht="14.4" x14ac:dyDescent="0.3"/>
    <row r="9795" ht="14.4" x14ac:dyDescent="0.3"/>
    <row r="9796" ht="14.4" x14ac:dyDescent="0.3"/>
    <row r="9797" ht="14.4" x14ac:dyDescent="0.3"/>
    <row r="9798" ht="14.4" x14ac:dyDescent="0.3"/>
    <row r="9799" ht="14.4" x14ac:dyDescent="0.3"/>
    <row r="9800" ht="14.4" x14ac:dyDescent="0.3"/>
    <row r="9801" ht="14.4" x14ac:dyDescent="0.3"/>
    <row r="9802" ht="14.4" x14ac:dyDescent="0.3"/>
    <row r="9803" ht="14.4" x14ac:dyDescent="0.3"/>
    <row r="9804" ht="14.4" x14ac:dyDescent="0.3"/>
    <row r="9805" ht="14.4" x14ac:dyDescent="0.3"/>
    <row r="9806" ht="14.4" x14ac:dyDescent="0.3"/>
    <row r="9807" ht="14.4" x14ac:dyDescent="0.3"/>
    <row r="9808" ht="14.4" x14ac:dyDescent="0.3"/>
    <row r="9809" ht="14.4" x14ac:dyDescent="0.3"/>
    <row r="9810" ht="14.4" x14ac:dyDescent="0.3"/>
    <row r="9811" ht="14.4" x14ac:dyDescent="0.3"/>
    <row r="9812" ht="14.4" x14ac:dyDescent="0.3"/>
    <row r="9813" ht="14.4" x14ac:dyDescent="0.3"/>
    <row r="9814" ht="14.4" x14ac:dyDescent="0.3"/>
    <row r="9815" ht="14.4" x14ac:dyDescent="0.3"/>
    <row r="9816" ht="14.4" x14ac:dyDescent="0.3"/>
    <row r="9817" ht="14.4" x14ac:dyDescent="0.3"/>
    <row r="9818" ht="14.4" x14ac:dyDescent="0.3"/>
    <row r="9819" ht="14.4" x14ac:dyDescent="0.3"/>
    <row r="9820" ht="14.4" x14ac:dyDescent="0.3"/>
    <row r="9821" ht="14.4" x14ac:dyDescent="0.3"/>
    <row r="9822" ht="14.4" x14ac:dyDescent="0.3"/>
    <row r="9823" ht="14.4" x14ac:dyDescent="0.3"/>
    <row r="9824" ht="14.4" x14ac:dyDescent="0.3"/>
    <row r="9825" ht="14.4" x14ac:dyDescent="0.3"/>
    <row r="9826" ht="14.4" x14ac:dyDescent="0.3"/>
    <row r="9827" ht="14.4" x14ac:dyDescent="0.3"/>
    <row r="9828" ht="14.4" x14ac:dyDescent="0.3"/>
    <row r="9829" ht="14.4" x14ac:dyDescent="0.3"/>
    <row r="9830" ht="14.4" x14ac:dyDescent="0.3"/>
    <row r="9831" ht="14.4" x14ac:dyDescent="0.3"/>
    <row r="9832" ht="14.4" x14ac:dyDescent="0.3"/>
    <row r="9833" ht="14.4" x14ac:dyDescent="0.3"/>
    <row r="9834" ht="14.4" x14ac:dyDescent="0.3"/>
    <row r="9835" ht="14.4" x14ac:dyDescent="0.3"/>
    <row r="9836" ht="14.4" x14ac:dyDescent="0.3"/>
    <row r="9837" ht="14.4" x14ac:dyDescent="0.3"/>
    <row r="9838" ht="14.4" x14ac:dyDescent="0.3"/>
    <row r="9839" ht="14.4" x14ac:dyDescent="0.3"/>
    <row r="9840" ht="14.4" x14ac:dyDescent="0.3"/>
    <row r="9841" ht="14.4" x14ac:dyDescent="0.3"/>
    <row r="9842" ht="14.4" x14ac:dyDescent="0.3"/>
    <row r="9843" ht="14.4" x14ac:dyDescent="0.3"/>
    <row r="9844" ht="14.4" x14ac:dyDescent="0.3"/>
    <row r="9845" ht="14.4" x14ac:dyDescent="0.3"/>
    <row r="9846" ht="14.4" x14ac:dyDescent="0.3"/>
    <row r="9847" ht="14.4" x14ac:dyDescent="0.3"/>
    <row r="9848" ht="14.4" x14ac:dyDescent="0.3"/>
    <row r="9849" ht="14.4" x14ac:dyDescent="0.3"/>
    <row r="9850" ht="14.4" x14ac:dyDescent="0.3"/>
    <row r="9851" ht="14.4" x14ac:dyDescent="0.3"/>
    <row r="9852" ht="14.4" x14ac:dyDescent="0.3"/>
    <row r="9853" ht="14.4" x14ac:dyDescent="0.3"/>
    <row r="9854" ht="14.4" x14ac:dyDescent="0.3"/>
    <row r="9855" ht="14.4" x14ac:dyDescent="0.3"/>
    <row r="9856" ht="14.4" x14ac:dyDescent="0.3"/>
    <row r="9857" ht="14.4" x14ac:dyDescent="0.3"/>
    <row r="9858" ht="14.4" x14ac:dyDescent="0.3"/>
    <row r="9859" ht="14.4" x14ac:dyDescent="0.3"/>
    <row r="9860" ht="14.4" x14ac:dyDescent="0.3"/>
    <row r="9861" ht="14.4" x14ac:dyDescent="0.3"/>
    <row r="9862" ht="14.4" x14ac:dyDescent="0.3"/>
    <row r="9863" ht="14.4" x14ac:dyDescent="0.3"/>
    <row r="9864" ht="14.4" x14ac:dyDescent="0.3"/>
    <row r="9865" ht="14.4" x14ac:dyDescent="0.3"/>
    <row r="9866" ht="14.4" x14ac:dyDescent="0.3"/>
    <row r="9867" ht="14.4" x14ac:dyDescent="0.3"/>
    <row r="9868" ht="14.4" x14ac:dyDescent="0.3"/>
    <row r="9869" ht="14.4" x14ac:dyDescent="0.3"/>
    <row r="9870" ht="14.4" x14ac:dyDescent="0.3"/>
    <row r="9871" ht="14.4" x14ac:dyDescent="0.3"/>
    <row r="9872" ht="14.4" x14ac:dyDescent="0.3"/>
    <row r="9873" ht="14.4" x14ac:dyDescent="0.3"/>
    <row r="9874" ht="14.4" x14ac:dyDescent="0.3"/>
    <row r="9875" ht="14.4" x14ac:dyDescent="0.3"/>
    <row r="9876" ht="14.4" x14ac:dyDescent="0.3"/>
    <row r="9877" ht="14.4" x14ac:dyDescent="0.3"/>
    <row r="9878" ht="14.4" x14ac:dyDescent="0.3"/>
    <row r="9879" ht="14.4" x14ac:dyDescent="0.3"/>
    <row r="9880" ht="14.4" x14ac:dyDescent="0.3"/>
    <row r="9881" ht="14.4" x14ac:dyDescent="0.3"/>
    <row r="9882" ht="14.4" x14ac:dyDescent="0.3"/>
    <row r="9883" ht="14.4" x14ac:dyDescent="0.3"/>
    <row r="9884" ht="14.4" x14ac:dyDescent="0.3"/>
    <row r="9885" ht="14.4" x14ac:dyDescent="0.3"/>
    <row r="9886" ht="14.4" x14ac:dyDescent="0.3"/>
    <row r="9887" ht="14.4" x14ac:dyDescent="0.3"/>
    <row r="9888" ht="14.4" x14ac:dyDescent="0.3"/>
    <row r="9889" ht="14.4" x14ac:dyDescent="0.3"/>
    <row r="9890" ht="14.4" x14ac:dyDescent="0.3"/>
    <row r="9891" ht="14.4" x14ac:dyDescent="0.3"/>
    <row r="9892" ht="14.4" x14ac:dyDescent="0.3"/>
    <row r="9893" ht="14.4" x14ac:dyDescent="0.3"/>
    <row r="9894" ht="14.4" x14ac:dyDescent="0.3"/>
    <row r="9895" ht="14.4" x14ac:dyDescent="0.3"/>
    <row r="9896" ht="14.4" x14ac:dyDescent="0.3"/>
    <row r="9897" ht="14.4" x14ac:dyDescent="0.3"/>
    <row r="9898" ht="14.4" x14ac:dyDescent="0.3"/>
    <row r="9899" ht="14.4" x14ac:dyDescent="0.3"/>
    <row r="9900" ht="14.4" x14ac:dyDescent="0.3"/>
    <row r="9901" ht="14.4" x14ac:dyDescent="0.3"/>
    <row r="9902" ht="14.4" x14ac:dyDescent="0.3"/>
    <row r="9903" ht="14.4" x14ac:dyDescent="0.3"/>
    <row r="9904" ht="14.4" x14ac:dyDescent="0.3"/>
    <row r="9905" ht="14.4" x14ac:dyDescent="0.3"/>
    <row r="9906" ht="14.4" x14ac:dyDescent="0.3"/>
    <row r="9907" ht="14.4" x14ac:dyDescent="0.3"/>
    <row r="9908" ht="14.4" x14ac:dyDescent="0.3"/>
    <row r="9909" ht="14.4" x14ac:dyDescent="0.3"/>
    <row r="9910" ht="14.4" x14ac:dyDescent="0.3"/>
    <row r="9911" ht="14.4" x14ac:dyDescent="0.3"/>
    <row r="9912" ht="14.4" x14ac:dyDescent="0.3"/>
    <row r="9913" ht="14.4" x14ac:dyDescent="0.3"/>
    <row r="9914" ht="14.4" x14ac:dyDescent="0.3"/>
    <row r="9915" ht="14.4" x14ac:dyDescent="0.3"/>
    <row r="9916" ht="14.4" x14ac:dyDescent="0.3"/>
    <row r="9917" ht="14.4" x14ac:dyDescent="0.3"/>
    <row r="9918" ht="14.4" x14ac:dyDescent="0.3"/>
    <row r="9919" ht="14.4" x14ac:dyDescent="0.3"/>
    <row r="9920" ht="14.4" x14ac:dyDescent="0.3"/>
    <row r="9921" ht="14.4" x14ac:dyDescent="0.3"/>
    <row r="9922" ht="14.4" x14ac:dyDescent="0.3"/>
    <row r="9923" ht="14.4" x14ac:dyDescent="0.3"/>
    <row r="9924" ht="14.4" x14ac:dyDescent="0.3"/>
    <row r="9925" ht="14.4" x14ac:dyDescent="0.3"/>
    <row r="9926" ht="14.4" x14ac:dyDescent="0.3"/>
    <row r="9927" ht="14.4" x14ac:dyDescent="0.3"/>
    <row r="9928" ht="14.4" x14ac:dyDescent="0.3"/>
    <row r="9929" ht="14.4" x14ac:dyDescent="0.3"/>
    <row r="9930" ht="14.4" x14ac:dyDescent="0.3"/>
    <row r="9931" ht="14.4" x14ac:dyDescent="0.3"/>
    <row r="9932" ht="14.4" x14ac:dyDescent="0.3"/>
    <row r="9933" ht="14.4" x14ac:dyDescent="0.3"/>
    <row r="9934" ht="14.4" x14ac:dyDescent="0.3"/>
    <row r="9935" ht="14.4" x14ac:dyDescent="0.3"/>
    <row r="9936" ht="14.4" x14ac:dyDescent="0.3"/>
    <row r="9937" ht="14.4" x14ac:dyDescent="0.3"/>
    <row r="9938" ht="14.4" x14ac:dyDescent="0.3"/>
    <row r="9939" ht="14.4" x14ac:dyDescent="0.3"/>
    <row r="9940" ht="14.4" x14ac:dyDescent="0.3"/>
    <row r="9941" ht="14.4" x14ac:dyDescent="0.3"/>
    <row r="9942" ht="14.4" x14ac:dyDescent="0.3"/>
    <row r="9943" ht="14.4" x14ac:dyDescent="0.3"/>
    <row r="9944" ht="14.4" x14ac:dyDescent="0.3"/>
    <row r="9945" ht="14.4" x14ac:dyDescent="0.3"/>
    <row r="9946" ht="14.4" x14ac:dyDescent="0.3"/>
    <row r="9947" ht="14.4" x14ac:dyDescent="0.3"/>
    <row r="9948" ht="14.4" x14ac:dyDescent="0.3"/>
    <row r="9949" ht="14.4" x14ac:dyDescent="0.3"/>
    <row r="9950" ht="14.4" x14ac:dyDescent="0.3"/>
    <row r="9951" ht="14.4" x14ac:dyDescent="0.3"/>
    <row r="9952" ht="14.4" x14ac:dyDescent="0.3"/>
    <row r="9953" ht="14.4" x14ac:dyDescent="0.3"/>
    <row r="9954" ht="14.4" x14ac:dyDescent="0.3"/>
    <row r="9955" ht="14.4" x14ac:dyDescent="0.3"/>
    <row r="9956" ht="14.4" x14ac:dyDescent="0.3"/>
    <row r="9957" ht="14.4" x14ac:dyDescent="0.3"/>
    <row r="9958" ht="14.4" x14ac:dyDescent="0.3"/>
    <row r="9959" ht="14.4" x14ac:dyDescent="0.3"/>
    <row r="9960" ht="14.4" x14ac:dyDescent="0.3"/>
    <row r="9961" ht="14.4" x14ac:dyDescent="0.3"/>
    <row r="9962" ht="14.4" x14ac:dyDescent="0.3"/>
    <row r="9963" ht="14.4" x14ac:dyDescent="0.3"/>
    <row r="9964" ht="14.4" x14ac:dyDescent="0.3"/>
    <row r="9965" ht="14.4" x14ac:dyDescent="0.3"/>
    <row r="9966" ht="14.4" x14ac:dyDescent="0.3"/>
    <row r="9967" ht="14.4" x14ac:dyDescent="0.3"/>
    <row r="9968" ht="14.4" x14ac:dyDescent="0.3"/>
    <row r="9969" ht="14.4" x14ac:dyDescent="0.3"/>
    <row r="9970" ht="14.4" x14ac:dyDescent="0.3"/>
    <row r="9971" ht="14.4" x14ac:dyDescent="0.3"/>
    <row r="9972" ht="14.4" x14ac:dyDescent="0.3"/>
    <row r="9973" ht="14.4" x14ac:dyDescent="0.3"/>
    <row r="9974" ht="14.4" x14ac:dyDescent="0.3"/>
    <row r="9975" ht="14.4" x14ac:dyDescent="0.3"/>
    <row r="9976" ht="14.4" x14ac:dyDescent="0.3"/>
    <row r="9977" ht="14.4" x14ac:dyDescent="0.3"/>
    <row r="9978" ht="14.4" x14ac:dyDescent="0.3"/>
    <row r="9979" ht="14.4" x14ac:dyDescent="0.3"/>
    <row r="9980" ht="14.4" x14ac:dyDescent="0.3"/>
    <row r="9981" ht="14.4" x14ac:dyDescent="0.3"/>
    <row r="9982" ht="14.4" x14ac:dyDescent="0.3"/>
    <row r="9983" ht="14.4" x14ac:dyDescent="0.3"/>
    <row r="9984" ht="14.4" x14ac:dyDescent="0.3"/>
    <row r="9985" ht="14.4" x14ac:dyDescent="0.3"/>
    <row r="9986" ht="14.4" x14ac:dyDescent="0.3"/>
    <row r="9987" ht="14.4" x14ac:dyDescent="0.3"/>
    <row r="9988" ht="14.4" x14ac:dyDescent="0.3"/>
    <row r="9989" ht="14.4" x14ac:dyDescent="0.3"/>
    <row r="9990" ht="14.4" x14ac:dyDescent="0.3"/>
    <row r="9991" ht="14.4" x14ac:dyDescent="0.3"/>
    <row r="9992" ht="14.4" x14ac:dyDescent="0.3"/>
    <row r="9993" ht="14.4" x14ac:dyDescent="0.3"/>
    <row r="9994" ht="14.4" x14ac:dyDescent="0.3"/>
    <row r="9995" ht="14.4" x14ac:dyDescent="0.3"/>
    <row r="9996" ht="14.4" x14ac:dyDescent="0.3"/>
    <row r="9997" ht="14.4" x14ac:dyDescent="0.3"/>
    <row r="9998" ht="14.4" x14ac:dyDescent="0.3"/>
    <row r="9999" ht="14.4" x14ac:dyDescent="0.3"/>
    <row r="10000" ht="14.4" x14ac:dyDescent="0.3"/>
    <row r="10001" ht="14.4" x14ac:dyDescent="0.3"/>
    <row r="10002" ht="14.4" x14ac:dyDescent="0.3"/>
    <row r="10003" ht="14.4" x14ac:dyDescent="0.3"/>
    <row r="10004" ht="14.4" x14ac:dyDescent="0.3"/>
    <row r="10005" ht="14.4" x14ac:dyDescent="0.3"/>
    <row r="10006" ht="14.4" x14ac:dyDescent="0.3"/>
    <row r="10007" ht="14.4" x14ac:dyDescent="0.3"/>
    <row r="10008" ht="14.4" x14ac:dyDescent="0.3"/>
    <row r="10009" ht="14.4" x14ac:dyDescent="0.3"/>
    <row r="10010" ht="14.4" x14ac:dyDescent="0.3"/>
    <row r="10011" ht="14.4" x14ac:dyDescent="0.3"/>
    <row r="10012" ht="14.4" x14ac:dyDescent="0.3"/>
    <row r="10013" ht="14.4" x14ac:dyDescent="0.3"/>
    <row r="10014" ht="14.4" x14ac:dyDescent="0.3"/>
    <row r="10015" ht="14.4" x14ac:dyDescent="0.3"/>
    <row r="10016" ht="14.4" x14ac:dyDescent="0.3"/>
    <row r="10017" ht="14.4" x14ac:dyDescent="0.3"/>
    <row r="10018" ht="14.4" x14ac:dyDescent="0.3"/>
    <row r="10019" ht="14.4" x14ac:dyDescent="0.3"/>
    <row r="10020" ht="14.4" x14ac:dyDescent="0.3"/>
    <row r="10021" ht="14.4" x14ac:dyDescent="0.3"/>
    <row r="10022" ht="14.4" x14ac:dyDescent="0.3"/>
    <row r="10023" ht="14.4" x14ac:dyDescent="0.3"/>
    <row r="10024" ht="14.4" x14ac:dyDescent="0.3"/>
    <row r="10025" ht="14.4" x14ac:dyDescent="0.3"/>
    <row r="10026" ht="14.4" x14ac:dyDescent="0.3"/>
    <row r="10027" ht="14.4" x14ac:dyDescent="0.3"/>
    <row r="10028" ht="14.4" x14ac:dyDescent="0.3"/>
    <row r="10029" ht="14.4" x14ac:dyDescent="0.3"/>
    <row r="10030" ht="14.4" x14ac:dyDescent="0.3"/>
    <row r="10031" ht="14.4" x14ac:dyDescent="0.3"/>
    <row r="10032" ht="14.4" x14ac:dyDescent="0.3"/>
    <row r="10033" ht="14.4" x14ac:dyDescent="0.3"/>
    <row r="10034" ht="14.4" x14ac:dyDescent="0.3"/>
    <row r="10035" ht="14.4" x14ac:dyDescent="0.3"/>
    <row r="10036" ht="14.4" x14ac:dyDescent="0.3"/>
    <row r="10037" ht="14.4" x14ac:dyDescent="0.3"/>
    <row r="10038" ht="14.4" x14ac:dyDescent="0.3"/>
    <row r="10039" ht="14.4" x14ac:dyDescent="0.3"/>
    <row r="10040" ht="14.4" x14ac:dyDescent="0.3"/>
    <row r="10041" ht="14.4" x14ac:dyDescent="0.3"/>
    <row r="10042" ht="14.4" x14ac:dyDescent="0.3"/>
    <row r="10043" ht="14.4" x14ac:dyDescent="0.3"/>
    <row r="10044" ht="14.4" x14ac:dyDescent="0.3"/>
    <row r="10045" ht="14.4" x14ac:dyDescent="0.3"/>
    <row r="10046" ht="14.4" x14ac:dyDescent="0.3"/>
    <row r="10047" ht="14.4" x14ac:dyDescent="0.3"/>
    <row r="10048" ht="14.4" x14ac:dyDescent="0.3"/>
    <row r="10049" ht="14.4" x14ac:dyDescent="0.3"/>
    <row r="10050" ht="14.4" x14ac:dyDescent="0.3"/>
    <row r="10051" ht="14.4" x14ac:dyDescent="0.3"/>
    <row r="10052" ht="14.4" x14ac:dyDescent="0.3"/>
    <row r="10053" ht="14.4" x14ac:dyDescent="0.3"/>
    <row r="10054" ht="14.4" x14ac:dyDescent="0.3"/>
    <row r="10055" ht="14.4" x14ac:dyDescent="0.3"/>
    <row r="10056" ht="14.4" x14ac:dyDescent="0.3"/>
    <row r="10057" ht="14.4" x14ac:dyDescent="0.3"/>
    <row r="10058" ht="14.4" x14ac:dyDescent="0.3"/>
    <row r="10059" ht="14.4" x14ac:dyDescent="0.3"/>
    <row r="10060" ht="14.4" x14ac:dyDescent="0.3"/>
    <row r="10061" ht="14.4" x14ac:dyDescent="0.3"/>
    <row r="10062" ht="14.4" x14ac:dyDescent="0.3"/>
    <row r="10063" ht="14.4" x14ac:dyDescent="0.3"/>
    <row r="10064" ht="14.4" x14ac:dyDescent="0.3"/>
    <row r="10065" ht="14.4" x14ac:dyDescent="0.3"/>
    <row r="10066" ht="14.4" x14ac:dyDescent="0.3"/>
    <row r="10067" ht="14.4" x14ac:dyDescent="0.3"/>
    <row r="10068" ht="14.4" x14ac:dyDescent="0.3"/>
    <row r="10069" ht="14.4" x14ac:dyDescent="0.3"/>
    <row r="10070" ht="14.4" x14ac:dyDescent="0.3"/>
    <row r="10071" ht="14.4" x14ac:dyDescent="0.3"/>
    <row r="10072" ht="14.4" x14ac:dyDescent="0.3"/>
    <row r="10073" ht="14.4" x14ac:dyDescent="0.3"/>
    <row r="10074" ht="14.4" x14ac:dyDescent="0.3"/>
    <row r="10075" ht="14.4" x14ac:dyDescent="0.3"/>
    <row r="10076" ht="14.4" x14ac:dyDescent="0.3"/>
    <row r="10077" ht="14.4" x14ac:dyDescent="0.3"/>
    <row r="10078" ht="14.4" x14ac:dyDescent="0.3"/>
    <row r="10079" ht="14.4" x14ac:dyDescent="0.3"/>
    <row r="10080" ht="14.4" x14ac:dyDescent="0.3"/>
    <row r="10081" ht="14.4" x14ac:dyDescent="0.3"/>
    <row r="10082" ht="14.4" x14ac:dyDescent="0.3"/>
    <row r="10083" ht="14.4" x14ac:dyDescent="0.3"/>
    <row r="10084" ht="14.4" x14ac:dyDescent="0.3"/>
    <row r="10085" ht="14.4" x14ac:dyDescent="0.3"/>
    <row r="10086" ht="14.4" x14ac:dyDescent="0.3"/>
    <row r="10087" ht="14.4" x14ac:dyDescent="0.3"/>
    <row r="10088" ht="14.4" x14ac:dyDescent="0.3"/>
    <row r="10089" ht="14.4" x14ac:dyDescent="0.3"/>
    <row r="10090" ht="14.4" x14ac:dyDescent="0.3"/>
    <row r="10091" ht="14.4" x14ac:dyDescent="0.3"/>
    <row r="10092" ht="14.4" x14ac:dyDescent="0.3"/>
    <row r="10093" ht="14.4" x14ac:dyDescent="0.3"/>
    <row r="10094" ht="14.4" x14ac:dyDescent="0.3"/>
    <row r="10095" ht="14.4" x14ac:dyDescent="0.3"/>
    <row r="10096" ht="14.4" x14ac:dyDescent="0.3"/>
    <row r="10097" ht="14.4" x14ac:dyDescent="0.3"/>
    <row r="10098" ht="14.4" x14ac:dyDescent="0.3"/>
    <row r="10099" ht="14.4" x14ac:dyDescent="0.3"/>
    <row r="10100" ht="14.4" x14ac:dyDescent="0.3"/>
    <row r="10101" ht="14.4" x14ac:dyDescent="0.3"/>
    <row r="10102" ht="14.4" x14ac:dyDescent="0.3"/>
    <row r="10103" ht="14.4" x14ac:dyDescent="0.3"/>
    <row r="10104" ht="14.4" x14ac:dyDescent="0.3"/>
    <row r="10105" ht="14.4" x14ac:dyDescent="0.3"/>
    <row r="10106" ht="14.4" x14ac:dyDescent="0.3"/>
    <row r="10107" ht="14.4" x14ac:dyDescent="0.3"/>
    <row r="10108" ht="14.4" x14ac:dyDescent="0.3"/>
    <row r="10109" ht="14.4" x14ac:dyDescent="0.3"/>
    <row r="10110" ht="14.4" x14ac:dyDescent="0.3"/>
    <row r="10111" ht="14.4" x14ac:dyDescent="0.3"/>
    <row r="10112" ht="14.4" x14ac:dyDescent="0.3"/>
    <row r="10113" ht="14.4" x14ac:dyDescent="0.3"/>
    <row r="10114" ht="14.4" x14ac:dyDescent="0.3"/>
    <row r="10115" ht="14.4" x14ac:dyDescent="0.3"/>
    <row r="10116" ht="14.4" x14ac:dyDescent="0.3"/>
    <row r="10117" ht="14.4" x14ac:dyDescent="0.3"/>
    <row r="10118" ht="14.4" x14ac:dyDescent="0.3"/>
    <row r="10119" ht="14.4" x14ac:dyDescent="0.3"/>
    <row r="10120" ht="14.4" x14ac:dyDescent="0.3"/>
    <row r="10121" ht="14.4" x14ac:dyDescent="0.3"/>
    <row r="10122" ht="14.4" x14ac:dyDescent="0.3"/>
    <row r="10123" ht="14.4" x14ac:dyDescent="0.3"/>
    <row r="10124" ht="14.4" x14ac:dyDescent="0.3"/>
    <row r="10125" ht="14.4" x14ac:dyDescent="0.3"/>
    <row r="10126" ht="14.4" x14ac:dyDescent="0.3"/>
    <row r="10127" ht="14.4" x14ac:dyDescent="0.3"/>
    <row r="10128" ht="14.4" x14ac:dyDescent="0.3"/>
    <row r="10129" ht="14.4" x14ac:dyDescent="0.3"/>
    <row r="10130" ht="14.4" x14ac:dyDescent="0.3"/>
    <row r="10131" ht="14.4" x14ac:dyDescent="0.3"/>
    <row r="10132" ht="14.4" x14ac:dyDescent="0.3"/>
    <row r="10133" ht="14.4" x14ac:dyDescent="0.3"/>
    <row r="10134" ht="14.4" x14ac:dyDescent="0.3"/>
    <row r="10135" ht="14.4" x14ac:dyDescent="0.3"/>
    <row r="10136" ht="14.4" x14ac:dyDescent="0.3"/>
    <row r="10137" ht="14.4" x14ac:dyDescent="0.3"/>
    <row r="10138" ht="14.4" x14ac:dyDescent="0.3"/>
    <row r="10139" ht="14.4" x14ac:dyDescent="0.3"/>
    <row r="10140" ht="14.4" x14ac:dyDescent="0.3"/>
    <row r="10141" ht="14.4" x14ac:dyDescent="0.3"/>
    <row r="10142" ht="14.4" x14ac:dyDescent="0.3"/>
    <row r="10143" ht="14.4" x14ac:dyDescent="0.3"/>
    <row r="10144" ht="14.4" x14ac:dyDescent="0.3"/>
    <row r="10145" ht="14.4" x14ac:dyDescent="0.3"/>
    <row r="10146" ht="14.4" x14ac:dyDescent="0.3"/>
    <row r="10147" ht="14.4" x14ac:dyDescent="0.3"/>
    <row r="10148" ht="14.4" x14ac:dyDescent="0.3"/>
    <row r="10149" ht="14.4" x14ac:dyDescent="0.3"/>
    <row r="10150" ht="14.4" x14ac:dyDescent="0.3"/>
    <row r="10151" ht="14.4" x14ac:dyDescent="0.3"/>
    <row r="10152" ht="14.4" x14ac:dyDescent="0.3"/>
    <row r="10153" ht="14.4" x14ac:dyDescent="0.3"/>
    <row r="10154" ht="14.4" x14ac:dyDescent="0.3"/>
    <row r="10155" ht="14.4" x14ac:dyDescent="0.3"/>
    <row r="10156" ht="14.4" x14ac:dyDescent="0.3"/>
    <row r="10157" ht="14.4" x14ac:dyDescent="0.3"/>
    <row r="10158" ht="14.4" x14ac:dyDescent="0.3"/>
    <row r="10159" ht="14.4" x14ac:dyDescent="0.3"/>
    <row r="10160" ht="14.4" x14ac:dyDescent="0.3"/>
    <row r="10161" ht="14.4" x14ac:dyDescent="0.3"/>
    <row r="10162" ht="14.4" x14ac:dyDescent="0.3"/>
    <row r="10163" ht="14.4" x14ac:dyDescent="0.3"/>
    <row r="10164" ht="14.4" x14ac:dyDescent="0.3"/>
    <row r="10165" ht="14.4" x14ac:dyDescent="0.3"/>
    <row r="10166" ht="14.4" x14ac:dyDescent="0.3"/>
    <row r="10167" ht="14.4" x14ac:dyDescent="0.3"/>
    <row r="10168" ht="14.4" x14ac:dyDescent="0.3"/>
    <row r="10169" ht="14.4" x14ac:dyDescent="0.3"/>
    <row r="10170" ht="14.4" x14ac:dyDescent="0.3"/>
    <row r="10171" ht="14.4" x14ac:dyDescent="0.3"/>
    <row r="10172" ht="14.4" x14ac:dyDescent="0.3"/>
    <row r="10173" ht="14.4" x14ac:dyDescent="0.3"/>
    <row r="10174" ht="14.4" x14ac:dyDescent="0.3"/>
    <row r="10175" ht="14.4" x14ac:dyDescent="0.3"/>
    <row r="10176" ht="14.4" x14ac:dyDescent="0.3"/>
    <row r="10177" ht="14.4" x14ac:dyDescent="0.3"/>
    <row r="10178" ht="14.4" x14ac:dyDescent="0.3"/>
    <row r="10179" ht="14.4" x14ac:dyDescent="0.3"/>
    <row r="10180" ht="14.4" x14ac:dyDescent="0.3"/>
    <row r="10181" ht="14.4" x14ac:dyDescent="0.3"/>
    <row r="10182" ht="14.4" x14ac:dyDescent="0.3"/>
    <row r="10183" ht="14.4" x14ac:dyDescent="0.3"/>
    <row r="10184" ht="14.4" x14ac:dyDescent="0.3"/>
    <row r="10185" ht="14.4" x14ac:dyDescent="0.3"/>
    <row r="10186" ht="14.4" x14ac:dyDescent="0.3"/>
    <row r="10187" ht="14.4" x14ac:dyDescent="0.3"/>
    <row r="10188" ht="14.4" x14ac:dyDescent="0.3"/>
    <row r="10189" ht="14.4" x14ac:dyDescent="0.3"/>
    <row r="10190" ht="14.4" x14ac:dyDescent="0.3"/>
    <row r="10191" ht="14.4" x14ac:dyDescent="0.3"/>
    <row r="10192" ht="14.4" x14ac:dyDescent="0.3"/>
    <row r="10193" spans="1:43" ht="14.4" x14ac:dyDescent="0.3"/>
    <row r="10194" spans="1:43" ht="14.4" x14ac:dyDescent="0.3"/>
    <row r="10195" spans="1:43" ht="14.4" x14ac:dyDescent="0.3"/>
    <row r="10196" spans="1:43" ht="14.4" x14ac:dyDescent="0.3"/>
    <row r="10197" spans="1:43" ht="14.4" x14ac:dyDescent="0.3"/>
    <row r="10198" spans="1:43" ht="14.4" hidden="1" x14ac:dyDescent="0.3">
      <c r="A10198" t="s">
        <v>1808</v>
      </c>
      <c r="B10198">
        <v>4944939</v>
      </c>
      <c r="C10198" t="s">
        <v>424</v>
      </c>
      <c r="D10198" t="s">
        <v>425</v>
      </c>
      <c r="E10198" t="s">
        <v>436</v>
      </c>
      <c r="F10198" t="s">
        <v>437</v>
      </c>
      <c r="H10198" t="s">
        <v>380</v>
      </c>
      <c r="J10198" t="s">
        <v>140</v>
      </c>
      <c r="K10198">
        <v>159145.50899999999</v>
      </c>
      <c r="L10198">
        <v>387384.033</v>
      </c>
      <c r="N10198" t="s">
        <v>587</v>
      </c>
      <c r="O10198" t="s">
        <v>588</v>
      </c>
      <c r="P10198" t="s">
        <v>589</v>
      </c>
      <c r="Q10198" t="s">
        <v>144</v>
      </c>
      <c r="S10198">
        <v>106</v>
      </c>
      <c r="T10198">
        <v>14000</v>
      </c>
      <c r="V10198" t="s">
        <v>146</v>
      </c>
      <c r="W10198" t="s">
        <v>147</v>
      </c>
      <c r="Y10198" t="s">
        <v>398</v>
      </c>
      <c r="Z10198" t="s">
        <v>588</v>
      </c>
      <c r="AA10198" t="s">
        <v>590</v>
      </c>
      <c r="AB10198">
        <v>0</v>
      </c>
      <c r="AE10198" t="s">
        <v>1809</v>
      </c>
      <c r="AF10198" t="s">
        <v>588</v>
      </c>
      <c r="AG10198" t="s">
        <v>591</v>
      </c>
      <c r="AI10198" t="s">
        <v>304</v>
      </c>
      <c r="AJ10198" t="s">
        <v>588</v>
      </c>
      <c r="AK10198" t="s">
        <v>592</v>
      </c>
      <c r="AL10198" t="s">
        <v>1810</v>
      </c>
      <c r="AM10198" t="s">
        <v>1811</v>
      </c>
      <c r="AN10198" t="s">
        <v>1812</v>
      </c>
      <c r="AO10198" t="s">
        <v>587</v>
      </c>
      <c r="AP10198" t="s">
        <v>158</v>
      </c>
      <c r="AQ10198" t="str">
        <f>IF(ISBLANK(AP10198), IFERROR(IF(VLOOKUP(AO10198, Ellens_additions!$A$2:$B$252, 2, FALSE) = "", "", VLOOKUP(AO10198, Ellens_additions!$A$2:$B$252, 2, FALSE)), 0), AP10198)</f>
        <v>3000</v>
      </c>
    </row>
    <row r="10199" spans="1:43" ht="14.4" x14ac:dyDescent="0.3"/>
    <row r="10200" spans="1:43" ht="14.4" x14ac:dyDescent="0.3"/>
    <row r="10201" spans="1:43" ht="14.4" x14ac:dyDescent="0.3"/>
    <row r="10202" spans="1:43" ht="14.4" x14ac:dyDescent="0.3"/>
    <row r="10203" spans="1:43" ht="14.4" x14ac:dyDescent="0.3"/>
    <row r="10204" spans="1:43" ht="14.4" x14ac:dyDescent="0.3"/>
    <row r="10205" spans="1:43" ht="14.4" x14ac:dyDescent="0.3"/>
    <row r="10206" spans="1:43" ht="14.4" x14ac:dyDescent="0.3"/>
    <row r="10207" spans="1:43" ht="14.4" hidden="1" x14ac:dyDescent="0.3">
      <c r="A10207" t="s">
        <v>1813</v>
      </c>
      <c r="B10207">
        <v>4944957</v>
      </c>
      <c r="C10207" t="s">
        <v>424</v>
      </c>
      <c r="D10207" t="s">
        <v>425</v>
      </c>
      <c r="E10207" t="s">
        <v>436</v>
      </c>
      <c r="F10207" t="s">
        <v>437</v>
      </c>
      <c r="H10207" t="s">
        <v>406</v>
      </c>
      <c r="J10207" t="s">
        <v>140</v>
      </c>
      <c r="K10207">
        <v>158980.22899999999</v>
      </c>
      <c r="L10207">
        <v>387283.01400000002</v>
      </c>
      <c r="N10207" t="s">
        <v>587</v>
      </c>
      <c r="O10207" t="s">
        <v>588</v>
      </c>
      <c r="P10207" t="s">
        <v>589</v>
      </c>
      <c r="Q10207" t="s">
        <v>144</v>
      </c>
      <c r="S10207">
        <v>106</v>
      </c>
      <c r="T10207">
        <v>14000</v>
      </c>
      <c r="V10207" t="s">
        <v>146</v>
      </c>
      <c r="W10207" t="s">
        <v>147</v>
      </c>
      <c r="Y10207" t="s">
        <v>398</v>
      </c>
      <c r="Z10207" t="s">
        <v>588</v>
      </c>
      <c r="AA10207" t="s">
        <v>590</v>
      </c>
      <c r="AB10207">
        <v>0</v>
      </c>
      <c r="AE10207" t="s">
        <v>333</v>
      </c>
      <c r="AF10207" t="s">
        <v>588</v>
      </c>
      <c r="AG10207" t="s">
        <v>591</v>
      </c>
      <c r="AI10207" t="s">
        <v>304</v>
      </c>
      <c r="AJ10207" t="s">
        <v>588</v>
      </c>
      <c r="AK10207" t="s">
        <v>592</v>
      </c>
      <c r="AL10207" t="s">
        <v>1814</v>
      </c>
      <c r="AM10207" t="s">
        <v>1815</v>
      </c>
      <c r="AN10207" t="s">
        <v>1816</v>
      </c>
      <c r="AO10207" t="s">
        <v>587</v>
      </c>
      <c r="AP10207" t="s">
        <v>158</v>
      </c>
      <c r="AQ10207" t="str">
        <f>IF(ISBLANK(AP10207), IFERROR(IF(VLOOKUP(AO10207, Ellens_additions!$A$2:$B$252, 2, FALSE) = "", "", VLOOKUP(AO10207, Ellens_additions!$A$2:$B$252, 2, FALSE)), 0), AP10207)</f>
        <v>3000</v>
      </c>
    </row>
    <row r="10208" spans="1:43" ht="14.4" hidden="1" x14ac:dyDescent="0.3">
      <c r="A10208" t="s">
        <v>1817</v>
      </c>
      <c r="B10208">
        <v>4944958</v>
      </c>
      <c r="C10208" t="s">
        <v>424</v>
      </c>
      <c r="D10208" t="s">
        <v>425</v>
      </c>
      <c r="E10208" t="s">
        <v>436</v>
      </c>
      <c r="F10208" t="s">
        <v>437</v>
      </c>
      <c r="H10208" t="s">
        <v>278</v>
      </c>
      <c r="J10208" t="s">
        <v>140</v>
      </c>
      <c r="K10208">
        <v>159007.959</v>
      </c>
      <c r="L10208">
        <v>387300.09399999998</v>
      </c>
      <c r="N10208" t="s">
        <v>587</v>
      </c>
      <c r="O10208" t="s">
        <v>588</v>
      </c>
      <c r="P10208" t="s">
        <v>589</v>
      </c>
      <c r="Q10208" t="s">
        <v>144</v>
      </c>
      <c r="S10208">
        <v>106</v>
      </c>
      <c r="T10208">
        <v>14000</v>
      </c>
      <c r="V10208" t="s">
        <v>146</v>
      </c>
      <c r="W10208" t="s">
        <v>147</v>
      </c>
      <c r="Y10208" t="s">
        <v>398</v>
      </c>
      <c r="Z10208" t="s">
        <v>588</v>
      </c>
      <c r="AA10208" t="s">
        <v>590</v>
      </c>
      <c r="AB10208">
        <v>0</v>
      </c>
      <c r="AE10208" t="s">
        <v>333</v>
      </c>
      <c r="AF10208" t="s">
        <v>588</v>
      </c>
      <c r="AG10208" t="s">
        <v>591</v>
      </c>
      <c r="AI10208" t="s">
        <v>304</v>
      </c>
      <c r="AJ10208" t="s">
        <v>588</v>
      </c>
      <c r="AK10208" t="s">
        <v>592</v>
      </c>
      <c r="AL10208" t="s">
        <v>1818</v>
      </c>
      <c r="AM10208" t="s">
        <v>1819</v>
      </c>
      <c r="AN10208" t="s">
        <v>1820</v>
      </c>
      <c r="AO10208" t="s">
        <v>587</v>
      </c>
      <c r="AP10208" t="s">
        <v>158</v>
      </c>
      <c r="AQ10208" t="str">
        <f>IF(ISBLANK(AP10208), IFERROR(IF(VLOOKUP(AO10208, Ellens_additions!$A$2:$B$252, 2, FALSE) = "", "", VLOOKUP(AO10208, Ellens_additions!$A$2:$B$252, 2, FALSE)), 0), AP10208)</f>
        <v>3000</v>
      </c>
    </row>
    <row r="10209" ht="14.4" x14ac:dyDescent="0.3"/>
    <row r="10210" ht="14.4" x14ac:dyDescent="0.3"/>
    <row r="10211" ht="14.4" x14ac:dyDescent="0.3"/>
    <row r="10212" ht="14.4" x14ac:dyDescent="0.3"/>
    <row r="10213" ht="14.4" x14ac:dyDescent="0.3"/>
    <row r="10214" ht="14.4" x14ac:dyDescent="0.3"/>
    <row r="10215" ht="14.4" x14ac:dyDescent="0.3"/>
    <row r="10216" ht="14.4" x14ac:dyDescent="0.3"/>
    <row r="10217" ht="14.4" x14ac:dyDescent="0.3"/>
    <row r="10218" ht="14.4" x14ac:dyDescent="0.3"/>
    <row r="10219" ht="14.4" x14ac:dyDescent="0.3"/>
    <row r="10220" ht="14.4" x14ac:dyDescent="0.3"/>
    <row r="10221" ht="14.4" x14ac:dyDescent="0.3"/>
    <row r="10222" ht="14.4" x14ac:dyDescent="0.3"/>
    <row r="10223" ht="14.4" x14ac:dyDescent="0.3"/>
    <row r="10224" ht="14.4" x14ac:dyDescent="0.3"/>
    <row r="10225" ht="14.4" x14ac:dyDescent="0.3"/>
    <row r="10226" ht="14.4" x14ac:dyDescent="0.3"/>
    <row r="10227" ht="14.4" x14ac:dyDescent="0.3"/>
    <row r="10228" ht="14.4" x14ac:dyDescent="0.3"/>
    <row r="10229" ht="14.4" x14ac:dyDescent="0.3"/>
    <row r="10230" ht="14.4" x14ac:dyDescent="0.3"/>
    <row r="10231" ht="14.4" x14ac:dyDescent="0.3"/>
    <row r="10232" ht="14.4" x14ac:dyDescent="0.3"/>
    <row r="10233" ht="14.4" x14ac:dyDescent="0.3"/>
    <row r="10234" ht="14.4" x14ac:dyDescent="0.3"/>
    <row r="10235" ht="14.4" x14ac:dyDescent="0.3"/>
    <row r="10236" ht="14.4" x14ac:dyDescent="0.3"/>
    <row r="10237" ht="14.4" x14ac:dyDescent="0.3"/>
    <row r="10238" ht="14.4" x14ac:dyDescent="0.3"/>
    <row r="10239" ht="14.4" x14ac:dyDescent="0.3"/>
    <row r="10240" ht="14.4" x14ac:dyDescent="0.3"/>
    <row r="10241" ht="14.4" x14ac:dyDescent="0.3"/>
    <row r="10242" ht="14.4" x14ac:dyDescent="0.3"/>
    <row r="10243" ht="14.4" x14ac:dyDescent="0.3"/>
    <row r="10244" ht="14.4" x14ac:dyDescent="0.3"/>
    <row r="10245" ht="14.4" x14ac:dyDescent="0.3"/>
    <row r="10246" ht="14.4" x14ac:dyDescent="0.3"/>
    <row r="10247" ht="14.4" x14ac:dyDescent="0.3"/>
    <row r="10248" ht="14.4" x14ac:dyDescent="0.3"/>
    <row r="10249" ht="14.4" x14ac:dyDescent="0.3"/>
    <row r="10250" ht="14.4" x14ac:dyDescent="0.3"/>
    <row r="10251" ht="14.4" x14ac:dyDescent="0.3"/>
    <row r="10252" ht="14.4" x14ac:dyDescent="0.3"/>
    <row r="10253" ht="14.4" x14ac:dyDescent="0.3"/>
    <row r="10254" ht="14.4" x14ac:dyDescent="0.3"/>
    <row r="10255" ht="14.4" x14ac:dyDescent="0.3"/>
    <row r="10256" ht="14.4" x14ac:dyDescent="0.3"/>
    <row r="10257" spans="1:43" ht="14.4" x14ac:dyDescent="0.3"/>
    <row r="10258" spans="1:43" ht="14.4" x14ac:dyDescent="0.3"/>
    <row r="10259" spans="1:43" ht="14.4" x14ac:dyDescent="0.3"/>
    <row r="10260" spans="1:43" ht="14.4" x14ac:dyDescent="0.3"/>
    <row r="10261" spans="1:43" ht="14.4" x14ac:dyDescent="0.3"/>
    <row r="10262" spans="1:43" ht="14.4" x14ac:dyDescent="0.3"/>
    <row r="10263" spans="1:43" ht="14.4" x14ac:dyDescent="0.3"/>
    <row r="10264" spans="1:43" ht="14.4" x14ac:dyDescent="0.3"/>
    <row r="10265" spans="1:43" ht="14.4" x14ac:dyDescent="0.3"/>
    <row r="10266" spans="1:43" ht="14.4" x14ac:dyDescent="0.3"/>
    <row r="10267" spans="1:43" ht="14.4" x14ac:dyDescent="0.3"/>
    <row r="10268" spans="1:43" ht="14.4" hidden="1" x14ac:dyDescent="0.3">
      <c r="A10268" t="s">
        <v>1823</v>
      </c>
      <c r="B10268">
        <v>4945137</v>
      </c>
      <c r="C10268" t="s">
        <v>445</v>
      </c>
      <c r="D10268" t="s">
        <v>451</v>
      </c>
      <c r="E10268" t="s">
        <v>452</v>
      </c>
      <c r="F10268" t="s">
        <v>635</v>
      </c>
      <c r="H10268" t="s">
        <v>377</v>
      </c>
      <c r="J10268" t="s">
        <v>140</v>
      </c>
      <c r="K10268">
        <v>162637.769</v>
      </c>
      <c r="L10268">
        <v>386326.011</v>
      </c>
      <c r="M10268">
        <v>1</v>
      </c>
      <c r="N10268" t="s">
        <v>636</v>
      </c>
      <c r="O10268" t="s">
        <v>179</v>
      </c>
      <c r="P10268" t="s">
        <v>637</v>
      </c>
      <c r="Q10268" t="s">
        <v>144</v>
      </c>
      <c r="S10268">
        <v>28</v>
      </c>
      <c r="T10268">
        <v>3400</v>
      </c>
      <c r="V10268" t="s">
        <v>146</v>
      </c>
      <c r="W10268" t="s">
        <v>147</v>
      </c>
      <c r="X10268" t="s">
        <v>7</v>
      </c>
      <c r="Y10268" t="s">
        <v>283</v>
      </c>
      <c r="Z10268" t="s">
        <v>179</v>
      </c>
      <c r="AA10268" t="s">
        <v>638</v>
      </c>
      <c r="AB10268">
        <v>0</v>
      </c>
      <c r="AE10268" t="s">
        <v>444</v>
      </c>
      <c r="AF10268" t="s">
        <v>179</v>
      </c>
      <c r="AG10268" t="s">
        <v>639</v>
      </c>
      <c r="AI10268" t="s">
        <v>626</v>
      </c>
      <c r="AJ10268" t="s">
        <v>179</v>
      </c>
      <c r="AK10268" t="s">
        <v>639</v>
      </c>
      <c r="AL10268" t="s">
        <v>1824</v>
      </c>
      <c r="AM10268" t="s">
        <v>1825</v>
      </c>
      <c r="AN10268" t="s">
        <v>1826</v>
      </c>
      <c r="AO10268" t="s">
        <v>636</v>
      </c>
      <c r="AP10268" t="s">
        <v>158</v>
      </c>
      <c r="AQ10268" t="str">
        <f>IF(ISBLANK(AP10268), IFERROR(IF(VLOOKUP(AO10268, Ellens_additions!$A$2:$B$252, 2, FALSE) = "", "", VLOOKUP(AO10268, Ellens_additions!$A$2:$B$252, 2, FALSE)), 0), AP10268)</f>
        <v>3000</v>
      </c>
    </row>
    <row r="10269" spans="1:43" ht="14.4" hidden="1" x14ac:dyDescent="0.3">
      <c r="A10269" t="s">
        <v>1827</v>
      </c>
      <c r="B10269">
        <v>4945138</v>
      </c>
      <c r="C10269" t="s">
        <v>445</v>
      </c>
      <c r="D10269" t="s">
        <v>451</v>
      </c>
      <c r="E10269" t="s">
        <v>452</v>
      </c>
      <c r="F10269" t="s">
        <v>635</v>
      </c>
      <c r="H10269" t="s">
        <v>229</v>
      </c>
      <c r="J10269" t="s">
        <v>140</v>
      </c>
      <c r="K10269">
        <v>162663.79</v>
      </c>
      <c r="L10269">
        <v>386321.80300000001</v>
      </c>
      <c r="M10269">
        <v>1</v>
      </c>
      <c r="N10269" t="s">
        <v>636</v>
      </c>
      <c r="O10269" t="s">
        <v>179</v>
      </c>
      <c r="P10269" t="s">
        <v>637</v>
      </c>
      <c r="Q10269" t="s">
        <v>144</v>
      </c>
      <c r="S10269">
        <v>28</v>
      </c>
      <c r="T10269">
        <v>3400</v>
      </c>
      <c r="V10269" t="s">
        <v>146</v>
      </c>
      <c r="W10269" t="s">
        <v>147</v>
      </c>
      <c r="X10269" t="s">
        <v>7</v>
      </c>
      <c r="Y10269" t="s">
        <v>283</v>
      </c>
      <c r="Z10269" t="s">
        <v>179</v>
      </c>
      <c r="AA10269" t="s">
        <v>638</v>
      </c>
      <c r="AB10269">
        <v>0</v>
      </c>
      <c r="AE10269" t="s">
        <v>444</v>
      </c>
      <c r="AF10269" t="s">
        <v>179</v>
      </c>
      <c r="AG10269" t="s">
        <v>639</v>
      </c>
      <c r="AI10269" t="s">
        <v>626</v>
      </c>
      <c r="AJ10269" t="s">
        <v>179</v>
      </c>
      <c r="AK10269" t="s">
        <v>639</v>
      </c>
      <c r="AL10269" t="s">
        <v>1828</v>
      </c>
      <c r="AM10269" t="s">
        <v>1829</v>
      </c>
      <c r="AN10269" t="s">
        <v>1830</v>
      </c>
      <c r="AO10269" t="s">
        <v>636</v>
      </c>
      <c r="AP10269" t="s">
        <v>158</v>
      </c>
      <c r="AQ10269" t="str">
        <f>IF(ISBLANK(AP10269), IFERROR(IF(VLOOKUP(AO10269, Ellens_additions!$A$2:$B$252, 2, FALSE) = "", "", VLOOKUP(AO10269, Ellens_additions!$A$2:$B$252, 2, FALSE)), 0), AP10269)</f>
        <v>3000</v>
      </c>
    </row>
    <row r="10270" spans="1:43" ht="14.4" hidden="1" x14ac:dyDescent="0.3">
      <c r="A10270" t="s">
        <v>1831</v>
      </c>
      <c r="B10270">
        <v>4945139</v>
      </c>
      <c r="C10270" t="s">
        <v>445</v>
      </c>
      <c r="D10270" t="s">
        <v>451</v>
      </c>
      <c r="E10270" t="s">
        <v>452</v>
      </c>
      <c r="F10270" t="s">
        <v>635</v>
      </c>
      <c r="H10270" t="s">
        <v>296</v>
      </c>
      <c r="J10270" t="s">
        <v>140</v>
      </c>
      <c r="K10270">
        <v>162677.54800000001</v>
      </c>
      <c r="L10270">
        <v>386303.23</v>
      </c>
      <c r="M10270">
        <v>1</v>
      </c>
      <c r="N10270" t="s">
        <v>636</v>
      </c>
      <c r="O10270" t="s">
        <v>179</v>
      </c>
      <c r="P10270" t="s">
        <v>637</v>
      </c>
      <c r="Q10270" t="s">
        <v>144</v>
      </c>
      <c r="S10270">
        <v>28</v>
      </c>
      <c r="T10270">
        <v>3400</v>
      </c>
      <c r="V10270" t="s">
        <v>146</v>
      </c>
      <c r="W10270" t="s">
        <v>147</v>
      </c>
      <c r="X10270" t="s">
        <v>7</v>
      </c>
      <c r="Y10270" t="s">
        <v>283</v>
      </c>
      <c r="Z10270" t="s">
        <v>179</v>
      </c>
      <c r="AA10270" t="s">
        <v>638</v>
      </c>
      <c r="AB10270">
        <v>0</v>
      </c>
      <c r="AE10270" t="s">
        <v>444</v>
      </c>
      <c r="AF10270" t="s">
        <v>179</v>
      </c>
      <c r="AG10270" t="s">
        <v>639</v>
      </c>
      <c r="AI10270" t="s">
        <v>626</v>
      </c>
      <c r="AJ10270" t="s">
        <v>179</v>
      </c>
      <c r="AK10270" t="s">
        <v>639</v>
      </c>
      <c r="AL10270" t="s">
        <v>1832</v>
      </c>
      <c r="AM10270" t="s">
        <v>1833</v>
      </c>
      <c r="AN10270" t="s">
        <v>1834</v>
      </c>
      <c r="AO10270" t="s">
        <v>636</v>
      </c>
      <c r="AP10270" t="s">
        <v>158</v>
      </c>
      <c r="AQ10270" t="str">
        <f>IF(ISBLANK(AP10270), IFERROR(IF(VLOOKUP(AO10270, Ellens_additions!$A$2:$B$252, 2, FALSE) = "", "", VLOOKUP(AO10270, Ellens_additions!$A$2:$B$252, 2, FALSE)), 0), AP10270)</f>
        <v>3000</v>
      </c>
    </row>
    <row r="10271" spans="1:43" ht="14.4" hidden="1" x14ac:dyDescent="0.3">
      <c r="A10271" t="s">
        <v>1835</v>
      </c>
      <c r="B10271">
        <v>4945140</v>
      </c>
      <c r="C10271" t="s">
        <v>445</v>
      </c>
      <c r="D10271" t="s">
        <v>451</v>
      </c>
      <c r="E10271" t="s">
        <v>452</v>
      </c>
      <c r="F10271" t="s">
        <v>635</v>
      </c>
      <c r="H10271" t="s">
        <v>274</v>
      </c>
      <c r="J10271" t="s">
        <v>140</v>
      </c>
      <c r="K10271">
        <v>162700.69399999999</v>
      </c>
      <c r="L10271">
        <v>386297.50799999997</v>
      </c>
      <c r="M10271">
        <v>1</v>
      </c>
      <c r="N10271" t="s">
        <v>636</v>
      </c>
      <c r="O10271" t="s">
        <v>179</v>
      </c>
      <c r="P10271" t="s">
        <v>637</v>
      </c>
      <c r="Q10271" t="s">
        <v>144</v>
      </c>
      <c r="S10271">
        <v>28</v>
      </c>
      <c r="T10271">
        <v>3400</v>
      </c>
      <c r="V10271" t="s">
        <v>146</v>
      </c>
      <c r="W10271" t="s">
        <v>147</v>
      </c>
      <c r="X10271" t="s">
        <v>7</v>
      </c>
      <c r="Y10271" t="s">
        <v>283</v>
      </c>
      <c r="Z10271" t="s">
        <v>179</v>
      </c>
      <c r="AA10271" t="s">
        <v>638</v>
      </c>
      <c r="AB10271">
        <v>0</v>
      </c>
      <c r="AE10271" t="s">
        <v>444</v>
      </c>
      <c r="AF10271" t="s">
        <v>179</v>
      </c>
      <c r="AG10271" t="s">
        <v>639</v>
      </c>
      <c r="AI10271" t="s">
        <v>626</v>
      </c>
      <c r="AJ10271" t="s">
        <v>179</v>
      </c>
      <c r="AK10271" t="s">
        <v>639</v>
      </c>
      <c r="AL10271" t="s">
        <v>1836</v>
      </c>
      <c r="AM10271" t="s">
        <v>1837</v>
      </c>
      <c r="AN10271" t="s">
        <v>1838</v>
      </c>
      <c r="AO10271" t="s">
        <v>636</v>
      </c>
      <c r="AP10271" t="s">
        <v>158</v>
      </c>
      <c r="AQ10271" t="str">
        <f>IF(ISBLANK(AP10271), IFERROR(IF(VLOOKUP(AO10271, Ellens_additions!$A$2:$B$252, 2, FALSE) = "", "", VLOOKUP(AO10271, Ellens_additions!$A$2:$B$252, 2, FALSE)), 0), AP10271)</f>
        <v>3000</v>
      </c>
    </row>
    <row r="10272" spans="1:43" ht="14.4" hidden="1" x14ac:dyDescent="0.3">
      <c r="A10272" t="s">
        <v>1839</v>
      </c>
      <c r="B10272">
        <v>4945141</v>
      </c>
      <c r="C10272" t="s">
        <v>445</v>
      </c>
      <c r="D10272" t="s">
        <v>451</v>
      </c>
      <c r="E10272" t="s">
        <v>452</v>
      </c>
      <c r="F10272" t="s">
        <v>635</v>
      </c>
      <c r="H10272" t="s">
        <v>244</v>
      </c>
      <c r="J10272" t="s">
        <v>140</v>
      </c>
      <c r="K10272">
        <v>162714.30900000001</v>
      </c>
      <c r="L10272">
        <v>386278.84399999998</v>
      </c>
      <c r="M10272">
        <v>1</v>
      </c>
      <c r="N10272" t="s">
        <v>636</v>
      </c>
      <c r="O10272" t="s">
        <v>179</v>
      </c>
      <c r="P10272" t="s">
        <v>637</v>
      </c>
      <c r="Q10272" t="s">
        <v>144</v>
      </c>
      <c r="S10272">
        <v>28</v>
      </c>
      <c r="T10272">
        <v>3400</v>
      </c>
      <c r="V10272" t="s">
        <v>146</v>
      </c>
      <c r="W10272" t="s">
        <v>147</v>
      </c>
      <c r="X10272" t="s">
        <v>7</v>
      </c>
      <c r="Y10272" t="s">
        <v>283</v>
      </c>
      <c r="Z10272" t="s">
        <v>179</v>
      </c>
      <c r="AA10272" t="s">
        <v>638</v>
      </c>
      <c r="AB10272">
        <v>0</v>
      </c>
      <c r="AE10272" t="s">
        <v>444</v>
      </c>
      <c r="AF10272" t="s">
        <v>179</v>
      </c>
      <c r="AG10272" t="s">
        <v>639</v>
      </c>
      <c r="AI10272" t="s">
        <v>626</v>
      </c>
      <c r="AJ10272" t="s">
        <v>179</v>
      </c>
      <c r="AK10272" t="s">
        <v>639</v>
      </c>
      <c r="AL10272" t="s">
        <v>1840</v>
      </c>
      <c r="AM10272" t="s">
        <v>1841</v>
      </c>
      <c r="AN10272" t="s">
        <v>1842</v>
      </c>
      <c r="AO10272" t="s">
        <v>636</v>
      </c>
      <c r="AP10272" t="s">
        <v>158</v>
      </c>
      <c r="AQ10272" t="str">
        <f>IF(ISBLANK(AP10272), IFERROR(IF(VLOOKUP(AO10272, Ellens_additions!$A$2:$B$252, 2, FALSE) = "", "", VLOOKUP(AO10272, Ellens_additions!$A$2:$B$252, 2, FALSE)), 0), AP10272)</f>
        <v>3000</v>
      </c>
    </row>
    <row r="10273" spans="1:43" ht="14.4" hidden="1" x14ac:dyDescent="0.3">
      <c r="A10273" t="s">
        <v>1843</v>
      </c>
      <c r="B10273">
        <v>4945143</v>
      </c>
      <c r="C10273" t="s">
        <v>445</v>
      </c>
      <c r="D10273" t="s">
        <v>451</v>
      </c>
      <c r="E10273" t="s">
        <v>452</v>
      </c>
      <c r="F10273" t="s">
        <v>635</v>
      </c>
      <c r="H10273" t="s">
        <v>251</v>
      </c>
      <c r="J10273" t="s">
        <v>140</v>
      </c>
      <c r="K10273">
        <v>162751.421</v>
      </c>
      <c r="L10273">
        <v>386254.71299999999</v>
      </c>
      <c r="M10273">
        <v>1</v>
      </c>
      <c r="N10273" t="s">
        <v>636</v>
      </c>
      <c r="O10273" t="s">
        <v>179</v>
      </c>
      <c r="P10273" t="s">
        <v>637</v>
      </c>
      <c r="Q10273" t="s">
        <v>144</v>
      </c>
      <c r="S10273">
        <v>28</v>
      </c>
      <c r="T10273">
        <v>3400</v>
      </c>
      <c r="V10273" t="s">
        <v>146</v>
      </c>
      <c r="W10273" t="s">
        <v>147</v>
      </c>
      <c r="X10273" t="s">
        <v>7</v>
      </c>
      <c r="Y10273" t="s">
        <v>283</v>
      </c>
      <c r="Z10273" t="s">
        <v>179</v>
      </c>
      <c r="AA10273" t="s">
        <v>638</v>
      </c>
      <c r="AB10273">
        <v>0</v>
      </c>
      <c r="AE10273" t="s">
        <v>444</v>
      </c>
      <c r="AF10273" t="s">
        <v>179</v>
      </c>
      <c r="AG10273" t="s">
        <v>639</v>
      </c>
      <c r="AI10273" t="s">
        <v>626</v>
      </c>
      <c r="AJ10273" t="s">
        <v>179</v>
      </c>
      <c r="AK10273" t="s">
        <v>639</v>
      </c>
      <c r="AL10273" t="s">
        <v>1844</v>
      </c>
      <c r="AM10273" t="s">
        <v>1845</v>
      </c>
      <c r="AN10273" t="s">
        <v>1846</v>
      </c>
      <c r="AO10273" t="s">
        <v>636</v>
      </c>
      <c r="AP10273" t="s">
        <v>158</v>
      </c>
      <c r="AQ10273" t="str">
        <f>IF(ISBLANK(AP10273), IFERROR(IF(VLOOKUP(AO10273, Ellens_additions!$A$2:$B$252, 2, FALSE) = "", "", VLOOKUP(AO10273, Ellens_additions!$A$2:$B$252, 2, FALSE)), 0), AP10273)</f>
        <v>3000</v>
      </c>
    </row>
    <row r="10274" spans="1:43" ht="14.4" hidden="1" x14ac:dyDescent="0.3">
      <c r="A10274" t="s">
        <v>1847</v>
      </c>
      <c r="B10274">
        <v>4945145</v>
      </c>
      <c r="C10274" t="s">
        <v>445</v>
      </c>
      <c r="D10274" t="s">
        <v>451</v>
      </c>
      <c r="E10274" t="s">
        <v>452</v>
      </c>
      <c r="F10274" t="s">
        <v>635</v>
      </c>
      <c r="H10274" t="s">
        <v>255</v>
      </c>
      <c r="J10274" t="s">
        <v>140</v>
      </c>
      <c r="K10274">
        <v>162788.59099999999</v>
      </c>
      <c r="L10274">
        <v>386230.32799999998</v>
      </c>
      <c r="M10274">
        <v>1</v>
      </c>
      <c r="N10274" t="s">
        <v>636</v>
      </c>
      <c r="O10274" t="s">
        <v>179</v>
      </c>
      <c r="P10274" t="s">
        <v>637</v>
      </c>
      <c r="Q10274" t="s">
        <v>144</v>
      </c>
      <c r="S10274">
        <v>28</v>
      </c>
      <c r="T10274">
        <v>3400</v>
      </c>
      <c r="V10274" t="s">
        <v>146</v>
      </c>
      <c r="W10274" t="s">
        <v>147</v>
      </c>
      <c r="X10274" t="s">
        <v>7</v>
      </c>
      <c r="Y10274" t="s">
        <v>283</v>
      </c>
      <c r="Z10274" t="s">
        <v>179</v>
      </c>
      <c r="AA10274" t="s">
        <v>638</v>
      </c>
      <c r="AB10274">
        <v>0</v>
      </c>
      <c r="AE10274" t="s">
        <v>444</v>
      </c>
      <c r="AF10274" t="s">
        <v>179</v>
      </c>
      <c r="AG10274" t="s">
        <v>639</v>
      </c>
      <c r="AI10274" t="s">
        <v>626</v>
      </c>
      <c r="AJ10274" t="s">
        <v>179</v>
      </c>
      <c r="AK10274" t="s">
        <v>639</v>
      </c>
      <c r="AL10274" t="s">
        <v>1848</v>
      </c>
      <c r="AM10274" t="s">
        <v>1849</v>
      </c>
      <c r="AN10274" t="s">
        <v>1850</v>
      </c>
      <c r="AO10274" t="s">
        <v>636</v>
      </c>
      <c r="AP10274" t="s">
        <v>158</v>
      </c>
      <c r="AQ10274" t="str">
        <f>IF(ISBLANK(AP10274), IFERROR(IF(VLOOKUP(AO10274, Ellens_additions!$A$2:$B$252, 2, FALSE) = "", "", VLOOKUP(AO10274, Ellens_additions!$A$2:$B$252, 2, FALSE)), 0), AP10274)</f>
        <v>3000</v>
      </c>
    </row>
    <row r="10275" spans="1:43" ht="14.4" x14ac:dyDescent="0.3"/>
    <row r="10276" spans="1:43" ht="14.4" x14ac:dyDescent="0.3"/>
    <row r="10277" spans="1:43" ht="14.4" x14ac:dyDescent="0.3"/>
    <row r="10278" spans="1:43" ht="14.4" x14ac:dyDescent="0.3"/>
    <row r="10279" spans="1:43" ht="14.4" x14ac:dyDescent="0.3"/>
    <row r="10280" spans="1:43" ht="14.4" x14ac:dyDescent="0.3"/>
    <row r="10281" spans="1:43" ht="14.4" x14ac:dyDescent="0.3"/>
    <row r="10282" spans="1:43" ht="14.4" x14ac:dyDescent="0.3"/>
    <row r="10283" spans="1:43" ht="14.4" x14ac:dyDescent="0.3"/>
    <row r="10284" spans="1:43" ht="14.4" x14ac:dyDescent="0.3"/>
    <row r="10285" spans="1:43" ht="14.4" x14ac:dyDescent="0.3"/>
    <row r="10286" spans="1:43" ht="14.4" x14ac:dyDescent="0.3"/>
    <row r="10287" spans="1:43" ht="14.4" x14ac:dyDescent="0.3"/>
    <row r="10288" spans="1:43" ht="14.4" x14ac:dyDescent="0.3"/>
    <row r="10289" ht="14.4" x14ac:dyDescent="0.3"/>
    <row r="10290" ht="14.4" x14ac:dyDescent="0.3"/>
    <row r="10291" ht="14.4" x14ac:dyDescent="0.3"/>
    <row r="10292" ht="14.4" x14ac:dyDescent="0.3"/>
    <row r="10293" ht="14.4" x14ac:dyDescent="0.3"/>
    <row r="10294" ht="14.4" x14ac:dyDescent="0.3"/>
    <row r="10295" ht="14.4" x14ac:dyDescent="0.3"/>
    <row r="10296" ht="14.4" x14ac:dyDescent="0.3"/>
    <row r="10297" ht="14.4" x14ac:dyDescent="0.3"/>
    <row r="10298" ht="14.4" x14ac:dyDescent="0.3"/>
    <row r="10299" ht="14.4" x14ac:dyDescent="0.3"/>
    <row r="10300" ht="14.4" x14ac:dyDescent="0.3"/>
    <row r="10301" ht="14.4" x14ac:dyDescent="0.3"/>
    <row r="10302" ht="14.4" x14ac:dyDescent="0.3"/>
    <row r="10303" ht="14.4" x14ac:dyDescent="0.3"/>
    <row r="10304" ht="14.4" x14ac:dyDescent="0.3"/>
    <row r="10305" ht="14.4" x14ac:dyDescent="0.3"/>
    <row r="10306" ht="14.4" x14ac:dyDescent="0.3"/>
    <row r="10307" ht="14.4" x14ac:dyDescent="0.3"/>
    <row r="10308" ht="14.4" x14ac:dyDescent="0.3"/>
    <row r="10309" ht="14.4" x14ac:dyDescent="0.3"/>
    <row r="10310" ht="14.4" x14ac:dyDescent="0.3"/>
    <row r="10311" ht="14.4" x14ac:dyDescent="0.3"/>
    <row r="10312" ht="14.4" x14ac:dyDescent="0.3"/>
    <row r="10313" ht="14.4" x14ac:dyDescent="0.3"/>
    <row r="10314" ht="14.4" x14ac:dyDescent="0.3"/>
    <row r="10315" ht="14.4" x14ac:dyDescent="0.3"/>
    <row r="10316" ht="14.4" x14ac:dyDescent="0.3"/>
    <row r="10317" ht="14.4" x14ac:dyDescent="0.3"/>
    <row r="10318" ht="14.4" x14ac:dyDescent="0.3"/>
    <row r="10319" ht="14.4" x14ac:dyDescent="0.3"/>
    <row r="10320" ht="14.4" x14ac:dyDescent="0.3"/>
    <row r="10321" ht="14.4" x14ac:dyDescent="0.3"/>
    <row r="10322" ht="14.4" x14ac:dyDescent="0.3"/>
    <row r="10323" ht="14.4" x14ac:dyDescent="0.3"/>
    <row r="10324" ht="14.4" x14ac:dyDescent="0.3"/>
    <row r="10325" ht="14.4" x14ac:dyDescent="0.3"/>
    <row r="10326" ht="14.4" x14ac:dyDescent="0.3"/>
    <row r="10327" ht="14.4" x14ac:dyDescent="0.3"/>
    <row r="10328" ht="14.4" x14ac:dyDescent="0.3"/>
    <row r="10329" ht="14.4" x14ac:dyDescent="0.3"/>
    <row r="10330" ht="14.4" x14ac:dyDescent="0.3"/>
    <row r="10331" ht="14.4" x14ac:dyDescent="0.3"/>
    <row r="10332" ht="14.4" x14ac:dyDescent="0.3"/>
    <row r="10333" ht="14.4" x14ac:dyDescent="0.3"/>
    <row r="10334" ht="14.4" x14ac:dyDescent="0.3"/>
    <row r="10335" ht="14.4" x14ac:dyDescent="0.3"/>
    <row r="10336" ht="14.4" x14ac:dyDescent="0.3"/>
    <row r="10337" ht="14.4" x14ac:dyDescent="0.3"/>
    <row r="10338" ht="14.4" x14ac:dyDescent="0.3"/>
    <row r="10339" ht="14.4" x14ac:dyDescent="0.3"/>
    <row r="10340" ht="14.4" x14ac:dyDescent="0.3"/>
    <row r="10341" ht="14.4" x14ac:dyDescent="0.3"/>
    <row r="10342" ht="14.4" x14ac:dyDescent="0.3"/>
    <row r="10343" ht="14.4" x14ac:dyDescent="0.3"/>
    <row r="10344" ht="14.4" x14ac:dyDescent="0.3"/>
    <row r="10345" ht="14.4" x14ac:dyDescent="0.3"/>
    <row r="10346" ht="14.4" x14ac:dyDescent="0.3"/>
    <row r="10347" ht="14.4" x14ac:dyDescent="0.3"/>
    <row r="10348" ht="14.4" x14ac:dyDescent="0.3"/>
    <row r="10349" ht="14.4" x14ac:dyDescent="0.3"/>
    <row r="10350" ht="14.4" x14ac:dyDescent="0.3"/>
    <row r="10351" ht="14.4" x14ac:dyDescent="0.3"/>
    <row r="10352" ht="14.4" x14ac:dyDescent="0.3"/>
    <row r="10353" ht="14.4" x14ac:dyDescent="0.3"/>
    <row r="10354" ht="14.4" x14ac:dyDescent="0.3"/>
    <row r="10355" ht="14.4" x14ac:dyDescent="0.3"/>
    <row r="10356" ht="14.4" x14ac:dyDescent="0.3"/>
    <row r="10357" ht="14.4" x14ac:dyDescent="0.3"/>
    <row r="10358" ht="14.4" x14ac:dyDescent="0.3"/>
    <row r="10359" ht="14.4" x14ac:dyDescent="0.3"/>
    <row r="10360" ht="14.4" x14ac:dyDescent="0.3"/>
    <row r="10361" ht="14.4" x14ac:dyDescent="0.3"/>
    <row r="10362" ht="14.4" x14ac:dyDescent="0.3"/>
    <row r="10363" ht="14.4" x14ac:dyDescent="0.3"/>
    <row r="10364" ht="14.4" x14ac:dyDescent="0.3"/>
    <row r="10365" ht="14.4" x14ac:dyDescent="0.3"/>
    <row r="10366" ht="14.4" x14ac:dyDescent="0.3"/>
    <row r="10367" ht="14.4" x14ac:dyDescent="0.3"/>
    <row r="10368" ht="14.4" x14ac:dyDescent="0.3"/>
    <row r="10369" ht="14.4" x14ac:dyDescent="0.3"/>
    <row r="10370" ht="14.4" x14ac:dyDescent="0.3"/>
    <row r="10371" ht="14.4" x14ac:dyDescent="0.3"/>
    <row r="10372" ht="14.4" x14ac:dyDescent="0.3"/>
    <row r="10373" ht="14.4" x14ac:dyDescent="0.3"/>
    <row r="10374" ht="14.4" x14ac:dyDescent="0.3"/>
    <row r="10375" ht="14.4" x14ac:dyDescent="0.3"/>
    <row r="10376" ht="14.4" x14ac:dyDescent="0.3"/>
    <row r="10377" ht="14.4" x14ac:dyDescent="0.3"/>
    <row r="10378" ht="14.4" x14ac:dyDescent="0.3"/>
    <row r="10379" ht="14.4" x14ac:dyDescent="0.3"/>
    <row r="10380" ht="14.4" x14ac:dyDescent="0.3"/>
    <row r="10381" ht="14.4" x14ac:dyDescent="0.3"/>
    <row r="10382" ht="14.4" x14ac:dyDescent="0.3"/>
    <row r="10383" ht="14.4" x14ac:dyDescent="0.3"/>
    <row r="10384" ht="14.4" x14ac:dyDescent="0.3"/>
    <row r="10385" ht="14.4" x14ac:dyDescent="0.3"/>
    <row r="10386" ht="14.4" x14ac:dyDescent="0.3"/>
    <row r="10387" ht="14.4" x14ac:dyDescent="0.3"/>
    <row r="10388" ht="14.4" x14ac:dyDescent="0.3"/>
    <row r="10389" ht="14.4" x14ac:dyDescent="0.3"/>
    <row r="10390" ht="14.4" x14ac:dyDescent="0.3"/>
    <row r="10391" ht="14.4" x14ac:dyDescent="0.3"/>
    <row r="10392" ht="14.4" x14ac:dyDescent="0.3"/>
    <row r="10393" ht="14.4" x14ac:dyDescent="0.3"/>
    <row r="10394" ht="14.4" x14ac:dyDescent="0.3"/>
    <row r="10395" ht="14.4" x14ac:dyDescent="0.3"/>
    <row r="10396" ht="14.4" x14ac:dyDescent="0.3"/>
    <row r="10397" ht="14.4" x14ac:dyDescent="0.3"/>
    <row r="10398" ht="14.4" x14ac:dyDescent="0.3"/>
    <row r="10399" ht="14.4" x14ac:dyDescent="0.3"/>
    <row r="10400" ht="14.4" x14ac:dyDescent="0.3"/>
    <row r="10401" ht="14.4" x14ac:dyDescent="0.3"/>
    <row r="10402" ht="14.4" x14ac:dyDescent="0.3"/>
    <row r="10403" ht="14.4" x14ac:dyDescent="0.3"/>
    <row r="10404" ht="14.4" x14ac:dyDescent="0.3"/>
    <row r="10405" ht="14.4" x14ac:dyDescent="0.3"/>
    <row r="10406" ht="14.4" x14ac:dyDescent="0.3"/>
    <row r="10407" ht="14.4" x14ac:dyDescent="0.3"/>
    <row r="10408" ht="14.4" x14ac:dyDescent="0.3"/>
    <row r="10409" ht="14.4" x14ac:dyDescent="0.3"/>
    <row r="10410" ht="14.4" x14ac:dyDescent="0.3"/>
    <row r="10411" ht="14.4" x14ac:dyDescent="0.3"/>
    <row r="10412" ht="14.4" x14ac:dyDescent="0.3"/>
    <row r="10413" ht="14.4" x14ac:dyDescent="0.3"/>
    <row r="10414" ht="14.4" x14ac:dyDescent="0.3"/>
    <row r="10415" ht="14.4" x14ac:dyDescent="0.3"/>
    <row r="10416" ht="14.4" x14ac:dyDescent="0.3"/>
    <row r="10417" ht="14.4" x14ac:dyDescent="0.3"/>
    <row r="10418" ht="14.4" x14ac:dyDescent="0.3"/>
    <row r="10419" ht="14.4" x14ac:dyDescent="0.3"/>
    <row r="10420" ht="14.4" x14ac:dyDescent="0.3"/>
    <row r="10421" ht="14.4" x14ac:dyDescent="0.3"/>
    <row r="10422" ht="14.4" x14ac:dyDescent="0.3"/>
    <row r="10423" ht="14.4" x14ac:dyDescent="0.3"/>
    <row r="10424" ht="14.4" x14ac:dyDescent="0.3"/>
    <row r="10425" ht="14.4" x14ac:dyDescent="0.3"/>
    <row r="10426" ht="14.4" x14ac:dyDescent="0.3"/>
    <row r="10427" ht="14.4" x14ac:dyDescent="0.3"/>
    <row r="10428" ht="14.4" x14ac:dyDescent="0.3"/>
    <row r="10429" ht="14.4" x14ac:dyDescent="0.3"/>
    <row r="10430" ht="14.4" x14ac:dyDescent="0.3"/>
    <row r="10431" ht="14.4" x14ac:dyDescent="0.3"/>
    <row r="10432" ht="14.4" x14ac:dyDescent="0.3"/>
    <row r="10433" ht="14.4" x14ac:dyDescent="0.3"/>
    <row r="10434" ht="14.4" x14ac:dyDescent="0.3"/>
    <row r="10435" ht="14.4" x14ac:dyDescent="0.3"/>
    <row r="10436" ht="14.4" x14ac:dyDescent="0.3"/>
    <row r="10437" ht="14.4" x14ac:dyDescent="0.3"/>
    <row r="10438" ht="14.4" x14ac:dyDescent="0.3"/>
    <row r="10439" ht="14.4" x14ac:dyDescent="0.3"/>
    <row r="10440" ht="14.4" x14ac:dyDescent="0.3"/>
    <row r="10441" ht="14.4" x14ac:dyDescent="0.3"/>
    <row r="10442" ht="14.4" x14ac:dyDescent="0.3"/>
    <row r="10443" ht="14.4" x14ac:dyDescent="0.3"/>
    <row r="10444" ht="14.4" x14ac:dyDescent="0.3"/>
    <row r="10445" ht="14.4" x14ac:dyDescent="0.3"/>
    <row r="10446" ht="14.4" x14ac:dyDescent="0.3"/>
    <row r="10447" ht="14.4" x14ac:dyDescent="0.3"/>
    <row r="10448" ht="14.4" x14ac:dyDescent="0.3"/>
    <row r="10449" ht="14.4" x14ac:dyDescent="0.3"/>
    <row r="10450" ht="14.4" x14ac:dyDescent="0.3"/>
    <row r="10451" ht="14.4" x14ac:dyDescent="0.3"/>
    <row r="10452" ht="14.4" x14ac:dyDescent="0.3"/>
    <row r="10453" ht="14.4" x14ac:dyDescent="0.3"/>
    <row r="10454" ht="14.4" x14ac:dyDescent="0.3"/>
    <row r="10455" ht="14.4" x14ac:dyDescent="0.3"/>
    <row r="10456" ht="14.4" x14ac:dyDescent="0.3"/>
    <row r="10457" ht="14.4" x14ac:dyDescent="0.3"/>
    <row r="10458" ht="14.4" x14ac:dyDescent="0.3"/>
    <row r="10459" ht="14.4" x14ac:dyDescent="0.3"/>
    <row r="10460" ht="14.4" x14ac:dyDescent="0.3"/>
    <row r="10461" ht="14.4" x14ac:dyDescent="0.3"/>
    <row r="10462" ht="14.4" x14ac:dyDescent="0.3"/>
    <row r="10463" ht="14.4" x14ac:dyDescent="0.3"/>
    <row r="10464" ht="14.4" x14ac:dyDescent="0.3"/>
    <row r="10465" ht="14.4" x14ac:dyDescent="0.3"/>
    <row r="10466" ht="14.4" x14ac:dyDescent="0.3"/>
    <row r="10467" ht="14.4" x14ac:dyDescent="0.3"/>
    <row r="10468" ht="14.4" x14ac:dyDescent="0.3"/>
    <row r="10469" ht="14.4" x14ac:dyDescent="0.3"/>
    <row r="10470" ht="14.4" x14ac:dyDescent="0.3"/>
    <row r="10471" ht="14.4" x14ac:dyDescent="0.3"/>
    <row r="10472" ht="14.4" x14ac:dyDescent="0.3"/>
    <row r="10473" ht="14.4" x14ac:dyDescent="0.3"/>
    <row r="10474" ht="14.4" x14ac:dyDescent="0.3"/>
    <row r="10475" ht="14.4" x14ac:dyDescent="0.3"/>
    <row r="10476" ht="14.4" x14ac:dyDescent="0.3"/>
    <row r="10477" ht="14.4" x14ac:dyDescent="0.3"/>
    <row r="10478" ht="14.4" x14ac:dyDescent="0.3"/>
    <row r="10479" ht="14.4" x14ac:dyDescent="0.3"/>
    <row r="10480" ht="14.4" x14ac:dyDescent="0.3"/>
    <row r="10481" ht="14.4" x14ac:dyDescent="0.3"/>
    <row r="10482" ht="14.4" x14ac:dyDescent="0.3"/>
    <row r="10483" ht="14.4" x14ac:dyDescent="0.3"/>
    <row r="10484" ht="14.4" x14ac:dyDescent="0.3"/>
    <row r="10485" ht="14.4" x14ac:dyDescent="0.3"/>
    <row r="10486" ht="14.4" x14ac:dyDescent="0.3"/>
    <row r="10487" ht="14.4" x14ac:dyDescent="0.3"/>
    <row r="10488" ht="14.4" x14ac:dyDescent="0.3"/>
    <row r="10489" ht="14.4" x14ac:dyDescent="0.3"/>
    <row r="10490" ht="14.4" x14ac:dyDescent="0.3"/>
    <row r="10491" ht="14.4" x14ac:dyDescent="0.3"/>
    <row r="10492" ht="14.4" x14ac:dyDescent="0.3"/>
    <row r="10493" ht="14.4" x14ac:dyDescent="0.3"/>
    <row r="10494" ht="14.4" x14ac:dyDescent="0.3"/>
    <row r="10495" ht="14.4" x14ac:dyDescent="0.3"/>
    <row r="10496" ht="14.4" x14ac:dyDescent="0.3"/>
    <row r="10497" ht="14.4" x14ac:dyDescent="0.3"/>
    <row r="10498" ht="14.4" x14ac:dyDescent="0.3"/>
    <row r="10499" ht="14.4" x14ac:dyDescent="0.3"/>
    <row r="10500" ht="14.4" x14ac:dyDescent="0.3"/>
    <row r="10501" ht="14.4" x14ac:dyDescent="0.3"/>
    <row r="10502" ht="14.4" x14ac:dyDescent="0.3"/>
    <row r="10503" ht="14.4" x14ac:dyDescent="0.3"/>
    <row r="10504" ht="14.4" x14ac:dyDescent="0.3"/>
    <row r="10505" ht="14.4" x14ac:dyDescent="0.3"/>
    <row r="10506" ht="14.4" x14ac:dyDescent="0.3"/>
    <row r="10507" ht="14.4" x14ac:dyDescent="0.3"/>
    <row r="10508" ht="14.4" x14ac:dyDescent="0.3"/>
    <row r="10509" ht="14.4" x14ac:dyDescent="0.3"/>
    <row r="10510" ht="14.4" x14ac:dyDescent="0.3"/>
    <row r="10511" ht="14.4" x14ac:dyDescent="0.3"/>
    <row r="10512" ht="14.4" x14ac:dyDescent="0.3"/>
    <row r="10513" ht="14.4" x14ac:dyDescent="0.3"/>
    <row r="10514" ht="14.4" x14ac:dyDescent="0.3"/>
    <row r="10515" ht="14.4" x14ac:dyDescent="0.3"/>
    <row r="10516" ht="14.4" x14ac:dyDescent="0.3"/>
    <row r="10517" ht="14.4" x14ac:dyDescent="0.3"/>
    <row r="10518" ht="14.4" x14ac:dyDescent="0.3"/>
    <row r="10519" ht="14.4" x14ac:dyDescent="0.3"/>
    <row r="10520" ht="14.4" x14ac:dyDescent="0.3"/>
    <row r="10521" ht="14.4" x14ac:dyDescent="0.3"/>
    <row r="10522" ht="14.4" x14ac:dyDescent="0.3"/>
    <row r="10523" ht="14.4" x14ac:dyDescent="0.3"/>
    <row r="10524" ht="14.4" x14ac:dyDescent="0.3"/>
    <row r="10525" ht="14.4" x14ac:dyDescent="0.3"/>
    <row r="10526" ht="14.4" x14ac:dyDescent="0.3"/>
    <row r="10527" ht="14.4" x14ac:dyDescent="0.3"/>
    <row r="10528" ht="14.4" x14ac:dyDescent="0.3"/>
    <row r="10529" ht="14.4" x14ac:dyDescent="0.3"/>
    <row r="10530" ht="14.4" x14ac:dyDescent="0.3"/>
    <row r="10531" ht="14.4" x14ac:dyDescent="0.3"/>
    <row r="10532" ht="14.4" x14ac:dyDescent="0.3"/>
    <row r="10533" ht="14.4" x14ac:dyDescent="0.3"/>
    <row r="10534" ht="14.4" x14ac:dyDescent="0.3"/>
    <row r="10535" ht="14.4" x14ac:dyDescent="0.3"/>
    <row r="10536" ht="14.4" x14ac:dyDescent="0.3"/>
    <row r="10537" ht="14.4" x14ac:dyDescent="0.3"/>
    <row r="10538" ht="14.4" x14ac:dyDescent="0.3"/>
    <row r="10539" ht="14.4" x14ac:dyDescent="0.3"/>
    <row r="10540" ht="14.4" x14ac:dyDescent="0.3"/>
    <row r="10541" ht="14.4" x14ac:dyDescent="0.3"/>
    <row r="10542" ht="14.4" x14ac:dyDescent="0.3"/>
    <row r="10543" ht="14.4" x14ac:dyDescent="0.3"/>
    <row r="10544" ht="14.4" x14ac:dyDescent="0.3"/>
    <row r="10545" ht="14.4" x14ac:dyDescent="0.3"/>
    <row r="10546" ht="14.4" x14ac:dyDescent="0.3"/>
    <row r="10547" ht="14.4" x14ac:dyDescent="0.3"/>
    <row r="10548" ht="14.4" x14ac:dyDescent="0.3"/>
    <row r="10549" ht="14.4" x14ac:dyDescent="0.3"/>
    <row r="10550" ht="14.4" x14ac:dyDescent="0.3"/>
    <row r="10551" ht="14.4" x14ac:dyDescent="0.3"/>
    <row r="10552" ht="14.4" x14ac:dyDescent="0.3"/>
    <row r="10553" ht="14.4" x14ac:dyDescent="0.3"/>
    <row r="10554" ht="14.4" x14ac:dyDescent="0.3"/>
    <row r="10555" ht="14.4" x14ac:dyDescent="0.3"/>
    <row r="10556" ht="14.4" x14ac:dyDescent="0.3"/>
    <row r="10557" ht="14.4" x14ac:dyDescent="0.3"/>
    <row r="10558" ht="14.4" x14ac:dyDescent="0.3"/>
    <row r="10559" ht="14.4" x14ac:dyDescent="0.3"/>
    <row r="10560" ht="14.4" x14ac:dyDescent="0.3"/>
    <row r="10561" ht="14.4" x14ac:dyDescent="0.3"/>
    <row r="10562" ht="14.4" x14ac:dyDescent="0.3"/>
    <row r="10563" ht="14.4" x14ac:dyDescent="0.3"/>
    <row r="10564" ht="14.4" x14ac:dyDescent="0.3"/>
    <row r="10565" ht="14.4" x14ac:dyDescent="0.3"/>
    <row r="10566" ht="14.4" x14ac:dyDescent="0.3"/>
    <row r="10567" ht="14.4" x14ac:dyDescent="0.3"/>
    <row r="10568" ht="14.4" x14ac:dyDescent="0.3"/>
    <row r="10569" ht="14.4" x14ac:dyDescent="0.3"/>
    <row r="10570" ht="14.4" x14ac:dyDescent="0.3"/>
    <row r="10571" ht="14.4" x14ac:dyDescent="0.3"/>
    <row r="10572" ht="14.4" x14ac:dyDescent="0.3"/>
    <row r="10573" ht="14.4" x14ac:dyDescent="0.3"/>
    <row r="10574" ht="14.4" x14ac:dyDescent="0.3"/>
    <row r="10575" ht="14.4" x14ac:dyDescent="0.3"/>
    <row r="10576" ht="14.4" x14ac:dyDescent="0.3"/>
    <row r="10577" ht="14.4" x14ac:dyDescent="0.3"/>
    <row r="10578" ht="14.4" x14ac:dyDescent="0.3"/>
    <row r="10579" ht="14.4" x14ac:dyDescent="0.3"/>
    <row r="10580" ht="14.4" x14ac:dyDescent="0.3"/>
    <row r="10581" ht="14.4" x14ac:dyDescent="0.3"/>
    <row r="10582" ht="14.4" x14ac:dyDescent="0.3"/>
    <row r="10583" ht="14.4" x14ac:dyDescent="0.3"/>
    <row r="10584" ht="14.4" x14ac:dyDescent="0.3"/>
    <row r="10585" ht="14.4" x14ac:dyDescent="0.3"/>
    <row r="10586" ht="14.4" x14ac:dyDescent="0.3"/>
    <row r="10587" ht="14.4" x14ac:dyDescent="0.3"/>
    <row r="10588" ht="14.4" x14ac:dyDescent="0.3"/>
    <row r="10589" ht="14.4" x14ac:dyDescent="0.3"/>
    <row r="10590" ht="14.4" x14ac:dyDescent="0.3"/>
    <row r="10591" ht="14.4" x14ac:dyDescent="0.3"/>
    <row r="10592" ht="14.4" x14ac:dyDescent="0.3"/>
    <row r="10593" ht="14.4" x14ac:dyDescent="0.3"/>
    <row r="10594" ht="14.4" x14ac:dyDescent="0.3"/>
    <row r="10595" ht="14.4" x14ac:dyDescent="0.3"/>
    <row r="10596" ht="14.4" x14ac:dyDescent="0.3"/>
    <row r="10597" ht="14.4" x14ac:dyDescent="0.3"/>
    <row r="10598" ht="14.4" x14ac:dyDescent="0.3"/>
    <row r="10599" ht="14.4" x14ac:dyDescent="0.3"/>
    <row r="10600" ht="14.4" x14ac:dyDescent="0.3"/>
    <row r="10601" ht="14.4" x14ac:dyDescent="0.3"/>
    <row r="10602" ht="14.4" x14ac:dyDescent="0.3"/>
    <row r="10603" ht="14.4" x14ac:dyDescent="0.3"/>
    <row r="10604" ht="14.4" x14ac:dyDescent="0.3"/>
    <row r="10605" ht="14.4" x14ac:dyDescent="0.3"/>
    <row r="10606" ht="14.4" x14ac:dyDescent="0.3"/>
    <row r="10607" ht="14.4" x14ac:dyDescent="0.3"/>
    <row r="10608" ht="14.4" x14ac:dyDescent="0.3"/>
    <row r="10609" ht="14.4" x14ac:dyDescent="0.3"/>
    <row r="10610" ht="14.4" x14ac:dyDescent="0.3"/>
    <row r="10611" ht="14.4" x14ac:dyDescent="0.3"/>
    <row r="10612" ht="14.4" x14ac:dyDescent="0.3"/>
    <row r="10613" ht="14.4" x14ac:dyDescent="0.3"/>
    <row r="10614" ht="14.4" x14ac:dyDescent="0.3"/>
    <row r="10615" ht="14.4" x14ac:dyDescent="0.3"/>
    <row r="10616" ht="14.4" x14ac:dyDescent="0.3"/>
    <row r="10617" ht="14.4" x14ac:dyDescent="0.3"/>
    <row r="10618" ht="14.4" x14ac:dyDescent="0.3"/>
    <row r="10619" ht="14.4" x14ac:dyDescent="0.3"/>
    <row r="10620" ht="14.4" x14ac:dyDescent="0.3"/>
    <row r="10621" ht="14.4" x14ac:dyDescent="0.3"/>
    <row r="10622" ht="14.4" x14ac:dyDescent="0.3"/>
    <row r="10623" ht="14.4" x14ac:dyDescent="0.3"/>
    <row r="10624" ht="14.4" x14ac:dyDescent="0.3"/>
    <row r="10625" ht="14.4" x14ac:dyDescent="0.3"/>
    <row r="10626" ht="14.4" x14ac:dyDescent="0.3"/>
    <row r="10627" ht="14.4" x14ac:dyDescent="0.3"/>
    <row r="10628" ht="14.4" x14ac:dyDescent="0.3"/>
    <row r="10629" ht="14.4" x14ac:dyDescent="0.3"/>
    <row r="10630" ht="14.4" x14ac:dyDescent="0.3"/>
    <row r="10631" ht="14.4" x14ac:dyDescent="0.3"/>
    <row r="10632" ht="14.4" x14ac:dyDescent="0.3"/>
    <row r="10633" ht="14.4" x14ac:dyDescent="0.3"/>
    <row r="10634" ht="14.4" x14ac:dyDescent="0.3"/>
    <row r="10635" ht="14.4" x14ac:dyDescent="0.3"/>
    <row r="10636" ht="14.4" x14ac:dyDescent="0.3"/>
    <row r="10637" ht="14.4" x14ac:dyDescent="0.3"/>
    <row r="10638" ht="14.4" x14ac:dyDescent="0.3"/>
    <row r="10639" ht="14.4" x14ac:dyDescent="0.3"/>
    <row r="10640" ht="14.4" x14ac:dyDescent="0.3"/>
    <row r="10641" ht="14.4" x14ac:dyDescent="0.3"/>
    <row r="10642" ht="14.4" x14ac:dyDescent="0.3"/>
    <row r="10643" ht="14.4" x14ac:dyDescent="0.3"/>
    <row r="10644" ht="14.4" x14ac:dyDescent="0.3"/>
    <row r="10645" ht="14.4" x14ac:dyDescent="0.3"/>
    <row r="10646" ht="14.4" x14ac:dyDescent="0.3"/>
    <row r="10647" ht="14.4" x14ac:dyDescent="0.3"/>
    <row r="10648" ht="14.4" x14ac:dyDescent="0.3"/>
    <row r="10649" ht="14.4" x14ac:dyDescent="0.3"/>
    <row r="10650" ht="14.4" x14ac:dyDescent="0.3"/>
    <row r="10651" ht="14.4" x14ac:dyDescent="0.3"/>
    <row r="10652" ht="14.4" x14ac:dyDescent="0.3"/>
    <row r="10653" ht="14.4" x14ac:dyDescent="0.3"/>
    <row r="10654" ht="14.4" x14ac:dyDescent="0.3"/>
    <row r="10655" ht="14.4" x14ac:dyDescent="0.3"/>
    <row r="10656" ht="14.4" x14ac:dyDescent="0.3"/>
    <row r="10657" ht="14.4" x14ac:dyDescent="0.3"/>
    <row r="10658" ht="14.4" x14ac:dyDescent="0.3"/>
    <row r="10659" ht="14.4" x14ac:dyDescent="0.3"/>
    <row r="10660" ht="14.4" x14ac:dyDescent="0.3"/>
    <row r="10661" ht="14.4" x14ac:dyDescent="0.3"/>
    <row r="10662" ht="14.4" x14ac:dyDescent="0.3"/>
    <row r="10663" ht="14.4" x14ac:dyDescent="0.3"/>
    <row r="10664" ht="14.4" x14ac:dyDescent="0.3"/>
    <row r="10665" ht="14.4" x14ac:dyDescent="0.3"/>
    <row r="10666" ht="14.4" x14ac:dyDescent="0.3"/>
    <row r="10667" ht="14.4" x14ac:dyDescent="0.3"/>
    <row r="10668" ht="14.4" x14ac:dyDescent="0.3"/>
    <row r="10669" ht="14.4" x14ac:dyDescent="0.3"/>
    <row r="10670" ht="14.4" x14ac:dyDescent="0.3"/>
    <row r="10671" ht="14.4" x14ac:dyDescent="0.3"/>
    <row r="10672" ht="14.4" x14ac:dyDescent="0.3"/>
    <row r="10673" ht="14.4" x14ac:dyDescent="0.3"/>
    <row r="10674" ht="14.4" x14ac:dyDescent="0.3"/>
    <row r="10675" ht="14.4" x14ac:dyDescent="0.3"/>
    <row r="10676" ht="14.4" x14ac:dyDescent="0.3"/>
    <row r="10677" ht="14.4" x14ac:dyDescent="0.3"/>
    <row r="10678" ht="14.4" x14ac:dyDescent="0.3"/>
    <row r="10679" ht="14.4" x14ac:dyDescent="0.3"/>
    <row r="10680" ht="14.4" x14ac:dyDescent="0.3"/>
    <row r="10681" ht="14.4" x14ac:dyDescent="0.3"/>
    <row r="10682" ht="14.4" x14ac:dyDescent="0.3"/>
    <row r="10683" ht="14.4" x14ac:dyDescent="0.3"/>
    <row r="10684" ht="14.4" x14ac:dyDescent="0.3"/>
    <row r="10685" ht="14.4" x14ac:dyDescent="0.3"/>
    <row r="10686" ht="14.4" x14ac:dyDescent="0.3"/>
    <row r="10687" ht="14.4" x14ac:dyDescent="0.3"/>
    <row r="10688" ht="14.4" x14ac:dyDescent="0.3"/>
    <row r="10689" ht="14.4" x14ac:dyDescent="0.3"/>
    <row r="10690" ht="14.4" x14ac:dyDescent="0.3"/>
    <row r="10691" ht="14.4" x14ac:dyDescent="0.3"/>
    <row r="10692" ht="14.4" x14ac:dyDescent="0.3"/>
    <row r="10693" ht="14.4" x14ac:dyDescent="0.3"/>
    <row r="10694" ht="14.4" x14ac:dyDescent="0.3"/>
    <row r="10695" ht="14.4" x14ac:dyDescent="0.3"/>
    <row r="10696" ht="14.4" x14ac:dyDescent="0.3"/>
    <row r="10697" ht="14.4" x14ac:dyDescent="0.3"/>
    <row r="10698" ht="14.4" x14ac:dyDescent="0.3"/>
    <row r="10699" ht="14.4" x14ac:dyDescent="0.3"/>
    <row r="10700" ht="14.4" x14ac:dyDescent="0.3"/>
    <row r="10701" ht="14.4" x14ac:dyDescent="0.3"/>
    <row r="10702" ht="14.4" x14ac:dyDescent="0.3"/>
    <row r="10703" ht="14.4" x14ac:dyDescent="0.3"/>
    <row r="10704" ht="14.4" x14ac:dyDescent="0.3"/>
    <row r="10705" ht="14.4" x14ac:dyDescent="0.3"/>
    <row r="10706" ht="14.4" x14ac:dyDescent="0.3"/>
    <row r="10707" ht="14.4" x14ac:dyDescent="0.3"/>
    <row r="10708" ht="14.4" x14ac:dyDescent="0.3"/>
    <row r="10709" ht="14.4" x14ac:dyDescent="0.3"/>
    <row r="10710" ht="14.4" x14ac:dyDescent="0.3"/>
    <row r="10711" ht="14.4" x14ac:dyDescent="0.3"/>
    <row r="10712" ht="14.4" x14ac:dyDescent="0.3"/>
    <row r="10713" ht="14.4" x14ac:dyDescent="0.3"/>
    <row r="10714" ht="14.4" x14ac:dyDescent="0.3"/>
    <row r="10715" ht="14.4" x14ac:dyDescent="0.3"/>
    <row r="10716" ht="14.4" x14ac:dyDescent="0.3"/>
    <row r="10717" ht="14.4" x14ac:dyDescent="0.3"/>
    <row r="10718" ht="14.4" x14ac:dyDescent="0.3"/>
    <row r="10719" ht="14.4" x14ac:dyDescent="0.3"/>
    <row r="10720" ht="14.4" x14ac:dyDescent="0.3"/>
    <row r="10721" ht="14.4" x14ac:dyDescent="0.3"/>
    <row r="10722" ht="14.4" x14ac:dyDescent="0.3"/>
    <row r="10723" ht="14.4" x14ac:dyDescent="0.3"/>
    <row r="10724" ht="14.4" x14ac:dyDescent="0.3"/>
    <row r="10725" ht="14.4" x14ac:dyDescent="0.3"/>
    <row r="10726" ht="14.4" x14ac:dyDescent="0.3"/>
    <row r="10727" ht="14.4" x14ac:dyDescent="0.3"/>
    <row r="10728" ht="14.4" x14ac:dyDescent="0.3"/>
    <row r="10729" ht="14.4" x14ac:dyDescent="0.3"/>
    <row r="10730" ht="14.4" x14ac:dyDescent="0.3"/>
    <row r="10731" ht="14.4" x14ac:dyDescent="0.3"/>
    <row r="10732" ht="14.4" x14ac:dyDescent="0.3"/>
    <row r="10733" ht="14.4" x14ac:dyDescent="0.3"/>
    <row r="10734" ht="14.4" x14ac:dyDescent="0.3"/>
    <row r="10735" ht="14.4" x14ac:dyDescent="0.3"/>
    <row r="10736" ht="14.4" x14ac:dyDescent="0.3"/>
    <row r="10737" ht="14.4" x14ac:dyDescent="0.3"/>
    <row r="10738" ht="14.4" x14ac:dyDescent="0.3"/>
    <row r="10739" ht="14.4" x14ac:dyDescent="0.3"/>
    <row r="10740" ht="14.4" x14ac:dyDescent="0.3"/>
    <row r="10741" ht="14.4" x14ac:dyDescent="0.3"/>
    <row r="10742" ht="14.4" x14ac:dyDescent="0.3"/>
    <row r="10743" ht="14.4" x14ac:dyDescent="0.3"/>
    <row r="10744" ht="14.4" x14ac:dyDescent="0.3"/>
    <row r="10745" ht="14.4" x14ac:dyDescent="0.3"/>
    <row r="10746" ht="14.4" x14ac:dyDescent="0.3"/>
    <row r="10747" ht="14.4" x14ac:dyDescent="0.3"/>
    <row r="10748" ht="14.4" x14ac:dyDescent="0.3"/>
    <row r="10749" ht="14.4" x14ac:dyDescent="0.3"/>
    <row r="10750" ht="14.4" x14ac:dyDescent="0.3"/>
    <row r="10751" ht="14.4" x14ac:dyDescent="0.3"/>
    <row r="10752" ht="14.4" x14ac:dyDescent="0.3"/>
    <row r="10753" spans="1:43" ht="14.4" x14ac:dyDescent="0.3"/>
    <row r="10754" spans="1:43" ht="14.4" x14ac:dyDescent="0.3"/>
    <row r="10755" spans="1:43" ht="14.4" x14ac:dyDescent="0.3"/>
    <row r="10756" spans="1:43" ht="14.4" x14ac:dyDescent="0.3"/>
    <row r="10757" spans="1:43" ht="14.4" x14ac:dyDescent="0.3"/>
    <row r="10758" spans="1:43" ht="14.4" x14ac:dyDescent="0.3"/>
    <row r="10759" spans="1:43" ht="14.4" x14ac:dyDescent="0.3"/>
    <row r="10760" spans="1:43" ht="14.4" x14ac:dyDescent="0.3"/>
    <row r="10761" spans="1:43" ht="14.4" x14ac:dyDescent="0.3"/>
    <row r="10762" spans="1:43" ht="14.4" x14ac:dyDescent="0.3"/>
    <row r="10763" spans="1:43" ht="14.4" x14ac:dyDescent="0.3"/>
    <row r="10764" spans="1:43" ht="14.4" x14ac:dyDescent="0.3"/>
    <row r="10765" spans="1:43" ht="14.4" x14ac:dyDescent="0.3"/>
    <row r="10766" spans="1:43" ht="14.4" x14ac:dyDescent="0.3"/>
    <row r="10767" spans="1:43" ht="14.4" x14ac:dyDescent="0.3"/>
    <row r="10768" spans="1:43" ht="14.4" hidden="1" x14ac:dyDescent="0.3">
      <c r="A10768" t="s">
        <v>1860</v>
      </c>
      <c r="B10768">
        <v>4946672</v>
      </c>
      <c r="C10768" t="s">
        <v>445</v>
      </c>
      <c r="D10768" t="s">
        <v>451</v>
      </c>
      <c r="E10768" t="s">
        <v>452</v>
      </c>
      <c r="F10768" t="s">
        <v>635</v>
      </c>
      <c r="H10768" t="s">
        <v>295</v>
      </c>
      <c r="J10768" t="s">
        <v>140</v>
      </c>
      <c r="K10768">
        <v>162855.76999999999</v>
      </c>
      <c r="L10768">
        <v>386204.49</v>
      </c>
      <c r="M10768">
        <v>1</v>
      </c>
      <c r="N10768" t="s">
        <v>636</v>
      </c>
      <c r="O10768" t="s">
        <v>179</v>
      </c>
      <c r="P10768" t="s">
        <v>637</v>
      </c>
      <c r="Q10768" t="s">
        <v>144</v>
      </c>
      <c r="S10768">
        <v>28</v>
      </c>
      <c r="T10768">
        <v>3400</v>
      </c>
      <c r="V10768" t="s">
        <v>146</v>
      </c>
      <c r="W10768" t="s">
        <v>147</v>
      </c>
      <c r="X10768" t="s">
        <v>7</v>
      </c>
      <c r="Y10768" t="s">
        <v>283</v>
      </c>
      <c r="Z10768" t="s">
        <v>179</v>
      </c>
      <c r="AA10768" t="s">
        <v>638</v>
      </c>
      <c r="AB10768">
        <v>0</v>
      </c>
      <c r="AE10768" t="s">
        <v>444</v>
      </c>
      <c r="AF10768" t="s">
        <v>179</v>
      </c>
      <c r="AG10768" t="s">
        <v>639</v>
      </c>
      <c r="AI10768" t="s">
        <v>626</v>
      </c>
      <c r="AJ10768" t="s">
        <v>179</v>
      </c>
      <c r="AK10768" t="s">
        <v>639</v>
      </c>
      <c r="AL10768" t="s">
        <v>1861</v>
      </c>
      <c r="AM10768" t="s">
        <v>1862</v>
      </c>
      <c r="AN10768" t="s">
        <v>1863</v>
      </c>
      <c r="AO10768" t="s">
        <v>636</v>
      </c>
      <c r="AP10768" t="s">
        <v>158</v>
      </c>
      <c r="AQ10768" t="str">
        <f>IF(ISBLANK(AP10768), IFERROR(IF(VLOOKUP(AO10768, Ellens_additions!$A$2:$B$252, 2, FALSE) = "", "", VLOOKUP(AO10768, Ellens_additions!$A$2:$B$252, 2, FALSE)), 0), AP10768)</f>
        <v>3000</v>
      </c>
    </row>
    <row r="10769" ht="14.4" x14ac:dyDescent="0.3"/>
    <row r="10770" ht="14.4" x14ac:dyDescent="0.3"/>
    <row r="10771" ht="14.4" x14ac:dyDescent="0.3"/>
    <row r="10772" ht="14.4" x14ac:dyDescent="0.3"/>
    <row r="10773" ht="14.4" x14ac:dyDescent="0.3"/>
    <row r="10774" ht="14.4" x14ac:dyDescent="0.3"/>
    <row r="10775" ht="14.4" x14ac:dyDescent="0.3"/>
    <row r="10776" ht="14.4" x14ac:dyDescent="0.3"/>
    <row r="10777" ht="14.4" x14ac:dyDescent="0.3"/>
    <row r="10778" ht="14.4" x14ac:dyDescent="0.3"/>
    <row r="10779" ht="14.4" x14ac:dyDescent="0.3"/>
    <row r="10780" ht="14.4" x14ac:dyDescent="0.3"/>
    <row r="10781" ht="14.4" x14ac:dyDescent="0.3"/>
    <row r="10782" ht="14.4" x14ac:dyDescent="0.3"/>
    <row r="10783" ht="14.4" x14ac:dyDescent="0.3"/>
    <row r="10784" ht="14.4" x14ac:dyDescent="0.3"/>
    <row r="10785" ht="14.4" x14ac:dyDescent="0.3"/>
    <row r="10786" ht="14.4" x14ac:dyDescent="0.3"/>
    <row r="10787" ht="14.4" x14ac:dyDescent="0.3"/>
    <row r="10788" ht="14.4" x14ac:dyDescent="0.3"/>
    <row r="10789" ht="14.4" x14ac:dyDescent="0.3"/>
    <row r="10790" ht="14.4" x14ac:dyDescent="0.3"/>
    <row r="10791" ht="14.4" x14ac:dyDescent="0.3"/>
    <row r="10792" ht="14.4" x14ac:dyDescent="0.3"/>
    <row r="10793" ht="14.4" x14ac:dyDescent="0.3"/>
    <row r="10794" ht="14.4" x14ac:dyDescent="0.3"/>
    <row r="10795" ht="14.4" x14ac:dyDescent="0.3"/>
    <row r="10796" ht="14.4" x14ac:dyDescent="0.3"/>
    <row r="10797" ht="14.4" x14ac:dyDescent="0.3"/>
    <row r="10798" ht="14.4" x14ac:dyDescent="0.3"/>
    <row r="10799" ht="14.4" x14ac:dyDescent="0.3"/>
    <row r="10800" ht="14.4" x14ac:dyDescent="0.3"/>
    <row r="10801" ht="14.4" x14ac:dyDescent="0.3"/>
    <row r="10802" ht="14.4" x14ac:dyDescent="0.3"/>
    <row r="10803" ht="14.4" x14ac:dyDescent="0.3"/>
    <row r="10804" ht="14.4" x14ac:dyDescent="0.3"/>
    <row r="10805" ht="14.4" x14ac:dyDescent="0.3"/>
    <row r="10806" ht="14.4" x14ac:dyDescent="0.3"/>
    <row r="10807" ht="14.4" x14ac:dyDescent="0.3"/>
    <row r="10808" ht="14.4" x14ac:dyDescent="0.3"/>
    <row r="10809" ht="14.4" x14ac:dyDescent="0.3"/>
    <row r="10810" ht="14.4" x14ac:dyDescent="0.3"/>
    <row r="10811" ht="14.4" x14ac:dyDescent="0.3"/>
    <row r="10812" ht="14.4" x14ac:dyDescent="0.3"/>
    <row r="10813" ht="14.4" x14ac:dyDescent="0.3"/>
    <row r="10814" ht="14.4" x14ac:dyDescent="0.3"/>
    <row r="10815" ht="14.4" x14ac:dyDescent="0.3"/>
    <row r="10816" ht="14.4" x14ac:dyDescent="0.3"/>
    <row r="10817" ht="14.4" x14ac:dyDescent="0.3"/>
    <row r="10818" ht="14.4" x14ac:dyDescent="0.3"/>
    <row r="10819" ht="14.4" x14ac:dyDescent="0.3"/>
    <row r="10820" ht="14.4" x14ac:dyDescent="0.3"/>
    <row r="10821" ht="14.4" x14ac:dyDescent="0.3"/>
    <row r="10822" ht="14.4" x14ac:dyDescent="0.3"/>
    <row r="10823" ht="14.4" x14ac:dyDescent="0.3"/>
    <row r="10824" ht="14.4" x14ac:dyDescent="0.3"/>
    <row r="10825" ht="14.4" x14ac:dyDescent="0.3"/>
    <row r="10826" ht="14.4" x14ac:dyDescent="0.3"/>
    <row r="10827" ht="14.4" x14ac:dyDescent="0.3"/>
    <row r="10828" ht="14.4" x14ac:dyDescent="0.3"/>
    <row r="10829" ht="14.4" x14ac:dyDescent="0.3"/>
    <row r="10830" ht="14.4" x14ac:dyDescent="0.3"/>
    <row r="10831" ht="14.4" x14ac:dyDescent="0.3"/>
    <row r="10832" ht="14.4" x14ac:dyDescent="0.3"/>
    <row r="10833" ht="14.4" x14ac:dyDescent="0.3"/>
    <row r="10834" ht="14.4" x14ac:dyDescent="0.3"/>
    <row r="10835" ht="14.4" x14ac:dyDescent="0.3"/>
    <row r="10836" ht="14.4" x14ac:dyDescent="0.3"/>
    <row r="10837" ht="14.4" x14ac:dyDescent="0.3"/>
    <row r="10838" ht="14.4" x14ac:dyDescent="0.3"/>
    <row r="10839" ht="14.4" x14ac:dyDescent="0.3"/>
    <row r="10840" ht="14.4" x14ac:dyDescent="0.3"/>
    <row r="10841" ht="14.4" x14ac:dyDescent="0.3"/>
    <row r="10842" ht="14.4" x14ac:dyDescent="0.3"/>
    <row r="10843" ht="14.4" x14ac:dyDescent="0.3"/>
    <row r="10844" ht="14.4" x14ac:dyDescent="0.3"/>
    <row r="10845" ht="14.4" x14ac:dyDescent="0.3"/>
    <row r="10846" ht="14.4" x14ac:dyDescent="0.3"/>
    <row r="10847" ht="14.4" x14ac:dyDescent="0.3"/>
    <row r="10848" ht="14.4" x14ac:dyDescent="0.3"/>
    <row r="10849" ht="14.4" x14ac:dyDescent="0.3"/>
    <row r="10850" ht="14.4" x14ac:dyDescent="0.3"/>
    <row r="10851" ht="14.4" x14ac:dyDescent="0.3"/>
    <row r="10852" ht="14.4" x14ac:dyDescent="0.3"/>
    <row r="10853" ht="14.4" x14ac:dyDescent="0.3"/>
    <row r="10854" ht="14.4" x14ac:dyDescent="0.3"/>
    <row r="10855" ht="14.4" x14ac:dyDescent="0.3"/>
    <row r="10856" ht="14.4" x14ac:dyDescent="0.3"/>
    <row r="10857" ht="14.4" x14ac:dyDescent="0.3"/>
    <row r="10858" ht="14.4" x14ac:dyDescent="0.3"/>
    <row r="10859" ht="14.4" x14ac:dyDescent="0.3"/>
    <row r="10860" ht="14.4" x14ac:dyDescent="0.3"/>
    <row r="10861" ht="14.4" x14ac:dyDescent="0.3"/>
    <row r="10862" ht="14.4" x14ac:dyDescent="0.3"/>
    <row r="10863" ht="14.4" x14ac:dyDescent="0.3"/>
    <row r="10864" ht="14.4" x14ac:dyDescent="0.3"/>
    <row r="10865" ht="14.4" x14ac:dyDescent="0.3"/>
    <row r="10866" ht="14.4" x14ac:dyDescent="0.3"/>
    <row r="10867" ht="14.4" x14ac:dyDescent="0.3"/>
    <row r="10868" ht="14.4" x14ac:dyDescent="0.3"/>
    <row r="10869" ht="14.4" x14ac:dyDescent="0.3"/>
    <row r="10870" ht="14.4" x14ac:dyDescent="0.3"/>
    <row r="10871" ht="14.4" x14ac:dyDescent="0.3"/>
    <row r="10872" ht="14.4" x14ac:dyDescent="0.3"/>
    <row r="10873" ht="14.4" x14ac:dyDescent="0.3"/>
    <row r="10874" ht="14.4" x14ac:dyDescent="0.3"/>
    <row r="10875" ht="14.4" x14ac:dyDescent="0.3"/>
    <row r="10876" ht="14.4" x14ac:dyDescent="0.3"/>
    <row r="10877" ht="14.4" x14ac:dyDescent="0.3"/>
    <row r="10878" ht="14.4" x14ac:dyDescent="0.3"/>
    <row r="10879" ht="14.4" x14ac:dyDescent="0.3"/>
    <row r="10880" ht="14.4" x14ac:dyDescent="0.3"/>
    <row r="10881" ht="14.4" x14ac:dyDescent="0.3"/>
    <row r="10882" ht="14.4" x14ac:dyDescent="0.3"/>
    <row r="10883" ht="14.4" x14ac:dyDescent="0.3"/>
    <row r="10884" ht="14.4" x14ac:dyDescent="0.3"/>
    <row r="10885" ht="14.4" x14ac:dyDescent="0.3"/>
    <row r="10886" ht="14.4" x14ac:dyDescent="0.3"/>
    <row r="10887" ht="14.4" x14ac:dyDescent="0.3"/>
    <row r="10888" ht="14.4" x14ac:dyDescent="0.3"/>
    <row r="10889" ht="14.4" x14ac:dyDescent="0.3"/>
    <row r="10890" ht="14.4" x14ac:dyDescent="0.3"/>
    <row r="10891" ht="14.4" x14ac:dyDescent="0.3"/>
    <row r="10892" ht="14.4" x14ac:dyDescent="0.3"/>
    <row r="10893" ht="14.4" x14ac:dyDescent="0.3"/>
    <row r="10894" ht="14.4" x14ac:dyDescent="0.3"/>
    <row r="10895" ht="14.4" x14ac:dyDescent="0.3"/>
    <row r="10896" ht="14.4" x14ac:dyDescent="0.3"/>
    <row r="10897" ht="14.4" x14ac:dyDescent="0.3"/>
    <row r="10898" ht="14.4" x14ac:dyDescent="0.3"/>
    <row r="10899" ht="14.4" x14ac:dyDescent="0.3"/>
    <row r="10900" ht="14.4" x14ac:dyDescent="0.3"/>
    <row r="10901" ht="14.4" x14ac:dyDescent="0.3"/>
    <row r="10902" ht="14.4" x14ac:dyDescent="0.3"/>
    <row r="10903" ht="14.4" x14ac:dyDescent="0.3"/>
    <row r="10904" ht="14.4" x14ac:dyDescent="0.3"/>
    <row r="10905" ht="14.4" x14ac:dyDescent="0.3"/>
    <row r="10906" ht="14.4" x14ac:dyDescent="0.3"/>
    <row r="10907" ht="14.4" x14ac:dyDescent="0.3"/>
    <row r="10908" ht="14.4" x14ac:dyDescent="0.3"/>
    <row r="10909" ht="14.4" x14ac:dyDescent="0.3"/>
    <row r="10910" ht="14.4" x14ac:dyDescent="0.3"/>
    <row r="10911" ht="14.4" x14ac:dyDescent="0.3"/>
    <row r="10912" ht="14.4" x14ac:dyDescent="0.3"/>
    <row r="10913" ht="14.4" x14ac:dyDescent="0.3"/>
    <row r="10914" ht="14.4" x14ac:dyDescent="0.3"/>
    <row r="10915" ht="14.4" x14ac:dyDescent="0.3"/>
    <row r="10916" ht="14.4" x14ac:dyDescent="0.3"/>
    <row r="10917" ht="14.4" x14ac:dyDescent="0.3"/>
    <row r="10918" ht="14.4" x14ac:dyDescent="0.3"/>
    <row r="10919" ht="14.4" x14ac:dyDescent="0.3"/>
    <row r="10920" ht="14.4" x14ac:dyDescent="0.3"/>
    <row r="10921" ht="14.4" x14ac:dyDescent="0.3"/>
    <row r="10922" ht="14.4" x14ac:dyDescent="0.3"/>
    <row r="10923" ht="14.4" x14ac:dyDescent="0.3"/>
    <row r="10924" ht="14.4" x14ac:dyDescent="0.3"/>
    <row r="10925" ht="14.4" x14ac:dyDescent="0.3"/>
    <row r="10926" ht="14.4" x14ac:dyDescent="0.3"/>
    <row r="10927" ht="14.4" x14ac:dyDescent="0.3"/>
    <row r="10928" ht="14.4" x14ac:dyDescent="0.3"/>
    <row r="10929" ht="14.4" x14ac:dyDescent="0.3"/>
    <row r="10930" ht="14.4" x14ac:dyDescent="0.3"/>
    <row r="10931" ht="14.4" x14ac:dyDescent="0.3"/>
    <row r="10932" ht="14.4" x14ac:dyDescent="0.3"/>
    <row r="10933" ht="14.4" x14ac:dyDescent="0.3"/>
    <row r="10934" ht="14.4" x14ac:dyDescent="0.3"/>
    <row r="10935" ht="14.4" x14ac:dyDescent="0.3"/>
    <row r="10936" ht="14.4" x14ac:dyDescent="0.3"/>
    <row r="10937" ht="14.4" x14ac:dyDescent="0.3"/>
    <row r="10938" ht="14.4" x14ac:dyDescent="0.3"/>
    <row r="10939" ht="14.4" x14ac:dyDescent="0.3"/>
    <row r="10940" ht="14.4" x14ac:dyDescent="0.3"/>
    <row r="10941" ht="14.4" x14ac:dyDescent="0.3"/>
    <row r="10942" ht="14.4" x14ac:dyDescent="0.3"/>
    <row r="10943" ht="14.4" x14ac:dyDescent="0.3"/>
    <row r="10944" ht="14.4" x14ac:dyDescent="0.3"/>
    <row r="10945" ht="14.4" x14ac:dyDescent="0.3"/>
    <row r="10946" ht="14.4" x14ac:dyDescent="0.3"/>
    <row r="10947" ht="14.4" x14ac:dyDescent="0.3"/>
    <row r="10948" ht="14.4" x14ac:dyDescent="0.3"/>
    <row r="10949" ht="14.4" x14ac:dyDescent="0.3"/>
    <row r="10950" ht="14.4" x14ac:dyDescent="0.3"/>
    <row r="10951" ht="14.4" x14ac:dyDescent="0.3"/>
    <row r="10952" ht="14.4" x14ac:dyDescent="0.3"/>
    <row r="10953" ht="14.4" x14ac:dyDescent="0.3"/>
    <row r="10954" ht="14.4" x14ac:dyDescent="0.3"/>
    <row r="10955" ht="14.4" x14ac:dyDescent="0.3"/>
    <row r="10956" ht="14.4" x14ac:dyDescent="0.3"/>
    <row r="10957" ht="14.4" x14ac:dyDescent="0.3"/>
    <row r="10958" ht="14.4" x14ac:dyDescent="0.3"/>
    <row r="10959" ht="14.4" x14ac:dyDescent="0.3"/>
    <row r="10960" ht="14.4" x14ac:dyDescent="0.3"/>
    <row r="10961" ht="14.4" x14ac:dyDescent="0.3"/>
    <row r="10962" ht="14.4" x14ac:dyDescent="0.3"/>
    <row r="10963" ht="14.4" x14ac:dyDescent="0.3"/>
    <row r="10964" ht="14.4" x14ac:dyDescent="0.3"/>
    <row r="10965" ht="14.4" x14ac:dyDescent="0.3"/>
    <row r="10966" ht="14.4" x14ac:dyDescent="0.3"/>
    <row r="10967" ht="14.4" x14ac:dyDescent="0.3"/>
    <row r="10968" ht="14.4" x14ac:dyDescent="0.3"/>
    <row r="10969" ht="14.4" x14ac:dyDescent="0.3"/>
    <row r="10970" ht="14.4" x14ac:dyDescent="0.3"/>
    <row r="10971" ht="14.4" x14ac:dyDescent="0.3"/>
    <row r="10972" ht="14.4" x14ac:dyDescent="0.3"/>
    <row r="10973" ht="14.4" x14ac:dyDescent="0.3"/>
    <row r="10974" ht="14.4" x14ac:dyDescent="0.3"/>
    <row r="10975" ht="14.4" x14ac:dyDescent="0.3"/>
    <row r="10976" ht="14.4" x14ac:dyDescent="0.3"/>
    <row r="10977" ht="14.4" x14ac:dyDescent="0.3"/>
    <row r="10978" ht="14.4" x14ac:dyDescent="0.3"/>
    <row r="10979" ht="14.4" x14ac:dyDescent="0.3"/>
    <row r="10980" ht="14.4" x14ac:dyDescent="0.3"/>
    <row r="10981" ht="14.4" x14ac:dyDescent="0.3"/>
    <row r="10982" ht="14.4" x14ac:dyDescent="0.3"/>
    <row r="10983" ht="14.4" x14ac:dyDescent="0.3"/>
    <row r="10984" ht="14.4" x14ac:dyDescent="0.3"/>
    <row r="10985" ht="14.4" x14ac:dyDescent="0.3"/>
    <row r="10986" ht="14.4" x14ac:dyDescent="0.3"/>
    <row r="10987" ht="14.4" x14ac:dyDescent="0.3"/>
    <row r="10988" ht="14.4" x14ac:dyDescent="0.3"/>
    <row r="10989" ht="14.4" x14ac:dyDescent="0.3"/>
    <row r="10990" ht="14.4" x14ac:dyDescent="0.3"/>
    <row r="10991" ht="14.4" x14ac:dyDescent="0.3"/>
    <row r="10992" ht="14.4" x14ac:dyDescent="0.3"/>
    <row r="10993" ht="14.4" x14ac:dyDescent="0.3"/>
    <row r="10994" ht="14.4" x14ac:dyDescent="0.3"/>
    <row r="10995" ht="14.4" x14ac:dyDescent="0.3"/>
    <row r="10996" ht="14.4" x14ac:dyDescent="0.3"/>
    <row r="10997" ht="14.4" x14ac:dyDescent="0.3"/>
    <row r="10998" ht="14.4" x14ac:dyDescent="0.3"/>
    <row r="10999" ht="14.4" x14ac:dyDescent="0.3"/>
    <row r="11000" ht="14.4" x14ac:dyDescent="0.3"/>
    <row r="11001" ht="14.4" x14ac:dyDescent="0.3"/>
    <row r="11002" ht="14.4" x14ac:dyDescent="0.3"/>
    <row r="11003" ht="14.4" x14ac:dyDescent="0.3"/>
    <row r="11004" ht="14.4" x14ac:dyDescent="0.3"/>
    <row r="11005" ht="14.4" x14ac:dyDescent="0.3"/>
    <row r="11006" ht="14.4" x14ac:dyDescent="0.3"/>
    <row r="11007" ht="14.4" x14ac:dyDescent="0.3"/>
    <row r="11008" ht="14.4" x14ac:dyDescent="0.3"/>
    <row r="11009" ht="14.4" x14ac:dyDescent="0.3"/>
    <row r="11010" ht="14.4" x14ac:dyDescent="0.3"/>
    <row r="11011" ht="14.4" x14ac:dyDescent="0.3"/>
    <row r="11012" ht="14.4" x14ac:dyDescent="0.3"/>
    <row r="11013" ht="14.4" x14ac:dyDescent="0.3"/>
    <row r="11014" ht="14.4" x14ac:dyDescent="0.3"/>
    <row r="11015" ht="14.4" x14ac:dyDescent="0.3"/>
    <row r="11016" ht="14.4" x14ac:dyDescent="0.3"/>
    <row r="11017" ht="14.4" x14ac:dyDescent="0.3"/>
    <row r="11018" ht="14.4" x14ac:dyDescent="0.3"/>
    <row r="11019" ht="14.4" x14ac:dyDescent="0.3"/>
    <row r="11020" ht="14.4" x14ac:dyDescent="0.3"/>
    <row r="11021" ht="14.4" x14ac:dyDescent="0.3"/>
    <row r="11022" ht="14.4" x14ac:dyDescent="0.3"/>
    <row r="11023" ht="14.4" x14ac:dyDescent="0.3"/>
    <row r="11024" ht="14.4" x14ac:dyDescent="0.3"/>
    <row r="11025" ht="14.4" x14ac:dyDescent="0.3"/>
    <row r="11026" ht="14.4" x14ac:dyDescent="0.3"/>
    <row r="11027" ht="14.4" x14ac:dyDescent="0.3"/>
    <row r="11028" ht="14.4" x14ac:dyDescent="0.3"/>
    <row r="11029" ht="14.4" x14ac:dyDescent="0.3"/>
    <row r="11030" ht="14.4" x14ac:dyDescent="0.3"/>
    <row r="11031" ht="14.4" x14ac:dyDescent="0.3"/>
    <row r="11032" ht="14.4" x14ac:dyDescent="0.3"/>
    <row r="11033" ht="14.4" x14ac:dyDescent="0.3"/>
    <row r="11034" ht="14.4" x14ac:dyDescent="0.3"/>
    <row r="11035" ht="14.4" x14ac:dyDescent="0.3"/>
    <row r="11036" ht="14.4" x14ac:dyDescent="0.3"/>
    <row r="11037" ht="14.4" x14ac:dyDescent="0.3"/>
    <row r="11038" ht="14.4" x14ac:dyDescent="0.3"/>
    <row r="11039" ht="14.4" x14ac:dyDescent="0.3"/>
    <row r="11040" ht="14.4" x14ac:dyDescent="0.3"/>
    <row r="11041" ht="14.4" x14ac:dyDescent="0.3"/>
    <row r="11042" ht="14.4" x14ac:dyDescent="0.3"/>
    <row r="11043" ht="14.4" x14ac:dyDescent="0.3"/>
    <row r="11044" ht="14.4" x14ac:dyDescent="0.3"/>
    <row r="11045" ht="14.4" x14ac:dyDescent="0.3"/>
    <row r="11046" ht="14.4" x14ac:dyDescent="0.3"/>
    <row r="11047" ht="14.4" x14ac:dyDescent="0.3"/>
    <row r="11048" ht="14.4" x14ac:dyDescent="0.3"/>
    <row r="11049" ht="14.4" x14ac:dyDescent="0.3"/>
    <row r="11050" ht="14.4" x14ac:dyDescent="0.3"/>
    <row r="11051" ht="14.4" x14ac:dyDescent="0.3"/>
    <row r="11052" ht="14.4" x14ac:dyDescent="0.3"/>
    <row r="11053" ht="14.4" x14ac:dyDescent="0.3"/>
    <row r="11054" ht="14.4" x14ac:dyDescent="0.3"/>
    <row r="11055" ht="14.4" x14ac:dyDescent="0.3"/>
    <row r="11056" ht="14.4" x14ac:dyDescent="0.3"/>
    <row r="11057" ht="14.4" x14ac:dyDescent="0.3"/>
    <row r="11058" ht="14.4" x14ac:dyDescent="0.3"/>
    <row r="11059" ht="14.4" x14ac:dyDescent="0.3"/>
    <row r="11060" ht="14.4" x14ac:dyDescent="0.3"/>
    <row r="11061" ht="14.4" x14ac:dyDescent="0.3"/>
    <row r="11062" ht="14.4" x14ac:dyDescent="0.3"/>
    <row r="11063" ht="14.4" x14ac:dyDescent="0.3"/>
    <row r="11064" ht="14.4" x14ac:dyDescent="0.3"/>
    <row r="11065" ht="14.4" x14ac:dyDescent="0.3"/>
    <row r="11066" ht="14.4" x14ac:dyDescent="0.3"/>
    <row r="11067" ht="14.4" x14ac:dyDescent="0.3"/>
    <row r="11068" ht="14.4" x14ac:dyDescent="0.3"/>
    <row r="11069" ht="14.4" x14ac:dyDescent="0.3"/>
    <row r="11070" ht="14.4" x14ac:dyDescent="0.3"/>
    <row r="11071" ht="14.4" x14ac:dyDescent="0.3"/>
    <row r="11072" ht="14.4" x14ac:dyDescent="0.3"/>
    <row r="11073" ht="14.4" x14ac:dyDescent="0.3"/>
    <row r="11074" ht="14.4" x14ac:dyDescent="0.3"/>
    <row r="11075" ht="14.4" x14ac:dyDescent="0.3"/>
    <row r="11076" ht="14.4" x14ac:dyDescent="0.3"/>
    <row r="11077" ht="14.4" x14ac:dyDescent="0.3"/>
    <row r="11078" ht="14.4" x14ac:dyDescent="0.3"/>
    <row r="11079" ht="14.4" x14ac:dyDescent="0.3"/>
    <row r="11080" ht="14.4" x14ac:dyDescent="0.3"/>
    <row r="11081" ht="14.4" x14ac:dyDescent="0.3"/>
    <row r="11082" ht="14.4" x14ac:dyDescent="0.3"/>
    <row r="11083" ht="14.4" x14ac:dyDescent="0.3"/>
    <row r="11084" ht="14.4" x14ac:dyDescent="0.3"/>
    <row r="11085" ht="14.4" x14ac:dyDescent="0.3"/>
    <row r="11086" ht="14.4" x14ac:dyDescent="0.3"/>
    <row r="11087" ht="14.4" x14ac:dyDescent="0.3"/>
    <row r="11088" ht="14.4" x14ac:dyDescent="0.3"/>
    <row r="11089" ht="14.4" x14ac:dyDescent="0.3"/>
    <row r="11090" ht="14.4" x14ac:dyDescent="0.3"/>
    <row r="11091" ht="14.4" x14ac:dyDescent="0.3"/>
    <row r="11092" ht="14.4" x14ac:dyDescent="0.3"/>
    <row r="11093" ht="14.4" x14ac:dyDescent="0.3"/>
    <row r="11094" ht="14.4" x14ac:dyDescent="0.3"/>
    <row r="11095" ht="14.4" x14ac:dyDescent="0.3"/>
    <row r="11096" ht="14.4" x14ac:dyDescent="0.3"/>
    <row r="11097" ht="14.4" x14ac:dyDescent="0.3"/>
    <row r="11098" ht="14.4" x14ac:dyDescent="0.3"/>
    <row r="11099" ht="14.4" x14ac:dyDescent="0.3"/>
    <row r="11100" ht="14.4" x14ac:dyDescent="0.3"/>
    <row r="11101" ht="14.4" x14ac:dyDescent="0.3"/>
    <row r="11102" ht="14.4" x14ac:dyDescent="0.3"/>
    <row r="11103" ht="14.4" x14ac:dyDescent="0.3"/>
    <row r="11104" ht="14.4" x14ac:dyDescent="0.3"/>
    <row r="11105" ht="14.4" x14ac:dyDescent="0.3"/>
    <row r="11106" ht="14.4" x14ac:dyDescent="0.3"/>
    <row r="11107" ht="14.4" x14ac:dyDescent="0.3"/>
    <row r="11108" ht="14.4" x14ac:dyDescent="0.3"/>
    <row r="11109" ht="14.4" x14ac:dyDescent="0.3"/>
    <row r="11110" ht="14.4" x14ac:dyDescent="0.3"/>
    <row r="11111" ht="14.4" x14ac:dyDescent="0.3"/>
    <row r="11112" ht="14.4" x14ac:dyDescent="0.3"/>
    <row r="11113" ht="14.4" x14ac:dyDescent="0.3"/>
    <row r="11114" ht="14.4" x14ac:dyDescent="0.3"/>
    <row r="11115" ht="14.4" x14ac:dyDescent="0.3"/>
    <row r="11116" ht="14.4" x14ac:dyDescent="0.3"/>
    <row r="11117" ht="14.4" x14ac:dyDescent="0.3"/>
    <row r="11118" ht="14.4" x14ac:dyDescent="0.3"/>
    <row r="11119" ht="14.4" x14ac:dyDescent="0.3"/>
    <row r="11120" ht="14.4" x14ac:dyDescent="0.3"/>
    <row r="11121" ht="14.4" x14ac:dyDescent="0.3"/>
    <row r="11122" ht="14.4" x14ac:dyDescent="0.3"/>
    <row r="11123" ht="14.4" x14ac:dyDescent="0.3"/>
    <row r="11124" ht="14.4" x14ac:dyDescent="0.3"/>
    <row r="11125" ht="14.4" x14ac:dyDescent="0.3"/>
    <row r="11126" ht="14.4" x14ac:dyDescent="0.3"/>
    <row r="11127" ht="14.4" x14ac:dyDescent="0.3"/>
    <row r="11128" ht="14.4" x14ac:dyDescent="0.3"/>
    <row r="11129" ht="14.4" x14ac:dyDescent="0.3"/>
    <row r="11130" ht="14.4" x14ac:dyDescent="0.3"/>
    <row r="11131" ht="14.4" x14ac:dyDescent="0.3"/>
    <row r="11132" ht="14.4" x14ac:dyDescent="0.3"/>
    <row r="11133" ht="14.4" x14ac:dyDescent="0.3"/>
    <row r="11134" ht="14.4" x14ac:dyDescent="0.3"/>
    <row r="11135" ht="14.4" x14ac:dyDescent="0.3"/>
    <row r="11136" ht="14.4" x14ac:dyDescent="0.3"/>
    <row r="11137" ht="14.4" x14ac:dyDescent="0.3"/>
    <row r="11138" ht="14.4" x14ac:dyDescent="0.3"/>
    <row r="11139" ht="14.4" x14ac:dyDescent="0.3"/>
    <row r="11140" ht="14.4" x14ac:dyDescent="0.3"/>
    <row r="11141" ht="14.4" x14ac:dyDescent="0.3"/>
    <row r="11142" ht="14.4" x14ac:dyDescent="0.3"/>
    <row r="11143" ht="14.4" x14ac:dyDescent="0.3"/>
    <row r="11144" ht="14.4" x14ac:dyDescent="0.3"/>
    <row r="11145" ht="14.4" x14ac:dyDescent="0.3"/>
    <row r="11146" ht="14.4" x14ac:dyDescent="0.3"/>
    <row r="11147" ht="14.4" x14ac:dyDescent="0.3"/>
    <row r="11148" ht="14.4" x14ac:dyDescent="0.3"/>
    <row r="11149" ht="14.4" x14ac:dyDescent="0.3"/>
    <row r="11150" ht="14.4" x14ac:dyDescent="0.3"/>
    <row r="11151" ht="14.4" x14ac:dyDescent="0.3"/>
    <row r="11152" ht="14.4" x14ac:dyDescent="0.3"/>
    <row r="11153" ht="14.4" x14ac:dyDescent="0.3"/>
    <row r="11154" ht="14.4" x14ac:dyDescent="0.3"/>
    <row r="11155" ht="14.4" x14ac:dyDescent="0.3"/>
    <row r="11156" ht="14.4" x14ac:dyDescent="0.3"/>
    <row r="11157" ht="14.4" x14ac:dyDescent="0.3"/>
    <row r="11158" ht="14.4" x14ac:dyDescent="0.3"/>
    <row r="11159" ht="14.4" x14ac:dyDescent="0.3"/>
    <row r="11160" ht="14.4" x14ac:dyDescent="0.3"/>
    <row r="11161" ht="14.4" x14ac:dyDescent="0.3"/>
    <row r="11162" ht="14.4" x14ac:dyDescent="0.3"/>
    <row r="11163" ht="14.4" x14ac:dyDescent="0.3"/>
    <row r="11164" ht="14.4" x14ac:dyDescent="0.3"/>
    <row r="11165" ht="14.4" x14ac:dyDescent="0.3"/>
    <row r="11166" ht="14.4" x14ac:dyDescent="0.3"/>
    <row r="11167" ht="14.4" x14ac:dyDescent="0.3"/>
    <row r="11168" ht="14.4" x14ac:dyDescent="0.3"/>
    <row r="11169" ht="14.4" x14ac:dyDescent="0.3"/>
    <row r="11170" ht="14.4" x14ac:dyDescent="0.3"/>
    <row r="11171" ht="14.4" x14ac:dyDescent="0.3"/>
    <row r="11172" ht="14.4" x14ac:dyDescent="0.3"/>
    <row r="11173" ht="14.4" x14ac:dyDescent="0.3"/>
    <row r="11174" ht="14.4" x14ac:dyDescent="0.3"/>
    <row r="11175" ht="14.4" x14ac:dyDescent="0.3"/>
    <row r="11176" ht="14.4" x14ac:dyDescent="0.3"/>
    <row r="11177" ht="14.4" x14ac:dyDescent="0.3"/>
    <row r="11178" ht="14.4" x14ac:dyDescent="0.3"/>
    <row r="11179" ht="14.4" x14ac:dyDescent="0.3"/>
    <row r="11180" ht="14.4" x14ac:dyDescent="0.3"/>
    <row r="11181" ht="14.4" x14ac:dyDescent="0.3"/>
    <row r="11182" ht="14.4" x14ac:dyDescent="0.3"/>
    <row r="11183" ht="14.4" x14ac:dyDescent="0.3"/>
    <row r="11184" ht="14.4" x14ac:dyDescent="0.3"/>
    <row r="11185" ht="14.4" x14ac:dyDescent="0.3"/>
    <row r="11186" ht="14.4" x14ac:dyDescent="0.3"/>
    <row r="11187" ht="14.4" x14ac:dyDescent="0.3"/>
    <row r="11188" ht="14.4" x14ac:dyDescent="0.3"/>
    <row r="11189" ht="14.4" x14ac:dyDescent="0.3"/>
    <row r="11190" ht="14.4" x14ac:dyDescent="0.3"/>
    <row r="11191" ht="14.4" x14ac:dyDescent="0.3"/>
    <row r="11192" ht="14.4" x14ac:dyDescent="0.3"/>
    <row r="11193" ht="14.4" x14ac:dyDescent="0.3"/>
    <row r="11194" ht="14.4" x14ac:dyDescent="0.3"/>
    <row r="11195" ht="14.4" x14ac:dyDescent="0.3"/>
    <row r="11196" ht="14.4" x14ac:dyDescent="0.3"/>
    <row r="11197" ht="14.4" x14ac:dyDescent="0.3"/>
    <row r="11198" ht="14.4" x14ac:dyDescent="0.3"/>
    <row r="11199" ht="14.4" x14ac:dyDescent="0.3"/>
    <row r="11200" ht="14.4" x14ac:dyDescent="0.3"/>
    <row r="11201" ht="14.4" x14ac:dyDescent="0.3"/>
    <row r="11202" ht="14.4" x14ac:dyDescent="0.3"/>
    <row r="11203" ht="14.4" x14ac:dyDescent="0.3"/>
    <row r="11204" ht="14.4" x14ac:dyDescent="0.3"/>
    <row r="11205" ht="14.4" x14ac:dyDescent="0.3"/>
    <row r="11206" ht="14.4" x14ac:dyDescent="0.3"/>
    <row r="11207" ht="14.4" x14ac:dyDescent="0.3"/>
    <row r="11208" ht="14.4" x14ac:dyDescent="0.3"/>
    <row r="11209" ht="14.4" x14ac:dyDescent="0.3"/>
    <row r="11210" ht="14.4" x14ac:dyDescent="0.3"/>
    <row r="11211" ht="14.4" x14ac:dyDescent="0.3"/>
    <row r="11212" ht="14.4" x14ac:dyDescent="0.3"/>
    <row r="11213" ht="14.4" x14ac:dyDescent="0.3"/>
    <row r="11214" ht="14.4" x14ac:dyDescent="0.3"/>
    <row r="11215" ht="14.4" x14ac:dyDescent="0.3"/>
    <row r="11216" ht="14.4" x14ac:dyDescent="0.3"/>
    <row r="11217" ht="14.4" x14ac:dyDescent="0.3"/>
    <row r="11218" ht="14.4" x14ac:dyDescent="0.3"/>
    <row r="11219" ht="14.4" x14ac:dyDescent="0.3"/>
    <row r="11220" ht="14.4" x14ac:dyDescent="0.3"/>
    <row r="11221" ht="14.4" x14ac:dyDescent="0.3"/>
    <row r="11222" ht="14.4" x14ac:dyDescent="0.3"/>
    <row r="11223" ht="14.4" x14ac:dyDescent="0.3"/>
    <row r="11224" ht="14.4" x14ac:dyDescent="0.3"/>
    <row r="11225" ht="14.4" x14ac:dyDescent="0.3"/>
    <row r="11226" ht="14.4" x14ac:dyDescent="0.3"/>
    <row r="11227" ht="14.4" x14ac:dyDescent="0.3"/>
    <row r="11228" ht="14.4" x14ac:dyDescent="0.3"/>
    <row r="11229" ht="14.4" x14ac:dyDescent="0.3"/>
    <row r="11230" ht="14.4" x14ac:dyDescent="0.3"/>
    <row r="11231" ht="14.4" x14ac:dyDescent="0.3"/>
    <row r="11232" ht="14.4" x14ac:dyDescent="0.3"/>
    <row r="11233" ht="14.4" x14ac:dyDescent="0.3"/>
    <row r="11234" ht="14.4" x14ac:dyDescent="0.3"/>
    <row r="11235" ht="14.4" x14ac:dyDescent="0.3"/>
    <row r="11236" ht="14.4" x14ac:dyDescent="0.3"/>
    <row r="11237" ht="14.4" x14ac:dyDescent="0.3"/>
    <row r="11238" ht="14.4" x14ac:dyDescent="0.3"/>
    <row r="11239" ht="14.4" x14ac:dyDescent="0.3"/>
    <row r="11240" ht="14.4" x14ac:dyDescent="0.3"/>
    <row r="11241" ht="14.4" x14ac:dyDescent="0.3"/>
    <row r="11242" ht="14.4" x14ac:dyDescent="0.3"/>
    <row r="11243" ht="14.4" x14ac:dyDescent="0.3"/>
    <row r="11244" ht="14.4" x14ac:dyDescent="0.3"/>
    <row r="11245" ht="14.4" x14ac:dyDescent="0.3"/>
    <row r="11246" ht="14.4" x14ac:dyDescent="0.3"/>
    <row r="11247" ht="14.4" x14ac:dyDescent="0.3"/>
    <row r="11248" ht="14.4" x14ac:dyDescent="0.3"/>
    <row r="11249" ht="14.4" x14ac:dyDescent="0.3"/>
    <row r="11250" ht="14.4" x14ac:dyDescent="0.3"/>
    <row r="11251" ht="14.4" x14ac:dyDescent="0.3"/>
    <row r="11252" ht="14.4" x14ac:dyDescent="0.3"/>
    <row r="11253" ht="14.4" x14ac:dyDescent="0.3"/>
    <row r="11254" ht="14.4" x14ac:dyDescent="0.3"/>
    <row r="11255" ht="14.4" x14ac:dyDescent="0.3"/>
    <row r="11256" ht="14.4" x14ac:dyDescent="0.3"/>
    <row r="11257" ht="14.4" x14ac:dyDescent="0.3"/>
    <row r="11258" ht="14.4" x14ac:dyDescent="0.3"/>
    <row r="11259" ht="14.4" x14ac:dyDescent="0.3"/>
    <row r="11260" ht="14.4" x14ac:dyDescent="0.3"/>
    <row r="11261" ht="14.4" x14ac:dyDescent="0.3"/>
    <row r="11262" ht="14.4" x14ac:dyDescent="0.3"/>
    <row r="11263" ht="14.4" x14ac:dyDescent="0.3"/>
    <row r="11264" ht="14.4" x14ac:dyDescent="0.3"/>
    <row r="11265" ht="14.4" x14ac:dyDescent="0.3"/>
    <row r="11266" ht="14.4" x14ac:dyDescent="0.3"/>
    <row r="11267" ht="14.4" x14ac:dyDescent="0.3"/>
    <row r="11268" ht="14.4" x14ac:dyDescent="0.3"/>
    <row r="11269" ht="14.4" x14ac:dyDescent="0.3"/>
    <row r="11270" ht="14.4" x14ac:dyDescent="0.3"/>
    <row r="11271" ht="14.4" x14ac:dyDescent="0.3"/>
    <row r="11272" ht="14.4" x14ac:dyDescent="0.3"/>
    <row r="11273" ht="14.4" x14ac:dyDescent="0.3"/>
    <row r="11274" ht="14.4" x14ac:dyDescent="0.3"/>
    <row r="11275" ht="14.4" x14ac:dyDescent="0.3"/>
    <row r="11276" ht="14.4" x14ac:dyDescent="0.3"/>
    <row r="11277" ht="14.4" x14ac:dyDescent="0.3"/>
    <row r="11278" ht="14.4" x14ac:dyDescent="0.3"/>
    <row r="11279" ht="14.4" x14ac:dyDescent="0.3"/>
    <row r="11280" ht="14.4" x14ac:dyDescent="0.3"/>
    <row r="11281" ht="14.4" x14ac:dyDescent="0.3"/>
    <row r="11282" ht="14.4" x14ac:dyDescent="0.3"/>
    <row r="11283" ht="14.4" x14ac:dyDescent="0.3"/>
    <row r="11284" ht="14.4" x14ac:dyDescent="0.3"/>
    <row r="11285" ht="14.4" x14ac:dyDescent="0.3"/>
    <row r="11286" ht="14.4" x14ac:dyDescent="0.3"/>
    <row r="11287" ht="14.4" x14ac:dyDescent="0.3"/>
    <row r="11288" ht="14.4" x14ac:dyDescent="0.3"/>
    <row r="11289" ht="14.4" x14ac:dyDescent="0.3"/>
    <row r="11290" ht="14.4" x14ac:dyDescent="0.3"/>
    <row r="11291" ht="14.4" x14ac:dyDescent="0.3"/>
    <row r="11292" ht="14.4" x14ac:dyDescent="0.3"/>
    <row r="11293" ht="14.4" x14ac:dyDescent="0.3"/>
    <row r="11294" ht="14.4" x14ac:dyDescent="0.3"/>
    <row r="11295" ht="14.4" x14ac:dyDescent="0.3"/>
    <row r="11296" ht="14.4" x14ac:dyDescent="0.3"/>
    <row r="11297" ht="14.4" x14ac:dyDescent="0.3"/>
    <row r="11298" ht="14.4" x14ac:dyDescent="0.3"/>
    <row r="11299" ht="14.4" x14ac:dyDescent="0.3"/>
    <row r="11300" ht="14.4" x14ac:dyDescent="0.3"/>
    <row r="11301" ht="14.4" x14ac:dyDescent="0.3"/>
    <row r="11302" ht="14.4" x14ac:dyDescent="0.3"/>
    <row r="11303" ht="14.4" x14ac:dyDescent="0.3"/>
    <row r="11304" ht="14.4" x14ac:dyDescent="0.3"/>
    <row r="11305" ht="14.4" x14ac:dyDescent="0.3"/>
    <row r="11306" ht="14.4" x14ac:dyDescent="0.3"/>
    <row r="11307" ht="14.4" x14ac:dyDescent="0.3"/>
    <row r="11308" ht="14.4" x14ac:dyDescent="0.3"/>
    <row r="11309" ht="14.4" x14ac:dyDescent="0.3"/>
    <row r="11310" ht="14.4" x14ac:dyDescent="0.3"/>
    <row r="11311" ht="14.4" x14ac:dyDescent="0.3"/>
    <row r="11312" ht="14.4" x14ac:dyDescent="0.3"/>
    <row r="11313" ht="14.4" x14ac:dyDescent="0.3"/>
    <row r="11314" ht="14.4" x14ac:dyDescent="0.3"/>
    <row r="11315" ht="14.4" x14ac:dyDescent="0.3"/>
    <row r="11316" ht="14.4" x14ac:dyDescent="0.3"/>
    <row r="11317" ht="14.4" x14ac:dyDescent="0.3"/>
    <row r="11318" ht="14.4" x14ac:dyDescent="0.3"/>
    <row r="11319" ht="14.4" x14ac:dyDescent="0.3"/>
    <row r="11320" ht="14.4" x14ac:dyDescent="0.3"/>
    <row r="11321" ht="14.4" x14ac:dyDescent="0.3"/>
    <row r="11322" ht="14.4" x14ac:dyDescent="0.3"/>
    <row r="11323" ht="14.4" x14ac:dyDescent="0.3"/>
    <row r="11324" ht="14.4" x14ac:dyDescent="0.3"/>
    <row r="11325" ht="14.4" x14ac:dyDescent="0.3"/>
    <row r="11326" ht="14.4" x14ac:dyDescent="0.3"/>
    <row r="11327" ht="14.4" x14ac:dyDescent="0.3"/>
    <row r="11328" ht="14.4" x14ac:dyDescent="0.3"/>
    <row r="11329" ht="14.4" x14ac:dyDescent="0.3"/>
    <row r="11330" ht="14.4" x14ac:dyDescent="0.3"/>
    <row r="11331" ht="14.4" x14ac:dyDescent="0.3"/>
    <row r="11332" ht="14.4" x14ac:dyDescent="0.3"/>
    <row r="11333" ht="14.4" x14ac:dyDescent="0.3"/>
    <row r="11334" ht="14.4" x14ac:dyDescent="0.3"/>
    <row r="11335" ht="14.4" x14ac:dyDescent="0.3"/>
    <row r="11336" ht="14.4" x14ac:dyDescent="0.3"/>
    <row r="11337" ht="14.4" x14ac:dyDescent="0.3"/>
    <row r="11338" ht="14.4" x14ac:dyDescent="0.3"/>
    <row r="11339" ht="14.4" x14ac:dyDescent="0.3"/>
    <row r="11340" ht="14.4" x14ac:dyDescent="0.3"/>
    <row r="11341" ht="14.4" x14ac:dyDescent="0.3"/>
    <row r="11342" ht="14.4" x14ac:dyDescent="0.3"/>
    <row r="11343" ht="14.4" x14ac:dyDescent="0.3"/>
    <row r="11344" ht="14.4" x14ac:dyDescent="0.3"/>
    <row r="11345" ht="14.4" x14ac:dyDescent="0.3"/>
    <row r="11346" ht="14.4" x14ac:dyDescent="0.3"/>
    <row r="11347" ht="14.4" x14ac:dyDescent="0.3"/>
    <row r="11348" ht="14.4" x14ac:dyDescent="0.3"/>
    <row r="11349" ht="14.4" x14ac:dyDescent="0.3"/>
    <row r="11350" ht="14.4" x14ac:dyDescent="0.3"/>
    <row r="11351" ht="14.4" x14ac:dyDescent="0.3"/>
    <row r="11352" ht="14.4" x14ac:dyDescent="0.3"/>
    <row r="11353" ht="14.4" x14ac:dyDescent="0.3"/>
    <row r="11354" ht="14.4" x14ac:dyDescent="0.3"/>
    <row r="11355" ht="14.4" x14ac:dyDescent="0.3"/>
    <row r="11356" ht="14.4" x14ac:dyDescent="0.3"/>
    <row r="11357" ht="14.4" x14ac:dyDescent="0.3"/>
    <row r="11358" ht="14.4" x14ac:dyDescent="0.3"/>
    <row r="11359" ht="14.4" x14ac:dyDescent="0.3"/>
    <row r="11360" ht="14.4" x14ac:dyDescent="0.3"/>
    <row r="11361" ht="14.4" x14ac:dyDescent="0.3"/>
    <row r="11362" ht="14.4" x14ac:dyDescent="0.3"/>
    <row r="11363" ht="14.4" x14ac:dyDescent="0.3"/>
    <row r="11364" ht="14.4" x14ac:dyDescent="0.3"/>
    <row r="11365" ht="14.4" x14ac:dyDescent="0.3"/>
    <row r="11366" ht="14.4" x14ac:dyDescent="0.3"/>
    <row r="11367" ht="14.4" x14ac:dyDescent="0.3"/>
    <row r="11368" ht="14.4" x14ac:dyDescent="0.3"/>
    <row r="11369" ht="14.4" x14ac:dyDescent="0.3"/>
    <row r="11370" ht="14.4" x14ac:dyDescent="0.3"/>
    <row r="11371" ht="14.4" x14ac:dyDescent="0.3"/>
    <row r="11372" ht="14.4" x14ac:dyDescent="0.3"/>
    <row r="11373" ht="14.4" x14ac:dyDescent="0.3"/>
    <row r="11374" ht="14.4" x14ac:dyDescent="0.3"/>
    <row r="11375" ht="14.4" x14ac:dyDescent="0.3"/>
    <row r="11376" ht="14.4" x14ac:dyDescent="0.3"/>
    <row r="11377" ht="14.4" x14ac:dyDescent="0.3"/>
    <row r="11378" ht="14.4" x14ac:dyDescent="0.3"/>
    <row r="11379" ht="14.4" x14ac:dyDescent="0.3"/>
    <row r="11380" ht="14.4" x14ac:dyDescent="0.3"/>
    <row r="11381" ht="14.4" x14ac:dyDescent="0.3"/>
    <row r="11382" ht="14.4" x14ac:dyDescent="0.3"/>
    <row r="11383" ht="14.4" x14ac:dyDescent="0.3"/>
    <row r="11384" ht="14.4" x14ac:dyDescent="0.3"/>
    <row r="11385" ht="14.4" x14ac:dyDescent="0.3"/>
    <row r="11386" ht="14.4" x14ac:dyDescent="0.3"/>
    <row r="11387" ht="14.4" x14ac:dyDescent="0.3"/>
    <row r="11388" ht="14.4" x14ac:dyDescent="0.3"/>
    <row r="11389" ht="14.4" x14ac:dyDescent="0.3"/>
    <row r="11390" ht="14.4" x14ac:dyDescent="0.3"/>
    <row r="11391" ht="14.4" x14ac:dyDescent="0.3"/>
    <row r="11392" ht="14.4" x14ac:dyDescent="0.3"/>
    <row r="11393" ht="14.4" x14ac:dyDescent="0.3"/>
    <row r="11394" ht="14.4" x14ac:dyDescent="0.3"/>
    <row r="11395" ht="14.4" x14ac:dyDescent="0.3"/>
    <row r="11396" ht="14.4" x14ac:dyDescent="0.3"/>
    <row r="11397" ht="14.4" x14ac:dyDescent="0.3"/>
    <row r="11398" ht="14.4" x14ac:dyDescent="0.3"/>
    <row r="11399" ht="14.4" x14ac:dyDescent="0.3"/>
    <row r="11400" ht="14.4" x14ac:dyDescent="0.3"/>
    <row r="11401" ht="14.4" x14ac:dyDescent="0.3"/>
    <row r="11402" ht="14.4" x14ac:dyDescent="0.3"/>
    <row r="11403" ht="14.4" x14ac:dyDescent="0.3"/>
    <row r="11404" ht="14.4" x14ac:dyDescent="0.3"/>
    <row r="11405" ht="14.4" x14ac:dyDescent="0.3"/>
    <row r="11406" ht="14.4" x14ac:dyDescent="0.3"/>
    <row r="11407" ht="14.4" x14ac:dyDescent="0.3"/>
    <row r="11408" ht="14.4" x14ac:dyDescent="0.3"/>
    <row r="11409" ht="14.4" x14ac:dyDescent="0.3"/>
    <row r="11410" ht="14.4" x14ac:dyDescent="0.3"/>
    <row r="11411" ht="14.4" x14ac:dyDescent="0.3"/>
    <row r="11412" ht="14.4" x14ac:dyDescent="0.3"/>
    <row r="11413" ht="14.4" x14ac:dyDescent="0.3"/>
    <row r="11414" ht="14.4" x14ac:dyDescent="0.3"/>
    <row r="11415" ht="14.4" x14ac:dyDescent="0.3"/>
    <row r="11416" ht="14.4" x14ac:dyDescent="0.3"/>
    <row r="11417" ht="14.4" x14ac:dyDescent="0.3"/>
    <row r="11418" ht="14.4" x14ac:dyDescent="0.3"/>
    <row r="11419" ht="14.4" x14ac:dyDescent="0.3"/>
    <row r="11420" ht="14.4" x14ac:dyDescent="0.3"/>
    <row r="11421" ht="14.4" x14ac:dyDescent="0.3"/>
    <row r="11422" ht="14.4" x14ac:dyDescent="0.3"/>
    <row r="11423" ht="14.4" x14ac:dyDescent="0.3"/>
    <row r="11424" ht="14.4" x14ac:dyDescent="0.3"/>
    <row r="11425" ht="14.4" x14ac:dyDescent="0.3"/>
    <row r="11426" ht="14.4" x14ac:dyDescent="0.3"/>
    <row r="11427" ht="14.4" x14ac:dyDescent="0.3"/>
    <row r="11428" ht="14.4" x14ac:dyDescent="0.3"/>
    <row r="11429" ht="14.4" x14ac:dyDescent="0.3"/>
    <row r="11430" ht="14.4" x14ac:dyDescent="0.3"/>
    <row r="11431" ht="14.4" x14ac:dyDescent="0.3"/>
    <row r="11432" ht="14.4" x14ac:dyDescent="0.3"/>
    <row r="11433" ht="14.4" x14ac:dyDescent="0.3"/>
    <row r="11434" ht="14.4" x14ac:dyDescent="0.3"/>
    <row r="11435" ht="14.4" x14ac:dyDescent="0.3"/>
    <row r="11436" ht="14.4" x14ac:dyDescent="0.3"/>
    <row r="11437" ht="14.4" x14ac:dyDescent="0.3"/>
    <row r="11438" ht="14.4" x14ac:dyDescent="0.3"/>
    <row r="11439" ht="14.4" x14ac:dyDescent="0.3"/>
    <row r="11440" ht="14.4" x14ac:dyDescent="0.3"/>
    <row r="11441" ht="14.4" x14ac:dyDescent="0.3"/>
    <row r="11442" ht="14.4" x14ac:dyDescent="0.3"/>
    <row r="11443" ht="14.4" x14ac:dyDescent="0.3"/>
    <row r="11444" ht="14.4" x14ac:dyDescent="0.3"/>
    <row r="11445" ht="14.4" x14ac:dyDescent="0.3"/>
    <row r="11446" ht="14.4" x14ac:dyDescent="0.3"/>
    <row r="11447" ht="14.4" x14ac:dyDescent="0.3"/>
    <row r="11448" ht="14.4" x14ac:dyDescent="0.3"/>
    <row r="11449" ht="14.4" x14ac:dyDescent="0.3"/>
    <row r="11450" ht="14.4" x14ac:dyDescent="0.3"/>
    <row r="11451" ht="14.4" x14ac:dyDescent="0.3"/>
    <row r="11452" ht="14.4" x14ac:dyDescent="0.3"/>
    <row r="11453" ht="14.4" x14ac:dyDescent="0.3"/>
    <row r="11454" ht="14.4" x14ac:dyDescent="0.3"/>
    <row r="11455" ht="14.4" x14ac:dyDescent="0.3"/>
    <row r="11456" ht="14.4" x14ac:dyDescent="0.3"/>
    <row r="11457" ht="14.4" x14ac:dyDescent="0.3"/>
    <row r="11458" ht="14.4" x14ac:dyDescent="0.3"/>
    <row r="11459" ht="14.4" x14ac:dyDescent="0.3"/>
    <row r="11460" ht="14.4" x14ac:dyDescent="0.3"/>
    <row r="11461" ht="14.4" x14ac:dyDescent="0.3"/>
    <row r="11462" ht="14.4" x14ac:dyDescent="0.3"/>
    <row r="11463" ht="14.4" x14ac:dyDescent="0.3"/>
    <row r="11464" ht="14.4" x14ac:dyDescent="0.3"/>
    <row r="11465" ht="14.4" x14ac:dyDescent="0.3"/>
    <row r="11466" ht="14.4" x14ac:dyDescent="0.3"/>
    <row r="11467" ht="14.4" x14ac:dyDescent="0.3"/>
    <row r="11468" ht="14.4" x14ac:dyDescent="0.3"/>
    <row r="11469" ht="14.4" x14ac:dyDescent="0.3"/>
    <row r="11470" ht="14.4" x14ac:dyDescent="0.3"/>
    <row r="11471" ht="14.4" x14ac:dyDescent="0.3"/>
    <row r="11472" ht="14.4" x14ac:dyDescent="0.3"/>
    <row r="11473" ht="14.4" x14ac:dyDescent="0.3"/>
    <row r="11474" ht="14.4" x14ac:dyDescent="0.3"/>
    <row r="11475" ht="14.4" x14ac:dyDescent="0.3"/>
    <row r="11476" ht="14.4" x14ac:dyDescent="0.3"/>
    <row r="11477" ht="14.4" x14ac:dyDescent="0.3"/>
    <row r="11478" ht="14.4" x14ac:dyDescent="0.3"/>
    <row r="11479" ht="14.4" x14ac:dyDescent="0.3"/>
    <row r="11480" ht="14.4" x14ac:dyDescent="0.3"/>
    <row r="11481" ht="14.4" x14ac:dyDescent="0.3"/>
    <row r="11482" ht="14.4" x14ac:dyDescent="0.3"/>
    <row r="11483" ht="14.4" x14ac:dyDescent="0.3"/>
    <row r="11484" ht="14.4" x14ac:dyDescent="0.3"/>
    <row r="11485" ht="14.4" x14ac:dyDescent="0.3"/>
    <row r="11486" ht="14.4" x14ac:dyDescent="0.3"/>
    <row r="11487" ht="14.4" x14ac:dyDescent="0.3"/>
    <row r="11488" ht="14.4" x14ac:dyDescent="0.3"/>
    <row r="11489" ht="14.4" x14ac:dyDescent="0.3"/>
    <row r="11490" ht="14.4" x14ac:dyDescent="0.3"/>
    <row r="11491" ht="14.4" x14ac:dyDescent="0.3"/>
    <row r="11492" ht="14.4" x14ac:dyDescent="0.3"/>
    <row r="11493" ht="14.4" x14ac:dyDescent="0.3"/>
    <row r="11494" ht="14.4" x14ac:dyDescent="0.3"/>
    <row r="11495" ht="14.4" x14ac:dyDescent="0.3"/>
    <row r="11496" ht="14.4" x14ac:dyDescent="0.3"/>
    <row r="11497" ht="14.4" x14ac:dyDescent="0.3"/>
    <row r="11498" ht="14.4" x14ac:dyDescent="0.3"/>
    <row r="11499" ht="14.4" x14ac:dyDescent="0.3"/>
    <row r="11500" ht="14.4" x14ac:dyDescent="0.3"/>
    <row r="11501" ht="14.4" x14ac:dyDescent="0.3"/>
    <row r="11502" ht="14.4" x14ac:dyDescent="0.3"/>
    <row r="11503" ht="14.4" x14ac:dyDescent="0.3"/>
    <row r="11504" ht="14.4" x14ac:dyDescent="0.3"/>
    <row r="11505" ht="14.4" x14ac:dyDescent="0.3"/>
    <row r="11506" ht="14.4" x14ac:dyDescent="0.3"/>
    <row r="11507" ht="14.4" x14ac:dyDescent="0.3"/>
    <row r="11508" ht="14.4" x14ac:dyDescent="0.3"/>
    <row r="11509" ht="14.4" x14ac:dyDescent="0.3"/>
    <row r="11510" ht="14.4" x14ac:dyDescent="0.3"/>
    <row r="11511" ht="14.4" x14ac:dyDescent="0.3"/>
    <row r="11512" ht="14.4" x14ac:dyDescent="0.3"/>
    <row r="11513" ht="14.4" x14ac:dyDescent="0.3"/>
    <row r="11514" ht="14.4" x14ac:dyDescent="0.3"/>
    <row r="11515" ht="14.4" x14ac:dyDescent="0.3"/>
    <row r="11516" ht="14.4" x14ac:dyDescent="0.3"/>
    <row r="11517" ht="14.4" x14ac:dyDescent="0.3"/>
    <row r="11518" ht="14.4" x14ac:dyDescent="0.3"/>
    <row r="11519" ht="14.4" x14ac:dyDescent="0.3"/>
    <row r="11520" ht="14.4" x14ac:dyDescent="0.3"/>
    <row r="11521" ht="14.4" x14ac:dyDescent="0.3"/>
    <row r="11522" ht="14.4" x14ac:dyDescent="0.3"/>
    <row r="11523" ht="14.4" x14ac:dyDescent="0.3"/>
    <row r="11524" ht="14.4" x14ac:dyDescent="0.3"/>
    <row r="11525" ht="14.4" x14ac:dyDescent="0.3"/>
    <row r="11526" ht="14.4" x14ac:dyDescent="0.3"/>
    <row r="11527" ht="14.4" x14ac:dyDescent="0.3"/>
    <row r="11528" ht="14.4" x14ac:dyDescent="0.3"/>
    <row r="11529" ht="14.4" x14ac:dyDescent="0.3"/>
    <row r="11530" ht="14.4" x14ac:dyDescent="0.3"/>
    <row r="11531" ht="14.4" x14ac:dyDescent="0.3"/>
    <row r="11532" ht="14.4" x14ac:dyDescent="0.3"/>
    <row r="11533" ht="14.4" x14ac:dyDescent="0.3"/>
    <row r="11534" ht="14.4" x14ac:dyDescent="0.3"/>
    <row r="11535" ht="14.4" x14ac:dyDescent="0.3"/>
    <row r="11536" ht="14.4" x14ac:dyDescent="0.3"/>
    <row r="11537" ht="14.4" x14ac:dyDescent="0.3"/>
    <row r="11538" ht="14.4" x14ac:dyDescent="0.3"/>
    <row r="11539" ht="14.4" x14ac:dyDescent="0.3"/>
    <row r="11540" ht="14.4" x14ac:dyDescent="0.3"/>
    <row r="11541" ht="14.4" x14ac:dyDescent="0.3"/>
    <row r="11542" ht="14.4" x14ac:dyDescent="0.3"/>
    <row r="11543" ht="14.4" x14ac:dyDescent="0.3"/>
    <row r="11544" ht="14.4" x14ac:dyDescent="0.3"/>
    <row r="11545" ht="14.4" x14ac:dyDescent="0.3"/>
    <row r="11546" ht="14.4" x14ac:dyDescent="0.3"/>
    <row r="11547" ht="14.4" x14ac:dyDescent="0.3"/>
    <row r="11548" ht="14.4" x14ac:dyDescent="0.3"/>
    <row r="11549" ht="14.4" x14ac:dyDescent="0.3"/>
    <row r="11550" ht="14.4" x14ac:dyDescent="0.3"/>
    <row r="11551" ht="14.4" x14ac:dyDescent="0.3"/>
    <row r="11552" ht="14.4" x14ac:dyDescent="0.3"/>
    <row r="11553" ht="14.4" x14ac:dyDescent="0.3"/>
    <row r="11554" ht="14.4" x14ac:dyDescent="0.3"/>
    <row r="11555" ht="14.4" x14ac:dyDescent="0.3"/>
    <row r="11556" ht="14.4" x14ac:dyDescent="0.3"/>
    <row r="11557" ht="14.4" x14ac:dyDescent="0.3"/>
    <row r="11558" ht="14.4" x14ac:dyDescent="0.3"/>
    <row r="11559" ht="14.4" x14ac:dyDescent="0.3"/>
    <row r="11560" ht="14.4" x14ac:dyDescent="0.3"/>
    <row r="11561" ht="14.4" x14ac:dyDescent="0.3"/>
    <row r="11562" ht="14.4" x14ac:dyDescent="0.3"/>
    <row r="11563" ht="14.4" x14ac:dyDescent="0.3"/>
    <row r="11564" ht="14.4" x14ac:dyDescent="0.3"/>
    <row r="11565" ht="14.4" x14ac:dyDescent="0.3"/>
    <row r="11566" ht="14.4" x14ac:dyDescent="0.3"/>
    <row r="11567" ht="14.4" x14ac:dyDescent="0.3"/>
    <row r="11568" ht="14.4" x14ac:dyDescent="0.3"/>
    <row r="11569" ht="14.4" x14ac:dyDescent="0.3"/>
    <row r="11570" ht="14.4" x14ac:dyDescent="0.3"/>
    <row r="11571" ht="14.4" x14ac:dyDescent="0.3"/>
    <row r="11572" ht="14.4" x14ac:dyDescent="0.3"/>
    <row r="11573" ht="14.4" x14ac:dyDescent="0.3"/>
    <row r="11574" ht="14.4" x14ac:dyDescent="0.3"/>
    <row r="11575" ht="14.4" x14ac:dyDescent="0.3"/>
    <row r="11576" ht="14.4" x14ac:dyDescent="0.3"/>
    <row r="11577" ht="14.4" x14ac:dyDescent="0.3"/>
    <row r="11578" ht="14.4" x14ac:dyDescent="0.3"/>
    <row r="11579" ht="14.4" x14ac:dyDescent="0.3"/>
    <row r="11580" ht="14.4" x14ac:dyDescent="0.3"/>
    <row r="11581" ht="14.4" x14ac:dyDescent="0.3"/>
    <row r="11582" ht="14.4" x14ac:dyDescent="0.3"/>
    <row r="11583" ht="14.4" x14ac:dyDescent="0.3"/>
    <row r="11584" ht="14.4" x14ac:dyDescent="0.3"/>
    <row r="11585" ht="14.4" x14ac:dyDescent="0.3"/>
    <row r="11586" ht="14.4" x14ac:dyDescent="0.3"/>
    <row r="11587" ht="14.4" x14ac:dyDescent="0.3"/>
    <row r="11588" ht="14.4" x14ac:dyDescent="0.3"/>
    <row r="11589" ht="14.4" x14ac:dyDescent="0.3"/>
    <row r="11590" ht="14.4" x14ac:dyDescent="0.3"/>
    <row r="11591" ht="14.4" x14ac:dyDescent="0.3"/>
    <row r="11592" ht="14.4" x14ac:dyDescent="0.3"/>
    <row r="11593" ht="14.4" x14ac:dyDescent="0.3"/>
    <row r="11594" ht="14.4" x14ac:dyDescent="0.3"/>
    <row r="11595" ht="14.4" x14ac:dyDescent="0.3"/>
    <row r="11596" ht="14.4" x14ac:dyDescent="0.3"/>
    <row r="11597" ht="14.4" x14ac:dyDescent="0.3"/>
    <row r="11598" ht="14.4" x14ac:dyDescent="0.3"/>
    <row r="11599" ht="14.4" x14ac:dyDescent="0.3"/>
    <row r="11600" ht="14.4" x14ac:dyDescent="0.3"/>
    <row r="11601" ht="14.4" x14ac:dyDescent="0.3"/>
    <row r="11602" ht="14.4" x14ac:dyDescent="0.3"/>
    <row r="11603" ht="14.4" x14ac:dyDescent="0.3"/>
    <row r="11604" ht="14.4" x14ac:dyDescent="0.3"/>
    <row r="11605" ht="14.4" x14ac:dyDescent="0.3"/>
    <row r="11606" ht="14.4" x14ac:dyDescent="0.3"/>
    <row r="11607" ht="14.4" x14ac:dyDescent="0.3"/>
    <row r="11608" ht="14.4" x14ac:dyDescent="0.3"/>
    <row r="11609" ht="14.4" x14ac:dyDescent="0.3"/>
    <row r="11610" ht="14.4" x14ac:dyDescent="0.3"/>
    <row r="11611" ht="14.4" x14ac:dyDescent="0.3"/>
    <row r="11612" ht="14.4" x14ac:dyDescent="0.3"/>
    <row r="11613" ht="14.4" x14ac:dyDescent="0.3"/>
    <row r="11614" ht="14.4" x14ac:dyDescent="0.3"/>
    <row r="11615" ht="14.4" x14ac:dyDescent="0.3"/>
    <row r="11616" ht="14.4" x14ac:dyDescent="0.3"/>
    <row r="11617" ht="14.4" x14ac:dyDescent="0.3"/>
    <row r="11618" ht="14.4" x14ac:dyDescent="0.3"/>
    <row r="11619" ht="14.4" x14ac:dyDescent="0.3"/>
    <row r="11620" ht="14.4" x14ac:dyDescent="0.3"/>
    <row r="11621" ht="14.4" x14ac:dyDescent="0.3"/>
    <row r="11622" ht="14.4" x14ac:dyDescent="0.3"/>
    <row r="11623" ht="14.4" x14ac:dyDescent="0.3"/>
    <row r="11624" ht="14.4" x14ac:dyDescent="0.3"/>
    <row r="11625" ht="14.4" x14ac:dyDescent="0.3"/>
    <row r="11626" ht="14.4" x14ac:dyDescent="0.3"/>
    <row r="11627" ht="14.4" x14ac:dyDescent="0.3"/>
    <row r="11628" ht="14.4" x14ac:dyDescent="0.3"/>
    <row r="11629" ht="14.4" x14ac:dyDescent="0.3"/>
    <row r="11630" ht="14.4" x14ac:dyDescent="0.3"/>
    <row r="11631" ht="14.4" x14ac:dyDescent="0.3"/>
    <row r="11632" ht="14.4" x14ac:dyDescent="0.3"/>
    <row r="11633" ht="14.4" x14ac:dyDescent="0.3"/>
    <row r="11634" ht="14.4" x14ac:dyDescent="0.3"/>
    <row r="11635" ht="14.4" x14ac:dyDescent="0.3"/>
    <row r="11636" ht="14.4" x14ac:dyDescent="0.3"/>
    <row r="11637" ht="14.4" x14ac:dyDescent="0.3"/>
    <row r="11638" ht="14.4" x14ac:dyDescent="0.3"/>
    <row r="11639" ht="14.4" x14ac:dyDescent="0.3"/>
    <row r="11640" ht="14.4" x14ac:dyDescent="0.3"/>
    <row r="11641" ht="14.4" x14ac:dyDescent="0.3"/>
    <row r="11642" ht="14.4" x14ac:dyDescent="0.3"/>
    <row r="11643" ht="14.4" x14ac:dyDescent="0.3"/>
    <row r="11644" ht="14.4" x14ac:dyDescent="0.3"/>
    <row r="11645" ht="14.4" x14ac:dyDescent="0.3"/>
    <row r="11646" ht="14.4" x14ac:dyDescent="0.3"/>
    <row r="11647" ht="14.4" x14ac:dyDescent="0.3"/>
    <row r="11648" ht="14.4" x14ac:dyDescent="0.3"/>
    <row r="11649" ht="14.4" x14ac:dyDescent="0.3"/>
    <row r="11650" ht="14.4" x14ac:dyDescent="0.3"/>
    <row r="11651" ht="14.4" x14ac:dyDescent="0.3"/>
    <row r="11652" ht="14.4" x14ac:dyDescent="0.3"/>
    <row r="11653" ht="14.4" x14ac:dyDescent="0.3"/>
    <row r="11654" ht="14.4" x14ac:dyDescent="0.3"/>
    <row r="11655" ht="14.4" x14ac:dyDescent="0.3"/>
    <row r="11656" ht="14.4" x14ac:dyDescent="0.3"/>
    <row r="11657" ht="14.4" x14ac:dyDescent="0.3"/>
    <row r="11658" ht="14.4" x14ac:dyDescent="0.3"/>
    <row r="11659" ht="14.4" x14ac:dyDescent="0.3"/>
    <row r="11660" ht="14.4" x14ac:dyDescent="0.3"/>
    <row r="11661" ht="14.4" x14ac:dyDescent="0.3"/>
    <row r="11662" ht="14.4" x14ac:dyDescent="0.3"/>
    <row r="11663" ht="14.4" x14ac:dyDescent="0.3"/>
    <row r="11664" ht="14.4" x14ac:dyDescent="0.3"/>
    <row r="11665" ht="14.4" x14ac:dyDescent="0.3"/>
    <row r="11666" ht="14.4" x14ac:dyDescent="0.3"/>
    <row r="11667" ht="14.4" x14ac:dyDescent="0.3"/>
    <row r="11668" ht="14.4" x14ac:dyDescent="0.3"/>
    <row r="11669" ht="14.4" x14ac:dyDescent="0.3"/>
    <row r="11670" ht="14.4" x14ac:dyDescent="0.3"/>
    <row r="11671" ht="14.4" x14ac:dyDescent="0.3"/>
    <row r="11672" ht="14.4" x14ac:dyDescent="0.3"/>
    <row r="11673" ht="14.4" x14ac:dyDescent="0.3"/>
    <row r="11674" ht="14.4" x14ac:dyDescent="0.3"/>
    <row r="11675" ht="14.4" x14ac:dyDescent="0.3"/>
    <row r="11676" ht="14.4" x14ac:dyDescent="0.3"/>
    <row r="11677" ht="14.4" x14ac:dyDescent="0.3"/>
    <row r="11678" ht="14.4" x14ac:dyDescent="0.3"/>
    <row r="11679" ht="14.4" x14ac:dyDescent="0.3"/>
    <row r="11680" ht="14.4" x14ac:dyDescent="0.3"/>
    <row r="11681" ht="14.4" x14ac:dyDescent="0.3"/>
    <row r="11682" ht="14.4" x14ac:dyDescent="0.3"/>
    <row r="11683" ht="14.4" x14ac:dyDescent="0.3"/>
    <row r="11684" ht="14.4" x14ac:dyDescent="0.3"/>
    <row r="11685" ht="14.4" x14ac:dyDescent="0.3"/>
    <row r="11686" ht="14.4" x14ac:dyDescent="0.3"/>
    <row r="11687" ht="14.4" x14ac:dyDescent="0.3"/>
    <row r="11688" ht="14.4" x14ac:dyDescent="0.3"/>
    <row r="11689" ht="14.4" x14ac:dyDescent="0.3"/>
    <row r="11690" ht="14.4" x14ac:dyDescent="0.3"/>
    <row r="11691" ht="14.4" x14ac:dyDescent="0.3"/>
    <row r="11692" ht="14.4" x14ac:dyDescent="0.3"/>
    <row r="11693" ht="14.4" x14ac:dyDescent="0.3"/>
    <row r="11694" ht="14.4" x14ac:dyDescent="0.3"/>
    <row r="11695" ht="14.4" x14ac:dyDescent="0.3"/>
    <row r="11696" ht="14.4" x14ac:dyDescent="0.3"/>
    <row r="11697" ht="14.4" x14ac:dyDescent="0.3"/>
    <row r="11698" ht="14.4" x14ac:dyDescent="0.3"/>
    <row r="11699" ht="14.4" x14ac:dyDescent="0.3"/>
    <row r="11700" ht="14.4" x14ac:dyDescent="0.3"/>
    <row r="11701" ht="14.4" x14ac:dyDescent="0.3"/>
    <row r="11702" ht="14.4" x14ac:dyDescent="0.3"/>
    <row r="11703" ht="14.4" x14ac:dyDescent="0.3"/>
    <row r="11704" ht="14.4" x14ac:dyDescent="0.3"/>
    <row r="11705" ht="14.4" x14ac:dyDescent="0.3"/>
    <row r="11706" ht="14.4" x14ac:dyDescent="0.3"/>
    <row r="11707" ht="14.4" x14ac:dyDescent="0.3"/>
    <row r="11708" ht="14.4" x14ac:dyDescent="0.3"/>
    <row r="11709" ht="14.4" x14ac:dyDescent="0.3"/>
    <row r="11710" ht="14.4" x14ac:dyDescent="0.3"/>
    <row r="11711" ht="14.4" x14ac:dyDescent="0.3"/>
    <row r="11712" ht="14.4" x14ac:dyDescent="0.3"/>
    <row r="11713" ht="14.4" x14ac:dyDescent="0.3"/>
    <row r="11714" ht="14.4" x14ac:dyDescent="0.3"/>
    <row r="11715" ht="14.4" x14ac:dyDescent="0.3"/>
    <row r="11716" ht="14.4" x14ac:dyDescent="0.3"/>
    <row r="11717" ht="14.4" x14ac:dyDescent="0.3"/>
    <row r="11718" ht="14.4" x14ac:dyDescent="0.3"/>
    <row r="11719" ht="14.4" x14ac:dyDescent="0.3"/>
    <row r="11720" ht="14.4" x14ac:dyDescent="0.3"/>
    <row r="11721" ht="14.4" x14ac:dyDescent="0.3"/>
    <row r="11722" ht="14.4" x14ac:dyDescent="0.3"/>
    <row r="11723" ht="14.4" x14ac:dyDescent="0.3"/>
    <row r="11724" ht="14.4" x14ac:dyDescent="0.3"/>
    <row r="11725" ht="14.4" x14ac:dyDescent="0.3"/>
    <row r="11726" ht="14.4" x14ac:dyDescent="0.3"/>
    <row r="11727" ht="14.4" x14ac:dyDescent="0.3"/>
    <row r="11728" ht="14.4" x14ac:dyDescent="0.3"/>
    <row r="11729" ht="14.4" x14ac:dyDescent="0.3"/>
    <row r="11730" ht="14.4" x14ac:dyDescent="0.3"/>
    <row r="11731" ht="14.4" x14ac:dyDescent="0.3"/>
    <row r="11732" ht="14.4" x14ac:dyDescent="0.3"/>
    <row r="11733" ht="14.4" x14ac:dyDescent="0.3"/>
    <row r="11734" ht="14.4" x14ac:dyDescent="0.3"/>
    <row r="11735" ht="14.4" x14ac:dyDescent="0.3"/>
    <row r="11736" ht="14.4" x14ac:dyDescent="0.3"/>
    <row r="11737" ht="14.4" x14ac:dyDescent="0.3"/>
    <row r="11738" ht="14.4" x14ac:dyDescent="0.3"/>
    <row r="11739" ht="14.4" x14ac:dyDescent="0.3"/>
    <row r="11740" ht="14.4" x14ac:dyDescent="0.3"/>
    <row r="11741" ht="14.4" x14ac:dyDescent="0.3"/>
    <row r="11742" ht="14.4" x14ac:dyDescent="0.3"/>
    <row r="11743" ht="14.4" x14ac:dyDescent="0.3"/>
    <row r="11744" ht="14.4" x14ac:dyDescent="0.3"/>
    <row r="11745" ht="14.4" x14ac:dyDescent="0.3"/>
    <row r="11746" ht="14.4" x14ac:dyDescent="0.3"/>
    <row r="11747" ht="14.4" x14ac:dyDescent="0.3"/>
    <row r="11748" ht="14.4" x14ac:dyDescent="0.3"/>
    <row r="11749" ht="14.4" x14ac:dyDescent="0.3"/>
    <row r="11750" ht="14.4" x14ac:dyDescent="0.3"/>
    <row r="11751" ht="14.4" x14ac:dyDescent="0.3"/>
    <row r="11752" ht="14.4" x14ac:dyDescent="0.3"/>
    <row r="11753" ht="14.4" x14ac:dyDescent="0.3"/>
    <row r="11754" ht="14.4" x14ac:dyDescent="0.3"/>
    <row r="11755" ht="14.4" x14ac:dyDescent="0.3"/>
    <row r="11756" ht="14.4" x14ac:dyDescent="0.3"/>
    <row r="11757" ht="14.4" x14ac:dyDescent="0.3"/>
    <row r="11758" ht="14.4" x14ac:dyDescent="0.3"/>
    <row r="11759" ht="14.4" x14ac:dyDescent="0.3"/>
    <row r="11760" ht="14.4" x14ac:dyDescent="0.3"/>
    <row r="11761" ht="14.4" x14ac:dyDescent="0.3"/>
    <row r="11762" ht="14.4" x14ac:dyDescent="0.3"/>
    <row r="11763" ht="14.4" x14ac:dyDescent="0.3"/>
    <row r="11764" ht="14.4" x14ac:dyDescent="0.3"/>
    <row r="11765" ht="14.4" x14ac:dyDescent="0.3"/>
    <row r="11766" ht="14.4" x14ac:dyDescent="0.3"/>
    <row r="11767" ht="14.4" x14ac:dyDescent="0.3"/>
    <row r="11768" ht="14.4" x14ac:dyDescent="0.3"/>
    <row r="11769" ht="14.4" x14ac:dyDescent="0.3"/>
    <row r="11770" ht="14.4" x14ac:dyDescent="0.3"/>
    <row r="11771" ht="14.4" x14ac:dyDescent="0.3"/>
    <row r="11772" ht="14.4" x14ac:dyDescent="0.3"/>
    <row r="11773" ht="14.4" x14ac:dyDescent="0.3"/>
    <row r="11774" ht="14.4" x14ac:dyDescent="0.3"/>
    <row r="11775" ht="14.4" x14ac:dyDescent="0.3"/>
    <row r="11776" ht="14.4" x14ac:dyDescent="0.3"/>
    <row r="11777" ht="14.4" x14ac:dyDescent="0.3"/>
    <row r="11778" ht="14.4" x14ac:dyDescent="0.3"/>
    <row r="11779" ht="14.4" x14ac:dyDescent="0.3"/>
    <row r="11780" ht="14.4" x14ac:dyDescent="0.3"/>
    <row r="11781" ht="14.4" x14ac:dyDescent="0.3"/>
    <row r="11782" ht="14.4" x14ac:dyDescent="0.3"/>
    <row r="11783" ht="14.4" x14ac:dyDescent="0.3"/>
    <row r="11784" ht="14.4" x14ac:dyDescent="0.3"/>
    <row r="11785" ht="14.4" x14ac:dyDescent="0.3"/>
    <row r="11786" ht="14.4" x14ac:dyDescent="0.3"/>
    <row r="11787" ht="14.4" x14ac:dyDescent="0.3"/>
    <row r="11788" ht="14.4" x14ac:dyDescent="0.3"/>
    <row r="11789" ht="14.4" x14ac:dyDescent="0.3"/>
    <row r="11790" ht="14.4" x14ac:dyDescent="0.3"/>
    <row r="11791" ht="14.4" x14ac:dyDescent="0.3"/>
    <row r="11792" ht="14.4" x14ac:dyDescent="0.3"/>
    <row r="11793" ht="14.4" x14ac:dyDescent="0.3"/>
    <row r="11794" ht="14.4" x14ac:dyDescent="0.3"/>
    <row r="11795" ht="14.4" x14ac:dyDescent="0.3"/>
    <row r="11796" ht="14.4" x14ac:dyDescent="0.3"/>
    <row r="11797" ht="14.4" x14ac:dyDescent="0.3"/>
    <row r="11798" ht="14.4" x14ac:dyDescent="0.3"/>
    <row r="11799" ht="14.4" x14ac:dyDescent="0.3"/>
    <row r="11800" ht="14.4" x14ac:dyDescent="0.3"/>
    <row r="11801" ht="14.4" x14ac:dyDescent="0.3"/>
    <row r="11802" ht="14.4" x14ac:dyDescent="0.3"/>
    <row r="11803" ht="14.4" x14ac:dyDescent="0.3"/>
    <row r="11804" ht="14.4" x14ac:dyDescent="0.3"/>
    <row r="11805" ht="14.4" x14ac:dyDescent="0.3"/>
    <row r="11806" ht="14.4" x14ac:dyDescent="0.3"/>
    <row r="11807" ht="14.4" x14ac:dyDescent="0.3"/>
    <row r="11808" ht="14.4" x14ac:dyDescent="0.3"/>
    <row r="11809" ht="14.4" x14ac:dyDescent="0.3"/>
    <row r="11810" ht="14.4" x14ac:dyDescent="0.3"/>
    <row r="11811" ht="14.4" x14ac:dyDescent="0.3"/>
    <row r="11812" ht="14.4" x14ac:dyDescent="0.3"/>
    <row r="11813" ht="14.4" x14ac:dyDescent="0.3"/>
    <row r="11814" ht="14.4" x14ac:dyDescent="0.3"/>
    <row r="11815" ht="14.4" x14ac:dyDescent="0.3"/>
    <row r="11816" ht="14.4" x14ac:dyDescent="0.3"/>
    <row r="11817" ht="14.4" x14ac:dyDescent="0.3"/>
    <row r="11818" ht="14.4" x14ac:dyDescent="0.3"/>
    <row r="11819" ht="14.4" x14ac:dyDescent="0.3"/>
    <row r="11820" ht="14.4" x14ac:dyDescent="0.3"/>
    <row r="11821" ht="14.4" x14ac:dyDescent="0.3"/>
    <row r="11822" ht="14.4" x14ac:dyDescent="0.3"/>
    <row r="11823" ht="14.4" x14ac:dyDescent="0.3"/>
    <row r="11824" ht="14.4" x14ac:dyDescent="0.3"/>
    <row r="11825" ht="14.4" x14ac:dyDescent="0.3"/>
    <row r="11826" ht="14.4" x14ac:dyDescent="0.3"/>
    <row r="11827" ht="14.4" x14ac:dyDescent="0.3"/>
    <row r="11828" ht="14.4" x14ac:dyDescent="0.3"/>
    <row r="11829" ht="14.4" x14ac:dyDescent="0.3"/>
    <row r="11830" ht="14.4" x14ac:dyDescent="0.3"/>
    <row r="11831" ht="14.4" x14ac:dyDescent="0.3"/>
    <row r="11832" ht="14.4" x14ac:dyDescent="0.3"/>
    <row r="11833" ht="14.4" x14ac:dyDescent="0.3"/>
    <row r="11834" ht="14.4" x14ac:dyDescent="0.3"/>
    <row r="11835" ht="14.4" x14ac:dyDescent="0.3"/>
    <row r="11836" ht="14.4" x14ac:dyDescent="0.3"/>
    <row r="11837" ht="14.4" x14ac:dyDescent="0.3"/>
    <row r="11838" ht="14.4" x14ac:dyDescent="0.3"/>
    <row r="11839" ht="14.4" x14ac:dyDescent="0.3"/>
    <row r="11840" ht="14.4" x14ac:dyDescent="0.3"/>
    <row r="11841" ht="14.4" x14ac:dyDescent="0.3"/>
    <row r="11842" ht="14.4" x14ac:dyDescent="0.3"/>
    <row r="11843" ht="14.4" x14ac:dyDescent="0.3"/>
    <row r="11844" ht="14.4" x14ac:dyDescent="0.3"/>
    <row r="11845" ht="14.4" x14ac:dyDescent="0.3"/>
    <row r="11846" ht="14.4" x14ac:dyDescent="0.3"/>
    <row r="11847" ht="14.4" x14ac:dyDescent="0.3"/>
    <row r="11848" ht="14.4" x14ac:dyDescent="0.3"/>
    <row r="11849" ht="14.4" x14ac:dyDescent="0.3"/>
    <row r="11850" ht="14.4" x14ac:dyDescent="0.3"/>
    <row r="11851" ht="14.4" x14ac:dyDescent="0.3"/>
    <row r="11852" ht="14.4" x14ac:dyDescent="0.3"/>
    <row r="11853" ht="14.4" x14ac:dyDescent="0.3"/>
    <row r="11854" ht="14.4" x14ac:dyDescent="0.3"/>
    <row r="11855" ht="14.4" x14ac:dyDescent="0.3"/>
    <row r="11856" ht="14.4" x14ac:dyDescent="0.3"/>
    <row r="11857" ht="14.4" x14ac:dyDescent="0.3"/>
    <row r="11858" ht="14.4" x14ac:dyDescent="0.3"/>
    <row r="11859" ht="14.4" x14ac:dyDescent="0.3"/>
    <row r="11860" ht="14.4" x14ac:dyDescent="0.3"/>
    <row r="11861" ht="14.4" x14ac:dyDescent="0.3"/>
    <row r="11862" ht="14.4" x14ac:dyDescent="0.3"/>
    <row r="11863" ht="14.4" x14ac:dyDescent="0.3"/>
    <row r="11864" ht="14.4" x14ac:dyDescent="0.3"/>
    <row r="11865" ht="14.4" x14ac:dyDescent="0.3"/>
    <row r="11866" ht="14.4" x14ac:dyDescent="0.3"/>
    <row r="11867" ht="14.4" x14ac:dyDescent="0.3"/>
    <row r="11868" ht="14.4" x14ac:dyDescent="0.3"/>
    <row r="11869" ht="14.4" x14ac:dyDescent="0.3"/>
    <row r="11870" ht="14.4" x14ac:dyDescent="0.3"/>
    <row r="11871" ht="14.4" x14ac:dyDescent="0.3"/>
    <row r="11872" ht="14.4" x14ac:dyDescent="0.3"/>
    <row r="11873" ht="14.4" x14ac:dyDescent="0.3"/>
    <row r="11874" ht="14.4" x14ac:dyDescent="0.3"/>
    <row r="11875" ht="14.4" x14ac:dyDescent="0.3"/>
    <row r="11876" ht="14.4" x14ac:dyDescent="0.3"/>
    <row r="11877" ht="14.4" x14ac:dyDescent="0.3"/>
    <row r="11878" ht="14.4" x14ac:dyDescent="0.3"/>
    <row r="11879" ht="14.4" x14ac:dyDescent="0.3"/>
    <row r="11880" ht="14.4" x14ac:dyDescent="0.3"/>
    <row r="11881" ht="14.4" x14ac:dyDescent="0.3"/>
    <row r="11882" ht="14.4" x14ac:dyDescent="0.3"/>
    <row r="11883" ht="14.4" x14ac:dyDescent="0.3"/>
    <row r="11884" ht="14.4" x14ac:dyDescent="0.3"/>
    <row r="11885" ht="14.4" x14ac:dyDescent="0.3"/>
    <row r="11886" ht="14.4" x14ac:dyDescent="0.3"/>
    <row r="11887" ht="14.4" x14ac:dyDescent="0.3"/>
    <row r="11888" ht="14.4" x14ac:dyDescent="0.3"/>
    <row r="11889" ht="14.4" x14ac:dyDescent="0.3"/>
    <row r="11890" ht="14.4" x14ac:dyDescent="0.3"/>
    <row r="11891" ht="14.4" x14ac:dyDescent="0.3"/>
    <row r="11892" ht="14.4" x14ac:dyDescent="0.3"/>
    <row r="11893" ht="14.4" x14ac:dyDescent="0.3"/>
    <row r="11894" ht="14.4" x14ac:dyDescent="0.3"/>
    <row r="11895" ht="14.4" x14ac:dyDescent="0.3"/>
    <row r="11896" ht="14.4" x14ac:dyDescent="0.3"/>
    <row r="11897" ht="14.4" x14ac:dyDescent="0.3"/>
    <row r="11898" ht="14.4" x14ac:dyDescent="0.3"/>
    <row r="11899" ht="14.4" x14ac:dyDescent="0.3"/>
    <row r="11900" ht="14.4" x14ac:dyDescent="0.3"/>
    <row r="11901" ht="14.4" x14ac:dyDescent="0.3"/>
    <row r="11902" ht="14.4" x14ac:dyDescent="0.3"/>
    <row r="11903" ht="14.4" x14ac:dyDescent="0.3"/>
    <row r="11904" ht="14.4" x14ac:dyDescent="0.3"/>
    <row r="11905" ht="14.4" x14ac:dyDescent="0.3"/>
    <row r="11906" ht="14.4" x14ac:dyDescent="0.3"/>
    <row r="11907" ht="14.4" x14ac:dyDescent="0.3"/>
    <row r="11908" ht="14.4" x14ac:dyDescent="0.3"/>
    <row r="11909" ht="14.4" x14ac:dyDescent="0.3"/>
    <row r="11910" ht="14.4" x14ac:dyDescent="0.3"/>
    <row r="11911" ht="14.4" x14ac:dyDescent="0.3"/>
    <row r="11912" ht="14.4" x14ac:dyDescent="0.3"/>
    <row r="11913" ht="14.4" x14ac:dyDescent="0.3"/>
    <row r="11914" ht="14.4" x14ac:dyDescent="0.3"/>
    <row r="11915" ht="14.4" x14ac:dyDescent="0.3"/>
    <row r="11916" ht="14.4" x14ac:dyDescent="0.3"/>
    <row r="11917" ht="14.4" x14ac:dyDescent="0.3"/>
    <row r="11918" ht="14.4" x14ac:dyDescent="0.3"/>
    <row r="11919" ht="14.4" x14ac:dyDescent="0.3"/>
    <row r="11920" ht="14.4" x14ac:dyDescent="0.3"/>
    <row r="11921" ht="14.4" x14ac:dyDescent="0.3"/>
    <row r="11922" ht="14.4" x14ac:dyDescent="0.3"/>
    <row r="11923" ht="14.4" x14ac:dyDescent="0.3"/>
    <row r="11924" ht="14.4" x14ac:dyDescent="0.3"/>
    <row r="11925" ht="14.4" x14ac:dyDescent="0.3"/>
    <row r="11926" ht="14.4" x14ac:dyDescent="0.3"/>
    <row r="11927" ht="14.4" x14ac:dyDescent="0.3"/>
    <row r="11928" ht="14.4" x14ac:dyDescent="0.3"/>
    <row r="11929" ht="14.4" x14ac:dyDescent="0.3"/>
    <row r="11930" ht="14.4" x14ac:dyDescent="0.3"/>
    <row r="11931" ht="14.4" x14ac:dyDescent="0.3"/>
    <row r="11932" ht="14.4" x14ac:dyDescent="0.3"/>
    <row r="11933" ht="14.4" x14ac:dyDescent="0.3"/>
    <row r="11934" ht="14.4" x14ac:dyDescent="0.3"/>
    <row r="11935" ht="14.4" x14ac:dyDescent="0.3"/>
    <row r="11936" ht="14.4" x14ac:dyDescent="0.3"/>
    <row r="11937" ht="14.4" x14ac:dyDescent="0.3"/>
    <row r="11938" ht="14.4" x14ac:dyDescent="0.3"/>
    <row r="11939" ht="14.4" x14ac:dyDescent="0.3"/>
    <row r="11940" ht="14.4" x14ac:dyDescent="0.3"/>
    <row r="11941" ht="14.4" x14ac:dyDescent="0.3"/>
    <row r="11942" ht="14.4" x14ac:dyDescent="0.3"/>
    <row r="11943" ht="14.4" x14ac:dyDescent="0.3"/>
    <row r="11944" ht="14.4" x14ac:dyDescent="0.3"/>
    <row r="11945" ht="14.4" x14ac:dyDescent="0.3"/>
    <row r="11946" ht="14.4" x14ac:dyDescent="0.3"/>
    <row r="11947" ht="14.4" x14ac:dyDescent="0.3"/>
    <row r="11948" ht="14.4" x14ac:dyDescent="0.3"/>
    <row r="11949" ht="14.4" x14ac:dyDescent="0.3"/>
    <row r="11950" ht="14.4" x14ac:dyDescent="0.3"/>
    <row r="11951" ht="14.4" x14ac:dyDescent="0.3"/>
    <row r="11952" ht="14.4" x14ac:dyDescent="0.3"/>
    <row r="11953" ht="14.4" x14ac:dyDescent="0.3"/>
    <row r="11954" ht="14.4" x14ac:dyDescent="0.3"/>
    <row r="11955" ht="14.4" x14ac:dyDescent="0.3"/>
    <row r="11956" ht="14.4" x14ac:dyDescent="0.3"/>
    <row r="11957" ht="14.4" x14ac:dyDescent="0.3"/>
    <row r="11958" ht="14.4" x14ac:dyDescent="0.3"/>
    <row r="11959" ht="14.4" x14ac:dyDescent="0.3"/>
    <row r="11960" ht="14.4" x14ac:dyDescent="0.3"/>
    <row r="11961" ht="14.4" x14ac:dyDescent="0.3"/>
    <row r="11962" ht="14.4" x14ac:dyDescent="0.3"/>
    <row r="11963" ht="14.4" x14ac:dyDescent="0.3"/>
    <row r="11964" ht="14.4" x14ac:dyDescent="0.3"/>
    <row r="11965" ht="14.4" x14ac:dyDescent="0.3"/>
    <row r="11966" ht="14.4" x14ac:dyDescent="0.3"/>
    <row r="11967" ht="14.4" x14ac:dyDescent="0.3"/>
    <row r="11968" ht="14.4" x14ac:dyDescent="0.3"/>
    <row r="11969" ht="14.4" x14ac:dyDescent="0.3"/>
    <row r="11970" ht="14.4" x14ac:dyDescent="0.3"/>
    <row r="11971" ht="14.4" x14ac:dyDescent="0.3"/>
    <row r="11972" ht="14.4" x14ac:dyDescent="0.3"/>
    <row r="11973" ht="14.4" x14ac:dyDescent="0.3"/>
    <row r="11974" ht="14.4" x14ac:dyDescent="0.3"/>
    <row r="11975" ht="14.4" x14ac:dyDescent="0.3"/>
    <row r="11976" ht="14.4" x14ac:dyDescent="0.3"/>
    <row r="11977" ht="14.4" x14ac:dyDescent="0.3"/>
    <row r="11978" ht="14.4" x14ac:dyDescent="0.3"/>
    <row r="11979" ht="14.4" x14ac:dyDescent="0.3"/>
    <row r="11980" ht="14.4" x14ac:dyDescent="0.3"/>
    <row r="11981" ht="14.4" x14ac:dyDescent="0.3"/>
    <row r="11982" ht="14.4" x14ac:dyDescent="0.3"/>
    <row r="11983" ht="14.4" x14ac:dyDescent="0.3"/>
    <row r="11984" ht="14.4" x14ac:dyDescent="0.3"/>
    <row r="11985" ht="14.4" x14ac:dyDescent="0.3"/>
    <row r="11986" ht="14.4" x14ac:dyDescent="0.3"/>
    <row r="11987" ht="14.4" x14ac:dyDescent="0.3"/>
    <row r="11988" ht="14.4" x14ac:dyDescent="0.3"/>
    <row r="11989" ht="14.4" x14ac:dyDescent="0.3"/>
    <row r="11990" ht="14.4" x14ac:dyDescent="0.3"/>
    <row r="11991" ht="14.4" x14ac:dyDescent="0.3"/>
    <row r="11992" ht="14.4" x14ac:dyDescent="0.3"/>
    <row r="11993" ht="14.4" x14ac:dyDescent="0.3"/>
    <row r="11994" ht="14.4" x14ac:dyDescent="0.3"/>
    <row r="11995" ht="14.4" x14ac:dyDescent="0.3"/>
    <row r="11996" ht="14.4" x14ac:dyDescent="0.3"/>
    <row r="11997" ht="14.4" x14ac:dyDescent="0.3"/>
    <row r="11998" ht="14.4" x14ac:dyDescent="0.3"/>
    <row r="11999" ht="14.4" x14ac:dyDescent="0.3"/>
    <row r="12000" ht="14.4" x14ac:dyDescent="0.3"/>
    <row r="12001" ht="14.4" x14ac:dyDescent="0.3"/>
    <row r="12002" ht="14.4" x14ac:dyDescent="0.3"/>
    <row r="12003" ht="14.4" x14ac:dyDescent="0.3"/>
    <row r="12004" ht="14.4" x14ac:dyDescent="0.3"/>
    <row r="12005" ht="14.4" x14ac:dyDescent="0.3"/>
    <row r="12006" ht="14.4" x14ac:dyDescent="0.3"/>
    <row r="12007" ht="14.4" x14ac:dyDescent="0.3"/>
    <row r="12008" ht="14.4" x14ac:dyDescent="0.3"/>
    <row r="12009" ht="14.4" x14ac:dyDescent="0.3"/>
    <row r="12010" ht="14.4" x14ac:dyDescent="0.3"/>
    <row r="12011" ht="14.4" x14ac:dyDescent="0.3"/>
    <row r="12012" ht="14.4" x14ac:dyDescent="0.3"/>
    <row r="12013" ht="14.4" x14ac:dyDescent="0.3"/>
    <row r="12014" ht="14.4" x14ac:dyDescent="0.3"/>
    <row r="12015" ht="14.4" x14ac:dyDescent="0.3"/>
    <row r="12016" ht="14.4" x14ac:dyDescent="0.3"/>
    <row r="12017" ht="14.4" x14ac:dyDescent="0.3"/>
    <row r="12018" ht="14.4" x14ac:dyDescent="0.3"/>
    <row r="12019" ht="14.4" x14ac:dyDescent="0.3"/>
    <row r="12020" ht="14.4" x14ac:dyDescent="0.3"/>
    <row r="12021" ht="14.4" x14ac:dyDescent="0.3"/>
    <row r="12022" ht="14.4" x14ac:dyDescent="0.3"/>
    <row r="12023" ht="14.4" x14ac:dyDescent="0.3"/>
    <row r="12024" ht="14.4" x14ac:dyDescent="0.3"/>
    <row r="12025" ht="14.4" x14ac:dyDescent="0.3"/>
    <row r="12026" ht="14.4" x14ac:dyDescent="0.3"/>
    <row r="12027" ht="14.4" x14ac:dyDescent="0.3"/>
    <row r="12028" ht="14.4" x14ac:dyDescent="0.3"/>
    <row r="12029" ht="14.4" x14ac:dyDescent="0.3"/>
    <row r="12030" ht="14.4" x14ac:dyDescent="0.3"/>
    <row r="12031" ht="14.4" x14ac:dyDescent="0.3"/>
    <row r="12032" ht="14.4" x14ac:dyDescent="0.3"/>
    <row r="12033" ht="14.4" x14ac:dyDescent="0.3"/>
    <row r="12034" ht="14.4" x14ac:dyDescent="0.3"/>
    <row r="12035" ht="14.4" x14ac:dyDescent="0.3"/>
    <row r="12036" ht="14.4" x14ac:dyDescent="0.3"/>
    <row r="12037" ht="14.4" x14ac:dyDescent="0.3"/>
    <row r="12038" ht="14.4" x14ac:dyDescent="0.3"/>
    <row r="12039" ht="14.4" x14ac:dyDescent="0.3"/>
    <row r="12040" ht="14.4" x14ac:dyDescent="0.3"/>
    <row r="12041" ht="14.4" x14ac:dyDescent="0.3"/>
    <row r="12042" ht="14.4" x14ac:dyDescent="0.3"/>
    <row r="12043" ht="14.4" x14ac:dyDescent="0.3"/>
    <row r="12044" ht="14.4" x14ac:dyDescent="0.3"/>
    <row r="12045" ht="14.4" x14ac:dyDescent="0.3"/>
    <row r="12046" ht="14.4" x14ac:dyDescent="0.3"/>
    <row r="12047" ht="14.4" x14ac:dyDescent="0.3"/>
    <row r="12048" ht="14.4" x14ac:dyDescent="0.3"/>
    <row r="12049" ht="14.4" x14ac:dyDescent="0.3"/>
    <row r="12050" ht="14.4" x14ac:dyDescent="0.3"/>
    <row r="12051" ht="14.4" x14ac:dyDescent="0.3"/>
    <row r="12052" ht="14.4" x14ac:dyDescent="0.3"/>
    <row r="12053" ht="14.4" x14ac:dyDescent="0.3"/>
    <row r="12054" ht="14.4" x14ac:dyDescent="0.3"/>
    <row r="12055" ht="14.4" x14ac:dyDescent="0.3"/>
    <row r="12056" ht="14.4" x14ac:dyDescent="0.3"/>
    <row r="12057" ht="14.4" x14ac:dyDescent="0.3"/>
    <row r="12058" ht="14.4" x14ac:dyDescent="0.3"/>
    <row r="12059" ht="14.4" x14ac:dyDescent="0.3"/>
    <row r="12060" ht="14.4" x14ac:dyDescent="0.3"/>
    <row r="12061" ht="14.4" x14ac:dyDescent="0.3"/>
    <row r="12062" ht="14.4" x14ac:dyDescent="0.3"/>
    <row r="12063" ht="14.4" x14ac:dyDescent="0.3"/>
    <row r="12064" ht="14.4" x14ac:dyDescent="0.3"/>
    <row r="12065" ht="14.4" x14ac:dyDescent="0.3"/>
    <row r="12066" ht="14.4" x14ac:dyDescent="0.3"/>
    <row r="12067" ht="14.4" x14ac:dyDescent="0.3"/>
    <row r="12068" ht="14.4" x14ac:dyDescent="0.3"/>
    <row r="12069" ht="14.4" x14ac:dyDescent="0.3"/>
    <row r="12070" ht="14.4" x14ac:dyDescent="0.3"/>
    <row r="12071" ht="14.4" x14ac:dyDescent="0.3"/>
    <row r="12072" ht="14.4" x14ac:dyDescent="0.3"/>
    <row r="12073" ht="14.4" x14ac:dyDescent="0.3"/>
    <row r="12074" ht="14.4" x14ac:dyDescent="0.3"/>
    <row r="12075" ht="14.4" x14ac:dyDescent="0.3"/>
    <row r="12076" ht="14.4" x14ac:dyDescent="0.3"/>
    <row r="12077" ht="14.4" x14ac:dyDescent="0.3"/>
    <row r="12078" ht="14.4" x14ac:dyDescent="0.3"/>
    <row r="12079" ht="14.4" x14ac:dyDescent="0.3"/>
    <row r="12080" ht="14.4" x14ac:dyDescent="0.3"/>
    <row r="12081" ht="14.4" x14ac:dyDescent="0.3"/>
    <row r="12082" ht="14.4" x14ac:dyDescent="0.3"/>
    <row r="12083" ht="14.4" x14ac:dyDescent="0.3"/>
    <row r="12084" ht="14.4" x14ac:dyDescent="0.3"/>
    <row r="12085" ht="14.4" x14ac:dyDescent="0.3"/>
    <row r="12086" ht="14.4" x14ac:dyDescent="0.3"/>
    <row r="12087" ht="14.4" x14ac:dyDescent="0.3"/>
    <row r="12088" ht="14.4" x14ac:dyDescent="0.3"/>
    <row r="12089" ht="14.4" x14ac:dyDescent="0.3"/>
    <row r="12090" ht="14.4" x14ac:dyDescent="0.3"/>
    <row r="12091" ht="14.4" x14ac:dyDescent="0.3"/>
    <row r="12092" ht="14.4" x14ac:dyDescent="0.3"/>
    <row r="12093" ht="14.4" x14ac:dyDescent="0.3"/>
    <row r="12094" ht="14.4" x14ac:dyDescent="0.3"/>
    <row r="12095" ht="14.4" x14ac:dyDescent="0.3"/>
    <row r="12096" ht="14.4" x14ac:dyDescent="0.3"/>
    <row r="12097" ht="14.4" x14ac:dyDescent="0.3"/>
    <row r="12098" ht="14.4" x14ac:dyDescent="0.3"/>
    <row r="12099" ht="14.4" x14ac:dyDescent="0.3"/>
    <row r="12100" ht="14.4" x14ac:dyDescent="0.3"/>
    <row r="12101" ht="14.4" x14ac:dyDescent="0.3"/>
    <row r="12102" ht="14.4" x14ac:dyDescent="0.3"/>
    <row r="12103" ht="14.4" x14ac:dyDescent="0.3"/>
    <row r="12104" ht="14.4" x14ac:dyDescent="0.3"/>
    <row r="12105" ht="14.4" x14ac:dyDescent="0.3"/>
    <row r="12106" ht="14.4" x14ac:dyDescent="0.3"/>
    <row r="12107" ht="14.4" x14ac:dyDescent="0.3"/>
    <row r="12108" ht="14.4" x14ac:dyDescent="0.3"/>
    <row r="12109" ht="14.4" x14ac:dyDescent="0.3"/>
    <row r="12110" ht="14.4" x14ac:dyDescent="0.3"/>
    <row r="12111" ht="14.4" x14ac:dyDescent="0.3"/>
    <row r="12112" ht="14.4" x14ac:dyDescent="0.3"/>
    <row r="12113" ht="14.4" x14ac:dyDescent="0.3"/>
    <row r="12114" ht="14.4" x14ac:dyDescent="0.3"/>
    <row r="12115" ht="14.4" x14ac:dyDescent="0.3"/>
    <row r="12116" ht="14.4" x14ac:dyDescent="0.3"/>
    <row r="12117" ht="14.4" x14ac:dyDescent="0.3"/>
    <row r="12118" ht="14.4" x14ac:dyDescent="0.3"/>
    <row r="12119" ht="14.4" x14ac:dyDescent="0.3"/>
    <row r="12120" ht="14.4" x14ac:dyDescent="0.3"/>
    <row r="12121" ht="14.4" x14ac:dyDescent="0.3"/>
    <row r="12122" ht="14.4" x14ac:dyDescent="0.3"/>
    <row r="12123" ht="14.4" x14ac:dyDescent="0.3"/>
    <row r="12124" ht="14.4" x14ac:dyDescent="0.3"/>
    <row r="12125" ht="14.4" x14ac:dyDescent="0.3"/>
    <row r="12126" ht="14.4" x14ac:dyDescent="0.3"/>
    <row r="12127" ht="14.4" x14ac:dyDescent="0.3"/>
    <row r="12128" ht="14.4" x14ac:dyDescent="0.3"/>
    <row r="12129" ht="14.4" x14ac:dyDescent="0.3"/>
    <row r="12130" ht="14.4" x14ac:dyDescent="0.3"/>
    <row r="12131" ht="14.4" x14ac:dyDescent="0.3"/>
    <row r="12132" ht="14.4" x14ac:dyDescent="0.3"/>
    <row r="12133" ht="14.4" x14ac:dyDescent="0.3"/>
    <row r="12134" ht="14.4" x14ac:dyDescent="0.3"/>
    <row r="12135" ht="14.4" x14ac:dyDescent="0.3"/>
    <row r="12136" ht="14.4" x14ac:dyDescent="0.3"/>
    <row r="12137" ht="14.4" x14ac:dyDescent="0.3"/>
    <row r="12138" ht="14.4" x14ac:dyDescent="0.3"/>
    <row r="12139" ht="14.4" x14ac:dyDescent="0.3"/>
    <row r="12140" ht="14.4" x14ac:dyDescent="0.3"/>
    <row r="12141" ht="14.4" x14ac:dyDescent="0.3"/>
    <row r="12142" ht="14.4" x14ac:dyDescent="0.3"/>
    <row r="12143" ht="14.4" x14ac:dyDescent="0.3"/>
    <row r="12144" ht="14.4" x14ac:dyDescent="0.3"/>
    <row r="12145" ht="14.4" x14ac:dyDescent="0.3"/>
    <row r="12146" ht="14.4" x14ac:dyDescent="0.3"/>
    <row r="12147" ht="14.4" x14ac:dyDescent="0.3"/>
    <row r="12148" ht="14.4" x14ac:dyDescent="0.3"/>
    <row r="12149" ht="14.4" x14ac:dyDescent="0.3"/>
    <row r="12150" ht="14.4" x14ac:dyDescent="0.3"/>
    <row r="12151" ht="14.4" x14ac:dyDescent="0.3"/>
    <row r="12152" ht="14.4" x14ac:dyDescent="0.3"/>
    <row r="12153" ht="14.4" x14ac:dyDescent="0.3"/>
    <row r="12154" ht="14.4" x14ac:dyDescent="0.3"/>
    <row r="12155" ht="14.4" x14ac:dyDescent="0.3"/>
    <row r="12156" ht="14.4" x14ac:dyDescent="0.3"/>
    <row r="12157" ht="14.4" x14ac:dyDescent="0.3"/>
    <row r="12158" ht="14.4" x14ac:dyDescent="0.3"/>
    <row r="12159" ht="14.4" x14ac:dyDescent="0.3"/>
    <row r="12160" ht="14.4" x14ac:dyDescent="0.3"/>
    <row r="12161" ht="14.4" x14ac:dyDescent="0.3"/>
    <row r="12162" ht="14.4" x14ac:dyDescent="0.3"/>
    <row r="12163" ht="14.4" x14ac:dyDescent="0.3"/>
    <row r="12164" ht="14.4" x14ac:dyDescent="0.3"/>
    <row r="12165" ht="14.4" x14ac:dyDescent="0.3"/>
    <row r="12166" ht="14.4" x14ac:dyDescent="0.3"/>
    <row r="12167" ht="14.4" x14ac:dyDescent="0.3"/>
    <row r="12168" ht="14.4" x14ac:dyDescent="0.3"/>
    <row r="12169" ht="14.4" x14ac:dyDescent="0.3"/>
    <row r="12170" ht="14.4" x14ac:dyDescent="0.3"/>
    <row r="12171" ht="14.4" x14ac:dyDescent="0.3"/>
    <row r="12172" ht="14.4" x14ac:dyDescent="0.3"/>
    <row r="12173" ht="14.4" x14ac:dyDescent="0.3"/>
    <row r="12174" ht="14.4" x14ac:dyDescent="0.3"/>
    <row r="12175" ht="14.4" x14ac:dyDescent="0.3"/>
    <row r="12176" ht="14.4" x14ac:dyDescent="0.3"/>
    <row r="12177" ht="14.4" x14ac:dyDescent="0.3"/>
    <row r="12178" ht="14.4" x14ac:dyDescent="0.3"/>
    <row r="12179" ht="14.4" x14ac:dyDescent="0.3"/>
    <row r="12180" ht="14.4" x14ac:dyDescent="0.3"/>
    <row r="12181" ht="14.4" x14ac:dyDescent="0.3"/>
    <row r="12182" ht="14.4" x14ac:dyDescent="0.3"/>
    <row r="12183" ht="14.4" x14ac:dyDescent="0.3"/>
    <row r="12184" ht="14.4" x14ac:dyDescent="0.3"/>
    <row r="12185" ht="14.4" x14ac:dyDescent="0.3"/>
    <row r="12186" ht="14.4" x14ac:dyDescent="0.3"/>
    <row r="12187" ht="14.4" x14ac:dyDescent="0.3"/>
    <row r="12188" ht="14.4" x14ac:dyDescent="0.3"/>
    <row r="12189" ht="14.4" x14ac:dyDescent="0.3"/>
    <row r="12190" ht="14.4" x14ac:dyDescent="0.3"/>
    <row r="12191" ht="14.4" x14ac:dyDescent="0.3"/>
    <row r="12192" ht="14.4" x14ac:dyDescent="0.3"/>
    <row r="12193" ht="14.4" x14ac:dyDescent="0.3"/>
    <row r="12194" ht="14.4" x14ac:dyDescent="0.3"/>
    <row r="12195" ht="14.4" x14ac:dyDescent="0.3"/>
    <row r="12196" ht="14.4" x14ac:dyDescent="0.3"/>
    <row r="12197" ht="14.4" x14ac:dyDescent="0.3"/>
    <row r="12198" ht="14.4" x14ac:dyDescent="0.3"/>
    <row r="12199" ht="14.4" x14ac:dyDescent="0.3"/>
    <row r="12200" ht="14.4" x14ac:dyDescent="0.3"/>
    <row r="12201" ht="14.4" x14ac:dyDescent="0.3"/>
    <row r="12202" ht="14.4" x14ac:dyDescent="0.3"/>
    <row r="12203" ht="14.4" x14ac:dyDescent="0.3"/>
    <row r="12204" ht="14.4" x14ac:dyDescent="0.3"/>
    <row r="12205" ht="14.4" x14ac:dyDescent="0.3"/>
    <row r="12206" ht="14.4" x14ac:dyDescent="0.3"/>
    <row r="12207" ht="14.4" x14ac:dyDescent="0.3"/>
    <row r="12208" ht="14.4" x14ac:dyDescent="0.3"/>
    <row r="12209" ht="14.4" x14ac:dyDescent="0.3"/>
    <row r="12210" ht="14.4" x14ac:dyDescent="0.3"/>
    <row r="12211" ht="14.4" x14ac:dyDescent="0.3"/>
    <row r="12212" ht="14.4" x14ac:dyDescent="0.3"/>
    <row r="12213" ht="14.4" x14ac:dyDescent="0.3"/>
    <row r="12214" ht="14.4" x14ac:dyDescent="0.3"/>
    <row r="12215" ht="14.4" x14ac:dyDescent="0.3"/>
    <row r="12216" ht="14.4" x14ac:dyDescent="0.3"/>
    <row r="12217" ht="14.4" x14ac:dyDescent="0.3"/>
    <row r="12218" ht="14.4" x14ac:dyDescent="0.3"/>
    <row r="12219" ht="14.4" x14ac:dyDescent="0.3"/>
    <row r="12220" ht="14.4" x14ac:dyDescent="0.3"/>
    <row r="12221" ht="14.4" x14ac:dyDescent="0.3"/>
    <row r="12222" ht="14.4" x14ac:dyDescent="0.3"/>
    <row r="12223" ht="14.4" x14ac:dyDescent="0.3"/>
    <row r="12224" ht="14.4" x14ac:dyDescent="0.3"/>
    <row r="12225" ht="14.4" x14ac:dyDescent="0.3"/>
    <row r="12226" ht="14.4" x14ac:dyDescent="0.3"/>
    <row r="12227" ht="14.4" x14ac:dyDescent="0.3"/>
    <row r="12228" ht="14.4" x14ac:dyDescent="0.3"/>
    <row r="12229" ht="14.4" x14ac:dyDescent="0.3"/>
    <row r="12230" ht="14.4" x14ac:dyDescent="0.3"/>
    <row r="12231" ht="14.4" x14ac:dyDescent="0.3"/>
    <row r="12232" ht="14.4" x14ac:dyDescent="0.3"/>
    <row r="12233" ht="14.4" x14ac:dyDescent="0.3"/>
    <row r="12234" ht="14.4" x14ac:dyDescent="0.3"/>
    <row r="12235" ht="14.4" x14ac:dyDescent="0.3"/>
    <row r="12236" ht="14.4" x14ac:dyDescent="0.3"/>
    <row r="12237" ht="14.4" x14ac:dyDescent="0.3"/>
    <row r="12238" ht="14.4" x14ac:dyDescent="0.3"/>
    <row r="12239" ht="14.4" x14ac:dyDescent="0.3"/>
    <row r="12240" ht="14.4" x14ac:dyDescent="0.3"/>
    <row r="12241" ht="14.4" x14ac:dyDescent="0.3"/>
    <row r="12242" ht="14.4" x14ac:dyDescent="0.3"/>
    <row r="12243" ht="14.4" x14ac:dyDescent="0.3"/>
    <row r="12244" ht="14.4" x14ac:dyDescent="0.3"/>
    <row r="12245" ht="14.4" x14ac:dyDescent="0.3"/>
    <row r="12246" ht="14.4" x14ac:dyDescent="0.3"/>
    <row r="12247" ht="14.4" x14ac:dyDescent="0.3"/>
    <row r="12248" ht="14.4" x14ac:dyDescent="0.3"/>
    <row r="12249" ht="14.4" x14ac:dyDescent="0.3"/>
    <row r="12250" ht="14.4" x14ac:dyDescent="0.3"/>
    <row r="12251" ht="14.4" x14ac:dyDescent="0.3"/>
    <row r="12252" ht="14.4" x14ac:dyDescent="0.3"/>
    <row r="12253" ht="14.4" x14ac:dyDescent="0.3"/>
    <row r="12254" ht="14.4" x14ac:dyDescent="0.3"/>
    <row r="12255" ht="14.4" x14ac:dyDescent="0.3"/>
    <row r="12256" ht="14.4" x14ac:dyDescent="0.3"/>
    <row r="12257" ht="14.4" x14ac:dyDescent="0.3"/>
    <row r="12258" ht="14.4" x14ac:dyDescent="0.3"/>
    <row r="12259" ht="14.4" x14ac:dyDescent="0.3"/>
    <row r="12260" ht="14.4" x14ac:dyDescent="0.3"/>
    <row r="12261" ht="14.4" x14ac:dyDescent="0.3"/>
    <row r="12262" ht="14.4" x14ac:dyDescent="0.3"/>
    <row r="12263" ht="14.4" x14ac:dyDescent="0.3"/>
    <row r="12264" ht="14.4" x14ac:dyDescent="0.3"/>
    <row r="12265" ht="14.4" x14ac:dyDescent="0.3"/>
    <row r="12266" ht="14.4" x14ac:dyDescent="0.3"/>
    <row r="12267" ht="14.4" x14ac:dyDescent="0.3"/>
    <row r="12268" ht="14.4" x14ac:dyDescent="0.3"/>
    <row r="12269" ht="14.4" x14ac:dyDescent="0.3"/>
    <row r="12270" ht="14.4" x14ac:dyDescent="0.3"/>
    <row r="12271" ht="14.4" x14ac:dyDescent="0.3"/>
    <row r="12272" ht="14.4" x14ac:dyDescent="0.3"/>
    <row r="12273" ht="14.4" x14ac:dyDescent="0.3"/>
    <row r="12274" ht="14.4" x14ac:dyDescent="0.3"/>
    <row r="12275" ht="14.4" x14ac:dyDescent="0.3"/>
    <row r="12276" ht="14.4" x14ac:dyDescent="0.3"/>
    <row r="12277" ht="14.4" x14ac:dyDescent="0.3"/>
    <row r="12278" ht="14.4" x14ac:dyDescent="0.3"/>
    <row r="12279" ht="14.4" x14ac:dyDescent="0.3"/>
    <row r="12280" ht="14.4" x14ac:dyDescent="0.3"/>
    <row r="12281" ht="14.4" x14ac:dyDescent="0.3"/>
    <row r="12282" ht="14.4" x14ac:dyDescent="0.3"/>
    <row r="12283" ht="14.4" x14ac:dyDescent="0.3"/>
    <row r="12284" ht="14.4" x14ac:dyDescent="0.3"/>
    <row r="12285" ht="14.4" x14ac:dyDescent="0.3"/>
    <row r="12286" ht="14.4" x14ac:dyDescent="0.3"/>
    <row r="12287" ht="14.4" x14ac:dyDescent="0.3"/>
    <row r="12288" ht="14.4" x14ac:dyDescent="0.3"/>
    <row r="12289" ht="14.4" x14ac:dyDescent="0.3"/>
    <row r="12290" ht="14.4" x14ac:dyDescent="0.3"/>
    <row r="12291" ht="14.4" x14ac:dyDescent="0.3"/>
    <row r="12292" ht="14.4" x14ac:dyDescent="0.3"/>
    <row r="12293" ht="14.4" x14ac:dyDescent="0.3"/>
    <row r="12294" ht="14.4" x14ac:dyDescent="0.3"/>
    <row r="12295" ht="14.4" x14ac:dyDescent="0.3"/>
    <row r="12296" ht="14.4" x14ac:dyDescent="0.3"/>
    <row r="12297" ht="14.4" x14ac:dyDescent="0.3"/>
    <row r="12298" ht="14.4" x14ac:dyDescent="0.3"/>
    <row r="12299" ht="14.4" x14ac:dyDescent="0.3"/>
    <row r="12300" ht="14.4" x14ac:dyDescent="0.3"/>
    <row r="12301" ht="14.4" x14ac:dyDescent="0.3"/>
    <row r="12302" ht="14.4" x14ac:dyDescent="0.3"/>
    <row r="12303" ht="14.4" x14ac:dyDescent="0.3"/>
    <row r="12304" ht="14.4" x14ac:dyDescent="0.3"/>
    <row r="12305" ht="14.4" x14ac:dyDescent="0.3"/>
    <row r="12306" ht="14.4" x14ac:dyDescent="0.3"/>
    <row r="12307" ht="14.4" x14ac:dyDescent="0.3"/>
    <row r="12308" ht="14.4" x14ac:dyDescent="0.3"/>
    <row r="12309" ht="14.4" x14ac:dyDescent="0.3"/>
    <row r="12310" ht="14.4" x14ac:dyDescent="0.3"/>
    <row r="12311" ht="14.4" x14ac:dyDescent="0.3"/>
    <row r="12312" ht="14.4" x14ac:dyDescent="0.3"/>
    <row r="12313" ht="14.4" x14ac:dyDescent="0.3"/>
    <row r="12314" ht="14.4" x14ac:dyDescent="0.3"/>
    <row r="12315" ht="14.4" x14ac:dyDescent="0.3"/>
    <row r="12316" ht="14.4" x14ac:dyDescent="0.3"/>
    <row r="12317" ht="14.4" x14ac:dyDescent="0.3"/>
    <row r="12318" ht="14.4" x14ac:dyDescent="0.3"/>
    <row r="12319" ht="14.4" x14ac:dyDescent="0.3"/>
    <row r="12320" ht="14.4" x14ac:dyDescent="0.3"/>
    <row r="12321" ht="14.4" x14ac:dyDescent="0.3"/>
    <row r="12322" ht="14.4" x14ac:dyDescent="0.3"/>
    <row r="12323" ht="14.4" x14ac:dyDescent="0.3"/>
    <row r="12324" ht="14.4" x14ac:dyDescent="0.3"/>
    <row r="12325" ht="14.4" x14ac:dyDescent="0.3"/>
    <row r="12326" ht="14.4" x14ac:dyDescent="0.3"/>
    <row r="12327" ht="14.4" x14ac:dyDescent="0.3"/>
    <row r="12328" ht="14.4" x14ac:dyDescent="0.3"/>
    <row r="12329" ht="14.4" x14ac:dyDescent="0.3"/>
    <row r="12330" ht="14.4" x14ac:dyDescent="0.3"/>
    <row r="12331" ht="14.4" x14ac:dyDescent="0.3"/>
    <row r="12332" ht="14.4" x14ac:dyDescent="0.3"/>
    <row r="12333" ht="14.4" x14ac:dyDescent="0.3"/>
    <row r="12334" ht="14.4" x14ac:dyDescent="0.3"/>
    <row r="12335" ht="14.4" x14ac:dyDescent="0.3"/>
    <row r="12336" ht="14.4" x14ac:dyDescent="0.3"/>
    <row r="12337" ht="14.4" x14ac:dyDescent="0.3"/>
    <row r="12338" ht="14.4" x14ac:dyDescent="0.3"/>
    <row r="12339" ht="14.4" x14ac:dyDescent="0.3"/>
    <row r="12340" ht="14.4" x14ac:dyDescent="0.3"/>
    <row r="12341" ht="14.4" x14ac:dyDescent="0.3"/>
    <row r="12342" ht="14.4" x14ac:dyDescent="0.3"/>
    <row r="12343" ht="14.4" x14ac:dyDescent="0.3"/>
    <row r="12344" ht="14.4" x14ac:dyDescent="0.3"/>
    <row r="12345" ht="14.4" x14ac:dyDescent="0.3"/>
    <row r="12346" ht="14.4" x14ac:dyDescent="0.3"/>
    <row r="12347" ht="14.4" x14ac:dyDescent="0.3"/>
    <row r="12348" ht="14.4" x14ac:dyDescent="0.3"/>
    <row r="12349" ht="14.4" x14ac:dyDescent="0.3"/>
    <row r="12350" ht="14.4" x14ac:dyDescent="0.3"/>
    <row r="12351" ht="14.4" x14ac:dyDescent="0.3"/>
    <row r="12352" ht="14.4" x14ac:dyDescent="0.3"/>
    <row r="12353" ht="14.4" x14ac:dyDescent="0.3"/>
    <row r="12354" ht="14.4" x14ac:dyDescent="0.3"/>
    <row r="12355" ht="14.4" x14ac:dyDescent="0.3"/>
    <row r="12356" ht="14.4" x14ac:dyDescent="0.3"/>
    <row r="12357" ht="14.4" x14ac:dyDescent="0.3"/>
    <row r="12358" ht="14.4" x14ac:dyDescent="0.3"/>
    <row r="12359" ht="14.4" x14ac:dyDescent="0.3"/>
    <row r="12360" ht="14.4" x14ac:dyDescent="0.3"/>
    <row r="12361" ht="14.4" x14ac:dyDescent="0.3"/>
    <row r="12362" ht="14.4" x14ac:dyDescent="0.3"/>
    <row r="12363" ht="14.4" x14ac:dyDescent="0.3"/>
    <row r="12364" ht="14.4" x14ac:dyDescent="0.3"/>
    <row r="12365" ht="14.4" x14ac:dyDescent="0.3"/>
    <row r="12366" ht="14.4" x14ac:dyDescent="0.3"/>
    <row r="12367" ht="14.4" x14ac:dyDescent="0.3"/>
    <row r="12368" ht="14.4" x14ac:dyDescent="0.3"/>
    <row r="12369" spans="1:43" ht="14.4" x14ac:dyDescent="0.3"/>
    <row r="12370" spans="1:43" ht="14.4" x14ac:dyDescent="0.3"/>
    <row r="12371" spans="1:43" ht="14.4" x14ac:dyDescent="0.3"/>
    <row r="12372" spans="1:43" ht="14.4" x14ac:dyDescent="0.3"/>
    <row r="12373" spans="1:43" ht="14.4" x14ac:dyDescent="0.3"/>
    <row r="12374" spans="1:43" ht="14.4" x14ac:dyDescent="0.3"/>
    <row r="12375" spans="1:43" ht="14.4" x14ac:dyDescent="0.3"/>
    <row r="12376" spans="1:43" ht="14.4" x14ac:dyDescent="0.3"/>
    <row r="12377" spans="1:43" ht="14.4" x14ac:dyDescent="0.3"/>
    <row r="12378" spans="1:43" ht="14.4" hidden="1" x14ac:dyDescent="0.3">
      <c r="A12378" t="s">
        <v>1893</v>
      </c>
      <c r="B12378">
        <v>4929286</v>
      </c>
      <c r="C12378" t="s">
        <v>445</v>
      </c>
      <c r="D12378" t="s">
        <v>446</v>
      </c>
      <c r="E12378" t="s">
        <v>546</v>
      </c>
      <c r="F12378" t="s">
        <v>1395</v>
      </c>
      <c r="H12378" t="s">
        <v>229</v>
      </c>
      <c r="J12378" t="s">
        <v>140</v>
      </c>
      <c r="K12378">
        <v>159528.45199999999</v>
      </c>
      <c r="L12378">
        <v>385631.33899999998</v>
      </c>
      <c r="M12378">
        <v>1</v>
      </c>
      <c r="N12378" t="s">
        <v>1396</v>
      </c>
      <c r="O12378" t="s">
        <v>552</v>
      </c>
      <c r="P12378" t="s">
        <v>1397</v>
      </c>
      <c r="Q12378" t="s">
        <v>144</v>
      </c>
      <c r="S12378">
        <v>23</v>
      </c>
      <c r="T12378">
        <v>3000</v>
      </c>
      <c r="V12378" t="s">
        <v>146</v>
      </c>
      <c r="W12378" t="s">
        <v>147</v>
      </c>
      <c r="X12378" t="s">
        <v>7</v>
      </c>
      <c r="Y12378" t="s">
        <v>1006</v>
      </c>
      <c r="Z12378" t="s">
        <v>552</v>
      </c>
      <c r="AA12378" t="s">
        <v>404</v>
      </c>
      <c r="AB12378">
        <v>0</v>
      </c>
      <c r="AE12378" t="s">
        <v>1398</v>
      </c>
      <c r="AF12378" t="s">
        <v>552</v>
      </c>
      <c r="AG12378" t="s">
        <v>1399</v>
      </c>
      <c r="AL12378" t="s">
        <v>1894</v>
      </c>
      <c r="AM12378" t="s">
        <v>1895</v>
      </c>
      <c r="AN12378" t="s">
        <v>1896</v>
      </c>
      <c r="AO12378" t="s">
        <v>1396</v>
      </c>
      <c r="AP12378" t="s">
        <v>158</v>
      </c>
      <c r="AQ12378" t="str">
        <f>IF(ISBLANK(AP12378), IFERROR(IF(VLOOKUP(AO12378, Ellens_additions!$A$2:$B$252, 2, FALSE) = "", "", VLOOKUP(AO12378, Ellens_additions!$A$2:$B$252, 2, FALSE)), 0), AP12378)</f>
        <v>3000</v>
      </c>
    </row>
    <row r="12379" spans="1:43" ht="14.4" hidden="1" x14ac:dyDescent="0.3">
      <c r="A12379" t="s">
        <v>1897</v>
      </c>
      <c r="B12379">
        <v>4929288</v>
      </c>
      <c r="C12379" t="s">
        <v>445</v>
      </c>
      <c r="D12379" t="s">
        <v>446</v>
      </c>
      <c r="E12379" t="s">
        <v>546</v>
      </c>
      <c r="F12379" t="s">
        <v>1395</v>
      </c>
      <c r="H12379" t="s">
        <v>274</v>
      </c>
      <c r="J12379" t="s">
        <v>140</v>
      </c>
      <c r="K12379">
        <v>159550.177</v>
      </c>
      <c r="L12379">
        <v>385610.31300000002</v>
      </c>
      <c r="M12379">
        <v>1</v>
      </c>
      <c r="N12379" t="s">
        <v>1396</v>
      </c>
      <c r="O12379" t="s">
        <v>552</v>
      </c>
      <c r="P12379" t="s">
        <v>1397</v>
      </c>
      <c r="Q12379" t="s">
        <v>144</v>
      </c>
      <c r="S12379">
        <v>23</v>
      </c>
      <c r="T12379">
        <v>3000</v>
      </c>
      <c r="V12379" t="s">
        <v>146</v>
      </c>
      <c r="W12379" t="s">
        <v>147</v>
      </c>
      <c r="X12379" t="s">
        <v>7</v>
      </c>
      <c r="Y12379" t="s">
        <v>1006</v>
      </c>
      <c r="Z12379" t="s">
        <v>552</v>
      </c>
      <c r="AA12379" t="s">
        <v>404</v>
      </c>
      <c r="AB12379">
        <v>0</v>
      </c>
      <c r="AE12379" t="s">
        <v>1398</v>
      </c>
      <c r="AF12379" t="s">
        <v>1371</v>
      </c>
      <c r="AG12379" t="s">
        <v>1372</v>
      </c>
      <c r="AL12379" t="s">
        <v>1898</v>
      </c>
      <c r="AM12379" t="s">
        <v>1899</v>
      </c>
      <c r="AN12379" t="s">
        <v>1900</v>
      </c>
      <c r="AO12379" t="s">
        <v>1396</v>
      </c>
      <c r="AP12379" t="s">
        <v>158</v>
      </c>
      <c r="AQ12379" t="str">
        <f>IF(ISBLANK(AP12379), IFERROR(IF(VLOOKUP(AO12379, Ellens_additions!$A$2:$B$252, 2, FALSE) = "", "", VLOOKUP(AO12379, Ellens_additions!$A$2:$B$252, 2, FALSE)), 0), AP12379)</f>
        <v>3000</v>
      </c>
    </row>
    <row r="12380" spans="1:43" ht="14.4" hidden="1" x14ac:dyDescent="0.3">
      <c r="A12380" t="s">
        <v>1901</v>
      </c>
      <c r="B12380">
        <v>4929290</v>
      </c>
      <c r="C12380" t="s">
        <v>445</v>
      </c>
      <c r="D12380" t="s">
        <v>446</v>
      </c>
      <c r="E12380" t="s">
        <v>546</v>
      </c>
      <c r="F12380" t="s">
        <v>1395</v>
      </c>
      <c r="H12380" t="s">
        <v>275</v>
      </c>
      <c r="J12380" t="s">
        <v>140</v>
      </c>
      <c r="K12380">
        <v>159570.76699999999</v>
      </c>
      <c r="L12380">
        <v>385576.734</v>
      </c>
      <c r="M12380">
        <v>1</v>
      </c>
      <c r="N12380" t="s">
        <v>1396</v>
      </c>
      <c r="O12380" t="s">
        <v>552</v>
      </c>
      <c r="P12380" t="s">
        <v>1397</v>
      </c>
      <c r="Q12380" t="s">
        <v>144</v>
      </c>
      <c r="S12380">
        <v>23</v>
      </c>
      <c r="T12380">
        <v>3000</v>
      </c>
      <c r="V12380" t="s">
        <v>146</v>
      </c>
      <c r="W12380" t="s">
        <v>147</v>
      </c>
      <c r="X12380" t="s">
        <v>7</v>
      </c>
      <c r="Y12380" t="s">
        <v>1006</v>
      </c>
      <c r="Z12380" t="s">
        <v>552</v>
      </c>
      <c r="AA12380" t="s">
        <v>404</v>
      </c>
      <c r="AB12380">
        <v>0</v>
      </c>
      <c r="AE12380" t="s">
        <v>1398</v>
      </c>
      <c r="AF12380" t="s">
        <v>552</v>
      </c>
      <c r="AG12380" t="s">
        <v>1399</v>
      </c>
      <c r="AL12380" t="s">
        <v>1902</v>
      </c>
      <c r="AM12380" t="s">
        <v>1903</v>
      </c>
      <c r="AN12380" t="s">
        <v>1904</v>
      </c>
      <c r="AO12380" t="s">
        <v>1396</v>
      </c>
      <c r="AP12380" t="s">
        <v>158</v>
      </c>
      <c r="AQ12380" t="str">
        <f>IF(ISBLANK(AP12380), IFERROR(IF(VLOOKUP(AO12380, Ellens_additions!$A$2:$B$252, 2, FALSE) = "", "", VLOOKUP(AO12380, Ellens_additions!$A$2:$B$252, 2, FALSE)), 0), AP12380)</f>
        <v>3000</v>
      </c>
    </row>
    <row r="12381" spans="1:43" ht="14.4" hidden="1" x14ac:dyDescent="0.3">
      <c r="A12381" t="s">
        <v>1905</v>
      </c>
      <c r="B12381">
        <v>4929291</v>
      </c>
      <c r="C12381" t="s">
        <v>445</v>
      </c>
      <c r="D12381" t="s">
        <v>446</v>
      </c>
      <c r="E12381" t="s">
        <v>546</v>
      </c>
      <c r="F12381" t="s">
        <v>1395</v>
      </c>
      <c r="H12381" t="s">
        <v>251</v>
      </c>
      <c r="J12381" t="s">
        <v>140</v>
      </c>
      <c r="K12381">
        <v>159581.50899999999</v>
      </c>
      <c r="L12381">
        <v>385558.94400000002</v>
      </c>
      <c r="M12381">
        <v>1</v>
      </c>
      <c r="N12381" t="s">
        <v>1396</v>
      </c>
      <c r="O12381" t="s">
        <v>552</v>
      </c>
      <c r="P12381" t="s">
        <v>1397</v>
      </c>
      <c r="Q12381" t="s">
        <v>144</v>
      </c>
      <c r="S12381">
        <v>23</v>
      </c>
      <c r="T12381">
        <v>3000</v>
      </c>
      <c r="V12381" t="s">
        <v>146</v>
      </c>
      <c r="W12381" t="s">
        <v>147</v>
      </c>
      <c r="X12381" t="s">
        <v>7</v>
      </c>
      <c r="Y12381" t="s">
        <v>1006</v>
      </c>
      <c r="Z12381" t="s">
        <v>552</v>
      </c>
      <c r="AA12381" t="s">
        <v>404</v>
      </c>
      <c r="AB12381">
        <v>0</v>
      </c>
      <c r="AE12381" t="s">
        <v>1398</v>
      </c>
      <c r="AF12381" t="s">
        <v>552</v>
      </c>
      <c r="AG12381" t="s">
        <v>1399</v>
      </c>
      <c r="AL12381" t="s">
        <v>1906</v>
      </c>
      <c r="AM12381" t="s">
        <v>1907</v>
      </c>
      <c r="AN12381" t="s">
        <v>1908</v>
      </c>
      <c r="AO12381" t="s">
        <v>1396</v>
      </c>
      <c r="AP12381" t="s">
        <v>158</v>
      </c>
      <c r="AQ12381" t="str">
        <f>IF(ISBLANK(AP12381), IFERROR(IF(VLOOKUP(AO12381, Ellens_additions!$A$2:$B$252, 2, FALSE) = "", "", VLOOKUP(AO12381, Ellens_additions!$A$2:$B$252, 2, FALSE)), 0), AP12381)</f>
        <v>3000</v>
      </c>
    </row>
    <row r="12382" spans="1:43" ht="14.4" x14ac:dyDescent="0.3"/>
    <row r="12383" spans="1:43" ht="14.4" x14ac:dyDescent="0.3"/>
    <row r="12384" spans="1:43" ht="14.4" x14ac:dyDescent="0.3"/>
    <row r="12385" spans="1:43" ht="14.4" x14ac:dyDescent="0.3"/>
    <row r="12386" spans="1:43" ht="14.4" x14ac:dyDescent="0.3"/>
    <row r="12387" spans="1:43" ht="14.4" x14ac:dyDescent="0.3"/>
    <row r="12388" spans="1:43" ht="14.4" x14ac:dyDescent="0.3"/>
    <row r="12389" spans="1:43" ht="14.4" x14ac:dyDescent="0.3"/>
    <row r="12390" spans="1:43" ht="14.4" hidden="1" x14ac:dyDescent="0.3">
      <c r="A12390" t="s">
        <v>1909</v>
      </c>
      <c r="B12390">
        <v>4929314</v>
      </c>
      <c r="C12390" t="s">
        <v>445</v>
      </c>
      <c r="D12390" t="s">
        <v>446</v>
      </c>
      <c r="E12390" t="s">
        <v>478</v>
      </c>
      <c r="F12390" t="s">
        <v>1387</v>
      </c>
      <c r="H12390" t="s">
        <v>229</v>
      </c>
      <c r="J12390" t="s">
        <v>140</v>
      </c>
      <c r="K12390">
        <v>160498.95000000001</v>
      </c>
      <c r="L12390">
        <v>385070.42</v>
      </c>
      <c r="N12390" t="s">
        <v>1015</v>
      </c>
      <c r="O12390" t="s">
        <v>548</v>
      </c>
      <c r="P12390" t="s">
        <v>709</v>
      </c>
      <c r="Q12390" t="s">
        <v>144</v>
      </c>
      <c r="S12390">
        <v>34</v>
      </c>
      <c r="T12390">
        <v>4900</v>
      </c>
      <c r="V12390" t="s">
        <v>146</v>
      </c>
      <c r="W12390" t="s">
        <v>531</v>
      </c>
      <c r="Y12390" t="s">
        <v>283</v>
      </c>
      <c r="Z12390" t="s">
        <v>548</v>
      </c>
      <c r="AA12390" t="s">
        <v>1409</v>
      </c>
      <c r="AB12390">
        <v>0</v>
      </c>
      <c r="AE12390" t="s">
        <v>444</v>
      </c>
      <c r="AF12390" t="s">
        <v>548</v>
      </c>
      <c r="AG12390" t="s">
        <v>711</v>
      </c>
      <c r="AL12390" t="s">
        <v>1910</v>
      </c>
      <c r="AM12390" t="s">
        <v>1911</v>
      </c>
      <c r="AN12390" t="s">
        <v>1912</v>
      </c>
      <c r="AO12390" t="s">
        <v>1015</v>
      </c>
      <c r="AP12390" t="s">
        <v>158</v>
      </c>
      <c r="AQ12390" t="str">
        <f>IF(ISBLANK(AP12390), IFERROR(IF(VLOOKUP(AO12390, Ellens_additions!$A$2:$B$252, 2, FALSE) = "", "", VLOOKUP(AO12390, Ellens_additions!$A$2:$B$252, 2, FALSE)), 0), AP12390)</f>
        <v>3000</v>
      </c>
    </row>
    <row r="12391" spans="1:43" ht="14.4" hidden="1" x14ac:dyDescent="0.3">
      <c r="A12391" t="s">
        <v>1913</v>
      </c>
      <c r="B12391">
        <v>4929318</v>
      </c>
      <c r="C12391" t="s">
        <v>445</v>
      </c>
      <c r="D12391" t="s">
        <v>446</v>
      </c>
      <c r="E12391" t="s">
        <v>478</v>
      </c>
      <c r="F12391" t="s">
        <v>1387</v>
      </c>
      <c r="H12391" t="s">
        <v>275</v>
      </c>
      <c r="J12391" t="s">
        <v>140</v>
      </c>
      <c r="K12391">
        <v>160595.63</v>
      </c>
      <c r="L12391">
        <v>385052.29</v>
      </c>
      <c r="N12391" t="s">
        <v>1015</v>
      </c>
      <c r="O12391" t="s">
        <v>548</v>
      </c>
      <c r="P12391" t="s">
        <v>709</v>
      </c>
      <c r="Q12391" t="s">
        <v>144</v>
      </c>
      <c r="S12391">
        <v>34</v>
      </c>
      <c r="T12391">
        <v>4900</v>
      </c>
      <c r="V12391" t="s">
        <v>146</v>
      </c>
      <c r="W12391" t="s">
        <v>531</v>
      </c>
      <c r="Y12391" t="s">
        <v>283</v>
      </c>
      <c r="Z12391" t="s">
        <v>548</v>
      </c>
      <c r="AA12391" t="s">
        <v>1409</v>
      </c>
      <c r="AB12391">
        <v>0</v>
      </c>
      <c r="AE12391" t="s">
        <v>444</v>
      </c>
      <c r="AF12391" t="s">
        <v>548</v>
      </c>
      <c r="AG12391" t="s">
        <v>711</v>
      </c>
      <c r="AL12391" t="s">
        <v>1914</v>
      </c>
      <c r="AM12391" t="s">
        <v>1915</v>
      </c>
      <c r="AN12391" t="s">
        <v>1916</v>
      </c>
      <c r="AO12391" t="s">
        <v>1015</v>
      </c>
      <c r="AP12391" t="s">
        <v>158</v>
      </c>
      <c r="AQ12391" t="str">
        <f>IF(ISBLANK(AP12391), IFERROR(IF(VLOOKUP(AO12391, Ellens_additions!$A$2:$B$252, 2, FALSE) = "", "", VLOOKUP(AO12391, Ellens_additions!$A$2:$B$252, 2, FALSE)), 0), AP12391)</f>
        <v>3000</v>
      </c>
    </row>
    <row r="12392" spans="1:43" ht="14.4" x14ac:dyDescent="0.3"/>
    <row r="12393" spans="1:43" ht="14.4" x14ac:dyDescent="0.3"/>
    <row r="12394" spans="1:43" ht="14.4" x14ac:dyDescent="0.3"/>
    <row r="12395" spans="1:43" ht="14.4" hidden="1" x14ac:dyDescent="0.3">
      <c r="A12395" t="s">
        <v>1917</v>
      </c>
      <c r="B12395">
        <v>4929336</v>
      </c>
      <c r="C12395" t="s">
        <v>445</v>
      </c>
      <c r="D12395" t="s">
        <v>446</v>
      </c>
      <c r="E12395" t="s">
        <v>546</v>
      </c>
      <c r="F12395" t="s">
        <v>662</v>
      </c>
      <c r="H12395" t="s">
        <v>543</v>
      </c>
      <c r="J12395" t="s">
        <v>140</v>
      </c>
      <c r="K12395">
        <v>159842.48300000001</v>
      </c>
      <c r="L12395">
        <v>385486.63799999998</v>
      </c>
      <c r="M12395">
        <v>1</v>
      </c>
      <c r="N12395" t="s">
        <v>1918</v>
      </c>
      <c r="O12395" t="s">
        <v>800</v>
      </c>
      <c r="P12395" t="s">
        <v>1513</v>
      </c>
      <c r="Q12395" t="s">
        <v>144</v>
      </c>
      <c r="S12395">
        <v>31</v>
      </c>
      <c r="T12395">
        <v>4000</v>
      </c>
      <c r="V12395" t="s">
        <v>146</v>
      </c>
      <c r="W12395" t="s">
        <v>147</v>
      </c>
      <c r="X12395" t="s">
        <v>7</v>
      </c>
      <c r="Y12395" t="s">
        <v>1006</v>
      </c>
      <c r="Z12395" t="s">
        <v>800</v>
      </c>
      <c r="AA12395" t="s">
        <v>1553</v>
      </c>
      <c r="AB12395">
        <v>0</v>
      </c>
      <c r="AE12395" t="s">
        <v>1398</v>
      </c>
      <c r="AF12395" t="s">
        <v>800</v>
      </c>
      <c r="AG12395" t="s">
        <v>1364</v>
      </c>
      <c r="AL12395" t="s">
        <v>1919</v>
      </c>
      <c r="AM12395" t="s">
        <v>1920</v>
      </c>
      <c r="AN12395" t="s">
        <v>1921</v>
      </c>
      <c r="AO12395" t="s">
        <v>1918</v>
      </c>
      <c r="AP12395" t="s">
        <v>158</v>
      </c>
      <c r="AQ12395" t="str">
        <f>IF(ISBLANK(AP12395), IFERROR(IF(VLOOKUP(AO12395, Ellens_additions!$A$2:$B$252, 2, FALSE) = "", "", VLOOKUP(AO12395, Ellens_additions!$A$2:$B$252, 2, FALSE)), 0), AP12395)</f>
        <v>3000</v>
      </c>
    </row>
    <row r="12396" spans="1:43" ht="14.4" hidden="1" x14ac:dyDescent="0.3">
      <c r="A12396" t="s">
        <v>1922</v>
      </c>
      <c r="B12396">
        <v>4929337</v>
      </c>
      <c r="C12396" t="s">
        <v>445</v>
      </c>
      <c r="D12396" t="s">
        <v>446</v>
      </c>
      <c r="E12396" t="s">
        <v>546</v>
      </c>
      <c r="F12396" t="s">
        <v>662</v>
      </c>
      <c r="H12396" t="s">
        <v>450</v>
      </c>
      <c r="J12396" t="s">
        <v>140</v>
      </c>
      <c r="K12396">
        <v>159855.42199999999</v>
      </c>
      <c r="L12396">
        <v>385494.77100000001</v>
      </c>
      <c r="M12396">
        <v>1</v>
      </c>
      <c r="N12396" t="s">
        <v>1918</v>
      </c>
      <c r="O12396" t="s">
        <v>800</v>
      </c>
      <c r="P12396" t="s">
        <v>1513</v>
      </c>
      <c r="Q12396" t="s">
        <v>144</v>
      </c>
      <c r="S12396">
        <v>31</v>
      </c>
      <c r="T12396">
        <v>4000</v>
      </c>
      <c r="V12396" t="s">
        <v>146</v>
      </c>
      <c r="W12396" t="s">
        <v>147</v>
      </c>
      <c r="X12396" t="s">
        <v>7</v>
      </c>
      <c r="Y12396" t="s">
        <v>1006</v>
      </c>
      <c r="Z12396" t="s">
        <v>800</v>
      </c>
      <c r="AA12396" t="s">
        <v>1553</v>
      </c>
      <c r="AB12396">
        <v>0</v>
      </c>
      <c r="AE12396" t="s">
        <v>1398</v>
      </c>
      <c r="AF12396" t="s">
        <v>800</v>
      </c>
      <c r="AG12396" t="s">
        <v>1364</v>
      </c>
      <c r="AL12396" t="s">
        <v>1923</v>
      </c>
      <c r="AM12396" t="s">
        <v>1924</v>
      </c>
      <c r="AN12396" t="s">
        <v>1925</v>
      </c>
      <c r="AO12396" t="s">
        <v>1918</v>
      </c>
      <c r="AP12396" t="s">
        <v>158</v>
      </c>
      <c r="AQ12396" t="str">
        <f>IF(ISBLANK(AP12396), IFERROR(IF(VLOOKUP(AO12396, Ellens_additions!$A$2:$B$252, 2, FALSE) = "", "", VLOOKUP(AO12396, Ellens_additions!$A$2:$B$252, 2, FALSE)), 0), AP12396)</f>
        <v>3000</v>
      </c>
    </row>
    <row r="12397" spans="1:43" ht="14.4" hidden="1" x14ac:dyDescent="0.3">
      <c r="A12397" t="s">
        <v>1926</v>
      </c>
      <c r="B12397">
        <v>4929338</v>
      </c>
      <c r="C12397" t="s">
        <v>445</v>
      </c>
      <c r="D12397" t="s">
        <v>446</v>
      </c>
      <c r="E12397" t="s">
        <v>546</v>
      </c>
      <c r="F12397" t="s">
        <v>662</v>
      </c>
      <c r="H12397" t="s">
        <v>512</v>
      </c>
      <c r="J12397" t="s">
        <v>140</v>
      </c>
      <c r="K12397">
        <v>159869.33300000001</v>
      </c>
      <c r="L12397">
        <v>385503.19400000002</v>
      </c>
      <c r="M12397">
        <v>1</v>
      </c>
      <c r="N12397" t="s">
        <v>1918</v>
      </c>
      <c r="O12397" t="s">
        <v>800</v>
      </c>
      <c r="P12397" t="s">
        <v>1513</v>
      </c>
      <c r="Q12397" t="s">
        <v>144</v>
      </c>
      <c r="S12397">
        <v>31</v>
      </c>
      <c r="T12397">
        <v>4000</v>
      </c>
      <c r="V12397" t="s">
        <v>146</v>
      </c>
      <c r="W12397" t="s">
        <v>147</v>
      </c>
      <c r="X12397" t="s">
        <v>7</v>
      </c>
      <c r="Y12397" t="s">
        <v>1006</v>
      </c>
      <c r="Z12397" t="s">
        <v>800</v>
      </c>
      <c r="AA12397" t="s">
        <v>1553</v>
      </c>
      <c r="AB12397">
        <v>0</v>
      </c>
      <c r="AE12397" t="s">
        <v>1398</v>
      </c>
      <c r="AF12397" t="s">
        <v>800</v>
      </c>
      <c r="AG12397" t="s">
        <v>1364</v>
      </c>
      <c r="AL12397" t="s">
        <v>1927</v>
      </c>
      <c r="AM12397" t="s">
        <v>1928</v>
      </c>
      <c r="AN12397" t="s">
        <v>1929</v>
      </c>
      <c r="AO12397" t="s">
        <v>1918</v>
      </c>
      <c r="AP12397" t="s">
        <v>158</v>
      </c>
      <c r="AQ12397" t="str">
        <f>IF(ISBLANK(AP12397), IFERROR(IF(VLOOKUP(AO12397, Ellens_additions!$A$2:$B$252, 2, FALSE) = "", "", VLOOKUP(AO12397, Ellens_additions!$A$2:$B$252, 2, FALSE)), 0), AP12397)</f>
        <v>3000</v>
      </c>
    </row>
    <row r="12398" spans="1:43" ht="14.4" x14ac:dyDescent="0.3"/>
    <row r="12399" spans="1:43" ht="14.4" x14ac:dyDescent="0.3"/>
    <row r="12400" spans="1:43" ht="14.4" x14ac:dyDescent="0.3"/>
    <row r="12401" spans="1:43" ht="14.4" x14ac:dyDescent="0.3"/>
    <row r="12402" spans="1:43" ht="14.4" x14ac:dyDescent="0.3"/>
    <row r="12403" spans="1:43" ht="14.4" x14ac:dyDescent="0.3"/>
    <row r="12404" spans="1:43" ht="14.4" x14ac:dyDescent="0.3"/>
    <row r="12405" spans="1:43" ht="14.4" x14ac:dyDescent="0.3"/>
    <row r="12406" spans="1:43" ht="14.4" x14ac:dyDescent="0.3"/>
    <row r="12407" spans="1:43" ht="14.4" x14ac:dyDescent="0.3"/>
    <row r="12408" spans="1:43" ht="14.4" x14ac:dyDescent="0.3"/>
    <row r="12409" spans="1:43" ht="14.4" x14ac:dyDescent="0.3"/>
    <row r="12410" spans="1:43" ht="14.4" x14ac:dyDescent="0.3"/>
    <row r="12411" spans="1:43" ht="14.4" hidden="1" x14ac:dyDescent="0.3">
      <c r="A12411" t="s">
        <v>1930</v>
      </c>
      <c r="B12411">
        <v>4929376</v>
      </c>
      <c r="C12411" t="s">
        <v>445</v>
      </c>
      <c r="D12411" t="s">
        <v>446</v>
      </c>
      <c r="E12411" t="s">
        <v>546</v>
      </c>
      <c r="F12411" t="s">
        <v>1433</v>
      </c>
      <c r="H12411" t="s">
        <v>276</v>
      </c>
      <c r="J12411" t="s">
        <v>140</v>
      </c>
      <c r="K12411">
        <v>159784.9203</v>
      </c>
      <c r="L12411">
        <v>385277.73090000002</v>
      </c>
      <c r="M12411">
        <v>1</v>
      </c>
      <c r="N12411" t="s">
        <v>1426</v>
      </c>
      <c r="O12411" t="s">
        <v>616</v>
      </c>
      <c r="P12411" t="s">
        <v>1035</v>
      </c>
      <c r="Q12411" t="s">
        <v>144</v>
      </c>
      <c r="S12411">
        <v>15</v>
      </c>
      <c r="T12411">
        <v>2000</v>
      </c>
      <c r="V12411" t="s">
        <v>146</v>
      </c>
      <c r="W12411" t="s">
        <v>147</v>
      </c>
      <c r="X12411" t="s">
        <v>7</v>
      </c>
      <c r="Y12411" t="s">
        <v>863</v>
      </c>
      <c r="Z12411" t="s">
        <v>616</v>
      </c>
      <c r="AA12411" t="s">
        <v>1036</v>
      </c>
      <c r="AB12411">
        <v>0</v>
      </c>
      <c r="AE12411" t="s">
        <v>1398</v>
      </c>
      <c r="AF12411" t="s">
        <v>616</v>
      </c>
      <c r="AG12411" t="s">
        <v>1037</v>
      </c>
      <c r="AL12411" t="s">
        <v>1931</v>
      </c>
      <c r="AM12411" t="s">
        <v>1932</v>
      </c>
      <c r="AN12411" t="s">
        <v>1933</v>
      </c>
      <c r="AO12411" t="s">
        <v>1426</v>
      </c>
      <c r="AP12411" t="s">
        <v>158</v>
      </c>
      <c r="AQ12411" t="str">
        <f>IF(ISBLANK(AP12411), IFERROR(IF(VLOOKUP(AO12411, Ellens_additions!$A$2:$B$252, 2, FALSE) = "", "", VLOOKUP(AO12411, Ellens_additions!$A$2:$B$252, 2, FALSE)), 0), AP12411)</f>
        <v>3000</v>
      </c>
    </row>
    <row r="12412" spans="1:43" ht="14.4" x14ac:dyDescent="0.3"/>
    <row r="12413" spans="1:43" ht="14.4" x14ac:dyDescent="0.3"/>
    <row r="12414" spans="1:43" ht="14.4" x14ac:dyDescent="0.3"/>
    <row r="12415" spans="1:43" ht="14.4" x14ac:dyDescent="0.3"/>
    <row r="12416" spans="1:43" ht="14.4" x14ac:dyDescent="0.3"/>
    <row r="12417" ht="14.4" x14ac:dyDescent="0.3"/>
    <row r="12418" ht="14.4" x14ac:dyDescent="0.3"/>
    <row r="12419" ht="14.4" x14ac:dyDescent="0.3"/>
    <row r="12420" ht="14.4" x14ac:dyDescent="0.3"/>
    <row r="12421" ht="14.4" x14ac:dyDescent="0.3"/>
    <row r="12422" ht="14.4" x14ac:dyDescent="0.3"/>
    <row r="12423" ht="14.4" x14ac:dyDescent="0.3"/>
    <row r="12424" ht="14.4" x14ac:dyDescent="0.3"/>
    <row r="12425" ht="14.4" x14ac:dyDescent="0.3"/>
    <row r="12426" ht="14.4" x14ac:dyDescent="0.3"/>
    <row r="12427" ht="14.4" x14ac:dyDescent="0.3"/>
    <row r="12428" ht="14.4" x14ac:dyDescent="0.3"/>
    <row r="12429" ht="14.4" x14ac:dyDescent="0.3"/>
    <row r="12430" ht="14.4" x14ac:dyDescent="0.3"/>
    <row r="12431" ht="14.4" x14ac:dyDescent="0.3"/>
    <row r="12432" ht="14.4" x14ac:dyDescent="0.3"/>
    <row r="12433" spans="1:43" ht="14.4" x14ac:dyDescent="0.3"/>
    <row r="12434" spans="1:43" ht="14.4" x14ac:dyDescent="0.3"/>
    <row r="12435" spans="1:43" ht="14.4" x14ac:dyDescent="0.3"/>
    <row r="12436" spans="1:43" ht="14.4" x14ac:dyDescent="0.3"/>
    <row r="12437" spans="1:43" ht="14.4" x14ac:dyDescent="0.3"/>
    <row r="12438" spans="1:43" ht="14.4" x14ac:dyDescent="0.3"/>
    <row r="12439" spans="1:43" ht="14.4" x14ac:dyDescent="0.3"/>
    <row r="12440" spans="1:43" ht="14.4" x14ac:dyDescent="0.3"/>
    <row r="12441" spans="1:43" ht="14.4" x14ac:dyDescent="0.3"/>
    <row r="12442" spans="1:43" ht="14.4" x14ac:dyDescent="0.3"/>
    <row r="12443" spans="1:43" ht="14.4" hidden="1" x14ac:dyDescent="0.3">
      <c r="A12443" t="s">
        <v>1934</v>
      </c>
      <c r="B12443">
        <v>4929466</v>
      </c>
      <c r="C12443" t="s">
        <v>445</v>
      </c>
      <c r="D12443" t="s">
        <v>446</v>
      </c>
      <c r="E12443" t="s">
        <v>546</v>
      </c>
      <c r="F12443" t="s">
        <v>562</v>
      </c>
      <c r="H12443" t="s">
        <v>244</v>
      </c>
      <c r="J12443" t="s">
        <v>140</v>
      </c>
      <c r="K12443">
        <v>159645.35999999999</v>
      </c>
      <c r="L12443">
        <v>385134.32</v>
      </c>
      <c r="N12443" t="s">
        <v>1440</v>
      </c>
      <c r="O12443" t="s">
        <v>833</v>
      </c>
      <c r="P12443" t="s">
        <v>1441</v>
      </c>
      <c r="Q12443" t="s">
        <v>144</v>
      </c>
      <c r="R12443" t="s">
        <v>145</v>
      </c>
      <c r="S12443">
        <v>30</v>
      </c>
      <c r="T12443">
        <v>1170</v>
      </c>
      <c r="V12443" t="s">
        <v>146</v>
      </c>
      <c r="W12443" t="s">
        <v>147</v>
      </c>
      <c r="X12443" t="s">
        <v>9</v>
      </c>
      <c r="Y12443" t="s">
        <v>1442</v>
      </c>
      <c r="Z12443" t="s">
        <v>833</v>
      </c>
      <c r="AA12443" t="s">
        <v>1443</v>
      </c>
      <c r="AB12443">
        <v>0</v>
      </c>
      <c r="AE12443" t="s">
        <v>1444</v>
      </c>
      <c r="AF12443" t="s">
        <v>833</v>
      </c>
      <c r="AG12443" t="s">
        <v>1445</v>
      </c>
      <c r="AL12443" t="s">
        <v>1935</v>
      </c>
      <c r="AM12443" t="s">
        <v>1936</v>
      </c>
      <c r="AN12443" t="s">
        <v>1937</v>
      </c>
      <c r="AO12443" t="s">
        <v>1440</v>
      </c>
      <c r="AQ12443" t="str">
        <f>IF(ISBLANK(AP12443), IFERROR(IF(VLOOKUP(AO12443, Ellens_additions!$A$2:$B$252, 2, FALSE) = "", "", VLOOKUP(AO12443, Ellens_additions!$A$2:$B$252, 2, FALSE)), 0), AP12443)</f>
        <v/>
      </c>
    </row>
    <row r="12444" spans="1:43" ht="14.4" x14ac:dyDescent="0.3"/>
    <row r="12445" spans="1:43" ht="14.4" x14ac:dyDescent="0.3"/>
    <row r="12446" spans="1:43" ht="14.4" x14ac:dyDescent="0.3"/>
    <row r="12447" spans="1:43" ht="14.4" x14ac:dyDescent="0.3"/>
    <row r="12448" spans="1:43" ht="14.4" x14ac:dyDescent="0.3"/>
    <row r="12449" ht="14.4" x14ac:dyDescent="0.3"/>
    <row r="12450" ht="14.4" x14ac:dyDescent="0.3"/>
    <row r="12451" ht="14.4" x14ac:dyDescent="0.3"/>
    <row r="12452" ht="14.4" x14ac:dyDescent="0.3"/>
    <row r="12453" ht="14.4" x14ac:dyDescent="0.3"/>
    <row r="12454" ht="14.4" x14ac:dyDescent="0.3"/>
    <row r="12455" ht="14.4" x14ac:dyDescent="0.3"/>
    <row r="12456" ht="14.4" x14ac:dyDescent="0.3"/>
    <row r="12457" ht="14.4" x14ac:dyDescent="0.3"/>
    <row r="12458" ht="14.4" x14ac:dyDescent="0.3"/>
    <row r="12459" ht="14.4" x14ac:dyDescent="0.3"/>
    <row r="12460" ht="14.4" x14ac:dyDescent="0.3"/>
    <row r="12461" ht="14.4" x14ac:dyDescent="0.3"/>
    <row r="12462" ht="14.4" x14ac:dyDescent="0.3"/>
    <row r="12463" ht="14.4" x14ac:dyDescent="0.3"/>
    <row r="12464" ht="14.4" x14ac:dyDescent="0.3"/>
    <row r="12465" ht="14.4" x14ac:dyDescent="0.3"/>
    <row r="12466" ht="14.4" x14ac:dyDescent="0.3"/>
    <row r="12467" ht="14.4" x14ac:dyDescent="0.3"/>
    <row r="12468" ht="14.4" x14ac:dyDescent="0.3"/>
    <row r="12469" ht="14.4" x14ac:dyDescent="0.3"/>
    <row r="12470" ht="14.4" x14ac:dyDescent="0.3"/>
    <row r="12471" ht="14.4" x14ac:dyDescent="0.3"/>
    <row r="12472" ht="14.4" x14ac:dyDescent="0.3"/>
    <row r="12473" ht="14.4" x14ac:dyDescent="0.3"/>
    <row r="12474" ht="14.4" x14ac:dyDescent="0.3"/>
    <row r="12475" ht="14.4" x14ac:dyDescent="0.3"/>
    <row r="12476" ht="14.4" x14ac:dyDescent="0.3"/>
    <row r="12477" ht="14.4" x14ac:dyDescent="0.3"/>
    <row r="12478" ht="14.4" x14ac:dyDescent="0.3"/>
    <row r="12479" ht="14.4" x14ac:dyDescent="0.3"/>
    <row r="12480" ht="14.4" x14ac:dyDescent="0.3"/>
    <row r="12481" ht="14.4" x14ac:dyDescent="0.3"/>
    <row r="12482" ht="14.4" x14ac:dyDescent="0.3"/>
    <row r="12483" ht="14.4" x14ac:dyDescent="0.3"/>
    <row r="12484" ht="14.4" x14ac:dyDescent="0.3"/>
    <row r="12485" ht="14.4" x14ac:dyDescent="0.3"/>
    <row r="12486" ht="14.4" x14ac:dyDescent="0.3"/>
    <row r="12487" ht="14.4" x14ac:dyDescent="0.3"/>
    <row r="12488" ht="14.4" x14ac:dyDescent="0.3"/>
    <row r="12489" ht="14.4" x14ac:dyDescent="0.3"/>
    <row r="12490" ht="14.4" x14ac:dyDescent="0.3"/>
    <row r="12491" ht="14.4" x14ac:dyDescent="0.3"/>
    <row r="12492" ht="14.4" x14ac:dyDescent="0.3"/>
    <row r="12493" ht="14.4" x14ac:dyDescent="0.3"/>
    <row r="12494" ht="14.4" x14ac:dyDescent="0.3"/>
    <row r="12495" ht="14.4" x14ac:dyDescent="0.3"/>
    <row r="12496" ht="14.4" x14ac:dyDescent="0.3"/>
    <row r="12497" ht="14.4" x14ac:dyDescent="0.3"/>
    <row r="12498" ht="14.4" x14ac:dyDescent="0.3"/>
    <row r="12499" ht="14.4" x14ac:dyDescent="0.3"/>
    <row r="12500" ht="14.4" x14ac:dyDescent="0.3"/>
    <row r="12501" ht="14.4" x14ac:dyDescent="0.3"/>
    <row r="12502" ht="14.4" x14ac:dyDescent="0.3"/>
    <row r="12503" ht="14.4" x14ac:dyDescent="0.3"/>
    <row r="12504" ht="14.4" x14ac:dyDescent="0.3"/>
    <row r="12505" ht="14.4" x14ac:dyDescent="0.3"/>
    <row r="12506" ht="14.4" x14ac:dyDescent="0.3"/>
    <row r="12507" ht="14.4" x14ac:dyDescent="0.3"/>
    <row r="12508" ht="14.4" x14ac:dyDescent="0.3"/>
    <row r="12509" ht="14.4" x14ac:dyDescent="0.3"/>
    <row r="12510" ht="14.4" x14ac:dyDescent="0.3"/>
    <row r="12511" ht="14.4" x14ac:dyDescent="0.3"/>
    <row r="12512" ht="14.4" x14ac:dyDescent="0.3"/>
    <row r="12513" ht="14.4" x14ac:dyDescent="0.3"/>
    <row r="12514" ht="14.4" x14ac:dyDescent="0.3"/>
    <row r="12515" ht="14.4" x14ac:dyDescent="0.3"/>
    <row r="12516" ht="14.4" x14ac:dyDescent="0.3"/>
    <row r="12517" ht="14.4" x14ac:dyDescent="0.3"/>
    <row r="12518" ht="14.4" x14ac:dyDescent="0.3"/>
    <row r="12519" ht="14.4" x14ac:dyDescent="0.3"/>
    <row r="12520" ht="14.4" x14ac:dyDescent="0.3"/>
    <row r="12521" ht="14.4" x14ac:dyDescent="0.3"/>
    <row r="12522" ht="14.4" x14ac:dyDescent="0.3"/>
    <row r="12523" ht="14.4" x14ac:dyDescent="0.3"/>
    <row r="12524" ht="14.4" x14ac:dyDescent="0.3"/>
    <row r="12525" ht="14.4" x14ac:dyDescent="0.3"/>
    <row r="12526" ht="14.4" x14ac:dyDescent="0.3"/>
    <row r="12527" ht="14.4" x14ac:dyDescent="0.3"/>
    <row r="12528" ht="14.4" x14ac:dyDescent="0.3"/>
    <row r="12529" ht="14.4" x14ac:dyDescent="0.3"/>
    <row r="12530" ht="14.4" x14ac:dyDescent="0.3"/>
    <row r="12531" ht="14.4" x14ac:dyDescent="0.3"/>
    <row r="12532" ht="14.4" x14ac:dyDescent="0.3"/>
    <row r="12533" ht="14.4" x14ac:dyDescent="0.3"/>
    <row r="12534" ht="14.4" x14ac:dyDescent="0.3"/>
    <row r="12535" ht="14.4" x14ac:dyDescent="0.3"/>
    <row r="12536" ht="14.4" x14ac:dyDescent="0.3"/>
    <row r="12537" ht="14.4" x14ac:dyDescent="0.3"/>
    <row r="12538" ht="14.4" x14ac:dyDescent="0.3"/>
    <row r="12539" ht="14.4" x14ac:dyDescent="0.3"/>
    <row r="12540" ht="14.4" x14ac:dyDescent="0.3"/>
    <row r="12541" ht="14.4" x14ac:dyDescent="0.3"/>
    <row r="12542" ht="14.4" x14ac:dyDescent="0.3"/>
    <row r="12543" ht="14.4" x14ac:dyDescent="0.3"/>
    <row r="12544" ht="14.4" x14ac:dyDescent="0.3"/>
    <row r="12545" ht="14.4" x14ac:dyDescent="0.3"/>
    <row r="12546" ht="14.4" x14ac:dyDescent="0.3"/>
    <row r="12547" ht="14.4" x14ac:dyDescent="0.3"/>
    <row r="12548" ht="14.4" x14ac:dyDescent="0.3"/>
    <row r="12549" ht="14.4" x14ac:dyDescent="0.3"/>
    <row r="12550" ht="14.4" x14ac:dyDescent="0.3"/>
    <row r="12551" ht="14.4" x14ac:dyDescent="0.3"/>
    <row r="12552" ht="14.4" x14ac:dyDescent="0.3"/>
    <row r="12553" ht="14.4" x14ac:dyDescent="0.3"/>
    <row r="12554" ht="14.4" x14ac:dyDescent="0.3"/>
    <row r="12555" ht="14.4" x14ac:dyDescent="0.3"/>
    <row r="12556" ht="14.4" x14ac:dyDescent="0.3"/>
    <row r="12557" ht="14.4" x14ac:dyDescent="0.3"/>
    <row r="12558" ht="14.4" x14ac:dyDescent="0.3"/>
    <row r="12559" ht="14.4" x14ac:dyDescent="0.3"/>
    <row r="12560" ht="14.4" x14ac:dyDescent="0.3"/>
    <row r="12561" ht="14.4" x14ac:dyDescent="0.3"/>
    <row r="12562" ht="14.4" x14ac:dyDescent="0.3"/>
    <row r="12563" ht="14.4" x14ac:dyDescent="0.3"/>
    <row r="12564" ht="14.4" x14ac:dyDescent="0.3"/>
    <row r="12565" ht="14.4" x14ac:dyDescent="0.3"/>
    <row r="12566" ht="14.4" x14ac:dyDescent="0.3"/>
    <row r="12567" ht="14.4" x14ac:dyDescent="0.3"/>
    <row r="12568" ht="14.4" x14ac:dyDescent="0.3"/>
    <row r="12569" ht="14.4" x14ac:dyDescent="0.3"/>
    <row r="12570" ht="14.4" x14ac:dyDescent="0.3"/>
    <row r="12571" ht="14.4" x14ac:dyDescent="0.3"/>
    <row r="12572" ht="14.4" x14ac:dyDescent="0.3"/>
    <row r="12573" ht="14.4" x14ac:dyDescent="0.3"/>
    <row r="12574" ht="14.4" x14ac:dyDescent="0.3"/>
    <row r="12575" ht="14.4" x14ac:dyDescent="0.3"/>
    <row r="12576" ht="14.4" x14ac:dyDescent="0.3"/>
    <row r="12577" ht="14.4" x14ac:dyDescent="0.3"/>
    <row r="12578" ht="14.4" x14ac:dyDescent="0.3"/>
    <row r="12579" ht="14.4" x14ac:dyDescent="0.3"/>
    <row r="12580" ht="14.4" x14ac:dyDescent="0.3"/>
    <row r="12581" ht="14.4" x14ac:dyDescent="0.3"/>
    <row r="12582" ht="14.4" x14ac:dyDescent="0.3"/>
    <row r="12583" ht="14.4" x14ac:dyDescent="0.3"/>
    <row r="12584" ht="14.4" x14ac:dyDescent="0.3"/>
    <row r="12585" ht="14.4" x14ac:dyDescent="0.3"/>
    <row r="12586" ht="14.4" x14ac:dyDescent="0.3"/>
    <row r="12587" ht="14.4" x14ac:dyDescent="0.3"/>
    <row r="12588" ht="14.4" x14ac:dyDescent="0.3"/>
    <row r="12589" ht="14.4" x14ac:dyDescent="0.3"/>
    <row r="12590" ht="14.4" x14ac:dyDescent="0.3"/>
    <row r="12591" ht="14.4" x14ac:dyDescent="0.3"/>
    <row r="12592" ht="14.4" x14ac:dyDescent="0.3"/>
    <row r="12593" ht="14.4" x14ac:dyDescent="0.3"/>
    <row r="12594" ht="14.4" x14ac:dyDescent="0.3"/>
    <row r="12595" ht="14.4" x14ac:dyDescent="0.3"/>
    <row r="12596" ht="14.4" x14ac:dyDescent="0.3"/>
    <row r="12597" ht="14.4" x14ac:dyDescent="0.3"/>
    <row r="12598" ht="14.4" x14ac:dyDescent="0.3"/>
    <row r="12599" ht="14.4" x14ac:dyDescent="0.3"/>
    <row r="12600" ht="14.4" x14ac:dyDescent="0.3"/>
    <row r="12601" ht="14.4" x14ac:dyDescent="0.3"/>
    <row r="12602" ht="14.4" x14ac:dyDescent="0.3"/>
    <row r="12603" ht="14.4" x14ac:dyDescent="0.3"/>
    <row r="12604" ht="14.4" x14ac:dyDescent="0.3"/>
    <row r="12605" ht="14.4" x14ac:dyDescent="0.3"/>
    <row r="12606" ht="14.4" x14ac:dyDescent="0.3"/>
    <row r="12607" ht="14.4" x14ac:dyDescent="0.3"/>
    <row r="12608" ht="14.4" x14ac:dyDescent="0.3"/>
    <row r="12609" ht="14.4" x14ac:dyDescent="0.3"/>
    <row r="12610" ht="14.4" x14ac:dyDescent="0.3"/>
    <row r="12611" ht="14.4" x14ac:dyDescent="0.3"/>
    <row r="12612" ht="14.4" x14ac:dyDescent="0.3"/>
    <row r="12613" ht="14.4" x14ac:dyDescent="0.3"/>
    <row r="12614" ht="14.4" x14ac:dyDescent="0.3"/>
    <row r="12615" ht="14.4" x14ac:dyDescent="0.3"/>
    <row r="12616" ht="14.4" x14ac:dyDescent="0.3"/>
    <row r="12617" ht="14.4" x14ac:dyDescent="0.3"/>
    <row r="12618" ht="14.4" x14ac:dyDescent="0.3"/>
    <row r="12619" ht="14.4" x14ac:dyDescent="0.3"/>
    <row r="12620" ht="14.4" x14ac:dyDescent="0.3"/>
    <row r="12621" ht="14.4" x14ac:dyDescent="0.3"/>
    <row r="12622" ht="14.4" x14ac:dyDescent="0.3"/>
    <row r="12623" ht="14.4" x14ac:dyDescent="0.3"/>
    <row r="12624" ht="14.4" x14ac:dyDescent="0.3"/>
    <row r="12625" ht="14.4" x14ac:dyDescent="0.3"/>
    <row r="12626" ht="14.4" x14ac:dyDescent="0.3"/>
    <row r="12627" ht="14.4" x14ac:dyDescent="0.3"/>
    <row r="12628" ht="14.4" x14ac:dyDescent="0.3"/>
    <row r="12629" ht="14.4" x14ac:dyDescent="0.3"/>
    <row r="12630" ht="14.4" x14ac:dyDescent="0.3"/>
    <row r="12631" ht="14.4" x14ac:dyDescent="0.3"/>
    <row r="12632" ht="14.4" x14ac:dyDescent="0.3"/>
    <row r="12633" ht="14.4" x14ac:dyDescent="0.3"/>
    <row r="12634" ht="14.4" x14ac:dyDescent="0.3"/>
    <row r="12635" ht="14.4" x14ac:dyDescent="0.3"/>
    <row r="12636" ht="14.4" x14ac:dyDescent="0.3"/>
    <row r="12637" ht="14.4" x14ac:dyDescent="0.3"/>
    <row r="12638" ht="14.4" x14ac:dyDescent="0.3"/>
    <row r="12639" ht="14.4" x14ac:dyDescent="0.3"/>
    <row r="12640" ht="14.4" x14ac:dyDescent="0.3"/>
    <row r="12641" ht="14.4" x14ac:dyDescent="0.3"/>
    <row r="12642" ht="14.4" x14ac:dyDescent="0.3"/>
    <row r="12643" ht="14.4" x14ac:dyDescent="0.3"/>
    <row r="12644" ht="14.4" x14ac:dyDescent="0.3"/>
    <row r="12645" ht="14.4" x14ac:dyDescent="0.3"/>
    <row r="12646" ht="14.4" x14ac:dyDescent="0.3"/>
    <row r="12647" ht="14.4" x14ac:dyDescent="0.3"/>
    <row r="12648" ht="14.4" x14ac:dyDescent="0.3"/>
    <row r="12649" ht="14.4" x14ac:dyDescent="0.3"/>
    <row r="12650" ht="14.4" x14ac:dyDescent="0.3"/>
    <row r="12651" ht="14.4" x14ac:dyDescent="0.3"/>
    <row r="12652" ht="14.4" x14ac:dyDescent="0.3"/>
    <row r="12653" ht="14.4" x14ac:dyDescent="0.3"/>
    <row r="12654" ht="14.4" x14ac:dyDescent="0.3"/>
    <row r="12655" ht="14.4" x14ac:dyDescent="0.3"/>
    <row r="12656" ht="14.4" x14ac:dyDescent="0.3"/>
    <row r="12657" ht="14.4" x14ac:dyDescent="0.3"/>
    <row r="12658" ht="14.4" x14ac:dyDescent="0.3"/>
    <row r="12659" ht="14.4" x14ac:dyDescent="0.3"/>
    <row r="12660" ht="14.4" x14ac:dyDescent="0.3"/>
    <row r="12661" ht="14.4" x14ac:dyDescent="0.3"/>
    <row r="12662" ht="14.4" x14ac:dyDescent="0.3"/>
    <row r="12663" ht="14.4" x14ac:dyDescent="0.3"/>
    <row r="12664" ht="14.4" x14ac:dyDescent="0.3"/>
    <row r="12665" ht="14.4" x14ac:dyDescent="0.3"/>
    <row r="12666" ht="14.4" x14ac:dyDescent="0.3"/>
    <row r="12667" ht="14.4" x14ac:dyDescent="0.3"/>
    <row r="12668" ht="14.4" x14ac:dyDescent="0.3"/>
    <row r="12669" ht="14.4" x14ac:dyDescent="0.3"/>
    <row r="12670" ht="14.4" x14ac:dyDescent="0.3"/>
    <row r="12671" ht="14.4" x14ac:dyDescent="0.3"/>
    <row r="12672" ht="14.4" x14ac:dyDescent="0.3"/>
    <row r="12673" ht="14.4" x14ac:dyDescent="0.3"/>
    <row r="12674" ht="14.4" x14ac:dyDescent="0.3"/>
    <row r="12675" ht="14.4" x14ac:dyDescent="0.3"/>
    <row r="12676" ht="14.4" x14ac:dyDescent="0.3"/>
    <row r="12677" ht="14.4" x14ac:dyDescent="0.3"/>
    <row r="12678" ht="14.4" x14ac:dyDescent="0.3"/>
    <row r="12679" ht="14.4" x14ac:dyDescent="0.3"/>
    <row r="12680" ht="14.4" x14ac:dyDescent="0.3"/>
    <row r="12681" ht="14.4" x14ac:dyDescent="0.3"/>
    <row r="12682" ht="14.4" x14ac:dyDescent="0.3"/>
    <row r="12683" ht="14.4" x14ac:dyDescent="0.3"/>
    <row r="12684" ht="14.4" x14ac:dyDescent="0.3"/>
    <row r="12685" ht="14.4" x14ac:dyDescent="0.3"/>
    <row r="12686" ht="14.4" x14ac:dyDescent="0.3"/>
    <row r="12687" ht="14.4" x14ac:dyDescent="0.3"/>
    <row r="12688" ht="14.4" x14ac:dyDescent="0.3"/>
    <row r="12689" ht="14.4" x14ac:dyDescent="0.3"/>
    <row r="12690" ht="14.4" x14ac:dyDescent="0.3"/>
    <row r="12691" ht="14.4" x14ac:dyDescent="0.3"/>
    <row r="12692" ht="14.4" x14ac:dyDescent="0.3"/>
    <row r="12693" ht="14.4" x14ac:dyDescent="0.3"/>
    <row r="12694" ht="14.4" x14ac:dyDescent="0.3"/>
    <row r="12695" ht="14.4" x14ac:dyDescent="0.3"/>
    <row r="12696" ht="14.4" x14ac:dyDescent="0.3"/>
    <row r="12697" ht="14.4" x14ac:dyDescent="0.3"/>
    <row r="12698" ht="14.4" x14ac:dyDescent="0.3"/>
    <row r="12699" ht="14.4" x14ac:dyDescent="0.3"/>
    <row r="12700" ht="14.4" x14ac:dyDescent="0.3"/>
    <row r="12701" ht="14.4" x14ac:dyDescent="0.3"/>
    <row r="12702" ht="14.4" x14ac:dyDescent="0.3"/>
    <row r="12703" ht="14.4" x14ac:dyDescent="0.3"/>
    <row r="12704" ht="14.4" x14ac:dyDescent="0.3"/>
    <row r="12705" ht="14.4" x14ac:dyDescent="0.3"/>
    <row r="12706" ht="14.4" x14ac:dyDescent="0.3"/>
    <row r="12707" ht="14.4" x14ac:dyDescent="0.3"/>
    <row r="12708" ht="14.4" x14ac:dyDescent="0.3"/>
    <row r="12709" ht="14.4" x14ac:dyDescent="0.3"/>
    <row r="12710" ht="14.4" x14ac:dyDescent="0.3"/>
    <row r="12711" ht="14.4" x14ac:dyDescent="0.3"/>
    <row r="12712" ht="14.4" x14ac:dyDescent="0.3"/>
    <row r="12713" ht="14.4" x14ac:dyDescent="0.3"/>
    <row r="12714" ht="14.4" x14ac:dyDescent="0.3"/>
    <row r="12715" ht="14.4" x14ac:dyDescent="0.3"/>
    <row r="12716" ht="14.4" x14ac:dyDescent="0.3"/>
    <row r="12717" ht="14.4" x14ac:dyDescent="0.3"/>
    <row r="12718" ht="14.4" x14ac:dyDescent="0.3"/>
    <row r="12719" ht="14.4" x14ac:dyDescent="0.3"/>
    <row r="12720" ht="14.4" x14ac:dyDescent="0.3"/>
    <row r="12721" ht="14.4" x14ac:dyDescent="0.3"/>
    <row r="12722" ht="14.4" x14ac:dyDescent="0.3"/>
    <row r="12723" ht="14.4" x14ac:dyDescent="0.3"/>
    <row r="12724" ht="14.4" x14ac:dyDescent="0.3"/>
    <row r="12725" ht="14.4" x14ac:dyDescent="0.3"/>
    <row r="12726" ht="14.4" x14ac:dyDescent="0.3"/>
    <row r="12727" ht="14.4" x14ac:dyDescent="0.3"/>
    <row r="12728" ht="14.4" x14ac:dyDescent="0.3"/>
    <row r="12729" ht="14.4" x14ac:dyDescent="0.3"/>
    <row r="12730" ht="14.4" x14ac:dyDescent="0.3"/>
    <row r="12731" ht="14.4" x14ac:dyDescent="0.3"/>
    <row r="12732" ht="14.4" x14ac:dyDescent="0.3"/>
    <row r="12733" ht="14.4" x14ac:dyDescent="0.3"/>
    <row r="12734" ht="14.4" x14ac:dyDescent="0.3"/>
    <row r="12735" ht="14.4" x14ac:dyDescent="0.3"/>
    <row r="12736" ht="14.4" x14ac:dyDescent="0.3"/>
    <row r="12737" ht="14.4" x14ac:dyDescent="0.3"/>
    <row r="12738" ht="14.4" x14ac:dyDescent="0.3"/>
    <row r="12739" ht="14.4" x14ac:dyDescent="0.3"/>
    <row r="12740" ht="14.4" x14ac:dyDescent="0.3"/>
    <row r="12741" ht="14.4" x14ac:dyDescent="0.3"/>
    <row r="12742" ht="14.4" x14ac:dyDescent="0.3"/>
    <row r="12743" ht="14.4" x14ac:dyDescent="0.3"/>
    <row r="12744" ht="14.4" x14ac:dyDescent="0.3"/>
    <row r="12745" ht="14.4" x14ac:dyDescent="0.3"/>
    <row r="12746" ht="14.4" x14ac:dyDescent="0.3"/>
    <row r="12747" ht="14.4" x14ac:dyDescent="0.3"/>
    <row r="12748" ht="14.4" x14ac:dyDescent="0.3"/>
    <row r="12749" ht="14.4" x14ac:dyDescent="0.3"/>
    <row r="12750" ht="14.4" x14ac:dyDescent="0.3"/>
    <row r="12751" ht="14.4" x14ac:dyDescent="0.3"/>
    <row r="12752" ht="14.4" x14ac:dyDescent="0.3"/>
    <row r="12753" ht="14.4" x14ac:dyDescent="0.3"/>
    <row r="12754" ht="14.4" x14ac:dyDescent="0.3"/>
    <row r="12755" ht="14.4" x14ac:dyDescent="0.3"/>
    <row r="12756" ht="14.4" x14ac:dyDescent="0.3"/>
    <row r="12757" ht="14.4" x14ac:dyDescent="0.3"/>
    <row r="12758" ht="14.4" x14ac:dyDescent="0.3"/>
    <row r="12759" ht="14.4" x14ac:dyDescent="0.3"/>
    <row r="12760" ht="14.4" x14ac:dyDescent="0.3"/>
    <row r="12761" ht="14.4" x14ac:dyDescent="0.3"/>
    <row r="12762" ht="14.4" x14ac:dyDescent="0.3"/>
    <row r="12763" ht="14.4" x14ac:dyDescent="0.3"/>
    <row r="12764" ht="14.4" x14ac:dyDescent="0.3"/>
    <row r="12765" ht="14.4" x14ac:dyDescent="0.3"/>
    <row r="12766" ht="14.4" x14ac:dyDescent="0.3"/>
    <row r="12767" ht="14.4" x14ac:dyDescent="0.3"/>
    <row r="12768" ht="14.4" x14ac:dyDescent="0.3"/>
    <row r="12769" ht="14.4" x14ac:dyDescent="0.3"/>
    <row r="12770" ht="14.4" x14ac:dyDescent="0.3"/>
    <row r="12771" ht="14.4" x14ac:dyDescent="0.3"/>
    <row r="12772" ht="14.4" x14ac:dyDescent="0.3"/>
    <row r="12773" ht="14.4" x14ac:dyDescent="0.3"/>
    <row r="12774" ht="14.4" x14ac:dyDescent="0.3"/>
    <row r="12775" ht="14.4" x14ac:dyDescent="0.3"/>
    <row r="12776" ht="14.4" x14ac:dyDescent="0.3"/>
    <row r="12777" ht="14.4" x14ac:dyDescent="0.3"/>
    <row r="12778" ht="14.4" x14ac:dyDescent="0.3"/>
    <row r="12779" ht="14.4" x14ac:dyDescent="0.3"/>
    <row r="12780" ht="14.4" x14ac:dyDescent="0.3"/>
    <row r="12781" ht="14.4" x14ac:dyDescent="0.3"/>
    <row r="12782" ht="14.4" x14ac:dyDescent="0.3"/>
    <row r="12783" ht="14.4" x14ac:dyDescent="0.3"/>
    <row r="12784" ht="14.4" x14ac:dyDescent="0.3"/>
    <row r="12785" ht="14.4" x14ac:dyDescent="0.3"/>
    <row r="12786" ht="14.4" x14ac:dyDescent="0.3"/>
    <row r="12787" ht="14.4" x14ac:dyDescent="0.3"/>
    <row r="12788" ht="14.4" x14ac:dyDescent="0.3"/>
    <row r="12789" ht="14.4" x14ac:dyDescent="0.3"/>
    <row r="12790" ht="14.4" x14ac:dyDescent="0.3"/>
    <row r="12791" ht="14.4" x14ac:dyDescent="0.3"/>
    <row r="12792" ht="14.4" x14ac:dyDescent="0.3"/>
    <row r="12793" ht="14.4" x14ac:dyDescent="0.3"/>
    <row r="12794" ht="14.4" x14ac:dyDescent="0.3"/>
    <row r="12795" ht="14.4" x14ac:dyDescent="0.3"/>
    <row r="12796" ht="14.4" x14ac:dyDescent="0.3"/>
    <row r="12797" ht="14.4" x14ac:dyDescent="0.3"/>
    <row r="12798" ht="14.4" x14ac:dyDescent="0.3"/>
    <row r="12799" ht="14.4" x14ac:dyDescent="0.3"/>
    <row r="12800" ht="14.4" x14ac:dyDescent="0.3"/>
    <row r="12801" ht="14.4" x14ac:dyDescent="0.3"/>
    <row r="12802" ht="14.4" x14ac:dyDescent="0.3"/>
    <row r="12803" ht="14.4" x14ac:dyDescent="0.3"/>
    <row r="12804" ht="14.4" x14ac:dyDescent="0.3"/>
    <row r="12805" ht="14.4" x14ac:dyDescent="0.3"/>
    <row r="12806" ht="14.4" x14ac:dyDescent="0.3"/>
    <row r="12807" ht="14.4" x14ac:dyDescent="0.3"/>
    <row r="12808" ht="14.4" x14ac:dyDescent="0.3"/>
    <row r="12809" ht="14.4" x14ac:dyDescent="0.3"/>
    <row r="12810" ht="14.4" x14ac:dyDescent="0.3"/>
    <row r="12811" ht="14.4" x14ac:dyDescent="0.3"/>
    <row r="12812" ht="14.4" x14ac:dyDescent="0.3"/>
    <row r="12813" ht="14.4" x14ac:dyDescent="0.3"/>
    <row r="12814" ht="14.4" x14ac:dyDescent="0.3"/>
    <row r="12815" ht="14.4" x14ac:dyDescent="0.3"/>
    <row r="12816" ht="14.4" x14ac:dyDescent="0.3"/>
    <row r="12817" ht="14.4" x14ac:dyDescent="0.3"/>
    <row r="12818" ht="14.4" x14ac:dyDescent="0.3"/>
    <row r="12819" ht="14.4" x14ac:dyDescent="0.3"/>
    <row r="12820" ht="14.4" x14ac:dyDescent="0.3"/>
    <row r="12821" ht="14.4" x14ac:dyDescent="0.3"/>
    <row r="12822" ht="14.4" x14ac:dyDescent="0.3"/>
    <row r="12823" ht="14.4" x14ac:dyDescent="0.3"/>
    <row r="12824" ht="14.4" x14ac:dyDescent="0.3"/>
    <row r="12825" ht="14.4" x14ac:dyDescent="0.3"/>
    <row r="12826" ht="14.4" x14ac:dyDescent="0.3"/>
    <row r="12827" ht="14.4" x14ac:dyDescent="0.3"/>
    <row r="12828" ht="14.4" x14ac:dyDescent="0.3"/>
    <row r="12829" ht="14.4" x14ac:dyDescent="0.3"/>
    <row r="12830" ht="14.4" x14ac:dyDescent="0.3"/>
    <row r="12831" ht="14.4" x14ac:dyDescent="0.3"/>
    <row r="12832" ht="14.4" x14ac:dyDescent="0.3"/>
    <row r="12833" ht="14.4" x14ac:dyDescent="0.3"/>
    <row r="12834" ht="14.4" x14ac:dyDescent="0.3"/>
    <row r="12835" ht="14.4" x14ac:dyDescent="0.3"/>
    <row r="12836" ht="14.4" x14ac:dyDescent="0.3"/>
    <row r="12837" ht="14.4" x14ac:dyDescent="0.3"/>
    <row r="12838" ht="14.4" x14ac:dyDescent="0.3"/>
    <row r="12839" ht="14.4" x14ac:dyDescent="0.3"/>
    <row r="12840" ht="14.4" x14ac:dyDescent="0.3"/>
    <row r="12841" ht="14.4" x14ac:dyDescent="0.3"/>
    <row r="12842" ht="14.4" x14ac:dyDescent="0.3"/>
    <row r="12843" ht="14.4" x14ac:dyDescent="0.3"/>
    <row r="12844" ht="14.4" x14ac:dyDescent="0.3"/>
    <row r="12845" ht="14.4" x14ac:dyDescent="0.3"/>
    <row r="12846" ht="14.4" x14ac:dyDescent="0.3"/>
    <row r="12847" ht="14.4" x14ac:dyDescent="0.3"/>
    <row r="12848" ht="14.4" x14ac:dyDescent="0.3"/>
    <row r="12849" ht="14.4" x14ac:dyDescent="0.3"/>
    <row r="12850" ht="14.4" x14ac:dyDescent="0.3"/>
    <row r="12851" ht="14.4" x14ac:dyDescent="0.3"/>
    <row r="12852" ht="14.4" x14ac:dyDescent="0.3"/>
    <row r="12853" ht="14.4" x14ac:dyDescent="0.3"/>
    <row r="12854" ht="14.4" x14ac:dyDescent="0.3"/>
    <row r="12855" ht="14.4" x14ac:dyDescent="0.3"/>
    <row r="12856" ht="14.4" x14ac:dyDescent="0.3"/>
    <row r="12857" ht="14.4" x14ac:dyDescent="0.3"/>
    <row r="12858" ht="14.4" x14ac:dyDescent="0.3"/>
    <row r="12859" ht="14.4" x14ac:dyDescent="0.3"/>
    <row r="12860" ht="14.4" x14ac:dyDescent="0.3"/>
    <row r="12861" ht="14.4" x14ac:dyDescent="0.3"/>
    <row r="12862" ht="14.4" x14ac:dyDescent="0.3"/>
    <row r="12863" ht="14.4" x14ac:dyDescent="0.3"/>
    <row r="12864" ht="14.4" x14ac:dyDescent="0.3"/>
    <row r="12865" ht="14.4" x14ac:dyDescent="0.3"/>
    <row r="12866" ht="14.4" x14ac:dyDescent="0.3"/>
    <row r="12867" ht="14.4" x14ac:dyDescent="0.3"/>
    <row r="12868" ht="14.4" x14ac:dyDescent="0.3"/>
    <row r="12869" ht="14.4" x14ac:dyDescent="0.3"/>
    <row r="12870" ht="14.4" x14ac:dyDescent="0.3"/>
    <row r="12871" ht="14.4" x14ac:dyDescent="0.3"/>
    <row r="12872" ht="14.4" x14ac:dyDescent="0.3"/>
    <row r="12873" ht="14.4" x14ac:dyDescent="0.3"/>
    <row r="12874" ht="14.4" x14ac:dyDescent="0.3"/>
    <row r="12875" ht="14.4" x14ac:dyDescent="0.3"/>
    <row r="12876" ht="14.4" x14ac:dyDescent="0.3"/>
    <row r="12877" ht="14.4" x14ac:dyDescent="0.3"/>
    <row r="12878" ht="14.4" x14ac:dyDescent="0.3"/>
    <row r="12879" ht="14.4" x14ac:dyDescent="0.3"/>
    <row r="12880" ht="14.4" x14ac:dyDescent="0.3"/>
    <row r="12881" ht="14.4" x14ac:dyDescent="0.3"/>
    <row r="12882" ht="14.4" x14ac:dyDescent="0.3"/>
    <row r="12883" ht="14.4" x14ac:dyDescent="0.3"/>
    <row r="12884" ht="14.4" x14ac:dyDescent="0.3"/>
    <row r="12885" ht="14.4" x14ac:dyDescent="0.3"/>
    <row r="12886" ht="14.4" x14ac:dyDescent="0.3"/>
    <row r="12887" ht="14.4" x14ac:dyDescent="0.3"/>
    <row r="12888" ht="14.4" x14ac:dyDescent="0.3"/>
    <row r="12889" ht="14.4" x14ac:dyDescent="0.3"/>
    <row r="12890" ht="14.4" x14ac:dyDescent="0.3"/>
    <row r="12891" ht="14.4" x14ac:dyDescent="0.3"/>
    <row r="12892" ht="14.4" x14ac:dyDescent="0.3"/>
    <row r="12893" ht="14.4" x14ac:dyDescent="0.3"/>
    <row r="12894" ht="14.4" x14ac:dyDescent="0.3"/>
    <row r="12895" ht="14.4" x14ac:dyDescent="0.3"/>
    <row r="12896" ht="14.4" x14ac:dyDescent="0.3"/>
    <row r="12897" ht="14.4" x14ac:dyDescent="0.3"/>
    <row r="12898" ht="14.4" x14ac:dyDescent="0.3"/>
    <row r="12899" ht="14.4" x14ac:dyDescent="0.3"/>
    <row r="12900" ht="14.4" x14ac:dyDescent="0.3"/>
    <row r="12901" ht="14.4" x14ac:dyDescent="0.3"/>
    <row r="12902" ht="14.4" x14ac:dyDescent="0.3"/>
    <row r="12903" ht="14.4" x14ac:dyDescent="0.3"/>
    <row r="12904" ht="14.4" x14ac:dyDescent="0.3"/>
    <row r="12905" ht="14.4" x14ac:dyDescent="0.3"/>
    <row r="12906" ht="14.4" x14ac:dyDescent="0.3"/>
    <row r="12907" ht="14.4" x14ac:dyDescent="0.3"/>
    <row r="12908" ht="14.4" x14ac:dyDescent="0.3"/>
    <row r="12909" ht="14.4" x14ac:dyDescent="0.3"/>
    <row r="12910" ht="14.4" x14ac:dyDescent="0.3"/>
    <row r="12911" ht="14.4" x14ac:dyDescent="0.3"/>
    <row r="12912" ht="14.4" x14ac:dyDescent="0.3"/>
    <row r="12913" ht="14.4" x14ac:dyDescent="0.3"/>
    <row r="12914" ht="14.4" x14ac:dyDescent="0.3"/>
    <row r="12915" ht="14.4" x14ac:dyDescent="0.3"/>
    <row r="12916" ht="14.4" x14ac:dyDescent="0.3"/>
    <row r="12917" ht="14.4" x14ac:dyDescent="0.3"/>
    <row r="12918" ht="14.4" x14ac:dyDescent="0.3"/>
    <row r="12919" ht="14.4" x14ac:dyDescent="0.3"/>
    <row r="12920" ht="14.4" x14ac:dyDescent="0.3"/>
    <row r="12921" ht="14.4" x14ac:dyDescent="0.3"/>
    <row r="12922" ht="14.4" x14ac:dyDescent="0.3"/>
    <row r="12923" ht="14.4" x14ac:dyDescent="0.3"/>
    <row r="12924" ht="14.4" x14ac:dyDescent="0.3"/>
    <row r="12925" ht="14.4" x14ac:dyDescent="0.3"/>
    <row r="12926" ht="14.4" x14ac:dyDescent="0.3"/>
    <row r="12927" ht="14.4" x14ac:dyDescent="0.3"/>
    <row r="12928" ht="14.4" x14ac:dyDescent="0.3"/>
    <row r="12929" ht="14.4" x14ac:dyDescent="0.3"/>
    <row r="12930" ht="14.4" x14ac:dyDescent="0.3"/>
    <row r="12931" ht="14.4" x14ac:dyDescent="0.3"/>
    <row r="12932" ht="14.4" x14ac:dyDescent="0.3"/>
    <row r="12933" ht="14.4" x14ac:dyDescent="0.3"/>
    <row r="12934" ht="14.4" x14ac:dyDescent="0.3"/>
    <row r="12935" ht="14.4" x14ac:dyDescent="0.3"/>
    <row r="12936" ht="14.4" x14ac:dyDescent="0.3"/>
    <row r="12937" ht="14.4" x14ac:dyDescent="0.3"/>
    <row r="12938" ht="14.4" x14ac:dyDescent="0.3"/>
    <row r="12939" ht="14.4" x14ac:dyDescent="0.3"/>
    <row r="12940" ht="14.4" x14ac:dyDescent="0.3"/>
    <row r="12941" ht="14.4" x14ac:dyDescent="0.3"/>
    <row r="12942" ht="14.4" x14ac:dyDescent="0.3"/>
    <row r="12943" ht="14.4" x14ac:dyDescent="0.3"/>
    <row r="12944" ht="14.4" x14ac:dyDescent="0.3"/>
    <row r="12945" ht="14.4" x14ac:dyDescent="0.3"/>
    <row r="12946" ht="14.4" x14ac:dyDescent="0.3"/>
    <row r="12947" ht="14.4" x14ac:dyDescent="0.3"/>
    <row r="12948" ht="14.4" x14ac:dyDescent="0.3"/>
    <row r="12949" ht="14.4" x14ac:dyDescent="0.3"/>
    <row r="12950" ht="14.4" x14ac:dyDescent="0.3"/>
    <row r="12951" ht="14.4" x14ac:dyDescent="0.3"/>
    <row r="12952" ht="14.4" x14ac:dyDescent="0.3"/>
    <row r="12953" ht="14.4" x14ac:dyDescent="0.3"/>
    <row r="12954" ht="14.4" x14ac:dyDescent="0.3"/>
    <row r="12955" ht="14.4" x14ac:dyDescent="0.3"/>
    <row r="12956" ht="14.4" x14ac:dyDescent="0.3"/>
    <row r="12957" ht="14.4" x14ac:dyDescent="0.3"/>
    <row r="12958" ht="14.4" x14ac:dyDescent="0.3"/>
    <row r="12959" ht="14.4" x14ac:dyDescent="0.3"/>
    <row r="12960" ht="14.4" x14ac:dyDescent="0.3"/>
    <row r="12961" ht="14.4" x14ac:dyDescent="0.3"/>
    <row r="12962" ht="14.4" x14ac:dyDescent="0.3"/>
    <row r="12963" ht="14.4" x14ac:dyDescent="0.3"/>
    <row r="12964" ht="14.4" x14ac:dyDescent="0.3"/>
    <row r="12965" ht="14.4" x14ac:dyDescent="0.3"/>
    <row r="12966" ht="14.4" x14ac:dyDescent="0.3"/>
    <row r="12967" ht="14.4" x14ac:dyDescent="0.3"/>
    <row r="12968" ht="14.4" x14ac:dyDescent="0.3"/>
    <row r="12969" ht="14.4" x14ac:dyDescent="0.3"/>
    <row r="12970" ht="14.4" x14ac:dyDescent="0.3"/>
    <row r="12971" ht="14.4" x14ac:dyDescent="0.3"/>
    <row r="12972" ht="14.4" x14ac:dyDescent="0.3"/>
    <row r="12973" ht="14.4" x14ac:dyDescent="0.3"/>
    <row r="12974" ht="14.4" x14ac:dyDescent="0.3"/>
    <row r="12975" ht="14.4" x14ac:dyDescent="0.3"/>
    <row r="12976" ht="14.4" x14ac:dyDescent="0.3"/>
    <row r="12977" ht="14.4" x14ac:dyDescent="0.3"/>
    <row r="12978" ht="14.4" x14ac:dyDescent="0.3"/>
    <row r="12979" ht="14.4" x14ac:dyDescent="0.3"/>
    <row r="12980" ht="14.4" x14ac:dyDescent="0.3"/>
    <row r="12981" ht="14.4" x14ac:dyDescent="0.3"/>
    <row r="12982" ht="14.4" x14ac:dyDescent="0.3"/>
    <row r="12983" ht="14.4" x14ac:dyDescent="0.3"/>
    <row r="12984" ht="14.4" x14ac:dyDescent="0.3"/>
    <row r="12985" ht="14.4" x14ac:dyDescent="0.3"/>
    <row r="12986" ht="14.4" x14ac:dyDescent="0.3"/>
    <row r="12987" ht="14.4" x14ac:dyDescent="0.3"/>
    <row r="12988" ht="14.4" x14ac:dyDescent="0.3"/>
    <row r="12989" ht="14.4" x14ac:dyDescent="0.3"/>
    <row r="12990" ht="14.4" x14ac:dyDescent="0.3"/>
    <row r="12991" ht="14.4" x14ac:dyDescent="0.3"/>
    <row r="12992" ht="14.4" x14ac:dyDescent="0.3"/>
    <row r="12993" ht="14.4" x14ac:dyDescent="0.3"/>
    <row r="12994" ht="14.4" x14ac:dyDescent="0.3"/>
    <row r="12995" ht="14.4" x14ac:dyDescent="0.3"/>
    <row r="12996" ht="14.4" x14ac:dyDescent="0.3"/>
    <row r="12997" ht="14.4" x14ac:dyDescent="0.3"/>
    <row r="12998" ht="14.4" x14ac:dyDescent="0.3"/>
    <row r="12999" ht="14.4" x14ac:dyDescent="0.3"/>
    <row r="13000" ht="14.4" x14ac:dyDescent="0.3"/>
    <row r="13001" ht="14.4" x14ac:dyDescent="0.3"/>
    <row r="13002" ht="14.4" x14ac:dyDescent="0.3"/>
    <row r="13003" ht="14.4" x14ac:dyDescent="0.3"/>
    <row r="13004" ht="14.4" x14ac:dyDescent="0.3"/>
    <row r="13005" ht="14.4" x14ac:dyDescent="0.3"/>
    <row r="13006" ht="14.4" x14ac:dyDescent="0.3"/>
    <row r="13007" ht="14.4" x14ac:dyDescent="0.3"/>
    <row r="13008" ht="14.4" x14ac:dyDescent="0.3"/>
    <row r="13009" ht="14.4" x14ac:dyDescent="0.3"/>
    <row r="13010" ht="14.4" x14ac:dyDescent="0.3"/>
    <row r="13011" ht="14.4" x14ac:dyDescent="0.3"/>
    <row r="13012" ht="14.4" x14ac:dyDescent="0.3"/>
    <row r="13013" ht="14.4" x14ac:dyDescent="0.3"/>
    <row r="13014" ht="14.4" x14ac:dyDescent="0.3"/>
    <row r="13015" ht="14.4" x14ac:dyDescent="0.3"/>
    <row r="13016" ht="14.4" x14ac:dyDescent="0.3"/>
    <row r="13017" ht="14.4" x14ac:dyDescent="0.3"/>
    <row r="13018" ht="14.4" x14ac:dyDescent="0.3"/>
    <row r="13019" ht="14.4" x14ac:dyDescent="0.3"/>
    <row r="13020" ht="14.4" x14ac:dyDescent="0.3"/>
    <row r="13021" ht="14.4" x14ac:dyDescent="0.3"/>
    <row r="13022" ht="14.4" x14ac:dyDescent="0.3"/>
    <row r="13023" ht="14.4" x14ac:dyDescent="0.3"/>
    <row r="13024" ht="14.4" x14ac:dyDescent="0.3"/>
    <row r="13025" ht="14.4" x14ac:dyDescent="0.3"/>
    <row r="13026" ht="14.4" x14ac:dyDescent="0.3"/>
    <row r="13027" ht="14.4" x14ac:dyDescent="0.3"/>
    <row r="13028" ht="14.4" x14ac:dyDescent="0.3"/>
    <row r="13029" ht="14.4" x14ac:dyDescent="0.3"/>
    <row r="13030" ht="14.4" x14ac:dyDescent="0.3"/>
    <row r="13031" ht="14.4" x14ac:dyDescent="0.3"/>
    <row r="13032" ht="14.4" x14ac:dyDescent="0.3"/>
    <row r="13033" ht="14.4" x14ac:dyDescent="0.3"/>
    <row r="13034" ht="14.4" x14ac:dyDescent="0.3"/>
    <row r="13035" ht="14.4" x14ac:dyDescent="0.3"/>
    <row r="13036" ht="14.4" x14ac:dyDescent="0.3"/>
    <row r="13037" ht="14.4" x14ac:dyDescent="0.3"/>
    <row r="13038" ht="14.4" x14ac:dyDescent="0.3"/>
    <row r="13039" ht="14.4" x14ac:dyDescent="0.3"/>
    <row r="13040" ht="14.4" x14ac:dyDescent="0.3"/>
    <row r="13041" ht="14.4" x14ac:dyDescent="0.3"/>
    <row r="13042" ht="14.4" x14ac:dyDescent="0.3"/>
    <row r="13043" ht="14.4" x14ac:dyDescent="0.3"/>
    <row r="13044" ht="14.4" x14ac:dyDescent="0.3"/>
    <row r="13045" ht="14.4" x14ac:dyDescent="0.3"/>
    <row r="13046" ht="14.4" x14ac:dyDescent="0.3"/>
    <row r="13047" ht="14.4" x14ac:dyDescent="0.3"/>
    <row r="13048" ht="14.4" x14ac:dyDescent="0.3"/>
    <row r="13049" ht="14.4" x14ac:dyDescent="0.3"/>
    <row r="13050" ht="14.4" x14ac:dyDescent="0.3"/>
    <row r="13051" ht="14.4" x14ac:dyDescent="0.3"/>
    <row r="13052" ht="14.4" x14ac:dyDescent="0.3"/>
    <row r="13053" ht="14.4" x14ac:dyDescent="0.3"/>
    <row r="13054" ht="14.4" x14ac:dyDescent="0.3"/>
    <row r="13055" ht="14.4" x14ac:dyDescent="0.3"/>
    <row r="13056" ht="14.4" x14ac:dyDescent="0.3"/>
    <row r="13057" ht="14.4" x14ac:dyDescent="0.3"/>
    <row r="13058" ht="14.4" x14ac:dyDescent="0.3"/>
    <row r="13059" ht="14.4" x14ac:dyDescent="0.3"/>
    <row r="13060" ht="14.4" x14ac:dyDescent="0.3"/>
    <row r="13061" ht="14.4" x14ac:dyDescent="0.3"/>
    <row r="13062" ht="14.4" x14ac:dyDescent="0.3"/>
    <row r="13063" ht="14.4" x14ac:dyDescent="0.3"/>
    <row r="13064" ht="14.4" x14ac:dyDescent="0.3"/>
    <row r="13065" ht="14.4" x14ac:dyDescent="0.3"/>
    <row r="13066" ht="14.4" x14ac:dyDescent="0.3"/>
    <row r="13067" ht="14.4" x14ac:dyDescent="0.3"/>
    <row r="13068" ht="14.4" x14ac:dyDescent="0.3"/>
    <row r="13069" ht="14.4" x14ac:dyDescent="0.3"/>
    <row r="13070" ht="14.4" x14ac:dyDescent="0.3"/>
    <row r="13071" ht="14.4" x14ac:dyDescent="0.3"/>
    <row r="13072" ht="14.4" x14ac:dyDescent="0.3"/>
    <row r="13073" ht="14.4" x14ac:dyDescent="0.3"/>
    <row r="13074" ht="14.4" x14ac:dyDescent="0.3"/>
    <row r="13075" ht="14.4" x14ac:dyDescent="0.3"/>
    <row r="13076" ht="14.4" x14ac:dyDescent="0.3"/>
    <row r="13077" ht="14.4" x14ac:dyDescent="0.3"/>
    <row r="13078" ht="14.4" x14ac:dyDescent="0.3"/>
    <row r="13079" ht="14.4" x14ac:dyDescent="0.3"/>
    <row r="13080" ht="14.4" x14ac:dyDescent="0.3"/>
    <row r="13081" ht="14.4" x14ac:dyDescent="0.3"/>
    <row r="13082" ht="14.4" x14ac:dyDescent="0.3"/>
    <row r="13083" ht="14.4" x14ac:dyDescent="0.3"/>
    <row r="13084" ht="14.4" x14ac:dyDescent="0.3"/>
    <row r="13085" ht="14.4" x14ac:dyDescent="0.3"/>
    <row r="13086" ht="14.4" x14ac:dyDescent="0.3"/>
    <row r="13087" ht="14.4" x14ac:dyDescent="0.3"/>
    <row r="13088" ht="14.4" x14ac:dyDescent="0.3"/>
    <row r="13089" ht="14.4" x14ac:dyDescent="0.3"/>
    <row r="13090" ht="14.4" x14ac:dyDescent="0.3"/>
    <row r="13091" ht="14.4" x14ac:dyDescent="0.3"/>
    <row r="13092" ht="14.4" x14ac:dyDescent="0.3"/>
    <row r="13093" ht="14.4" x14ac:dyDescent="0.3"/>
    <row r="13094" ht="14.4" x14ac:dyDescent="0.3"/>
    <row r="13095" ht="14.4" x14ac:dyDescent="0.3"/>
    <row r="13096" ht="14.4" x14ac:dyDescent="0.3"/>
    <row r="13097" ht="14.4" x14ac:dyDescent="0.3"/>
    <row r="13098" ht="14.4" x14ac:dyDescent="0.3"/>
    <row r="13099" ht="14.4" x14ac:dyDescent="0.3"/>
    <row r="13100" ht="14.4" x14ac:dyDescent="0.3"/>
    <row r="13101" ht="14.4" x14ac:dyDescent="0.3"/>
    <row r="13102" ht="14.4" x14ac:dyDescent="0.3"/>
    <row r="13103" ht="14.4" x14ac:dyDescent="0.3"/>
    <row r="13104" ht="14.4" x14ac:dyDescent="0.3"/>
    <row r="13105" ht="14.4" x14ac:dyDescent="0.3"/>
    <row r="13106" ht="14.4" x14ac:dyDescent="0.3"/>
    <row r="13107" ht="14.4" x14ac:dyDescent="0.3"/>
    <row r="13108" ht="14.4" x14ac:dyDescent="0.3"/>
    <row r="13109" ht="14.4" x14ac:dyDescent="0.3"/>
    <row r="13110" ht="14.4" x14ac:dyDescent="0.3"/>
    <row r="13111" ht="14.4" x14ac:dyDescent="0.3"/>
    <row r="13112" ht="14.4" x14ac:dyDescent="0.3"/>
    <row r="13113" ht="14.4" x14ac:dyDescent="0.3"/>
    <row r="13114" ht="14.4" x14ac:dyDescent="0.3"/>
    <row r="13115" ht="14.4" x14ac:dyDescent="0.3"/>
    <row r="13116" ht="14.4" x14ac:dyDescent="0.3"/>
    <row r="13117" ht="14.4" x14ac:dyDescent="0.3"/>
    <row r="13118" ht="14.4" x14ac:dyDescent="0.3"/>
    <row r="13119" ht="14.4" x14ac:dyDescent="0.3"/>
    <row r="13120" ht="14.4" x14ac:dyDescent="0.3"/>
    <row r="13121" ht="14.4" x14ac:dyDescent="0.3"/>
    <row r="13122" ht="14.4" x14ac:dyDescent="0.3"/>
    <row r="13123" ht="14.4" x14ac:dyDescent="0.3"/>
    <row r="13124" ht="14.4" x14ac:dyDescent="0.3"/>
    <row r="13125" ht="14.4" x14ac:dyDescent="0.3"/>
    <row r="13126" ht="14.4" x14ac:dyDescent="0.3"/>
    <row r="13127" ht="14.4" x14ac:dyDescent="0.3"/>
    <row r="13128" ht="14.4" x14ac:dyDescent="0.3"/>
    <row r="13129" ht="14.4" x14ac:dyDescent="0.3"/>
    <row r="13130" ht="14.4" x14ac:dyDescent="0.3"/>
    <row r="13131" ht="14.4" x14ac:dyDescent="0.3"/>
    <row r="13132" ht="14.4" x14ac:dyDescent="0.3"/>
    <row r="13133" ht="14.4" x14ac:dyDescent="0.3"/>
    <row r="13134" ht="14.4" x14ac:dyDescent="0.3"/>
    <row r="13135" ht="14.4" x14ac:dyDescent="0.3"/>
    <row r="13136" ht="14.4" x14ac:dyDescent="0.3"/>
    <row r="13137" ht="14.4" x14ac:dyDescent="0.3"/>
    <row r="13138" ht="14.4" x14ac:dyDescent="0.3"/>
    <row r="13139" ht="14.4" x14ac:dyDescent="0.3"/>
    <row r="13140" ht="14.4" x14ac:dyDescent="0.3"/>
    <row r="13141" ht="14.4" x14ac:dyDescent="0.3"/>
    <row r="13142" ht="14.4" x14ac:dyDescent="0.3"/>
    <row r="13143" ht="14.4" x14ac:dyDescent="0.3"/>
    <row r="13144" ht="14.4" x14ac:dyDescent="0.3"/>
    <row r="13145" ht="14.4" x14ac:dyDescent="0.3"/>
    <row r="13146" ht="14.4" x14ac:dyDescent="0.3"/>
    <row r="13147" ht="14.4" x14ac:dyDescent="0.3"/>
    <row r="13148" ht="14.4" x14ac:dyDescent="0.3"/>
    <row r="13149" ht="14.4" x14ac:dyDescent="0.3"/>
    <row r="13150" ht="14.4" x14ac:dyDescent="0.3"/>
    <row r="13151" ht="14.4" x14ac:dyDescent="0.3"/>
    <row r="13152" ht="14.4" x14ac:dyDescent="0.3"/>
    <row r="13153" ht="14.4" x14ac:dyDescent="0.3"/>
    <row r="13154" ht="14.4" x14ac:dyDescent="0.3"/>
    <row r="13155" ht="14.4" x14ac:dyDescent="0.3"/>
    <row r="13156" ht="14.4" x14ac:dyDescent="0.3"/>
    <row r="13157" ht="14.4" x14ac:dyDescent="0.3"/>
    <row r="13158" ht="14.4" x14ac:dyDescent="0.3"/>
    <row r="13159" ht="14.4" x14ac:dyDescent="0.3"/>
    <row r="13160" ht="14.4" x14ac:dyDescent="0.3"/>
    <row r="13161" ht="14.4" x14ac:dyDescent="0.3"/>
    <row r="13162" ht="14.4" x14ac:dyDescent="0.3"/>
    <row r="13163" ht="14.4" x14ac:dyDescent="0.3"/>
    <row r="13164" ht="14.4" x14ac:dyDescent="0.3"/>
    <row r="13165" ht="14.4" x14ac:dyDescent="0.3"/>
    <row r="13166" ht="14.4" x14ac:dyDescent="0.3"/>
    <row r="13167" ht="14.4" x14ac:dyDescent="0.3"/>
    <row r="13168" ht="14.4" x14ac:dyDescent="0.3"/>
    <row r="13169" ht="14.4" x14ac:dyDescent="0.3"/>
    <row r="13170" ht="14.4" x14ac:dyDescent="0.3"/>
    <row r="13171" ht="14.4" x14ac:dyDescent="0.3"/>
    <row r="13172" ht="14.4" x14ac:dyDescent="0.3"/>
    <row r="13173" ht="14.4" x14ac:dyDescent="0.3"/>
    <row r="13174" ht="14.4" x14ac:dyDescent="0.3"/>
    <row r="13175" ht="14.4" x14ac:dyDescent="0.3"/>
    <row r="13176" ht="14.4" x14ac:dyDescent="0.3"/>
    <row r="13177" ht="14.4" x14ac:dyDescent="0.3"/>
    <row r="13178" ht="14.4" x14ac:dyDescent="0.3"/>
    <row r="13179" ht="14.4" x14ac:dyDescent="0.3"/>
    <row r="13180" ht="14.4" x14ac:dyDescent="0.3"/>
    <row r="13181" ht="14.4" x14ac:dyDescent="0.3"/>
    <row r="13182" ht="14.4" x14ac:dyDescent="0.3"/>
    <row r="13183" ht="14.4" x14ac:dyDescent="0.3"/>
    <row r="13184" ht="14.4" x14ac:dyDescent="0.3"/>
    <row r="13185" ht="14.4" x14ac:dyDescent="0.3"/>
    <row r="13186" ht="14.4" x14ac:dyDescent="0.3"/>
    <row r="13187" ht="14.4" x14ac:dyDescent="0.3"/>
    <row r="13188" ht="14.4" x14ac:dyDescent="0.3"/>
    <row r="13189" ht="14.4" x14ac:dyDescent="0.3"/>
    <row r="13190" ht="14.4" x14ac:dyDescent="0.3"/>
    <row r="13191" ht="14.4" x14ac:dyDescent="0.3"/>
    <row r="13192" ht="14.4" x14ac:dyDescent="0.3"/>
    <row r="13193" ht="14.4" x14ac:dyDescent="0.3"/>
    <row r="13194" ht="14.4" x14ac:dyDescent="0.3"/>
    <row r="13195" ht="14.4" x14ac:dyDescent="0.3"/>
    <row r="13196" ht="14.4" x14ac:dyDescent="0.3"/>
    <row r="13197" ht="14.4" x14ac:dyDescent="0.3"/>
    <row r="13198" ht="14.4" x14ac:dyDescent="0.3"/>
    <row r="13199" ht="14.4" x14ac:dyDescent="0.3"/>
    <row r="13200" ht="14.4" x14ac:dyDescent="0.3"/>
    <row r="13201" ht="14.4" x14ac:dyDescent="0.3"/>
    <row r="13202" ht="14.4" x14ac:dyDescent="0.3"/>
    <row r="13203" ht="14.4" x14ac:dyDescent="0.3"/>
    <row r="13204" ht="14.4" x14ac:dyDescent="0.3"/>
    <row r="13205" ht="14.4" x14ac:dyDescent="0.3"/>
    <row r="13206" ht="14.4" x14ac:dyDescent="0.3"/>
    <row r="13207" ht="14.4" x14ac:dyDescent="0.3"/>
    <row r="13208" ht="14.4" x14ac:dyDescent="0.3"/>
    <row r="13209" ht="14.4" x14ac:dyDescent="0.3"/>
    <row r="13210" ht="14.4" x14ac:dyDescent="0.3"/>
    <row r="13211" ht="14.4" x14ac:dyDescent="0.3"/>
    <row r="13212" ht="14.4" x14ac:dyDescent="0.3"/>
    <row r="13213" ht="14.4" x14ac:dyDescent="0.3"/>
    <row r="13214" ht="14.4" x14ac:dyDescent="0.3"/>
    <row r="13215" ht="14.4" x14ac:dyDescent="0.3"/>
    <row r="13216" ht="14.4" x14ac:dyDescent="0.3"/>
    <row r="13217" ht="14.4" x14ac:dyDescent="0.3"/>
    <row r="13218" ht="14.4" x14ac:dyDescent="0.3"/>
    <row r="13219" ht="14.4" x14ac:dyDescent="0.3"/>
    <row r="13220" ht="14.4" x14ac:dyDescent="0.3"/>
    <row r="13221" ht="14.4" x14ac:dyDescent="0.3"/>
    <row r="13222" ht="14.4" x14ac:dyDescent="0.3"/>
    <row r="13223" ht="14.4" x14ac:dyDescent="0.3"/>
    <row r="13224" ht="14.4" x14ac:dyDescent="0.3"/>
    <row r="13225" ht="14.4" x14ac:dyDescent="0.3"/>
    <row r="13226" ht="14.4" x14ac:dyDescent="0.3"/>
    <row r="13227" ht="14.4" x14ac:dyDescent="0.3"/>
    <row r="13228" ht="14.4" x14ac:dyDescent="0.3"/>
    <row r="13229" ht="14.4" x14ac:dyDescent="0.3"/>
    <row r="13230" ht="14.4" x14ac:dyDescent="0.3"/>
    <row r="13231" ht="14.4" x14ac:dyDescent="0.3"/>
    <row r="13232" ht="14.4" x14ac:dyDescent="0.3"/>
    <row r="13233" ht="14.4" x14ac:dyDescent="0.3"/>
    <row r="13234" ht="14.4" x14ac:dyDescent="0.3"/>
    <row r="13235" ht="14.4" x14ac:dyDescent="0.3"/>
    <row r="13236" ht="14.4" x14ac:dyDescent="0.3"/>
    <row r="13237" ht="14.4" x14ac:dyDescent="0.3"/>
    <row r="13238" ht="14.4" x14ac:dyDescent="0.3"/>
    <row r="13239" ht="14.4" x14ac:dyDescent="0.3"/>
    <row r="13240" ht="14.4" x14ac:dyDescent="0.3"/>
    <row r="13241" ht="14.4" x14ac:dyDescent="0.3"/>
    <row r="13242" ht="14.4" x14ac:dyDescent="0.3"/>
    <row r="13243" ht="14.4" x14ac:dyDescent="0.3"/>
    <row r="13244" ht="14.4" x14ac:dyDescent="0.3"/>
    <row r="13245" ht="14.4" x14ac:dyDescent="0.3"/>
    <row r="13246" ht="14.4" x14ac:dyDescent="0.3"/>
    <row r="13247" ht="14.4" x14ac:dyDescent="0.3"/>
    <row r="13248" ht="14.4" x14ac:dyDescent="0.3"/>
    <row r="13249" ht="14.4" x14ac:dyDescent="0.3"/>
    <row r="13250" ht="14.4" x14ac:dyDescent="0.3"/>
    <row r="13251" ht="14.4" x14ac:dyDescent="0.3"/>
    <row r="13252" ht="14.4" x14ac:dyDescent="0.3"/>
    <row r="13253" ht="14.4" x14ac:dyDescent="0.3"/>
    <row r="13254" ht="14.4" x14ac:dyDescent="0.3"/>
    <row r="13255" ht="14.4" x14ac:dyDescent="0.3"/>
    <row r="13256" ht="14.4" x14ac:dyDescent="0.3"/>
    <row r="13257" ht="14.4" x14ac:dyDescent="0.3"/>
    <row r="13258" ht="14.4" x14ac:dyDescent="0.3"/>
    <row r="13259" ht="14.4" x14ac:dyDescent="0.3"/>
    <row r="13260" ht="14.4" x14ac:dyDescent="0.3"/>
    <row r="13261" ht="14.4" x14ac:dyDescent="0.3"/>
    <row r="13262" ht="14.4" x14ac:dyDescent="0.3"/>
    <row r="13263" ht="14.4" x14ac:dyDescent="0.3"/>
    <row r="13264" ht="14.4" x14ac:dyDescent="0.3"/>
    <row r="13265" ht="14.4" x14ac:dyDescent="0.3"/>
    <row r="13266" ht="14.4" x14ac:dyDescent="0.3"/>
    <row r="13267" ht="14.4" x14ac:dyDescent="0.3"/>
    <row r="13268" ht="14.4" x14ac:dyDescent="0.3"/>
    <row r="13269" ht="14.4" x14ac:dyDescent="0.3"/>
    <row r="13270" ht="14.4" x14ac:dyDescent="0.3"/>
    <row r="13271" ht="14.4" x14ac:dyDescent="0.3"/>
    <row r="13272" ht="14.4" x14ac:dyDescent="0.3"/>
    <row r="13273" ht="14.4" x14ac:dyDescent="0.3"/>
    <row r="13274" ht="14.4" x14ac:dyDescent="0.3"/>
    <row r="13275" ht="14.4" x14ac:dyDescent="0.3"/>
    <row r="13276" ht="14.4" x14ac:dyDescent="0.3"/>
    <row r="13277" ht="14.4" x14ac:dyDescent="0.3"/>
    <row r="13278" ht="14.4" x14ac:dyDescent="0.3"/>
    <row r="13279" ht="14.4" x14ac:dyDescent="0.3"/>
    <row r="13280" ht="14.4" x14ac:dyDescent="0.3"/>
    <row r="13281" ht="14.4" x14ac:dyDescent="0.3"/>
    <row r="13282" ht="14.4" x14ac:dyDescent="0.3"/>
    <row r="13283" ht="14.4" x14ac:dyDescent="0.3"/>
    <row r="13284" ht="14.4" x14ac:dyDescent="0.3"/>
    <row r="13285" ht="14.4" x14ac:dyDescent="0.3"/>
    <row r="13286" ht="14.4" x14ac:dyDescent="0.3"/>
    <row r="13287" ht="14.4" x14ac:dyDescent="0.3"/>
    <row r="13288" ht="14.4" x14ac:dyDescent="0.3"/>
    <row r="13289" ht="14.4" x14ac:dyDescent="0.3"/>
    <row r="13290" ht="14.4" x14ac:dyDescent="0.3"/>
    <row r="13291" ht="14.4" x14ac:dyDescent="0.3"/>
    <row r="13292" ht="14.4" x14ac:dyDescent="0.3"/>
    <row r="13293" ht="14.4" x14ac:dyDescent="0.3"/>
    <row r="13294" ht="14.4" x14ac:dyDescent="0.3"/>
    <row r="13295" ht="14.4" x14ac:dyDescent="0.3"/>
    <row r="13296" ht="14.4" x14ac:dyDescent="0.3"/>
    <row r="13297" ht="14.4" x14ac:dyDescent="0.3"/>
    <row r="13298" ht="14.4" x14ac:dyDescent="0.3"/>
    <row r="13299" ht="14.4" x14ac:dyDescent="0.3"/>
    <row r="13300" ht="14.4" x14ac:dyDescent="0.3"/>
    <row r="13301" ht="14.4" x14ac:dyDescent="0.3"/>
    <row r="13302" ht="14.4" x14ac:dyDescent="0.3"/>
    <row r="13303" ht="14.4" x14ac:dyDescent="0.3"/>
    <row r="13304" ht="14.4" x14ac:dyDescent="0.3"/>
    <row r="13305" ht="14.4" x14ac:dyDescent="0.3"/>
    <row r="13306" ht="14.4" x14ac:dyDescent="0.3"/>
    <row r="13307" ht="14.4" x14ac:dyDescent="0.3"/>
    <row r="13308" ht="14.4" x14ac:dyDescent="0.3"/>
    <row r="13309" ht="14.4" x14ac:dyDescent="0.3"/>
    <row r="13310" ht="14.4" x14ac:dyDescent="0.3"/>
    <row r="13311" ht="14.4" x14ac:dyDescent="0.3"/>
    <row r="13312" ht="14.4" x14ac:dyDescent="0.3"/>
    <row r="13313" ht="14.4" x14ac:dyDescent="0.3"/>
    <row r="13314" ht="14.4" x14ac:dyDescent="0.3"/>
    <row r="13315" ht="14.4" x14ac:dyDescent="0.3"/>
    <row r="13316" ht="14.4" x14ac:dyDescent="0.3"/>
    <row r="13317" ht="14.4" x14ac:dyDescent="0.3"/>
    <row r="13318" ht="14.4" x14ac:dyDescent="0.3"/>
    <row r="13319" ht="14.4" x14ac:dyDescent="0.3"/>
    <row r="13320" ht="14.4" x14ac:dyDescent="0.3"/>
    <row r="13321" ht="14.4" x14ac:dyDescent="0.3"/>
    <row r="13322" ht="14.4" x14ac:dyDescent="0.3"/>
    <row r="13323" ht="14.4" x14ac:dyDescent="0.3"/>
    <row r="13324" ht="14.4" x14ac:dyDescent="0.3"/>
    <row r="13325" ht="14.4" x14ac:dyDescent="0.3"/>
    <row r="13326" ht="14.4" x14ac:dyDescent="0.3"/>
    <row r="13327" ht="14.4" x14ac:dyDescent="0.3"/>
    <row r="13328" ht="14.4" x14ac:dyDescent="0.3"/>
    <row r="13329" ht="14.4" x14ac:dyDescent="0.3"/>
    <row r="13330" ht="14.4" x14ac:dyDescent="0.3"/>
    <row r="13331" ht="14.4" x14ac:dyDescent="0.3"/>
    <row r="13332" ht="14.4" x14ac:dyDescent="0.3"/>
    <row r="13333" ht="14.4" x14ac:dyDescent="0.3"/>
    <row r="13334" ht="14.4" x14ac:dyDescent="0.3"/>
    <row r="13335" ht="14.4" x14ac:dyDescent="0.3"/>
    <row r="13336" ht="14.4" x14ac:dyDescent="0.3"/>
    <row r="13337" ht="14.4" x14ac:dyDescent="0.3"/>
    <row r="13338" ht="14.4" x14ac:dyDescent="0.3"/>
    <row r="13339" ht="14.4" x14ac:dyDescent="0.3"/>
    <row r="13340" ht="14.4" x14ac:dyDescent="0.3"/>
    <row r="13341" ht="14.4" x14ac:dyDescent="0.3"/>
    <row r="13342" ht="14.4" x14ac:dyDescent="0.3"/>
    <row r="13343" ht="14.4" x14ac:dyDescent="0.3"/>
    <row r="13344" ht="14.4" x14ac:dyDescent="0.3"/>
    <row r="13345" ht="14.4" x14ac:dyDescent="0.3"/>
    <row r="13346" ht="14.4" x14ac:dyDescent="0.3"/>
    <row r="13347" ht="14.4" x14ac:dyDescent="0.3"/>
    <row r="13348" ht="14.4" x14ac:dyDescent="0.3"/>
    <row r="13349" ht="14.4" x14ac:dyDescent="0.3"/>
    <row r="13350" ht="14.4" x14ac:dyDescent="0.3"/>
    <row r="13351" ht="14.4" x14ac:dyDescent="0.3"/>
    <row r="13352" ht="14.4" x14ac:dyDescent="0.3"/>
    <row r="13353" ht="14.4" x14ac:dyDescent="0.3"/>
    <row r="13354" ht="14.4" x14ac:dyDescent="0.3"/>
    <row r="13355" ht="14.4" x14ac:dyDescent="0.3"/>
    <row r="13356" ht="14.4" x14ac:dyDescent="0.3"/>
    <row r="13357" ht="14.4" x14ac:dyDescent="0.3"/>
    <row r="13358" ht="14.4" x14ac:dyDescent="0.3"/>
    <row r="13359" ht="14.4" x14ac:dyDescent="0.3"/>
    <row r="13360" ht="14.4" x14ac:dyDescent="0.3"/>
    <row r="13361" ht="14.4" x14ac:dyDescent="0.3"/>
    <row r="13362" ht="14.4" x14ac:dyDescent="0.3"/>
    <row r="13363" ht="14.4" x14ac:dyDescent="0.3"/>
    <row r="13364" ht="14.4" x14ac:dyDescent="0.3"/>
    <row r="13365" ht="14.4" x14ac:dyDescent="0.3"/>
    <row r="13366" ht="14.4" x14ac:dyDescent="0.3"/>
    <row r="13367" ht="14.4" x14ac:dyDescent="0.3"/>
    <row r="13368" ht="14.4" x14ac:dyDescent="0.3"/>
    <row r="13369" ht="14.4" x14ac:dyDescent="0.3"/>
    <row r="13370" ht="14.4" x14ac:dyDescent="0.3"/>
    <row r="13371" ht="14.4" x14ac:dyDescent="0.3"/>
    <row r="13372" ht="14.4" x14ac:dyDescent="0.3"/>
    <row r="13373" ht="14.4" x14ac:dyDescent="0.3"/>
    <row r="13374" ht="14.4" x14ac:dyDescent="0.3"/>
    <row r="13375" ht="14.4" x14ac:dyDescent="0.3"/>
    <row r="13376" ht="14.4" x14ac:dyDescent="0.3"/>
    <row r="13377" ht="14.4" x14ac:dyDescent="0.3"/>
    <row r="13378" ht="14.4" x14ac:dyDescent="0.3"/>
    <row r="13379" ht="14.4" x14ac:dyDescent="0.3"/>
    <row r="13380" ht="14.4" x14ac:dyDescent="0.3"/>
    <row r="13381" ht="14.4" x14ac:dyDescent="0.3"/>
    <row r="13382" ht="14.4" x14ac:dyDescent="0.3"/>
    <row r="13383" ht="14.4" x14ac:dyDescent="0.3"/>
    <row r="13384" ht="14.4" x14ac:dyDescent="0.3"/>
    <row r="13385" ht="14.4" x14ac:dyDescent="0.3"/>
    <row r="13386" ht="14.4" x14ac:dyDescent="0.3"/>
    <row r="13387" ht="14.4" x14ac:dyDescent="0.3"/>
    <row r="13388" ht="14.4" x14ac:dyDescent="0.3"/>
    <row r="13389" ht="14.4" x14ac:dyDescent="0.3"/>
    <row r="13390" ht="14.4" x14ac:dyDescent="0.3"/>
    <row r="13391" ht="14.4" x14ac:dyDescent="0.3"/>
    <row r="13392" ht="14.4" x14ac:dyDescent="0.3"/>
    <row r="13393" ht="14.4" x14ac:dyDescent="0.3"/>
    <row r="13394" ht="14.4" x14ac:dyDescent="0.3"/>
    <row r="13395" ht="14.4" x14ac:dyDescent="0.3"/>
    <row r="13396" ht="14.4" x14ac:dyDescent="0.3"/>
    <row r="13397" ht="14.4" x14ac:dyDescent="0.3"/>
    <row r="13398" ht="14.4" x14ac:dyDescent="0.3"/>
    <row r="13399" ht="14.4" x14ac:dyDescent="0.3"/>
    <row r="13400" ht="14.4" x14ac:dyDescent="0.3"/>
    <row r="13401" ht="14.4" x14ac:dyDescent="0.3"/>
    <row r="13402" ht="14.4" x14ac:dyDescent="0.3"/>
    <row r="13403" ht="14.4" x14ac:dyDescent="0.3"/>
    <row r="13404" ht="14.4" x14ac:dyDescent="0.3"/>
    <row r="13405" ht="14.4" x14ac:dyDescent="0.3"/>
    <row r="13406" ht="14.4" x14ac:dyDescent="0.3"/>
    <row r="13407" ht="14.4" x14ac:dyDescent="0.3"/>
    <row r="13408" ht="14.4" x14ac:dyDescent="0.3"/>
    <row r="13409" ht="14.4" x14ac:dyDescent="0.3"/>
    <row r="13410" ht="14.4" x14ac:dyDescent="0.3"/>
    <row r="13411" ht="14.4" x14ac:dyDescent="0.3"/>
    <row r="13412" ht="14.4" x14ac:dyDescent="0.3"/>
    <row r="13413" ht="14.4" x14ac:dyDescent="0.3"/>
    <row r="13414" ht="14.4" x14ac:dyDescent="0.3"/>
    <row r="13415" ht="14.4" x14ac:dyDescent="0.3"/>
    <row r="13416" ht="14.4" x14ac:dyDescent="0.3"/>
    <row r="13417" ht="14.4" x14ac:dyDescent="0.3"/>
    <row r="13418" ht="14.4" x14ac:dyDescent="0.3"/>
    <row r="13419" ht="14.4" x14ac:dyDescent="0.3"/>
    <row r="13420" ht="14.4" x14ac:dyDescent="0.3"/>
    <row r="13421" ht="14.4" x14ac:dyDescent="0.3"/>
    <row r="13422" ht="14.4" x14ac:dyDescent="0.3"/>
    <row r="13423" ht="14.4" x14ac:dyDescent="0.3"/>
    <row r="13424" ht="14.4" x14ac:dyDescent="0.3"/>
    <row r="13425" ht="14.4" x14ac:dyDescent="0.3"/>
    <row r="13426" ht="14.4" x14ac:dyDescent="0.3"/>
    <row r="13427" ht="14.4" x14ac:dyDescent="0.3"/>
    <row r="13428" ht="14.4" x14ac:dyDescent="0.3"/>
    <row r="13429" ht="14.4" x14ac:dyDescent="0.3"/>
    <row r="13430" ht="14.4" x14ac:dyDescent="0.3"/>
    <row r="13431" ht="14.4" x14ac:dyDescent="0.3"/>
    <row r="13432" ht="14.4" x14ac:dyDescent="0.3"/>
    <row r="13433" ht="14.4" x14ac:dyDescent="0.3"/>
    <row r="13434" ht="14.4" x14ac:dyDescent="0.3"/>
    <row r="13435" ht="14.4" x14ac:dyDescent="0.3"/>
    <row r="13436" ht="14.4" x14ac:dyDescent="0.3"/>
    <row r="13437" ht="14.4" x14ac:dyDescent="0.3"/>
    <row r="13438" ht="14.4" x14ac:dyDescent="0.3"/>
    <row r="13439" ht="14.4" x14ac:dyDescent="0.3"/>
    <row r="13440" ht="14.4" x14ac:dyDescent="0.3"/>
    <row r="13441" ht="14.4" x14ac:dyDescent="0.3"/>
    <row r="13442" ht="14.4" x14ac:dyDescent="0.3"/>
    <row r="13443" ht="14.4" x14ac:dyDescent="0.3"/>
    <row r="13444" ht="14.4" x14ac:dyDescent="0.3"/>
    <row r="13445" ht="14.4" x14ac:dyDescent="0.3"/>
    <row r="13446" ht="14.4" x14ac:dyDescent="0.3"/>
    <row r="13447" ht="14.4" x14ac:dyDescent="0.3"/>
    <row r="13448" ht="14.4" x14ac:dyDescent="0.3"/>
    <row r="13449" ht="14.4" x14ac:dyDescent="0.3"/>
    <row r="13450" ht="14.4" x14ac:dyDescent="0.3"/>
    <row r="13451" ht="14.4" x14ac:dyDescent="0.3"/>
    <row r="13452" ht="14.4" x14ac:dyDescent="0.3"/>
    <row r="13453" ht="14.4" x14ac:dyDescent="0.3"/>
    <row r="13454" ht="14.4" x14ac:dyDescent="0.3"/>
    <row r="13455" ht="14.4" x14ac:dyDescent="0.3"/>
    <row r="13456" ht="14.4" x14ac:dyDescent="0.3"/>
    <row r="13457" ht="14.4" x14ac:dyDescent="0.3"/>
    <row r="13458" ht="14.4" x14ac:dyDescent="0.3"/>
    <row r="13459" ht="14.4" x14ac:dyDescent="0.3"/>
    <row r="13460" ht="14.4" x14ac:dyDescent="0.3"/>
    <row r="13461" ht="14.4" x14ac:dyDescent="0.3"/>
    <row r="13462" ht="14.4" x14ac:dyDescent="0.3"/>
    <row r="13463" ht="14.4" x14ac:dyDescent="0.3"/>
    <row r="13464" ht="14.4" x14ac:dyDescent="0.3"/>
    <row r="13465" ht="14.4" x14ac:dyDescent="0.3"/>
    <row r="13466" ht="14.4" x14ac:dyDescent="0.3"/>
    <row r="13467" ht="14.4" x14ac:dyDescent="0.3"/>
    <row r="13468" ht="14.4" x14ac:dyDescent="0.3"/>
    <row r="13469" ht="14.4" x14ac:dyDescent="0.3"/>
    <row r="13470" ht="14.4" x14ac:dyDescent="0.3"/>
    <row r="13471" ht="14.4" x14ac:dyDescent="0.3"/>
    <row r="13472" ht="14.4" x14ac:dyDescent="0.3"/>
    <row r="13473" ht="14.4" x14ac:dyDescent="0.3"/>
    <row r="13474" ht="14.4" x14ac:dyDescent="0.3"/>
    <row r="13475" ht="14.4" x14ac:dyDescent="0.3"/>
    <row r="13476" ht="14.4" x14ac:dyDescent="0.3"/>
    <row r="13477" ht="14.4" x14ac:dyDescent="0.3"/>
    <row r="13478" ht="14.4" x14ac:dyDescent="0.3"/>
    <row r="13479" ht="14.4" x14ac:dyDescent="0.3"/>
    <row r="13480" ht="14.4" x14ac:dyDescent="0.3"/>
    <row r="13481" ht="14.4" x14ac:dyDescent="0.3"/>
    <row r="13482" ht="14.4" x14ac:dyDescent="0.3"/>
    <row r="13483" ht="14.4" x14ac:dyDescent="0.3"/>
    <row r="13484" ht="14.4" x14ac:dyDescent="0.3"/>
    <row r="13485" ht="14.4" x14ac:dyDescent="0.3"/>
    <row r="13486" ht="14.4" x14ac:dyDescent="0.3"/>
    <row r="13487" ht="14.4" x14ac:dyDescent="0.3"/>
    <row r="13488" ht="14.4" x14ac:dyDescent="0.3"/>
    <row r="13489" ht="14.4" x14ac:dyDescent="0.3"/>
    <row r="13490" ht="14.4" x14ac:dyDescent="0.3"/>
    <row r="13491" ht="14.4" x14ac:dyDescent="0.3"/>
    <row r="13492" ht="14.4" x14ac:dyDescent="0.3"/>
    <row r="13493" ht="14.4" x14ac:dyDescent="0.3"/>
    <row r="13494" ht="14.4" x14ac:dyDescent="0.3"/>
    <row r="13495" ht="14.4" x14ac:dyDescent="0.3"/>
    <row r="13496" ht="14.4" x14ac:dyDescent="0.3"/>
    <row r="13497" ht="14.4" x14ac:dyDescent="0.3"/>
    <row r="13498" ht="14.4" x14ac:dyDescent="0.3"/>
    <row r="13499" ht="14.4" x14ac:dyDescent="0.3"/>
    <row r="13500" ht="14.4" x14ac:dyDescent="0.3"/>
    <row r="13501" ht="14.4" x14ac:dyDescent="0.3"/>
    <row r="13502" ht="14.4" x14ac:dyDescent="0.3"/>
    <row r="13503" ht="14.4" x14ac:dyDescent="0.3"/>
    <row r="13504" ht="14.4" x14ac:dyDescent="0.3"/>
    <row r="13505" ht="14.4" x14ac:dyDescent="0.3"/>
    <row r="13506" ht="14.4" x14ac:dyDescent="0.3"/>
    <row r="13507" ht="14.4" x14ac:dyDescent="0.3"/>
    <row r="13508" ht="14.4" x14ac:dyDescent="0.3"/>
    <row r="13509" ht="14.4" x14ac:dyDescent="0.3"/>
    <row r="13510" ht="14.4" x14ac:dyDescent="0.3"/>
    <row r="13511" ht="14.4" x14ac:dyDescent="0.3"/>
    <row r="13512" ht="14.4" x14ac:dyDescent="0.3"/>
    <row r="13513" ht="14.4" x14ac:dyDescent="0.3"/>
    <row r="13514" ht="14.4" x14ac:dyDescent="0.3"/>
    <row r="13515" ht="14.4" x14ac:dyDescent="0.3"/>
    <row r="13516" ht="14.4" x14ac:dyDescent="0.3"/>
    <row r="13517" ht="14.4" x14ac:dyDescent="0.3"/>
    <row r="13518" ht="14.4" x14ac:dyDescent="0.3"/>
    <row r="13519" ht="14.4" x14ac:dyDescent="0.3"/>
    <row r="13520" ht="14.4" x14ac:dyDescent="0.3"/>
    <row r="13521" ht="14.4" x14ac:dyDescent="0.3"/>
    <row r="13522" ht="14.4" x14ac:dyDescent="0.3"/>
    <row r="13523" ht="14.4" x14ac:dyDescent="0.3"/>
    <row r="13524" ht="14.4" x14ac:dyDescent="0.3"/>
    <row r="13525" ht="14.4" x14ac:dyDescent="0.3"/>
    <row r="13526" ht="14.4" x14ac:dyDescent="0.3"/>
    <row r="13527" ht="14.4" x14ac:dyDescent="0.3"/>
    <row r="13528" ht="14.4" x14ac:dyDescent="0.3"/>
    <row r="13529" ht="14.4" x14ac:dyDescent="0.3"/>
    <row r="13530" ht="14.4" x14ac:dyDescent="0.3"/>
    <row r="13531" ht="14.4" x14ac:dyDescent="0.3"/>
    <row r="13532" ht="14.4" x14ac:dyDescent="0.3"/>
    <row r="13533" ht="14.4" x14ac:dyDescent="0.3"/>
    <row r="13534" ht="14.4" x14ac:dyDescent="0.3"/>
    <row r="13535" ht="14.4" x14ac:dyDescent="0.3"/>
    <row r="13536" ht="14.4" x14ac:dyDescent="0.3"/>
    <row r="13537" ht="14.4" x14ac:dyDescent="0.3"/>
    <row r="13538" ht="14.4" x14ac:dyDescent="0.3"/>
    <row r="13539" ht="14.4" x14ac:dyDescent="0.3"/>
    <row r="13540" ht="14.4" x14ac:dyDescent="0.3"/>
    <row r="13541" ht="14.4" x14ac:dyDescent="0.3"/>
    <row r="13542" ht="14.4" x14ac:dyDescent="0.3"/>
    <row r="13543" ht="14.4" x14ac:dyDescent="0.3"/>
    <row r="13544" ht="14.4" x14ac:dyDescent="0.3"/>
    <row r="13545" ht="14.4" x14ac:dyDescent="0.3"/>
    <row r="13546" ht="14.4" x14ac:dyDescent="0.3"/>
    <row r="13547" ht="14.4" x14ac:dyDescent="0.3"/>
    <row r="13548" ht="14.4" x14ac:dyDescent="0.3"/>
    <row r="13549" ht="14.4" x14ac:dyDescent="0.3"/>
    <row r="13550" ht="14.4" x14ac:dyDescent="0.3"/>
    <row r="13551" ht="14.4" x14ac:dyDescent="0.3"/>
    <row r="13552" ht="14.4" x14ac:dyDescent="0.3"/>
    <row r="13553" ht="14.4" x14ac:dyDescent="0.3"/>
    <row r="13554" ht="14.4" x14ac:dyDescent="0.3"/>
    <row r="13555" ht="14.4" x14ac:dyDescent="0.3"/>
    <row r="13556" ht="14.4" x14ac:dyDescent="0.3"/>
    <row r="13557" ht="14.4" x14ac:dyDescent="0.3"/>
    <row r="13558" ht="14.4" x14ac:dyDescent="0.3"/>
    <row r="13559" ht="14.4" x14ac:dyDescent="0.3"/>
    <row r="13560" ht="14.4" x14ac:dyDescent="0.3"/>
    <row r="13561" ht="14.4" x14ac:dyDescent="0.3"/>
    <row r="13562" ht="14.4" x14ac:dyDescent="0.3"/>
    <row r="13563" ht="14.4" x14ac:dyDescent="0.3"/>
    <row r="13564" ht="14.4" x14ac:dyDescent="0.3"/>
    <row r="13565" ht="14.4" x14ac:dyDescent="0.3"/>
    <row r="13566" ht="14.4" x14ac:dyDescent="0.3"/>
    <row r="13567" ht="14.4" x14ac:dyDescent="0.3"/>
    <row r="13568" ht="14.4" x14ac:dyDescent="0.3"/>
    <row r="13569" ht="14.4" x14ac:dyDescent="0.3"/>
    <row r="13570" ht="14.4" x14ac:dyDescent="0.3"/>
    <row r="13571" ht="14.4" x14ac:dyDescent="0.3"/>
    <row r="13572" ht="14.4" x14ac:dyDescent="0.3"/>
    <row r="13573" ht="14.4" x14ac:dyDescent="0.3"/>
    <row r="13574" ht="14.4" x14ac:dyDescent="0.3"/>
    <row r="13575" ht="14.4" x14ac:dyDescent="0.3"/>
    <row r="13576" ht="14.4" x14ac:dyDescent="0.3"/>
    <row r="13577" ht="14.4" x14ac:dyDescent="0.3"/>
    <row r="13578" ht="14.4" x14ac:dyDescent="0.3"/>
    <row r="13579" ht="14.4" x14ac:dyDescent="0.3"/>
    <row r="13580" ht="14.4" x14ac:dyDescent="0.3"/>
    <row r="13581" ht="14.4" x14ac:dyDescent="0.3"/>
    <row r="13582" ht="14.4" x14ac:dyDescent="0.3"/>
    <row r="13583" ht="14.4" x14ac:dyDescent="0.3"/>
    <row r="13584" ht="14.4" x14ac:dyDescent="0.3"/>
    <row r="13585" ht="14.4" x14ac:dyDescent="0.3"/>
    <row r="13586" ht="14.4" x14ac:dyDescent="0.3"/>
    <row r="13587" ht="14.4" x14ac:dyDescent="0.3"/>
    <row r="13588" ht="14.4" x14ac:dyDescent="0.3"/>
    <row r="13589" ht="14.4" x14ac:dyDescent="0.3"/>
    <row r="13590" ht="14.4" x14ac:dyDescent="0.3"/>
    <row r="13591" ht="14.4" x14ac:dyDescent="0.3"/>
    <row r="13592" ht="14.4" x14ac:dyDescent="0.3"/>
    <row r="13593" ht="14.4" x14ac:dyDescent="0.3"/>
    <row r="13594" ht="14.4" x14ac:dyDescent="0.3"/>
    <row r="13595" ht="14.4" x14ac:dyDescent="0.3"/>
    <row r="13596" ht="14.4" x14ac:dyDescent="0.3"/>
    <row r="13597" ht="14.4" x14ac:dyDescent="0.3"/>
    <row r="13598" ht="14.4" x14ac:dyDescent="0.3"/>
    <row r="13599" ht="14.4" x14ac:dyDescent="0.3"/>
    <row r="13600" ht="14.4" x14ac:dyDescent="0.3"/>
    <row r="13601" ht="14.4" x14ac:dyDescent="0.3"/>
    <row r="13602" ht="14.4" x14ac:dyDescent="0.3"/>
    <row r="13603" ht="14.4" x14ac:dyDescent="0.3"/>
    <row r="13604" ht="14.4" x14ac:dyDescent="0.3"/>
    <row r="13605" ht="14.4" x14ac:dyDescent="0.3"/>
    <row r="13606" ht="14.4" x14ac:dyDescent="0.3"/>
    <row r="13607" ht="14.4" x14ac:dyDescent="0.3"/>
    <row r="13608" ht="14.4" x14ac:dyDescent="0.3"/>
    <row r="13609" ht="14.4" x14ac:dyDescent="0.3"/>
    <row r="13610" ht="14.4" x14ac:dyDescent="0.3"/>
    <row r="13611" ht="14.4" x14ac:dyDescent="0.3"/>
    <row r="13612" ht="14.4" x14ac:dyDescent="0.3"/>
    <row r="13613" ht="14.4" x14ac:dyDescent="0.3"/>
    <row r="13614" ht="14.4" x14ac:dyDescent="0.3"/>
    <row r="13615" ht="14.4" x14ac:dyDescent="0.3"/>
    <row r="13616" ht="14.4" x14ac:dyDescent="0.3"/>
    <row r="13617" ht="14.4" x14ac:dyDescent="0.3"/>
    <row r="13618" ht="14.4" x14ac:dyDescent="0.3"/>
    <row r="13619" ht="14.4" x14ac:dyDescent="0.3"/>
    <row r="13620" ht="14.4" x14ac:dyDescent="0.3"/>
    <row r="13621" ht="14.4" x14ac:dyDescent="0.3"/>
    <row r="13622" ht="14.4" x14ac:dyDescent="0.3"/>
    <row r="13623" ht="14.4" x14ac:dyDescent="0.3"/>
    <row r="13624" ht="14.4" x14ac:dyDescent="0.3"/>
    <row r="13625" ht="14.4" x14ac:dyDescent="0.3"/>
    <row r="13626" ht="14.4" x14ac:dyDescent="0.3"/>
    <row r="13627" ht="14.4" x14ac:dyDescent="0.3"/>
    <row r="13628" ht="14.4" x14ac:dyDescent="0.3"/>
    <row r="13629" ht="14.4" x14ac:dyDescent="0.3"/>
    <row r="13630" ht="14.4" x14ac:dyDescent="0.3"/>
    <row r="13631" ht="14.4" x14ac:dyDescent="0.3"/>
    <row r="13632" ht="14.4" x14ac:dyDescent="0.3"/>
    <row r="13633" ht="14.4" x14ac:dyDescent="0.3"/>
    <row r="13634" ht="14.4" x14ac:dyDescent="0.3"/>
    <row r="13635" ht="14.4" x14ac:dyDescent="0.3"/>
    <row r="13636" ht="14.4" x14ac:dyDescent="0.3"/>
    <row r="13637" ht="14.4" x14ac:dyDescent="0.3"/>
    <row r="13638" ht="14.4" x14ac:dyDescent="0.3"/>
    <row r="13639" ht="14.4" x14ac:dyDescent="0.3"/>
    <row r="13640" ht="14.4" x14ac:dyDescent="0.3"/>
    <row r="13641" ht="14.4" x14ac:dyDescent="0.3"/>
    <row r="13642" ht="14.4" x14ac:dyDescent="0.3"/>
    <row r="13643" ht="14.4" x14ac:dyDescent="0.3"/>
    <row r="13644" ht="14.4" x14ac:dyDescent="0.3"/>
    <row r="13645" ht="14.4" x14ac:dyDescent="0.3"/>
    <row r="13646" ht="14.4" x14ac:dyDescent="0.3"/>
    <row r="13647" ht="14.4" x14ac:dyDescent="0.3"/>
    <row r="13648" ht="14.4" x14ac:dyDescent="0.3"/>
    <row r="13649" ht="14.4" x14ac:dyDescent="0.3"/>
    <row r="13650" ht="14.4" x14ac:dyDescent="0.3"/>
    <row r="13651" ht="14.4" x14ac:dyDescent="0.3"/>
    <row r="13652" ht="14.4" x14ac:dyDescent="0.3"/>
    <row r="13653" ht="14.4" x14ac:dyDescent="0.3"/>
    <row r="13654" ht="14.4" x14ac:dyDescent="0.3"/>
    <row r="13655" ht="14.4" x14ac:dyDescent="0.3"/>
    <row r="13656" ht="14.4" x14ac:dyDescent="0.3"/>
    <row r="13657" ht="14.4" x14ac:dyDescent="0.3"/>
    <row r="13658" ht="14.4" x14ac:dyDescent="0.3"/>
    <row r="13659" ht="14.4" x14ac:dyDescent="0.3"/>
    <row r="13660" ht="14.4" x14ac:dyDescent="0.3"/>
    <row r="13661" ht="14.4" x14ac:dyDescent="0.3"/>
    <row r="13662" ht="14.4" x14ac:dyDescent="0.3"/>
    <row r="13663" ht="14.4" x14ac:dyDescent="0.3"/>
    <row r="13664" ht="14.4" x14ac:dyDescent="0.3"/>
    <row r="13665" ht="14.4" x14ac:dyDescent="0.3"/>
    <row r="13666" ht="14.4" x14ac:dyDescent="0.3"/>
    <row r="13667" ht="14.4" x14ac:dyDescent="0.3"/>
    <row r="13668" ht="14.4" x14ac:dyDescent="0.3"/>
    <row r="13669" ht="14.4" x14ac:dyDescent="0.3"/>
    <row r="13670" ht="14.4" x14ac:dyDescent="0.3"/>
    <row r="13671" ht="14.4" x14ac:dyDescent="0.3"/>
    <row r="13672" ht="14.4" x14ac:dyDescent="0.3"/>
    <row r="13673" ht="14.4" x14ac:dyDescent="0.3"/>
    <row r="13674" ht="14.4" x14ac:dyDescent="0.3"/>
    <row r="13675" ht="14.4" x14ac:dyDescent="0.3"/>
    <row r="13676" ht="14.4" x14ac:dyDescent="0.3"/>
    <row r="13677" ht="14.4" x14ac:dyDescent="0.3"/>
    <row r="13678" ht="14.4" x14ac:dyDescent="0.3"/>
    <row r="13679" ht="14.4" x14ac:dyDescent="0.3"/>
    <row r="13680" ht="14.4" x14ac:dyDescent="0.3"/>
    <row r="13681" ht="14.4" x14ac:dyDescent="0.3"/>
    <row r="13682" ht="14.4" x14ac:dyDescent="0.3"/>
    <row r="13683" ht="14.4" x14ac:dyDescent="0.3"/>
    <row r="13684" ht="14.4" x14ac:dyDescent="0.3"/>
    <row r="13685" ht="14.4" x14ac:dyDescent="0.3"/>
    <row r="13686" ht="14.4" x14ac:dyDescent="0.3"/>
    <row r="13687" ht="14.4" x14ac:dyDescent="0.3"/>
    <row r="13688" ht="14.4" x14ac:dyDescent="0.3"/>
    <row r="13689" ht="14.4" x14ac:dyDescent="0.3"/>
    <row r="13690" ht="14.4" x14ac:dyDescent="0.3"/>
    <row r="13691" ht="14.4" x14ac:dyDescent="0.3"/>
    <row r="13692" ht="14.4" x14ac:dyDescent="0.3"/>
    <row r="13693" ht="14.4" x14ac:dyDescent="0.3"/>
    <row r="13694" ht="14.4" x14ac:dyDescent="0.3"/>
    <row r="13695" ht="14.4" x14ac:dyDescent="0.3"/>
    <row r="13696" ht="14.4" x14ac:dyDescent="0.3"/>
    <row r="13697" ht="14.4" x14ac:dyDescent="0.3"/>
    <row r="13698" ht="14.4" x14ac:dyDescent="0.3"/>
    <row r="13699" ht="14.4" x14ac:dyDescent="0.3"/>
    <row r="13700" ht="14.4" x14ac:dyDescent="0.3"/>
    <row r="13701" ht="14.4" x14ac:dyDescent="0.3"/>
    <row r="13702" ht="14.4" x14ac:dyDescent="0.3"/>
    <row r="13703" ht="14.4" x14ac:dyDescent="0.3"/>
    <row r="13704" ht="14.4" x14ac:dyDescent="0.3"/>
    <row r="13705" ht="14.4" x14ac:dyDescent="0.3"/>
    <row r="13706" ht="14.4" x14ac:dyDescent="0.3"/>
    <row r="13707" ht="14.4" x14ac:dyDescent="0.3"/>
    <row r="13708" ht="14.4" x14ac:dyDescent="0.3"/>
    <row r="13709" ht="14.4" x14ac:dyDescent="0.3"/>
    <row r="13710" ht="14.4" x14ac:dyDescent="0.3"/>
    <row r="13711" ht="14.4" x14ac:dyDescent="0.3"/>
    <row r="13712" ht="14.4" x14ac:dyDescent="0.3"/>
    <row r="13713" ht="14.4" x14ac:dyDescent="0.3"/>
    <row r="13714" ht="14.4" x14ac:dyDescent="0.3"/>
    <row r="13715" ht="14.4" x14ac:dyDescent="0.3"/>
    <row r="13716" ht="14.4" x14ac:dyDescent="0.3"/>
    <row r="13717" ht="14.4" x14ac:dyDescent="0.3"/>
    <row r="13718" ht="14.4" x14ac:dyDescent="0.3"/>
    <row r="13719" ht="14.4" x14ac:dyDescent="0.3"/>
    <row r="13720" ht="14.4" x14ac:dyDescent="0.3"/>
    <row r="13721" ht="14.4" x14ac:dyDescent="0.3"/>
    <row r="13722" ht="14.4" x14ac:dyDescent="0.3"/>
    <row r="13723" ht="14.4" x14ac:dyDescent="0.3"/>
    <row r="13724" ht="14.4" x14ac:dyDescent="0.3"/>
    <row r="13725" ht="14.4" x14ac:dyDescent="0.3"/>
    <row r="13726" ht="14.4" x14ac:dyDescent="0.3"/>
    <row r="13727" ht="14.4" x14ac:dyDescent="0.3"/>
    <row r="13728" ht="14.4" x14ac:dyDescent="0.3"/>
    <row r="13729" ht="14.4" x14ac:dyDescent="0.3"/>
    <row r="13730" ht="14.4" x14ac:dyDescent="0.3"/>
    <row r="13731" ht="14.4" x14ac:dyDescent="0.3"/>
    <row r="13732" ht="14.4" x14ac:dyDescent="0.3"/>
    <row r="13733" ht="14.4" x14ac:dyDescent="0.3"/>
    <row r="13734" ht="14.4" x14ac:dyDescent="0.3"/>
    <row r="13735" ht="14.4" x14ac:dyDescent="0.3"/>
    <row r="13736" ht="14.4" x14ac:dyDescent="0.3"/>
    <row r="13737" ht="14.4" x14ac:dyDescent="0.3"/>
    <row r="13738" ht="14.4" x14ac:dyDescent="0.3"/>
    <row r="13739" ht="14.4" x14ac:dyDescent="0.3"/>
    <row r="13740" ht="14.4" x14ac:dyDescent="0.3"/>
    <row r="13741" ht="14.4" x14ac:dyDescent="0.3"/>
    <row r="13742" ht="14.4" x14ac:dyDescent="0.3"/>
    <row r="13743" ht="14.4" x14ac:dyDescent="0.3"/>
    <row r="13744" ht="14.4" x14ac:dyDescent="0.3"/>
    <row r="13745" ht="14.4" x14ac:dyDescent="0.3"/>
    <row r="13746" ht="14.4" x14ac:dyDescent="0.3"/>
    <row r="13747" ht="14.4" x14ac:dyDescent="0.3"/>
    <row r="13748" ht="14.4" x14ac:dyDescent="0.3"/>
    <row r="13749" ht="14.4" x14ac:dyDescent="0.3"/>
    <row r="13750" ht="14.4" x14ac:dyDescent="0.3"/>
    <row r="13751" ht="14.4" x14ac:dyDescent="0.3"/>
    <row r="13752" ht="14.4" x14ac:dyDescent="0.3"/>
    <row r="13753" ht="14.4" x14ac:dyDescent="0.3"/>
    <row r="13754" ht="14.4" x14ac:dyDescent="0.3"/>
    <row r="13755" ht="14.4" x14ac:dyDescent="0.3"/>
    <row r="13756" ht="14.4" x14ac:dyDescent="0.3"/>
    <row r="13757" ht="14.4" x14ac:dyDescent="0.3"/>
    <row r="13758" ht="14.4" x14ac:dyDescent="0.3"/>
    <row r="13759" ht="14.4" x14ac:dyDescent="0.3"/>
    <row r="13760" ht="14.4" x14ac:dyDescent="0.3"/>
    <row r="13761" ht="14.4" x14ac:dyDescent="0.3"/>
    <row r="13762" ht="14.4" x14ac:dyDescent="0.3"/>
    <row r="13763" ht="14.4" x14ac:dyDescent="0.3"/>
    <row r="13764" ht="14.4" x14ac:dyDescent="0.3"/>
    <row r="13765" ht="14.4" x14ac:dyDescent="0.3"/>
    <row r="13766" ht="14.4" x14ac:dyDescent="0.3"/>
    <row r="13767" ht="14.4" x14ac:dyDescent="0.3"/>
    <row r="13768" ht="14.4" x14ac:dyDescent="0.3"/>
    <row r="13769" ht="14.4" x14ac:dyDescent="0.3"/>
    <row r="13770" ht="14.4" x14ac:dyDescent="0.3"/>
    <row r="13771" ht="14.4" x14ac:dyDescent="0.3"/>
    <row r="13772" ht="14.4" x14ac:dyDescent="0.3"/>
    <row r="13773" ht="14.4" x14ac:dyDescent="0.3"/>
    <row r="13774" ht="14.4" x14ac:dyDescent="0.3"/>
    <row r="13775" ht="14.4" x14ac:dyDescent="0.3"/>
    <row r="13776" ht="14.4" x14ac:dyDescent="0.3"/>
    <row r="13777" ht="14.4" x14ac:dyDescent="0.3"/>
    <row r="13778" ht="14.4" x14ac:dyDescent="0.3"/>
    <row r="13779" ht="14.4" x14ac:dyDescent="0.3"/>
    <row r="13780" ht="14.4" x14ac:dyDescent="0.3"/>
    <row r="13781" ht="14.4" x14ac:dyDescent="0.3"/>
    <row r="13782" ht="14.4" x14ac:dyDescent="0.3"/>
    <row r="13783" ht="14.4" x14ac:dyDescent="0.3"/>
    <row r="13784" ht="14.4" x14ac:dyDescent="0.3"/>
    <row r="13785" ht="14.4" x14ac:dyDescent="0.3"/>
    <row r="13786" ht="14.4" x14ac:dyDescent="0.3"/>
    <row r="13787" ht="14.4" x14ac:dyDescent="0.3"/>
    <row r="13788" ht="14.4" x14ac:dyDescent="0.3"/>
    <row r="13789" ht="14.4" x14ac:dyDescent="0.3"/>
    <row r="13790" ht="14.4" x14ac:dyDescent="0.3"/>
    <row r="13791" ht="14.4" x14ac:dyDescent="0.3"/>
    <row r="13792" ht="14.4" x14ac:dyDescent="0.3"/>
    <row r="13793" ht="14.4" x14ac:dyDescent="0.3"/>
    <row r="13794" ht="14.4" x14ac:dyDescent="0.3"/>
    <row r="13795" ht="14.4" x14ac:dyDescent="0.3"/>
    <row r="13796" ht="14.4" x14ac:dyDescent="0.3"/>
    <row r="13797" ht="14.4" x14ac:dyDescent="0.3"/>
    <row r="13798" ht="14.4" x14ac:dyDescent="0.3"/>
    <row r="13799" ht="14.4" x14ac:dyDescent="0.3"/>
    <row r="13800" ht="14.4" x14ac:dyDescent="0.3"/>
    <row r="13801" ht="14.4" x14ac:dyDescent="0.3"/>
    <row r="13802" ht="14.4" x14ac:dyDescent="0.3"/>
    <row r="13803" ht="14.4" x14ac:dyDescent="0.3"/>
    <row r="13804" ht="14.4" x14ac:dyDescent="0.3"/>
    <row r="13805" ht="14.4" x14ac:dyDescent="0.3"/>
    <row r="13806" ht="14.4" x14ac:dyDescent="0.3"/>
    <row r="13807" ht="14.4" x14ac:dyDescent="0.3"/>
    <row r="13808" ht="14.4" x14ac:dyDescent="0.3"/>
    <row r="13809" ht="14.4" x14ac:dyDescent="0.3"/>
    <row r="13810" ht="14.4" x14ac:dyDescent="0.3"/>
    <row r="13811" ht="14.4" x14ac:dyDescent="0.3"/>
    <row r="13812" ht="14.4" x14ac:dyDescent="0.3"/>
    <row r="13813" ht="14.4" x14ac:dyDescent="0.3"/>
    <row r="13814" ht="14.4" x14ac:dyDescent="0.3"/>
    <row r="13815" ht="14.4" x14ac:dyDescent="0.3"/>
    <row r="13816" ht="14.4" x14ac:dyDescent="0.3"/>
    <row r="13817" ht="14.4" x14ac:dyDescent="0.3"/>
    <row r="13818" ht="14.4" x14ac:dyDescent="0.3"/>
    <row r="13819" ht="14.4" x14ac:dyDescent="0.3"/>
    <row r="13820" ht="14.4" x14ac:dyDescent="0.3"/>
    <row r="13821" ht="14.4" x14ac:dyDescent="0.3"/>
    <row r="13822" ht="14.4" x14ac:dyDescent="0.3"/>
    <row r="13823" ht="14.4" x14ac:dyDescent="0.3"/>
    <row r="13824" ht="14.4" x14ac:dyDescent="0.3"/>
    <row r="13825" ht="14.4" x14ac:dyDescent="0.3"/>
    <row r="13826" ht="14.4" x14ac:dyDescent="0.3"/>
    <row r="13827" ht="14.4" x14ac:dyDescent="0.3"/>
    <row r="13828" ht="14.4" x14ac:dyDescent="0.3"/>
    <row r="13829" ht="14.4" x14ac:dyDescent="0.3"/>
    <row r="13830" ht="14.4" x14ac:dyDescent="0.3"/>
    <row r="13831" ht="14.4" x14ac:dyDescent="0.3"/>
    <row r="13832" ht="14.4" x14ac:dyDescent="0.3"/>
    <row r="13833" ht="14.4" x14ac:dyDescent="0.3"/>
    <row r="13834" ht="14.4" x14ac:dyDescent="0.3"/>
    <row r="13835" ht="14.4" x14ac:dyDescent="0.3"/>
    <row r="13836" ht="14.4" x14ac:dyDescent="0.3"/>
    <row r="13837" ht="14.4" x14ac:dyDescent="0.3"/>
    <row r="13838" ht="14.4" x14ac:dyDescent="0.3"/>
    <row r="13839" ht="14.4" x14ac:dyDescent="0.3"/>
    <row r="13840" ht="14.4" x14ac:dyDescent="0.3"/>
    <row r="13841" ht="14.4" x14ac:dyDescent="0.3"/>
    <row r="13842" ht="14.4" x14ac:dyDescent="0.3"/>
    <row r="13843" ht="14.4" x14ac:dyDescent="0.3"/>
    <row r="13844" ht="14.4" x14ac:dyDescent="0.3"/>
    <row r="13845" ht="14.4" x14ac:dyDescent="0.3"/>
    <row r="13846" ht="14.4" x14ac:dyDescent="0.3"/>
    <row r="13847" ht="14.4" x14ac:dyDescent="0.3"/>
    <row r="13848" ht="14.4" x14ac:dyDescent="0.3"/>
    <row r="13849" ht="14.4" x14ac:dyDescent="0.3"/>
    <row r="13850" ht="14.4" x14ac:dyDescent="0.3"/>
    <row r="13851" ht="14.4" x14ac:dyDescent="0.3"/>
    <row r="13852" ht="14.4" x14ac:dyDescent="0.3"/>
    <row r="13853" ht="14.4" x14ac:dyDescent="0.3"/>
    <row r="13854" ht="14.4" x14ac:dyDescent="0.3"/>
    <row r="13855" ht="14.4" x14ac:dyDescent="0.3"/>
    <row r="13856" ht="14.4" x14ac:dyDescent="0.3"/>
    <row r="13857" ht="14.4" x14ac:dyDescent="0.3"/>
    <row r="13858" ht="14.4" x14ac:dyDescent="0.3"/>
    <row r="13859" ht="14.4" x14ac:dyDescent="0.3"/>
    <row r="13860" ht="14.4" x14ac:dyDescent="0.3"/>
    <row r="13861" ht="14.4" x14ac:dyDescent="0.3"/>
    <row r="13862" ht="14.4" x14ac:dyDescent="0.3"/>
    <row r="13863" ht="14.4" x14ac:dyDescent="0.3"/>
    <row r="13864" ht="14.4" x14ac:dyDescent="0.3"/>
    <row r="13865" ht="14.4" x14ac:dyDescent="0.3"/>
    <row r="13866" ht="14.4" x14ac:dyDescent="0.3"/>
    <row r="13867" ht="14.4" x14ac:dyDescent="0.3"/>
    <row r="13868" ht="14.4" x14ac:dyDescent="0.3"/>
    <row r="13869" ht="14.4" x14ac:dyDescent="0.3"/>
    <row r="13870" ht="14.4" x14ac:dyDescent="0.3"/>
    <row r="13871" ht="14.4" x14ac:dyDescent="0.3"/>
    <row r="13872" ht="14.4" x14ac:dyDescent="0.3"/>
    <row r="13873" ht="14.4" x14ac:dyDescent="0.3"/>
    <row r="13874" ht="14.4" x14ac:dyDescent="0.3"/>
    <row r="13875" ht="14.4" x14ac:dyDescent="0.3"/>
    <row r="13876" ht="14.4" x14ac:dyDescent="0.3"/>
    <row r="13877" ht="14.4" x14ac:dyDescent="0.3"/>
    <row r="13878" ht="14.4" x14ac:dyDescent="0.3"/>
    <row r="13879" ht="14.4" x14ac:dyDescent="0.3"/>
    <row r="13880" ht="14.4" x14ac:dyDescent="0.3"/>
    <row r="13881" ht="14.4" x14ac:dyDescent="0.3"/>
    <row r="13882" ht="14.4" x14ac:dyDescent="0.3"/>
    <row r="13883" ht="14.4" x14ac:dyDescent="0.3"/>
    <row r="13884" ht="14.4" x14ac:dyDescent="0.3"/>
    <row r="13885" ht="14.4" x14ac:dyDescent="0.3"/>
    <row r="13886" ht="14.4" x14ac:dyDescent="0.3"/>
    <row r="13887" ht="14.4" x14ac:dyDescent="0.3"/>
    <row r="13888" ht="14.4" x14ac:dyDescent="0.3"/>
    <row r="13889" ht="14.4" x14ac:dyDescent="0.3"/>
    <row r="13890" ht="14.4" x14ac:dyDescent="0.3"/>
    <row r="13891" ht="14.4" x14ac:dyDescent="0.3"/>
    <row r="13892" ht="14.4" x14ac:dyDescent="0.3"/>
    <row r="13893" ht="14.4" x14ac:dyDescent="0.3"/>
    <row r="13894" ht="14.4" x14ac:dyDescent="0.3"/>
    <row r="13895" ht="14.4" x14ac:dyDescent="0.3"/>
    <row r="13896" ht="14.4" x14ac:dyDescent="0.3"/>
    <row r="13897" ht="14.4" x14ac:dyDescent="0.3"/>
    <row r="13898" ht="14.4" x14ac:dyDescent="0.3"/>
    <row r="13899" ht="14.4" x14ac:dyDescent="0.3"/>
    <row r="13900" ht="14.4" x14ac:dyDescent="0.3"/>
    <row r="13901" ht="14.4" x14ac:dyDescent="0.3"/>
    <row r="13902" ht="14.4" x14ac:dyDescent="0.3"/>
    <row r="13903" ht="14.4" x14ac:dyDescent="0.3"/>
    <row r="13904" ht="14.4" x14ac:dyDescent="0.3"/>
    <row r="13905" ht="14.4" x14ac:dyDescent="0.3"/>
    <row r="13906" ht="14.4" x14ac:dyDescent="0.3"/>
    <row r="13907" ht="14.4" x14ac:dyDescent="0.3"/>
    <row r="13908" ht="14.4" x14ac:dyDescent="0.3"/>
    <row r="13909" ht="14.4" x14ac:dyDescent="0.3"/>
    <row r="13910" ht="14.4" x14ac:dyDescent="0.3"/>
    <row r="13911" ht="14.4" x14ac:dyDescent="0.3"/>
    <row r="13912" ht="14.4" x14ac:dyDescent="0.3"/>
    <row r="13913" ht="14.4" x14ac:dyDescent="0.3"/>
    <row r="13914" ht="14.4" x14ac:dyDescent="0.3"/>
    <row r="13915" ht="14.4" x14ac:dyDescent="0.3"/>
    <row r="13916" ht="14.4" x14ac:dyDescent="0.3"/>
    <row r="13917" ht="14.4" x14ac:dyDescent="0.3"/>
    <row r="13918" ht="14.4" x14ac:dyDescent="0.3"/>
    <row r="13919" ht="14.4" x14ac:dyDescent="0.3"/>
    <row r="13920" ht="14.4" x14ac:dyDescent="0.3"/>
    <row r="13921" ht="14.4" x14ac:dyDescent="0.3"/>
    <row r="13922" ht="14.4" x14ac:dyDescent="0.3"/>
    <row r="13923" ht="14.4" x14ac:dyDescent="0.3"/>
    <row r="13924" ht="14.4" x14ac:dyDescent="0.3"/>
    <row r="13925" ht="14.4" x14ac:dyDescent="0.3"/>
    <row r="13926" ht="14.4" x14ac:dyDescent="0.3"/>
    <row r="13927" ht="14.4" x14ac:dyDescent="0.3"/>
    <row r="13928" ht="14.4" x14ac:dyDescent="0.3"/>
    <row r="13929" ht="14.4" x14ac:dyDescent="0.3"/>
    <row r="13930" ht="14.4" x14ac:dyDescent="0.3"/>
    <row r="13931" ht="14.4" x14ac:dyDescent="0.3"/>
    <row r="13932" ht="14.4" x14ac:dyDescent="0.3"/>
    <row r="13933" ht="14.4" x14ac:dyDescent="0.3"/>
    <row r="13934" ht="14.4" x14ac:dyDescent="0.3"/>
    <row r="13935" ht="14.4" x14ac:dyDescent="0.3"/>
    <row r="13936" ht="14.4" x14ac:dyDescent="0.3"/>
    <row r="13937" ht="14.4" x14ac:dyDescent="0.3"/>
    <row r="13938" ht="14.4" x14ac:dyDescent="0.3"/>
    <row r="13939" ht="14.4" x14ac:dyDescent="0.3"/>
    <row r="13940" ht="14.4" x14ac:dyDescent="0.3"/>
    <row r="13941" ht="14.4" x14ac:dyDescent="0.3"/>
    <row r="13942" ht="14.4" x14ac:dyDescent="0.3"/>
    <row r="13943" ht="14.4" x14ac:dyDescent="0.3"/>
    <row r="13944" ht="14.4" x14ac:dyDescent="0.3"/>
    <row r="13945" ht="14.4" x14ac:dyDescent="0.3"/>
    <row r="13946" ht="14.4" x14ac:dyDescent="0.3"/>
    <row r="13947" ht="14.4" x14ac:dyDescent="0.3"/>
    <row r="13948" ht="14.4" x14ac:dyDescent="0.3"/>
    <row r="13949" ht="14.4" x14ac:dyDescent="0.3"/>
    <row r="13950" ht="14.4" x14ac:dyDescent="0.3"/>
    <row r="13951" ht="14.4" x14ac:dyDescent="0.3"/>
    <row r="13952" ht="14.4" x14ac:dyDescent="0.3"/>
    <row r="13953" ht="14.4" x14ac:dyDescent="0.3"/>
    <row r="13954" ht="14.4" x14ac:dyDescent="0.3"/>
    <row r="13955" ht="14.4" x14ac:dyDescent="0.3"/>
    <row r="13956" ht="14.4" x14ac:dyDescent="0.3"/>
    <row r="13957" ht="14.4" x14ac:dyDescent="0.3"/>
    <row r="13958" ht="14.4" x14ac:dyDescent="0.3"/>
    <row r="13959" ht="14.4" x14ac:dyDescent="0.3"/>
    <row r="13960" ht="14.4" x14ac:dyDescent="0.3"/>
    <row r="13961" ht="14.4" x14ac:dyDescent="0.3"/>
    <row r="13962" ht="14.4" x14ac:dyDescent="0.3"/>
    <row r="13963" ht="14.4" x14ac:dyDescent="0.3"/>
    <row r="13964" ht="14.4" x14ac:dyDescent="0.3"/>
    <row r="13965" ht="14.4" x14ac:dyDescent="0.3"/>
    <row r="13966" ht="14.4" x14ac:dyDescent="0.3"/>
    <row r="13967" ht="14.4" x14ac:dyDescent="0.3"/>
    <row r="13968" ht="14.4" x14ac:dyDescent="0.3"/>
    <row r="13969" ht="14.4" x14ac:dyDescent="0.3"/>
    <row r="13970" ht="14.4" x14ac:dyDescent="0.3"/>
    <row r="13971" ht="14.4" x14ac:dyDescent="0.3"/>
    <row r="13972" ht="14.4" x14ac:dyDescent="0.3"/>
    <row r="13973" ht="14.4" x14ac:dyDescent="0.3"/>
    <row r="13974" ht="14.4" x14ac:dyDescent="0.3"/>
    <row r="13975" ht="14.4" x14ac:dyDescent="0.3"/>
    <row r="13976" ht="14.4" x14ac:dyDescent="0.3"/>
    <row r="13977" ht="14.4" x14ac:dyDescent="0.3"/>
    <row r="13978" ht="14.4" x14ac:dyDescent="0.3"/>
    <row r="13979" ht="14.4" x14ac:dyDescent="0.3"/>
    <row r="13980" ht="14.4" x14ac:dyDescent="0.3"/>
    <row r="13981" ht="14.4" x14ac:dyDescent="0.3"/>
    <row r="13982" ht="14.4" x14ac:dyDescent="0.3"/>
    <row r="13983" ht="14.4" x14ac:dyDescent="0.3"/>
    <row r="13984" ht="14.4" x14ac:dyDescent="0.3"/>
    <row r="13985" ht="14.4" x14ac:dyDescent="0.3"/>
    <row r="13986" ht="14.4" x14ac:dyDescent="0.3"/>
    <row r="13987" ht="14.4" x14ac:dyDescent="0.3"/>
    <row r="13988" ht="14.4" x14ac:dyDescent="0.3"/>
    <row r="13989" ht="14.4" x14ac:dyDescent="0.3"/>
    <row r="13990" ht="14.4" x14ac:dyDescent="0.3"/>
    <row r="13991" ht="14.4" x14ac:dyDescent="0.3"/>
    <row r="13992" ht="14.4" x14ac:dyDescent="0.3"/>
    <row r="13993" ht="14.4" x14ac:dyDescent="0.3"/>
    <row r="13994" ht="14.4" x14ac:dyDescent="0.3"/>
    <row r="13995" ht="14.4" x14ac:dyDescent="0.3"/>
    <row r="13996" ht="14.4" x14ac:dyDescent="0.3"/>
    <row r="13997" ht="14.4" x14ac:dyDescent="0.3"/>
    <row r="13998" ht="14.4" x14ac:dyDescent="0.3"/>
    <row r="13999" ht="14.4" x14ac:dyDescent="0.3"/>
    <row r="14000" ht="14.4" x14ac:dyDescent="0.3"/>
    <row r="14001" ht="14.4" x14ac:dyDescent="0.3"/>
    <row r="14002" ht="14.4" x14ac:dyDescent="0.3"/>
    <row r="14003" ht="14.4" x14ac:dyDescent="0.3"/>
    <row r="14004" ht="14.4" x14ac:dyDescent="0.3"/>
    <row r="14005" ht="14.4" x14ac:dyDescent="0.3"/>
    <row r="14006" ht="14.4" x14ac:dyDescent="0.3"/>
    <row r="14007" ht="14.4" x14ac:dyDescent="0.3"/>
    <row r="14008" ht="14.4" x14ac:dyDescent="0.3"/>
    <row r="14009" ht="14.4" x14ac:dyDescent="0.3"/>
    <row r="14010" ht="14.4" x14ac:dyDescent="0.3"/>
    <row r="14011" ht="14.4" x14ac:dyDescent="0.3"/>
    <row r="14012" ht="14.4" x14ac:dyDescent="0.3"/>
    <row r="14013" ht="14.4" x14ac:dyDescent="0.3"/>
    <row r="14014" ht="14.4" x14ac:dyDescent="0.3"/>
    <row r="14015" ht="14.4" x14ac:dyDescent="0.3"/>
    <row r="14016" ht="14.4" x14ac:dyDescent="0.3"/>
    <row r="14017" ht="14.4" x14ac:dyDescent="0.3"/>
    <row r="14018" ht="14.4" x14ac:dyDescent="0.3"/>
    <row r="14019" ht="14.4" x14ac:dyDescent="0.3"/>
    <row r="14020" ht="14.4" x14ac:dyDescent="0.3"/>
    <row r="14021" ht="14.4" x14ac:dyDescent="0.3"/>
    <row r="14022" ht="14.4" x14ac:dyDescent="0.3"/>
    <row r="14023" ht="14.4" x14ac:dyDescent="0.3"/>
    <row r="14024" ht="14.4" x14ac:dyDescent="0.3"/>
    <row r="14025" ht="14.4" x14ac:dyDescent="0.3"/>
    <row r="14026" ht="14.4" x14ac:dyDescent="0.3"/>
    <row r="14027" ht="14.4" x14ac:dyDescent="0.3"/>
    <row r="14028" ht="14.4" x14ac:dyDescent="0.3"/>
    <row r="14029" ht="14.4" x14ac:dyDescent="0.3"/>
    <row r="14030" ht="14.4" x14ac:dyDescent="0.3"/>
    <row r="14031" ht="14.4" x14ac:dyDescent="0.3"/>
    <row r="14032" ht="14.4" x14ac:dyDescent="0.3"/>
    <row r="14033" ht="14.4" x14ac:dyDescent="0.3"/>
    <row r="14034" ht="14.4" x14ac:dyDescent="0.3"/>
    <row r="14035" ht="14.4" x14ac:dyDescent="0.3"/>
    <row r="14036" ht="14.4" x14ac:dyDescent="0.3"/>
    <row r="14037" ht="14.4" x14ac:dyDescent="0.3"/>
    <row r="14038" ht="14.4" x14ac:dyDescent="0.3"/>
    <row r="14039" ht="14.4" x14ac:dyDescent="0.3"/>
    <row r="14040" ht="14.4" x14ac:dyDescent="0.3"/>
    <row r="14041" ht="14.4" x14ac:dyDescent="0.3"/>
    <row r="14042" ht="14.4" x14ac:dyDescent="0.3"/>
    <row r="14043" ht="14.4" x14ac:dyDescent="0.3"/>
    <row r="14044" ht="14.4" x14ac:dyDescent="0.3"/>
    <row r="14045" ht="14.4" x14ac:dyDescent="0.3"/>
    <row r="14046" ht="14.4" x14ac:dyDescent="0.3"/>
    <row r="14047" ht="14.4" x14ac:dyDescent="0.3"/>
    <row r="14048" ht="14.4" x14ac:dyDescent="0.3"/>
    <row r="14049" ht="14.4" x14ac:dyDescent="0.3"/>
    <row r="14050" ht="14.4" x14ac:dyDescent="0.3"/>
    <row r="14051" ht="14.4" x14ac:dyDescent="0.3"/>
    <row r="14052" ht="14.4" x14ac:dyDescent="0.3"/>
    <row r="14053" ht="14.4" x14ac:dyDescent="0.3"/>
    <row r="14054" ht="14.4" x14ac:dyDescent="0.3"/>
    <row r="14055" ht="14.4" x14ac:dyDescent="0.3"/>
    <row r="14056" ht="14.4" x14ac:dyDescent="0.3"/>
    <row r="14057" ht="14.4" x14ac:dyDescent="0.3"/>
    <row r="14058" ht="14.4" x14ac:dyDescent="0.3"/>
    <row r="14059" ht="14.4" x14ac:dyDescent="0.3"/>
    <row r="14060" ht="14.4" x14ac:dyDescent="0.3"/>
    <row r="14061" ht="14.4" x14ac:dyDescent="0.3"/>
    <row r="14062" ht="14.4" x14ac:dyDescent="0.3"/>
    <row r="14063" ht="14.4" x14ac:dyDescent="0.3"/>
    <row r="14064" ht="14.4" x14ac:dyDescent="0.3"/>
    <row r="14065" ht="14.4" x14ac:dyDescent="0.3"/>
    <row r="14066" ht="14.4" x14ac:dyDescent="0.3"/>
    <row r="14067" ht="14.4" x14ac:dyDescent="0.3"/>
    <row r="14068" ht="14.4" x14ac:dyDescent="0.3"/>
    <row r="14069" ht="14.4" x14ac:dyDescent="0.3"/>
    <row r="14070" ht="14.4" x14ac:dyDescent="0.3"/>
    <row r="14071" ht="14.4" x14ac:dyDescent="0.3"/>
    <row r="14072" ht="14.4" x14ac:dyDescent="0.3"/>
    <row r="14073" ht="14.4" x14ac:dyDescent="0.3"/>
    <row r="14074" ht="14.4" x14ac:dyDescent="0.3"/>
    <row r="14075" ht="14.4" x14ac:dyDescent="0.3"/>
    <row r="14076" ht="14.4" x14ac:dyDescent="0.3"/>
    <row r="14077" ht="14.4" x14ac:dyDescent="0.3"/>
    <row r="14078" ht="14.4" x14ac:dyDescent="0.3"/>
    <row r="14079" ht="14.4" x14ac:dyDescent="0.3"/>
    <row r="14080" ht="14.4" x14ac:dyDescent="0.3"/>
    <row r="14081" ht="14.4" x14ac:dyDescent="0.3"/>
    <row r="14082" ht="14.4" x14ac:dyDescent="0.3"/>
    <row r="14083" ht="14.4" x14ac:dyDescent="0.3"/>
    <row r="14084" ht="14.4" x14ac:dyDescent="0.3"/>
    <row r="14085" ht="14.4" x14ac:dyDescent="0.3"/>
    <row r="14086" ht="14.4" x14ac:dyDescent="0.3"/>
    <row r="14087" ht="14.4" x14ac:dyDescent="0.3"/>
    <row r="14088" ht="14.4" x14ac:dyDescent="0.3"/>
    <row r="14089" ht="14.4" x14ac:dyDescent="0.3"/>
    <row r="14090" ht="14.4" x14ac:dyDescent="0.3"/>
    <row r="14091" ht="14.4" x14ac:dyDescent="0.3"/>
    <row r="14092" ht="14.4" x14ac:dyDescent="0.3"/>
    <row r="14093" ht="14.4" x14ac:dyDescent="0.3"/>
    <row r="14094" ht="14.4" x14ac:dyDescent="0.3"/>
    <row r="14095" ht="14.4" x14ac:dyDescent="0.3"/>
    <row r="14096" ht="14.4" x14ac:dyDescent="0.3"/>
    <row r="14097" ht="14.4" x14ac:dyDescent="0.3"/>
    <row r="14098" ht="14.4" x14ac:dyDescent="0.3"/>
    <row r="14099" ht="14.4" x14ac:dyDescent="0.3"/>
    <row r="14100" ht="14.4" x14ac:dyDescent="0.3"/>
    <row r="14101" ht="14.4" x14ac:dyDescent="0.3"/>
    <row r="14102" ht="14.4" x14ac:dyDescent="0.3"/>
    <row r="14103" ht="14.4" x14ac:dyDescent="0.3"/>
    <row r="14104" ht="14.4" x14ac:dyDescent="0.3"/>
    <row r="14105" ht="14.4" x14ac:dyDescent="0.3"/>
    <row r="14106" ht="14.4" x14ac:dyDescent="0.3"/>
    <row r="14107" ht="14.4" x14ac:dyDescent="0.3"/>
    <row r="14108" ht="14.4" x14ac:dyDescent="0.3"/>
    <row r="14109" ht="14.4" x14ac:dyDescent="0.3"/>
    <row r="14110" ht="14.4" x14ac:dyDescent="0.3"/>
    <row r="14111" ht="14.4" x14ac:dyDescent="0.3"/>
    <row r="14112" ht="14.4" x14ac:dyDescent="0.3"/>
    <row r="14113" ht="14.4" x14ac:dyDescent="0.3"/>
    <row r="14114" ht="14.4" x14ac:dyDescent="0.3"/>
    <row r="14115" ht="14.4" x14ac:dyDescent="0.3"/>
    <row r="14116" ht="14.4" x14ac:dyDescent="0.3"/>
    <row r="14117" ht="14.4" x14ac:dyDescent="0.3"/>
    <row r="14118" ht="14.4" x14ac:dyDescent="0.3"/>
    <row r="14119" ht="14.4" x14ac:dyDescent="0.3"/>
    <row r="14120" ht="14.4" x14ac:dyDescent="0.3"/>
    <row r="14121" ht="14.4" x14ac:dyDescent="0.3"/>
    <row r="14122" ht="14.4" x14ac:dyDescent="0.3"/>
    <row r="14123" ht="14.4" x14ac:dyDescent="0.3"/>
    <row r="14124" ht="14.4" x14ac:dyDescent="0.3"/>
    <row r="14125" ht="14.4" x14ac:dyDescent="0.3"/>
    <row r="14126" ht="14.4" x14ac:dyDescent="0.3"/>
    <row r="14127" ht="14.4" x14ac:dyDescent="0.3"/>
    <row r="14128" ht="14.4" x14ac:dyDescent="0.3"/>
    <row r="14129" ht="14.4" x14ac:dyDescent="0.3"/>
    <row r="14130" ht="14.4" x14ac:dyDescent="0.3"/>
    <row r="14131" ht="14.4" x14ac:dyDescent="0.3"/>
    <row r="14132" ht="14.4" x14ac:dyDescent="0.3"/>
    <row r="14133" ht="14.4" x14ac:dyDescent="0.3"/>
    <row r="14134" ht="14.4" x14ac:dyDescent="0.3"/>
    <row r="14135" ht="14.4" x14ac:dyDescent="0.3"/>
    <row r="14136" ht="14.4" x14ac:dyDescent="0.3"/>
    <row r="14137" ht="14.4" x14ac:dyDescent="0.3"/>
    <row r="14138" ht="14.4" x14ac:dyDescent="0.3"/>
    <row r="14139" ht="14.4" x14ac:dyDescent="0.3"/>
    <row r="14140" ht="14.4" x14ac:dyDescent="0.3"/>
    <row r="14141" ht="14.4" x14ac:dyDescent="0.3"/>
    <row r="14142" ht="14.4" x14ac:dyDescent="0.3"/>
    <row r="14143" ht="14.4" x14ac:dyDescent="0.3"/>
    <row r="14144" ht="14.4" x14ac:dyDescent="0.3"/>
    <row r="14145" ht="14.4" x14ac:dyDescent="0.3"/>
    <row r="14146" ht="14.4" x14ac:dyDescent="0.3"/>
    <row r="14147" ht="14.4" x14ac:dyDescent="0.3"/>
    <row r="14148" ht="14.4" x14ac:dyDescent="0.3"/>
    <row r="14149" ht="14.4" x14ac:dyDescent="0.3"/>
    <row r="14150" ht="14.4" x14ac:dyDescent="0.3"/>
    <row r="14151" ht="14.4" x14ac:dyDescent="0.3"/>
    <row r="14152" ht="14.4" x14ac:dyDescent="0.3"/>
    <row r="14153" ht="14.4" x14ac:dyDescent="0.3"/>
    <row r="14154" ht="14.4" x14ac:dyDescent="0.3"/>
    <row r="14155" ht="14.4" x14ac:dyDescent="0.3"/>
    <row r="14156" ht="14.4" x14ac:dyDescent="0.3"/>
    <row r="14157" ht="14.4" x14ac:dyDescent="0.3"/>
    <row r="14158" ht="14.4" x14ac:dyDescent="0.3"/>
    <row r="14159" ht="14.4" x14ac:dyDescent="0.3"/>
    <row r="14160" ht="14.4" x14ac:dyDescent="0.3"/>
    <row r="14161" ht="14.4" x14ac:dyDescent="0.3"/>
    <row r="14162" ht="14.4" x14ac:dyDescent="0.3"/>
    <row r="14163" ht="14.4" x14ac:dyDescent="0.3"/>
    <row r="14164" ht="14.4" x14ac:dyDescent="0.3"/>
    <row r="14165" ht="14.4" x14ac:dyDescent="0.3"/>
    <row r="14166" ht="14.4" x14ac:dyDescent="0.3"/>
    <row r="14167" ht="14.4" x14ac:dyDescent="0.3"/>
    <row r="14168" ht="14.4" x14ac:dyDescent="0.3"/>
    <row r="14169" ht="14.4" x14ac:dyDescent="0.3"/>
    <row r="14170" ht="14.4" x14ac:dyDescent="0.3"/>
    <row r="14171" ht="14.4" x14ac:dyDescent="0.3"/>
    <row r="14172" ht="14.4" x14ac:dyDescent="0.3"/>
    <row r="14173" ht="14.4" x14ac:dyDescent="0.3"/>
    <row r="14174" ht="14.4" x14ac:dyDescent="0.3"/>
    <row r="14175" ht="14.4" x14ac:dyDescent="0.3"/>
    <row r="14176" ht="14.4" x14ac:dyDescent="0.3"/>
    <row r="14177" ht="14.4" x14ac:dyDescent="0.3"/>
    <row r="14178" ht="14.4" x14ac:dyDescent="0.3"/>
    <row r="14179" ht="14.4" x14ac:dyDescent="0.3"/>
    <row r="14180" ht="14.4" x14ac:dyDescent="0.3"/>
    <row r="14181" ht="14.4" x14ac:dyDescent="0.3"/>
    <row r="14182" ht="14.4" x14ac:dyDescent="0.3"/>
    <row r="14183" ht="14.4" x14ac:dyDescent="0.3"/>
    <row r="14184" ht="14.4" x14ac:dyDescent="0.3"/>
    <row r="14185" ht="14.4" x14ac:dyDescent="0.3"/>
    <row r="14186" ht="14.4" x14ac:dyDescent="0.3"/>
    <row r="14187" ht="14.4" x14ac:dyDescent="0.3"/>
    <row r="14188" ht="14.4" x14ac:dyDescent="0.3"/>
    <row r="14189" ht="14.4" x14ac:dyDescent="0.3"/>
    <row r="14190" ht="14.4" x14ac:dyDescent="0.3"/>
    <row r="14191" ht="14.4" x14ac:dyDescent="0.3"/>
    <row r="14192" ht="14.4" x14ac:dyDescent="0.3"/>
    <row r="14193" ht="14.4" x14ac:dyDescent="0.3"/>
    <row r="14194" ht="14.4" x14ac:dyDescent="0.3"/>
    <row r="14195" ht="14.4" x14ac:dyDescent="0.3"/>
    <row r="14196" ht="14.4" x14ac:dyDescent="0.3"/>
    <row r="14197" ht="14.4" x14ac:dyDescent="0.3"/>
    <row r="14198" ht="14.4" x14ac:dyDescent="0.3"/>
    <row r="14199" ht="14.4" x14ac:dyDescent="0.3"/>
    <row r="14200" ht="14.4" x14ac:dyDescent="0.3"/>
    <row r="14201" ht="14.4" x14ac:dyDescent="0.3"/>
    <row r="14202" ht="14.4" x14ac:dyDescent="0.3"/>
    <row r="14203" ht="14.4" x14ac:dyDescent="0.3"/>
    <row r="14204" ht="14.4" x14ac:dyDescent="0.3"/>
    <row r="14205" ht="14.4" x14ac:dyDescent="0.3"/>
    <row r="14206" ht="14.4" x14ac:dyDescent="0.3"/>
    <row r="14207" ht="14.4" x14ac:dyDescent="0.3"/>
    <row r="14208" ht="14.4" x14ac:dyDescent="0.3"/>
    <row r="14209" ht="14.4" x14ac:dyDescent="0.3"/>
    <row r="14210" ht="14.4" x14ac:dyDescent="0.3"/>
    <row r="14211" ht="14.4" x14ac:dyDescent="0.3"/>
    <row r="14212" ht="14.4" x14ac:dyDescent="0.3"/>
    <row r="14213" ht="14.4" x14ac:dyDescent="0.3"/>
    <row r="14214" ht="14.4" x14ac:dyDescent="0.3"/>
    <row r="14215" ht="14.4" x14ac:dyDescent="0.3"/>
    <row r="14216" ht="14.4" x14ac:dyDescent="0.3"/>
    <row r="14217" ht="14.4" x14ac:dyDescent="0.3"/>
    <row r="14218" ht="14.4" x14ac:dyDescent="0.3"/>
    <row r="14219" ht="14.4" x14ac:dyDescent="0.3"/>
    <row r="14220" ht="14.4" x14ac:dyDescent="0.3"/>
    <row r="14221" ht="14.4" x14ac:dyDescent="0.3"/>
    <row r="14222" ht="14.4" x14ac:dyDescent="0.3"/>
    <row r="14223" ht="14.4" x14ac:dyDescent="0.3"/>
    <row r="14224" ht="14.4" x14ac:dyDescent="0.3"/>
    <row r="14225" ht="14.4" x14ac:dyDescent="0.3"/>
    <row r="14226" ht="14.4" x14ac:dyDescent="0.3"/>
    <row r="14227" ht="14.4" x14ac:dyDescent="0.3"/>
    <row r="14228" ht="14.4" x14ac:dyDescent="0.3"/>
    <row r="14229" ht="14.4" x14ac:dyDescent="0.3"/>
    <row r="14230" ht="14.4" x14ac:dyDescent="0.3"/>
    <row r="14231" ht="14.4" x14ac:dyDescent="0.3"/>
    <row r="14232" ht="14.4" x14ac:dyDescent="0.3"/>
    <row r="14233" ht="14.4" x14ac:dyDescent="0.3"/>
    <row r="14234" ht="14.4" x14ac:dyDescent="0.3"/>
    <row r="14235" ht="14.4" x14ac:dyDescent="0.3"/>
    <row r="14236" ht="14.4" x14ac:dyDescent="0.3"/>
    <row r="14237" ht="14.4" x14ac:dyDescent="0.3"/>
    <row r="14238" ht="14.4" x14ac:dyDescent="0.3"/>
    <row r="14239" ht="14.4" x14ac:dyDescent="0.3"/>
    <row r="14240" ht="14.4" x14ac:dyDescent="0.3"/>
    <row r="14241" ht="14.4" x14ac:dyDescent="0.3"/>
    <row r="14242" ht="14.4" x14ac:dyDescent="0.3"/>
    <row r="14243" ht="14.4" x14ac:dyDescent="0.3"/>
    <row r="14244" ht="14.4" x14ac:dyDescent="0.3"/>
    <row r="14245" ht="14.4" x14ac:dyDescent="0.3"/>
    <row r="14246" ht="14.4" x14ac:dyDescent="0.3"/>
    <row r="14247" ht="14.4" x14ac:dyDescent="0.3"/>
    <row r="14248" ht="14.4" x14ac:dyDescent="0.3"/>
    <row r="14249" ht="14.4" x14ac:dyDescent="0.3"/>
    <row r="14250" ht="14.4" x14ac:dyDescent="0.3"/>
    <row r="14251" ht="14.4" x14ac:dyDescent="0.3"/>
    <row r="14252" ht="14.4" x14ac:dyDescent="0.3"/>
    <row r="14253" ht="14.4" x14ac:dyDescent="0.3"/>
    <row r="14254" ht="14.4" x14ac:dyDescent="0.3"/>
    <row r="14255" ht="14.4" x14ac:dyDescent="0.3"/>
    <row r="14256" ht="14.4" x14ac:dyDescent="0.3"/>
    <row r="14257" ht="14.4" x14ac:dyDescent="0.3"/>
    <row r="14258" ht="14.4" x14ac:dyDescent="0.3"/>
    <row r="14259" ht="14.4" x14ac:dyDescent="0.3"/>
    <row r="14260" ht="14.4" x14ac:dyDescent="0.3"/>
    <row r="14261" ht="14.4" x14ac:dyDescent="0.3"/>
    <row r="14262" ht="14.4" x14ac:dyDescent="0.3"/>
    <row r="14263" ht="14.4" x14ac:dyDescent="0.3"/>
    <row r="14264" ht="14.4" x14ac:dyDescent="0.3"/>
    <row r="14265" ht="14.4" x14ac:dyDescent="0.3"/>
    <row r="14266" ht="14.4" x14ac:dyDescent="0.3"/>
    <row r="14267" ht="14.4" x14ac:dyDescent="0.3"/>
    <row r="14268" ht="14.4" x14ac:dyDescent="0.3"/>
    <row r="14269" ht="14.4" x14ac:dyDescent="0.3"/>
    <row r="14270" ht="14.4" x14ac:dyDescent="0.3"/>
    <row r="14271" ht="14.4" x14ac:dyDescent="0.3"/>
    <row r="14272" ht="14.4" x14ac:dyDescent="0.3"/>
    <row r="14273" ht="14.4" x14ac:dyDescent="0.3"/>
    <row r="14274" ht="14.4" x14ac:dyDescent="0.3"/>
    <row r="14275" ht="14.4" x14ac:dyDescent="0.3"/>
    <row r="14276" ht="14.4" x14ac:dyDescent="0.3"/>
    <row r="14277" ht="14.4" x14ac:dyDescent="0.3"/>
    <row r="14278" ht="14.4" x14ac:dyDescent="0.3"/>
    <row r="14279" ht="14.4" x14ac:dyDescent="0.3"/>
    <row r="14280" ht="14.4" x14ac:dyDescent="0.3"/>
    <row r="14281" ht="14.4" x14ac:dyDescent="0.3"/>
    <row r="14282" ht="14.4" x14ac:dyDescent="0.3"/>
    <row r="14283" ht="14.4" x14ac:dyDescent="0.3"/>
    <row r="14284" ht="14.4" x14ac:dyDescent="0.3"/>
    <row r="14285" ht="14.4" x14ac:dyDescent="0.3"/>
    <row r="14286" ht="14.4" x14ac:dyDescent="0.3"/>
    <row r="14287" ht="14.4" x14ac:dyDescent="0.3"/>
    <row r="14288" ht="14.4" x14ac:dyDescent="0.3"/>
    <row r="14289" ht="14.4" x14ac:dyDescent="0.3"/>
    <row r="14290" ht="14.4" x14ac:dyDescent="0.3"/>
    <row r="14291" ht="14.4" x14ac:dyDescent="0.3"/>
    <row r="14292" ht="14.4" x14ac:dyDescent="0.3"/>
    <row r="14293" ht="14.4" x14ac:dyDescent="0.3"/>
    <row r="14294" ht="14.4" x14ac:dyDescent="0.3"/>
    <row r="14295" ht="14.4" x14ac:dyDescent="0.3"/>
    <row r="14296" ht="14.4" x14ac:dyDescent="0.3"/>
    <row r="14297" ht="14.4" x14ac:dyDescent="0.3"/>
    <row r="14298" ht="14.4" x14ac:dyDescent="0.3"/>
    <row r="14299" ht="14.4" x14ac:dyDescent="0.3"/>
    <row r="14300" ht="14.4" x14ac:dyDescent="0.3"/>
    <row r="14301" ht="14.4" x14ac:dyDescent="0.3"/>
    <row r="14302" ht="14.4" x14ac:dyDescent="0.3"/>
    <row r="14303" ht="14.4" x14ac:dyDescent="0.3"/>
    <row r="14304" ht="14.4" x14ac:dyDescent="0.3"/>
    <row r="14305" ht="14.4" x14ac:dyDescent="0.3"/>
    <row r="14306" ht="14.4" x14ac:dyDescent="0.3"/>
    <row r="14307" ht="14.4" x14ac:dyDescent="0.3"/>
    <row r="14308" ht="14.4" x14ac:dyDescent="0.3"/>
    <row r="14309" ht="14.4" x14ac:dyDescent="0.3"/>
    <row r="14310" ht="14.4" x14ac:dyDescent="0.3"/>
    <row r="14311" ht="14.4" x14ac:dyDescent="0.3"/>
    <row r="14312" ht="14.4" x14ac:dyDescent="0.3"/>
    <row r="14313" ht="14.4" x14ac:dyDescent="0.3"/>
    <row r="14314" ht="14.4" x14ac:dyDescent="0.3"/>
    <row r="14315" ht="14.4" x14ac:dyDescent="0.3"/>
    <row r="14316" ht="14.4" x14ac:dyDescent="0.3"/>
    <row r="14317" ht="14.4" x14ac:dyDescent="0.3"/>
    <row r="14318" ht="14.4" x14ac:dyDescent="0.3"/>
    <row r="14319" ht="14.4" x14ac:dyDescent="0.3"/>
    <row r="14320" ht="14.4" x14ac:dyDescent="0.3"/>
    <row r="14321" ht="14.4" x14ac:dyDescent="0.3"/>
    <row r="14322" ht="14.4" x14ac:dyDescent="0.3"/>
    <row r="14323" ht="14.4" x14ac:dyDescent="0.3"/>
    <row r="14324" ht="14.4" x14ac:dyDescent="0.3"/>
    <row r="14325" ht="14.4" x14ac:dyDescent="0.3"/>
    <row r="14326" ht="14.4" x14ac:dyDescent="0.3"/>
    <row r="14327" ht="14.4" x14ac:dyDescent="0.3"/>
    <row r="14328" ht="14.4" x14ac:dyDescent="0.3"/>
    <row r="14329" ht="14.4" x14ac:dyDescent="0.3"/>
    <row r="14330" ht="14.4" x14ac:dyDescent="0.3"/>
    <row r="14331" ht="14.4" x14ac:dyDescent="0.3"/>
    <row r="14332" ht="14.4" x14ac:dyDescent="0.3"/>
    <row r="14333" ht="14.4" x14ac:dyDescent="0.3"/>
    <row r="14334" ht="14.4" x14ac:dyDescent="0.3"/>
    <row r="14335" ht="14.4" x14ac:dyDescent="0.3"/>
    <row r="14336" ht="14.4" x14ac:dyDescent="0.3"/>
    <row r="14337" ht="14.4" x14ac:dyDescent="0.3"/>
    <row r="14338" ht="14.4" x14ac:dyDescent="0.3"/>
    <row r="14339" ht="14.4" x14ac:dyDescent="0.3"/>
    <row r="14340" ht="14.4" x14ac:dyDescent="0.3"/>
    <row r="14341" ht="14.4" x14ac:dyDescent="0.3"/>
    <row r="14342" ht="14.4" x14ac:dyDescent="0.3"/>
    <row r="14343" ht="14.4" x14ac:dyDescent="0.3"/>
    <row r="14344" ht="14.4" x14ac:dyDescent="0.3"/>
    <row r="14345" ht="14.4" x14ac:dyDescent="0.3"/>
    <row r="14346" ht="14.4" x14ac:dyDescent="0.3"/>
    <row r="14347" ht="14.4" x14ac:dyDescent="0.3"/>
    <row r="14348" ht="14.4" x14ac:dyDescent="0.3"/>
    <row r="14349" ht="14.4" x14ac:dyDescent="0.3"/>
    <row r="14350" ht="14.4" x14ac:dyDescent="0.3"/>
    <row r="14351" ht="14.4" x14ac:dyDescent="0.3"/>
    <row r="14352" ht="14.4" x14ac:dyDescent="0.3"/>
    <row r="14353" ht="14.4" x14ac:dyDescent="0.3"/>
    <row r="14354" ht="14.4" x14ac:dyDescent="0.3"/>
    <row r="14355" ht="14.4" x14ac:dyDescent="0.3"/>
    <row r="14356" ht="14.4" x14ac:dyDescent="0.3"/>
    <row r="14357" ht="14.4" x14ac:dyDescent="0.3"/>
    <row r="14358" ht="14.4" x14ac:dyDescent="0.3"/>
    <row r="14359" ht="14.4" x14ac:dyDescent="0.3"/>
    <row r="14360" ht="14.4" x14ac:dyDescent="0.3"/>
    <row r="14361" ht="14.4" x14ac:dyDescent="0.3"/>
    <row r="14362" ht="14.4" x14ac:dyDescent="0.3"/>
    <row r="14363" ht="14.4" x14ac:dyDescent="0.3"/>
    <row r="14364" ht="14.4" x14ac:dyDescent="0.3"/>
    <row r="14365" ht="14.4" x14ac:dyDescent="0.3"/>
    <row r="14366" ht="14.4" x14ac:dyDescent="0.3"/>
    <row r="14367" ht="14.4" x14ac:dyDescent="0.3"/>
    <row r="14368" ht="14.4" x14ac:dyDescent="0.3"/>
    <row r="14369" ht="14.4" x14ac:dyDescent="0.3"/>
    <row r="14370" ht="14.4" x14ac:dyDescent="0.3"/>
    <row r="14371" ht="14.4" x14ac:dyDescent="0.3"/>
    <row r="14372" ht="14.4" x14ac:dyDescent="0.3"/>
    <row r="14373" ht="14.4" x14ac:dyDescent="0.3"/>
    <row r="14374" ht="14.4" x14ac:dyDescent="0.3"/>
    <row r="14375" ht="14.4" x14ac:dyDescent="0.3"/>
    <row r="14376" ht="14.4" x14ac:dyDescent="0.3"/>
    <row r="14377" ht="14.4" x14ac:dyDescent="0.3"/>
    <row r="14378" ht="14.4" x14ac:dyDescent="0.3"/>
    <row r="14379" ht="14.4" x14ac:dyDescent="0.3"/>
    <row r="14380" ht="14.4" x14ac:dyDescent="0.3"/>
    <row r="14381" ht="14.4" x14ac:dyDescent="0.3"/>
    <row r="14382" ht="14.4" x14ac:dyDescent="0.3"/>
    <row r="14383" ht="14.4" x14ac:dyDescent="0.3"/>
    <row r="14384" ht="14.4" x14ac:dyDescent="0.3"/>
    <row r="14385" ht="14.4" x14ac:dyDescent="0.3"/>
    <row r="14386" ht="14.4" x14ac:dyDescent="0.3"/>
    <row r="14387" ht="14.4" x14ac:dyDescent="0.3"/>
    <row r="14388" ht="14.4" x14ac:dyDescent="0.3"/>
    <row r="14389" ht="14.4" x14ac:dyDescent="0.3"/>
    <row r="14390" ht="14.4" x14ac:dyDescent="0.3"/>
    <row r="14391" ht="14.4" x14ac:dyDescent="0.3"/>
    <row r="14392" ht="14.4" x14ac:dyDescent="0.3"/>
    <row r="14393" ht="14.4" x14ac:dyDescent="0.3"/>
    <row r="14394" ht="14.4" x14ac:dyDescent="0.3"/>
    <row r="14395" ht="14.4" x14ac:dyDescent="0.3"/>
    <row r="14396" ht="14.4" x14ac:dyDescent="0.3"/>
    <row r="14397" ht="14.4" x14ac:dyDescent="0.3"/>
    <row r="14398" ht="14.4" x14ac:dyDescent="0.3"/>
    <row r="14399" ht="14.4" x14ac:dyDescent="0.3"/>
    <row r="14400" ht="14.4" x14ac:dyDescent="0.3"/>
    <row r="14401" ht="14.4" x14ac:dyDescent="0.3"/>
    <row r="14402" ht="14.4" x14ac:dyDescent="0.3"/>
    <row r="14403" ht="14.4" x14ac:dyDescent="0.3"/>
    <row r="14404" ht="14.4" x14ac:dyDescent="0.3"/>
    <row r="14405" ht="14.4" x14ac:dyDescent="0.3"/>
    <row r="14406" ht="14.4" x14ac:dyDescent="0.3"/>
    <row r="14407" ht="14.4" x14ac:dyDescent="0.3"/>
    <row r="14408" ht="14.4" x14ac:dyDescent="0.3"/>
    <row r="14409" ht="14.4" x14ac:dyDescent="0.3"/>
    <row r="14410" ht="14.4" x14ac:dyDescent="0.3"/>
    <row r="14411" ht="14.4" x14ac:dyDescent="0.3"/>
    <row r="14412" ht="14.4" x14ac:dyDescent="0.3"/>
    <row r="14413" ht="14.4" x14ac:dyDescent="0.3"/>
    <row r="14414" ht="14.4" x14ac:dyDescent="0.3"/>
    <row r="14415" ht="14.4" x14ac:dyDescent="0.3"/>
    <row r="14416" ht="14.4" x14ac:dyDescent="0.3"/>
    <row r="14417" ht="14.4" x14ac:dyDescent="0.3"/>
    <row r="14418" ht="14.4" x14ac:dyDescent="0.3"/>
    <row r="14419" ht="14.4" x14ac:dyDescent="0.3"/>
    <row r="14420" ht="14.4" x14ac:dyDescent="0.3"/>
    <row r="14421" ht="14.4" x14ac:dyDescent="0.3"/>
    <row r="14422" ht="14.4" x14ac:dyDescent="0.3"/>
    <row r="14423" ht="14.4" x14ac:dyDescent="0.3"/>
    <row r="14424" ht="14.4" x14ac:dyDescent="0.3"/>
    <row r="14425" ht="14.4" x14ac:dyDescent="0.3"/>
    <row r="14426" ht="14.4" x14ac:dyDescent="0.3"/>
    <row r="14427" ht="14.4" x14ac:dyDescent="0.3"/>
    <row r="14428" ht="14.4" x14ac:dyDescent="0.3"/>
    <row r="14429" ht="14.4" x14ac:dyDescent="0.3"/>
    <row r="14430" ht="14.4" x14ac:dyDescent="0.3"/>
    <row r="14431" ht="14.4" x14ac:dyDescent="0.3"/>
    <row r="14432" ht="14.4" x14ac:dyDescent="0.3"/>
    <row r="14433" ht="14.4" x14ac:dyDescent="0.3"/>
    <row r="14434" ht="14.4" x14ac:dyDescent="0.3"/>
    <row r="14435" ht="14.4" x14ac:dyDescent="0.3"/>
    <row r="14436" ht="14.4" x14ac:dyDescent="0.3"/>
    <row r="14437" ht="14.4" x14ac:dyDescent="0.3"/>
    <row r="14438" ht="14.4" x14ac:dyDescent="0.3"/>
    <row r="14439" ht="14.4" x14ac:dyDescent="0.3"/>
    <row r="14440" ht="14.4" x14ac:dyDescent="0.3"/>
    <row r="14441" ht="14.4" x14ac:dyDescent="0.3"/>
    <row r="14442" ht="14.4" x14ac:dyDescent="0.3"/>
    <row r="14443" ht="14.4" x14ac:dyDescent="0.3"/>
    <row r="14444" ht="14.4" x14ac:dyDescent="0.3"/>
    <row r="14445" ht="14.4" x14ac:dyDescent="0.3"/>
    <row r="14446" ht="14.4" x14ac:dyDescent="0.3"/>
    <row r="14447" ht="14.4" x14ac:dyDescent="0.3"/>
    <row r="14448" ht="14.4" x14ac:dyDescent="0.3"/>
    <row r="14449" ht="14.4" x14ac:dyDescent="0.3"/>
    <row r="14450" ht="14.4" x14ac:dyDescent="0.3"/>
    <row r="14451" ht="14.4" x14ac:dyDescent="0.3"/>
    <row r="14452" ht="14.4" x14ac:dyDescent="0.3"/>
    <row r="14453" ht="14.4" x14ac:dyDescent="0.3"/>
    <row r="14454" ht="14.4" x14ac:dyDescent="0.3"/>
    <row r="14455" ht="14.4" x14ac:dyDescent="0.3"/>
    <row r="14456" ht="14.4" x14ac:dyDescent="0.3"/>
    <row r="14457" ht="14.4" x14ac:dyDescent="0.3"/>
    <row r="14458" ht="14.4" x14ac:dyDescent="0.3"/>
    <row r="14459" ht="14.4" x14ac:dyDescent="0.3"/>
    <row r="14460" ht="14.4" x14ac:dyDescent="0.3"/>
    <row r="14461" ht="14.4" x14ac:dyDescent="0.3"/>
    <row r="14462" ht="14.4" x14ac:dyDescent="0.3"/>
    <row r="14463" ht="14.4" x14ac:dyDescent="0.3"/>
    <row r="14464" ht="14.4" x14ac:dyDescent="0.3"/>
    <row r="14465" ht="14.4" x14ac:dyDescent="0.3"/>
    <row r="14466" ht="14.4" x14ac:dyDescent="0.3"/>
    <row r="14467" ht="14.4" x14ac:dyDescent="0.3"/>
    <row r="14468" ht="14.4" x14ac:dyDescent="0.3"/>
    <row r="14469" ht="14.4" x14ac:dyDescent="0.3"/>
    <row r="14470" ht="14.4" x14ac:dyDescent="0.3"/>
    <row r="14471" ht="14.4" x14ac:dyDescent="0.3"/>
    <row r="14472" ht="14.4" x14ac:dyDescent="0.3"/>
    <row r="14473" ht="14.4" x14ac:dyDescent="0.3"/>
    <row r="14474" ht="14.4" x14ac:dyDescent="0.3"/>
    <row r="14475" ht="14.4" x14ac:dyDescent="0.3"/>
    <row r="14476" ht="14.4" x14ac:dyDescent="0.3"/>
    <row r="14477" ht="14.4" x14ac:dyDescent="0.3"/>
    <row r="14478" ht="14.4" x14ac:dyDescent="0.3"/>
    <row r="14479" ht="14.4" x14ac:dyDescent="0.3"/>
    <row r="14480" ht="14.4" x14ac:dyDescent="0.3"/>
    <row r="14481" ht="14.4" x14ac:dyDescent="0.3"/>
    <row r="14482" ht="14.4" x14ac:dyDescent="0.3"/>
    <row r="14483" ht="14.4" x14ac:dyDescent="0.3"/>
    <row r="14484" ht="14.4" x14ac:dyDescent="0.3"/>
    <row r="14485" ht="14.4" x14ac:dyDescent="0.3"/>
    <row r="14486" ht="14.4" x14ac:dyDescent="0.3"/>
    <row r="14487" ht="14.4" x14ac:dyDescent="0.3"/>
    <row r="14488" ht="14.4" x14ac:dyDescent="0.3"/>
    <row r="14489" ht="14.4" x14ac:dyDescent="0.3"/>
    <row r="14490" ht="14.4" x14ac:dyDescent="0.3"/>
    <row r="14491" ht="14.4" x14ac:dyDescent="0.3"/>
    <row r="14492" ht="14.4" x14ac:dyDescent="0.3"/>
    <row r="14493" ht="14.4" x14ac:dyDescent="0.3"/>
    <row r="14494" ht="14.4" x14ac:dyDescent="0.3"/>
    <row r="14495" ht="14.4" x14ac:dyDescent="0.3"/>
    <row r="14496" ht="14.4" x14ac:dyDescent="0.3"/>
    <row r="14497" ht="14.4" x14ac:dyDescent="0.3"/>
    <row r="14498" ht="14.4" x14ac:dyDescent="0.3"/>
    <row r="14499" ht="14.4" x14ac:dyDescent="0.3"/>
    <row r="14500" ht="14.4" x14ac:dyDescent="0.3"/>
    <row r="14501" ht="14.4" x14ac:dyDescent="0.3"/>
    <row r="14502" ht="14.4" x14ac:dyDescent="0.3"/>
    <row r="14503" ht="14.4" x14ac:dyDescent="0.3"/>
    <row r="14504" ht="14.4" x14ac:dyDescent="0.3"/>
    <row r="14505" ht="14.4" x14ac:dyDescent="0.3"/>
    <row r="14506" ht="14.4" x14ac:dyDescent="0.3"/>
    <row r="14507" ht="14.4" x14ac:dyDescent="0.3"/>
    <row r="14508" ht="14.4" x14ac:dyDescent="0.3"/>
    <row r="14509" ht="14.4" x14ac:dyDescent="0.3"/>
    <row r="14510" ht="14.4" x14ac:dyDescent="0.3"/>
    <row r="14511" ht="14.4" x14ac:dyDescent="0.3"/>
    <row r="14512" ht="14.4" x14ac:dyDescent="0.3"/>
    <row r="14513" ht="14.4" x14ac:dyDescent="0.3"/>
    <row r="14514" ht="14.4" x14ac:dyDescent="0.3"/>
    <row r="14515" ht="14.4" x14ac:dyDescent="0.3"/>
    <row r="14516" ht="14.4" x14ac:dyDescent="0.3"/>
    <row r="14517" ht="14.4" x14ac:dyDescent="0.3"/>
    <row r="14518" ht="14.4" x14ac:dyDescent="0.3"/>
    <row r="14519" ht="14.4" x14ac:dyDescent="0.3"/>
    <row r="14520" ht="14.4" x14ac:dyDescent="0.3"/>
    <row r="14521" ht="14.4" x14ac:dyDescent="0.3"/>
    <row r="14522" ht="14.4" x14ac:dyDescent="0.3"/>
    <row r="14523" ht="14.4" x14ac:dyDescent="0.3"/>
    <row r="14524" ht="14.4" x14ac:dyDescent="0.3"/>
    <row r="14525" ht="14.4" x14ac:dyDescent="0.3"/>
    <row r="14526" ht="14.4" x14ac:dyDescent="0.3"/>
    <row r="14527" ht="14.4" x14ac:dyDescent="0.3"/>
    <row r="14528" ht="14.4" x14ac:dyDescent="0.3"/>
    <row r="14529" ht="14.4" x14ac:dyDescent="0.3"/>
    <row r="14530" ht="14.4" x14ac:dyDescent="0.3"/>
    <row r="14531" ht="14.4" x14ac:dyDescent="0.3"/>
    <row r="14532" ht="14.4" x14ac:dyDescent="0.3"/>
    <row r="14533" ht="14.4" x14ac:dyDescent="0.3"/>
    <row r="14534" ht="14.4" x14ac:dyDescent="0.3"/>
    <row r="14535" ht="14.4" x14ac:dyDescent="0.3"/>
    <row r="14536" ht="14.4" x14ac:dyDescent="0.3"/>
    <row r="14537" ht="14.4" x14ac:dyDescent="0.3"/>
    <row r="14538" ht="14.4" x14ac:dyDescent="0.3"/>
    <row r="14539" ht="14.4" x14ac:dyDescent="0.3"/>
    <row r="14540" ht="14.4" x14ac:dyDescent="0.3"/>
    <row r="14541" ht="14.4" x14ac:dyDescent="0.3"/>
    <row r="14542" ht="14.4" x14ac:dyDescent="0.3"/>
    <row r="14543" ht="14.4" x14ac:dyDescent="0.3"/>
    <row r="14544" ht="14.4" x14ac:dyDescent="0.3"/>
    <row r="14545" ht="14.4" x14ac:dyDescent="0.3"/>
    <row r="14546" ht="14.4" x14ac:dyDescent="0.3"/>
    <row r="14547" ht="14.4" x14ac:dyDescent="0.3"/>
    <row r="14548" ht="14.4" x14ac:dyDescent="0.3"/>
    <row r="14549" ht="14.4" x14ac:dyDescent="0.3"/>
    <row r="14550" ht="14.4" x14ac:dyDescent="0.3"/>
    <row r="14551" ht="14.4" x14ac:dyDescent="0.3"/>
    <row r="14552" ht="14.4" x14ac:dyDescent="0.3"/>
    <row r="14553" ht="14.4" x14ac:dyDescent="0.3"/>
    <row r="14554" ht="14.4" x14ac:dyDescent="0.3"/>
    <row r="14555" ht="14.4" x14ac:dyDescent="0.3"/>
    <row r="14556" ht="14.4" x14ac:dyDescent="0.3"/>
    <row r="14557" ht="14.4" x14ac:dyDescent="0.3"/>
    <row r="14558" ht="14.4" x14ac:dyDescent="0.3"/>
    <row r="14559" ht="14.4" x14ac:dyDescent="0.3"/>
    <row r="14560" ht="14.4" x14ac:dyDescent="0.3"/>
    <row r="14561" ht="14.4" x14ac:dyDescent="0.3"/>
    <row r="14562" ht="14.4" x14ac:dyDescent="0.3"/>
    <row r="14563" ht="14.4" x14ac:dyDescent="0.3"/>
    <row r="14564" ht="14.4" x14ac:dyDescent="0.3"/>
    <row r="14565" ht="14.4" x14ac:dyDescent="0.3"/>
    <row r="14566" ht="14.4" x14ac:dyDescent="0.3"/>
    <row r="14567" ht="14.4" x14ac:dyDescent="0.3"/>
    <row r="14568" ht="14.4" x14ac:dyDescent="0.3"/>
    <row r="14569" ht="14.4" x14ac:dyDescent="0.3"/>
    <row r="14570" ht="14.4" x14ac:dyDescent="0.3"/>
    <row r="14571" ht="14.4" x14ac:dyDescent="0.3"/>
    <row r="14572" ht="14.4" x14ac:dyDescent="0.3"/>
    <row r="14573" ht="14.4" x14ac:dyDescent="0.3"/>
    <row r="14574" ht="14.4" x14ac:dyDescent="0.3"/>
    <row r="14575" ht="14.4" x14ac:dyDescent="0.3"/>
    <row r="14576" ht="14.4" x14ac:dyDescent="0.3"/>
    <row r="14577" ht="14.4" x14ac:dyDescent="0.3"/>
    <row r="14578" ht="14.4" x14ac:dyDescent="0.3"/>
    <row r="14579" ht="14.4" x14ac:dyDescent="0.3"/>
    <row r="14580" ht="14.4" x14ac:dyDescent="0.3"/>
    <row r="14581" ht="14.4" x14ac:dyDescent="0.3"/>
    <row r="14582" ht="14.4" x14ac:dyDescent="0.3"/>
    <row r="14583" ht="14.4" x14ac:dyDescent="0.3"/>
    <row r="14584" ht="14.4" x14ac:dyDescent="0.3"/>
    <row r="14585" ht="14.4" x14ac:dyDescent="0.3"/>
    <row r="14586" ht="14.4" x14ac:dyDescent="0.3"/>
    <row r="14587" ht="14.4" x14ac:dyDescent="0.3"/>
    <row r="14588" ht="14.4" x14ac:dyDescent="0.3"/>
    <row r="14589" ht="14.4" x14ac:dyDescent="0.3"/>
    <row r="14590" ht="14.4" x14ac:dyDescent="0.3"/>
    <row r="14591" ht="14.4" x14ac:dyDescent="0.3"/>
    <row r="14592" ht="14.4" x14ac:dyDescent="0.3"/>
    <row r="14593" ht="14.4" x14ac:dyDescent="0.3"/>
    <row r="14594" ht="14.4" x14ac:dyDescent="0.3"/>
    <row r="14595" ht="14.4" x14ac:dyDescent="0.3"/>
    <row r="14596" ht="14.4" x14ac:dyDescent="0.3"/>
    <row r="14597" ht="14.4" x14ac:dyDescent="0.3"/>
    <row r="14598" ht="14.4" x14ac:dyDescent="0.3"/>
    <row r="14599" ht="14.4" x14ac:dyDescent="0.3"/>
    <row r="14600" ht="14.4" x14ac:dyDescent="0.3"/>
    <row r="14601" ht="14.4" x14ac:dyDescent="0.3"/>
    <row r="14602" ht="14.4" x14ac:dyDescent="0.3"/>
    <row r="14603" ht="14.4" x14ac:dyDescent="0.3"/>
    <row r="14604" ht="14.4" x14ac:dyDescent="0.3"/>
    <row r="14605" ht="14.4" x14ac:dyDescent="0.3"/>
    <row r="14606" ht="14.4" x14ac:dyDescent="0.3"/>
    <row r="14607" ht="14.4" x14ac:dyDescent="0.3"/>
    <row r="14608" ht="14.4" x14ac:dyDescent="0.3"/>
    <row r="14609" ht="14.4" x14ac:dyDescent="0.3"/>
    <row r="14610" ht="14.4" x14ac:dyDescent="0.3"/>
    <row r="14611" ht="14.4" x14ac:dyDescent="0.3"/>
    <row r="14612" ht="14.4" x14ac:dyDescent="0.3"/>
    <row r="14613" ht="14.4" x14ac:dyDescent="0.3"/>
    <row r="14614" ht="14.4" x14ac:dyDescent="0.3"/>
    <row r="14615" ht="14.4" x14ac:dyDescent="0.3"/>
    <row r="14616" ht="14.4" x14ac:dyDescent="0.3"/>
    <row r="14617" ht="14.4" x14ac:dyDescent="0.3"/>
    <row r="14618" ht="14.4" x14ac:dyDescent="0.3"/>
    <row r="14619" ht="14.4" x14ac:dyDescent="0.3"/>
    <row r="14620" ht="14.4" x14ac:dyDescent="0.3"/>
    <row r="14621" ht="14.4" x14ac:dyDescent="0.3"/>
    <row r="14622" ht="14.4" x14ac:dyDescent="0.3"/>
    <row r="14623" ht="14.4" x14ac:dyDescent="0.3"/>
    <row r="14624" ht="14.4" x14ac:dyDescent="0.3"/>
    <row r="14625" ht="14.4" x14ac:dyDescent="0.3"/>
    <row r="14626" ht="14.4" x14ac:dyDescent="0.3"/>
    <row r="14627" ht="14.4" x14ac:dyDescent="0.3"/>
    <row r="14628" ht="14.4" x14ac:dyDescent="0.3"/>
    <row r="14629" ht="14.4" x14ac:dyDescent="0.3"/>
    <row r="14630" ht="14.4" x14ac:dyDescent="0.3"/>
    <row r="14631" ht="14.4" x14ac:dyDescent="0.3"/>
    <row r="14632" ht="14.4" x14ac:dyDescent="0.3"/>
    <row r="14633" ht="14.4" x14ac:dyDescent="0.3"/>
    <row r="14634" ht="14.4" x14ac:dyDescent="0.3"/>
    <row r="14635" ht="14.4" x14ac:dyDescent="0.3"/>
    <row r="14636" ht="14.4" x14ac:dyDescent="0.3"/>
    <row r="14637" ht="14.4" x14ac:dyDescent="0.3"/>
    <row r="14638" ht="14.4" x14ac:dyDescent="0.3"/>
    <row r="14639" ht="14.4" x14ac:dyDescent="0.3"/>
    <row r="14640" ht="14.4" x14ac:dyDescent="0.3"/>
    <row r="14641" ht="14.4" x14ac:dyDescent="0.3"/>
    <row r="14642" ht="14.4" x14ac:dyDescent="0.3"/>
    <row r="14643" ht="14.4" x14ac:dyDescent="0.3"/>
    <row r="14644" ht="14.4" x14ac:dyDescent="0.3"/>
    <row r="14645" ht="14.4" x14ac:dyDescent="0.3"/>
    <row r="14646" ht="14.4" x14ac:dyDescent="0.3"/>
    <row r="14647" ht="14.4" x14ac:dyDescent="0.3"/>
    <row r="14648" ht="14.4" x14ac:dyDescent="0.3"/>
    <row r="14649" ht="14.4" x14ac:dyDescent="0.3"/>
    <row r="14650" ht="14.4" x14ac:dyDescent="0.3"/>
    <row r="14651" ht="14.4" x14ac:dyDescent="0.3"/>
    <row r="14652" ht="14.4" x14ac:dyDescent="0.3"/>
    <row r="14653" ht="14.4" x14ac:dyDescent="0.3"/>
    <row r="14654" ht="14.4" x14ac:dyDescent="0.3"/>
    <row r="14655" ht="14.4" x14ac:dyDescent="0.3"/>
    <row r="14656" ht="14.4" x14ac:dyDescent="0.3"/>
    <row r="14657" ht="14.4" x14ac:dyDescent="0.3"/>
    <row r="14658" ht="14.4" x14ac:dyDescent="0.3"/>
    <row r="14659" ht="14.4" x14ac:dyDescent="0.3"/>
    <row r="14660" ht="14.4" x14ac:dyDescent="0.3"/>
    <row r="14661" ht="14.4" x14ac:dyDescent="0.3"/>
    <row r="14662" ht="14.4" x14ac:dyDescent="0.3"/>
    <row r="14663" ht="14.4" x14ac:dyDescent="0.3"/>
    <row r="14664" ht="14.4" x14ac:dyDescent="0.3"/>
    <row r="14665" ht="14.4" x14ac:dyDescent="0.3"/>
    <row r="14666" ht="14.4" x14ac:dyDescent="0.3"/>
    <row r="14667" ht="14.4" x14ac:dyDescent="0.3"/>
    <row r="14668" ht="14.4" x14ac:dyDescent="0.3"/>
    <row r="14669" ht="14.4" x14ac:dyDescent="0.3"/>
    <row r="14670" ht="14.4" x14ac:dyDescent="0.3"/>
    <row r="14671" ht="14.4" x14ac:dyDescent="0.3"/>
    <row r="14672" ht="14.4" x14ac:dyDescent="0.3"/>
    <row r="14673" ht="14.4" x14ac:dyDescent="0.3"/>
    <row r="14674" ht="14.4" x14ac:dyDescent="0.3"/>
    <row r="14675" ht="14.4" x14ac:dyDescent="0.3"/>
    <row r="14676" ht="14.4" x14ac:dyDescent="0.3"/>
    <row r="14677" ht="14.4" x14ac:dyDescent="0.3"/>
    <row r="14678" ht="14.4" x14ac:dyDescent="0.3"/>
    <row r="14679" ht="14.4" x14ac:dyDescent="0.3"/>
    <row r="14680" ht="14.4" x14ac:dyDescent="0.3"/>
    <row r="14681" ht="14.4" x14ac:dyDescent="0.3"/>
    <row r="14682" ht="14.4" x14ac:dyDescent="0.3"/>
    <row r="14683" ht="14.4" x14ac:dyDescent="0.3"/>
    <row r="14684" ht="14.4" x14ac:dyDescent="0.3"/>
    <row r="14685" ht="14.4" x14ac:dyDescent="0.3"/>
    <row r="14686" ht="14.4" x14ac:dyDescent="0.3"/>
    <row r="14687" ht="14.4" x14ac:dyDescent="0.3"/>
    <row r="14688" ht="14.4" x14ac:dyDescent="0.3"/>
    <row r="14689" ht="14.4" x14ac:dyDescent="0.3"/>
    <row r="14690" ht="14.4" x14ac:dyDescent="0.3"/>
    <row r="14691" ht="14.4" x14ac:dyDescent="0.3"/>
    <row r="14692" ht="14.4" x14ac:dyDescent="0.3"/>
    <row r="14693" ht="14.4" x14ac:dyDescent="0.3"/>
    <row r="14694" ht="14.4" x14ac:dyDescent="0.3"/>
    <row r="14695" ht="14.4" x14ac:dyDescent="0.3"/>
    <row r="14696" ht="14.4" x14ac:dyDescent="0.3"/>
    <row r="14697" ht="14.4" x14ac:dyDescent="0.3"/>
    <row r="14698" ht="14.4" x14ac:dyDescent="0.3"/>
    <row r="14699" ht="14.4" x14ac:dyDescent="0.3"/>
    <row r="14700" ht="14.4" x14ac:dyDescent="0.3"/>
    <row r="14701" ht="14.4" x14ac:dyDescent="0.3"/>
    <row r="14702" ht="14.4" x14ac:dyDescent="0.3"/>
    <row r="14703" ht="14.4" x14ac:dyDescent="0.3"/>
    <row r="14704" ht="14.4" x14ac:dyDescent="0.3"/>
    <row r="14705" ht="14.4" x14ac:dyDescent="0.3"/>
    <row r="14706" ht="14.4" x14ac:dyDescent="0.3"/>
    <row r="14707" ht="14.4" x14ac:dyDescent="0.3"/>
    <row r="14708" ht="14.4" x14ac:dyDescent="0.3"/>
    <row r="14709" ht="14.4" x14ac:dyDescent="0.3"/>
    <row r="14710" ht="14.4" x14ac:dyDescent="0.3"/>
    <row r="14711" ht="14.4" x14ac:dyDescent="0.3"/>
    <row r="14712" ht="14.4" x14ac:dyDescent="0.3"/>
    <row r="14713" ht="14.4" x14ac:dyDescent="0.3"/>
    <row r="14714" ht="14.4" x14ac:dyDescent="0.3"/>
    <row r="14715" ht="14.4" x14ac:dyDescent="0.3"/>
    <row r="14716" ht="14.4" x14ac:dyDescent="0.3"/>
    <row r="14717" ht="14.4" x14ac:dyDescent="0.3"/>
    <row r="14718" ht="14.4" x14ac:dyDescent="0.3"/>
    <row r="14719" ht="14.4" x14ac:dyDescent="0.3"/>
    <row r="14720" ht="14.4" x14ac:dyDescent="0.3"/>
    <row r="14721" ht="14.4" x14ac:dyDescent="0.3"/>
    <row r="14722" ht="14.4" x14ac:dyDescent="0.3"/>
    <row r="14723" ht="14.4" x14ac:dyDescent="0.3"/>
    <row r="14724" ht="14.4" x14ac:dyDescent="0.3"/>
    <row r="14725" ht="14.4" x14ac:dyDescent="0.3"/>
    <row r="14726" ht="14.4" x14ac:dyDescent="0.3"/>
    <row r="14727" ht="14.4" x14ac:dyDescent="0.3"/>
    <row r="14728" ht="14.4" x14ac:dyDescent="0.3"/>
    <row r="14729" ht="14.4" x14ac:dyDescent="0.3"/>
    <row r="14730" ht="14.4" x14ac:dyDescent="0.3"/>
    <row r="14731" ht="14.4" x14ac:dyDescent="0.3"/>
    <row r="14732" ht="14.4" x14ac:dyDescent="0.3"/>
    <row r="14733" ht="14.4" x14ac:dyDescent="0.3"/>
    <row r="14734" ht="14.4" x14ac:dyDescent="0.3"/>
    <row r="14735" ht="14.4" x14ac:dyDescent="0.3"/>
    <row r="14736" ht="14.4" x14ac:dyDescent="0.3"/>
    <row r="14737" ht="14.4" x14ac:dyDescent="0.3"/>
    <row r="14738" ht="14.4" x14ac:dyDescent="0.3"/>
    <row r="14739" ht="14.4" x14ac:dyDescent="0.3"/>
    <row r="14740" ht="14.4" x14ac:dyDescent="0.3"/>
    <row r="14741" ht="14.4" x14ac:dyDescent="0.3"/>
    <row r="14742" ht="14.4" x14ac:dyDescent="0.3"/>
    <row r="14743" ht="14.4" x14ac:dyDescent="0.3"/>
    <row r="14744" ht="14.4" x14ac:dyDescent="0.3"/>
    <row r="14745" ht="14.4" x14ac:dyDescent="0.3"/>
    <row r="14746" ht="14.4" x14ac:dyDescent="0.3"/>
    <row r="14747" ht="14.4" x14ac:dyDescent="0.3"/>
    <row r="14748" ht="14.4" x14ac:dyDescent="0.3"/>
    <row r="14749" ht="14.4" x14ac:dyDescent="0.3"/>
    <row r="14750" ht="14.4" x14ac:dyDescent="0.3"/>
    <row r="14751" ht="14.4" x14ac:dyDescent="0.3"/>
    <row r="14752" ht="14.4" x14ac:dyDescent="0.3"/>
    <row r="14753" ht="14.4" x14ac:dyDescent="0.3"/>
    <row r="14754" ht="14.4" x14ac:dyDescent="0.3"/>
    <row r="14755" ht="14.4" x14ac:dyDescent="0.3"/>
    <row r="14756" ht="14.4" x14ac:dyDescent="0.3"/>
    <row r="14757" ht="14.4" x14ac:dyDescent="0.3"/>
    <row r="14758" ht="14.4" x14ac:dyDescent="0.3"/>
    <row r="14759" ht="14.4" x14ac:dyDescent="0.3"/>
    <row r="14760" ht="14.4" x14ac:dyDescent="0.3"/>
    <row r="14761" ht="14.4" x14ac:dyDescent="0.3"/>
    <row r="14762" ht="14.4" x14ac:dyDescent="0.3"/>
    <row r="14763" ht="14.4" x14ac:dyDescent="0.3"/>
    <row r="14764" ht="14.4" x14ac:dyDescent="0.3"/>
    <row r="14765" ht="14.4" x14ac:dyDescent="0.3"/>
    <row r="14766" ht="14.4" x14ac:dyDescent="0.3"/>
    <row r="14767" ht="14.4" x14ac:dyDescent="0.3"/>
    <row r="14768" ht="14.4" x14ac:dyDescent="0.3"/>
    <row r="14769" ht="14.4" x14ac:dyDescent="0.3"/>
    <row r="14770" ht="14.4" x14ac:dyDescent="0.3"/>
    <row r="14771" ht="14.4" x14ac:dyDescent="0.3"/>
    <row r="14772" ht="14.4" x14ac:dyDescent="0.3"/>
    <row r="14773" ht="14.4" x14ac:dyDescent="0.3"/>
    <row r="14774" ht="14.4" x14ac:dyDescent="0.3"/>
    <row r="14775" ht="14.4" x14ac:dyDescent="0.3"/>
    <row r="14776" ht="14.4" x14ac:dyDescent="0.3"/>
    <row r="14777" ht="14.4" x14ac:dyDescent="0.3"/>
    <row r="14778" ht="14.4" x14ac:dyDescent="0.3"/>
    <row r="14779" ht="14.4" x14ac:dyDescent="0.3"/>
    <row r="14780" ht="14.4" x14ac:dyDescent="0.3"/>
    <row r="14781" ht="14.4" x14ac:dyDescent="0.3"/>
    <row r="14782" ht="14.4" x14ac:dyDescent="0.3"/>
    <row r="14783" ht="14.4" x14ac:dyDescent="0.3"/>
    <row r="14784" ht="14.4" x14ac:dyDescent="0.3"/>
    <row r="14785" ht="14.4" x14ac:dyDescent="0.3"/>
    <row r="14786" ht="14.4" x14ac:dyDescent="0.3"/>
    <row r="14787" ht="14.4" x14ac:dyDescent="0.3"/>
    <row r="14788" ht="14.4" x14ac:dyDescent="0.3"/>
    <row r="14789" ht="14.4" x14ac:dyDescent="0.3"/>
    <row r="14790" ht="14.4" x14ac:dyDescent="0.3"/>
    <row r="14791" ht="14.4" x14ac:dyDescent="0.3"/>
    <row r="14792" ht="14.4" x14ac:dyDescent="0.3"/>
    <row r="14793" ht="14.4" x14ac:dyDescent="0.3"/>
    <row r="14794" ht="14.4" x14ac:dyDescent="0.3"/>
    <row r="14795" ht="14.4" x14ac:dyDescent="0.3"/>
    <row r="14796" ht="14.4" x14ac:dyDescent="0.3"/>
    <row r="14797" ht="14.4" x14ac:dyDescent="0.3"/>
    <row r="14798" ht="14.4" x14ac:dyDescent="0.3"/>
    <row r="14799" ht="14.4" x14ac:dyDescent="0.3"/>
    <row r="14800" ht="14.4" x14ac:dyDescent="0.3"/>
    <row r="14801" ht="14.4" x14ac:dyDescent="0.3"/>
    <row r="14802" ht="14.4" x14ac:dyDescent="0.3"/>
    <row r="14803" ht="14.4" x14ac:dyDescent="0.3"/>
    <row r="14804" ht="14.4" x14ac:dyDescent="0.3"/>
    <row r="14805" ht="14.4" x14ac:dyDescent="0.3"/>
    <row r="14806" ht="14.4" x14ac:dyDescent="0.3"/>
    <row r="14807" ht="14.4" x14ac:dyDescent="0.3"/>
    <row r="14808" ht="14.4" x14ac:dyDescent="0.3"/>
    <row r="14809" ht="14.4" x14ac:dyDescent="0.3"/>
    <row r="14810" ht="14.4" x14ac:dyDescent="0.3"/>
    <row r="14811" ht="14.4" x14ac:dyDescent="0.3"/>
    <row r="14812" ht="14.4" x14ac:dyDescent="0.3"/>
    <row r="14813" ht="14.4" x14ac:dyDescent="0.3"/>
    <row r="14814" ht="14.4" x14ac:dyDescent="0.3"/>
    <row r="14815" ht="14.4" x14ac:dyDescent="0.3"/>
    <row r="14816" ht="14.4" x14ac:dyDescent="0.3"/>
    <row r="14817" spans="1:43" ht="14.4" x14ac:dyDescent="0.3"/>
    <row r="14818" spans="1:43" ht="14.4" x14ac:dyDescent="0.3"/>
    <row r="14819" spans="1:43" ht="14.4" x14ac:dyDescent="0.3"/>
    <row r="14820" spans="1:43" ht="14.4" x14ac:dyDescent="0.3"/>
    <row r="14821" spans="1:43" ht="14.4" x14ac:dyDescent="0.3"/>
    <row r="14822" spans="1:43" ht="14.4" x14ac:dyDescent="0.3"/>
    <row r="14823" spans="1:43" ht="14.4" x14ac:dyDescent="0.3"/>
    <row r="14824" spans="1:43" ht="14.4" x14ac:dyDescent="0.3"/>
    <row r="14825" spans="1:43" ht="14.4" x14ac:dyDescent="0.3"/>
    <row r="14826" spans="1:43" ht="14.4" x14ac:dyDescent="0.3"/>
    <row r="14827" spans="1:43" ht="14.4" x14ac:dyDescent="0.3"/>
    <row r="14828" spans="1:43" ht="14.4" x14ac:dyDescent="0.3"/>
    <row r="14829" spans="1:43" ht="14.4" hidden="1" x14ac:dyDescent="0.3">
      <c r="A14829" t="s">
        <v>1966</v>
      </c>
      <c r="B14829">
        <v>4897437</v>
      </c>
      <c r="C14829" t="s">
        <v>1045</v>
      </c>
      <c r="D14829" t="s">
        <v>1062</v>
      </c>
      <c r="E14829" t="s">
        <v>1223</v>
      </c>
      <c r="F14829" t="s">
        <v>1967</v>
      </c>
      <c r="H14829" t="s">
        <v>296</v>
      </c>
      <c r="J14829" t="s">
        <v>140</v>
      </c>
      <c r="K14829">
        <v>160713.54</v>
      </c>
      <c r="L14829">
        <v>382600.71</v>
      </c>
      <c r="N14829" t="s">
        <v>814</v>
      </c>
      <c r="O14829" t="s">
        <v>568</v>
      </c>
      <c r="P14829" t="s">
        <v>1014</v>
      </c>
      <c r="S14829">
        <v>10.4</v>
      </c>
      <c r="T14829">
        <v>1600</v>
      </c>
      <c r="V14829" t="s">
        <v>146</v>
      </c>
      <c r="W14829" t="s">
        <v>147</v>
      </c>
      <c r="Y14829" t="s">
        <v>815</v>
      </c>
      <c r="Z14829" t="s">
        <v>568</v>
      </c>
      <c r="AA14829" t="s">
        <v>1968</v>
      </c>
      <c r="AB14829">
        <v>0</v>
      </c>
      <c r="AE14829" t="s">
        <v>1407</v>
      </c>
      <c r="AF14829" t="s">
        <v>568</v>
      </c>
      <c r="AG14829" t="s">
        <v>1969</v>
      </c>
      <c r="AL14829" t="s">
        <v>1970</v>
      </c>
      <c r="AM14829" t="s">
        <v>1971</v>
      </c>
      <c r="AN14829" t="s">
        <v>1972</v>
      </c>
      <c r="AO14829" t="s">
        <v>814</v>
      </c>
      <c r="AQ14829" t="str">
        <f>IF(ISBLANK(AP14829), IFERROR(IF(VLOOKUP(AO14829, Ellens_additions!$A$2:$B$252, 2, FALSE) = "", "", VLOOKUP(AO14829, Ellens_additions!$A$2:$B$252, 2, FALSE)), 0), AP14829)</f>
        <v/>
      </c>
    </row>
    <row r="14830" spans="1:43" ht="14.4" hidden="1" x14ac:dyDescent="0.3">
      <c r="A14830" t="s">
        <v>1973</v>
      </c>
      <c r="B14830">
        <v>4897441</v>
      </c>
      <c r="C14830" t="s">
        <v>1045</v>
      </c>
      <c r="D14830" t="s">
        <v>1062</v>
      </c>
      <c r="E14830" t="s">
        <v>1223</v>
      </c>
      <c r="F14830" t="s">
        <v>1967</v>
      </c>
      <c r="H14830" t="s">
        <v>251</v>
      </c>
      <c r="J14830" t="s">
        <v>140</v>
      </c>
      <c r="K14830">
        <v>160646.04999999999</v>
      </c>
      <c r="L14830">
        <v>382665.52</v>
      </c>
      <c r="N14830" t="s">
        <v>814</v>
      </c>
      <c r="O14830" t="s">
        <v>568</v>
      </c>
      <c r="P14830" t="s">
        <v>1014</v>
      </c>
      <c r="S14830">
        <v>10.4</v>
      </c>
      <c r="T14830">
        <v>1600</v>
      </c>
      <c r="V14830" t="s">
        <v>146</v>
      </c>
      <c r="W14830" t="s">
        <v>147</v>
      </c>
      <c r="Y14830" t="s">
        <v>815</v>
      </c>
      <c r="Z14830" t="s">
        <v>568</v>
      </c>
      <c r="AA14830" t="s">
        <v>1968</v>
      </c>
      <c r="AB14830">
        <v>0</v>
      </c>
      <c r="AE14830" t="s">
        <v>1407</v>
      </c>
      <c r="AF14830" t="s">
        <v>568</v>
      </c>
      <c r="AG14830" t="s">
        <v>1969</v>
      </c>
      <c r="AL14830" t="s">
        <v>1974</v>
      </c>
      <c r="AM14830" t="s">
        <v>1975</v>
      </c>
      <c r="AN14830" t="s">
        <v>1976</v>
      </c>
      <c r="AO14830" t="s">
        <v>814</v>
      </c>
      <c r="AQ14830" t="str">
        <f>IF(ISBLANK(AP14830), IFERROR(IF(VLOOKUP(AO14830, Ellens_additions!$A$2:$B$252, 2, FALSE) = "", "", VLOOKUP(AO14830, Ellens_additions!$A$2:$B$252, 2, FALSE)), 0), AP14830)</f>
        <v/>
      </c>
    </row>
    <row r="14831" spans="1:43" ht="14.4" hidden="1" x14ac:dyDescent="0.3">
      <c r="A14831" t="s">
        <v>1977</v>
      </c>
      <c r="B14831">
        <v>4897442</v>
      </c>
      <c r="C14831" t="s">
        <v>1045</v>
      </c>
      <c r="D14831" t="s">
        <v>1062</v>
      </c>
      <c r="E14831" t="s">
        <v>1223</v>
      </c>
      <c r="F14831" t="s">
        <v>1967</v>
      </c>
      <c r="H14831" t="s">
        <v>303</v>
      </c>
      <c r="J14831" t="s">
        <v>140</v>
      </c>
      <c r="K14831">
        <v>160625.89000000001</v>
      </c>
      <c r="L14831">
        <v>382673.66</v>
      </c>
      <c r="N14831" t="s">
        <v>814</v>
      </c>
      <c r="O14831" t="s">
        <v>568</v>
      </c>
      <c r="P14831" t="s">
        <v>1014</v>
      </c>
      <c r="S14831">
        <v>10.4</v>
      </c>
      <c r="T14831">
        <v>1600</v>
      </c>
      <c r="V14831" t="s">
        <v>146</v>
      </c>
      <c r="W14831" t="s">
        <v>147</v>
      </c>
      <c r="Y14831" t="s">
        <v>815</v>
      </c>
      <c r="Z14831" t="s">
        <v>568</v>
      </c>
      <c r="AA14831" t="s">
        <v>1968</v>
      </c>
      <c r="AB14831">
        <v>0</v>
      </c>
      <c r="AE14831" t="s">
        <v>1407</v>
      </c>
      <c r="AF14831" t="s">
        <v>568</v>
      </c>
      <c r="AG14831" t="s">
        <v>1969</v>
      </c>
      <c r="AL14831" t="s">
        <v>1978</v>
      </c>
      <c r="AM14831" t="s">
        <v>1979</v>
      </c>
      <c r="AN14831" t="s">
        <v>1980</v>
      </c>
      <c r="AO14831" t="s">
        <v>814</v>
      </c>
      <c r="AQ14831" t="str">
        <f>IF(ISBLANK(AP14831), IFERROR(IF(VLOOKUP(AO14831, Ellens_additions!$A$2:$B$252, 2, FALSE) = "", "", VLOOKUP(AO14831, Ellens_additions!$A$2:$B$252, 2, FALSE)), 0), AP14831)</f>
        <v/>
      </c>
    </row>
    <row r="14832" spans="1:43" ht="14.4" x14ac:dyDescent="0.3"/>
    <row r="14833" ht="14.4" x14ac:dyDescent="0.3"/>
    <row r="14834" ht="14.4" x14ac:dyDescent="0.3"/>
    <row r="14835" ht="14.4" x14ac:dyDescent="0.3"/>
    <row r="14836" ht="14.4" x14ac:dyDescent="0.3"/>
    <row r="14837" ht="14.4" x14ac:dyDescent="0.3"/>
    <row r="14838" ht="14.4" x14ac:dyDescent="0.3"/>
    <row r="14839" ht="14.4" x14ac:dyDescent="0.3"/>
    <row r="14840" ht="14.4" x14ac:dyDescent="0.3"/>
    <row r="14841" ht="14.4" x14ac:dyDescent="0.3"/>
    <row r="14842" ht="14.4" x14ac:dyDescent="0.3"/>
    <row r="14843" ht="14.4" x14ac:dyDescent="0.3"/>
    <row r="14844" ht="14.4" x14ac:dyDescent="0.3"/>
    <row r="14845" ht="14.4" x14ac:dyDescent="0.3"/>
    <row r="14846" ht="14.4" x14ac:dyDescent="0.3"/>
    <row r="14847" ht="14.4" x14ac:dyDescent="0.3"/>
    <row r="14848" ht="14.4" x14ac:dyDescent="0.3"/>
    <row r="14849" spans="1:43" ht="14.4" x14ac:dyDescent="0.3"/>
    <row r="14850" spans="1:43" ht="14.4" x14ac:dyDescent="0.3"/>
    <row r="14851" spans="1:43" ht="14.4" hidden="1" x14ac:dyDescent="0.3">
      <c r="A14851" t="s">
        <v>1981</v>
      </c>
      <c r="B14851">
        <v>4897498</v>
      </c>
      <c r="C14851" t="s">
        <v>1045</v>
      </c>
      <c r="D14851" t="s">
        <v>1062</v>
      </c>
      <c r="E14851" t="s">
        <v>1063</v>
      </c>
      <c r="F14851" t="s">
        <v>1884</v>
      </c>
      <c r="H14851" t="s">
        <v>1982</v>
      </c>
      <c r="J14851" t="s">
        <v>140</v>
      </c>
      <c r="K14851">
        <v>160553.66</v>
      </c>
      <c r="L14851">
        <v>382226.9</v>
      </c>
      <c r="M14851">
        <v>1</v>
      </c>
      <c r="N14851" t="s">
        <v>263</v>
      </c>
      <c r="O14851" t="s">
        <v>663</v>
      </c>
      <c r="P14851" t="s">
        <v>1872</v>
      </c>
      <c r="Q14851" t="s">
        <v>264</v>
      </c>
      <c r="R14851" t="s">
        <v>145</v>
      </c>
      <c r="S14851">
        <v>36</v>
      </c>
      <c r="T14851">
        <v>2900</v>
      </c>
      <c r="V14851" t="s">
        <v>265</v>
      </c>
      <c r="W14851" t="s">
        <v>147</v>
      </c>
      <c r="X14851" t="s">
        <v>7</v>
      </c>
      <c r="Y14851" t="s">
        <v>782</v>
      </c>
      <c r="Z14851" t="s">
        <v>663</v>
      </c>
      <c r="AA14851" t="s">
        <v>1554</v>
      </c>
      <c r="AB14851">
        <v>0</v>
      </c>
      <c r="AE14851" t="s">
        <v>816</v>
      </c>
      <c r="AF14851" t="s">
        <v>663</v>
      </c>
      <c r="AG14851" t="s">
        <v>1554</v>
      </c>
      <c r="AL14851" t="s">
        <v>1983</v>
      </c>
      <c r="AM14851" t="s">
        <v>1984</v>
      </c>
      <c r="AN14851" t="s">
        <v>1985</v>
      </c>
      <c r="AO14851" t="s">
        <v>263</v>
      </c>
      <c r="AQ14851" t="str">
        <f>IF(ISBLANK(AP14851), IFERROR(IF(VLOOKUP(AO14851, Ellens_additions!$A$2:$B$252, 2, FALSE) = "", "", VLOOKUP(AO14851, Ellens_additions!$A$2:$B$252, 2, FALSE)), 0), AP14851)</f>
        <v/>
      </c>
    </row>
    <row r="14852" spans="1:43" ht="14.4" x14ac:dyDescent="0.3"/>
    <row r="14853" spans="1:43" ht="14.4" x14ac:dyDescent="0.3"/>
    <row r="14854" spans="1:43" ht="14.4" x14ac:dyDescent="0.3"/>
    <row r="14855" spans="1:43" ht="14.4" x14ac:dyDescent="0.3"/>
    <row r="14856" spans="1:43" ht="14.4" x14ac:dyDescent="0.3"/>
    <row r="14857" spans="1:43" ht="14.4" x14ac:dyDescent="0.3"/>
    <row r="14858" spans="1:43" ht="14.4" x14ac:dyDescent="0.3"/>
    <row r="14859" spans="1:43" ht="14.4" x14ac:dyDescent="0.3"/>
    <row r="14860" spans="1:43" ht="14.4" x14ac:dyDescent="0.3"/>
    <row r="14861" spans="1:43" ht="14.4" x14ac:dyDescent="0.3"/>
    <row r="14862" spans="1:43" ht="14.4" x14ac:dyDescent="0.3"/>
    <row r="14863" spans="1:43" ht="14.4" x14ac:dyDescent="0.3"/>
    <row r="14864" spans="1:43" ht="14.4" x14ac:dyDescent="0.3"/>
    <row r="14865" ht="14.4" x14ac:dyDescent="0.3"/>
    <row r="14866" ht="14.4" x14ac:dyDescent="0.3"/>
    <row r="14867" ht="14.4" x14ac:dyDescent="0.3"/>
    <row r="14868" ht="14.4" x14ac:dyDescent="0.3"/>
    <row r="14869" ht="14.4" x14ac:dyDescent="0.3"/>
    <row r="14870" ht="14.4" x14ac:dyDescent="0.3"/>
    <row r="14871" ht="14.4" x14ac:dyDescent="0.3"/>
    <row r="14872" ht="14.4" x14ac:dyDescent="0.3"/>
    <row r="14873" ht="14.4" x14ac:dyDescent="0.3"/>
    <row r="14874" ht="14.4" x14ac:dyDescent="0.3"/>
    <row r="14875" ht="14.4" x14ac:dyDescent="0.3"/>
    <row r="14876" ht="14.4" x14ac:dyDescent="0.3"/>
    <row r="14877" ht="14.4" x14ac:dyDescent="0.3"/>
    <row r="14878" ht="14.4" x14ac:dyDescent="0.3"/>
    <row r="14879" ht="14.4" x14ac:dyDescent="0.3"/>
    <row r="14880" ht="14.4" x14ac:dyDescent="0.3"/>
    <row r="14881" ht="14.4" x14ac:dyDescent="0.3"/>
    <row r="14882" ht="14.4" x14ac:dyDescent="0.3"/>
    <row r="14883" ht="14.4" x14ac:dyDescent="0.3"/>
    <row r="14884" ht="14.4" x14ac:dyDescent="0.3"/>
    <row r="14885" ht="14.4" x14ac:dyDescent="0.3"/>
    <row r="14886" ht="14.4" x14ac:dyDescent="0.3"/>
    <row r="14887" ht="14.4" x14ac:dyDescent="0.3"/>
    <row r="14888" ht="14.4" x14ac:dyDescent="0.3"/>
    <row r="14889" ht="14.4" x14ac:dyDescent="0.3"/>
    <row r="14890" ht="14.4" x14ac:dyDescent="0.3"/>
    <row r="14891" ht="14.4" x14ac:dyDescent="0.3"/>
    <row r="14892" ht="14.4" x14ac:dyDescent="0.3"/>
    <row r="14893" ht="14.4" x14ac:dyDescent="0.3"/>
    <row r="14894" ht="14.4" x14ac:dyDescent="0.3"/>
    <row r="14895" ht="14.4" x14ac:dyDescent="0.3"/>
    <row r="14896" ht="14.4" x14ac:dyDescent="0.3"/>
    <row r="14897" ht="14.4" x14ac:dyDescent="0.3"/>
    <row r="14898" ht="14.4" x14ac:dyDescent="0.3"/>
    <row r="14899" ht="14.4" x14ac:dyDescent="0.3"/>
    <row r="14900" ht="14.4" x14ac:dyDescent="0.3"/>
    <row r="14901" ht="14.4" x14ac:dyDescent="0.3"/>
    <row r="14902" ht="14.4" x14ac:dyDescent="0.3"/>
    <row r="14903" ht="14.4" x14ac:dyDescent="0.3"/>
    <row r="14904" ht="14.4" x14ac:dyDescent="0.3"/>
    <row r="14905" ht="14.4" x14ac:dyDescent="0.3"/>
    <row r="14906" ht="14.4" x14ac:dyDescent="0.3"/>
    <row r="14907" ht="14.4" x14ac:dyDescent="0.3"/>
    <row r="14908" ht="14.4" x14ac:dyDescent="0.3"/>
    <row r="14909" ht="14.4" x14ac:dyDescent="0.3"/>
    <row r="14910" ht="14.4" x14ac:dyDescent="0.3"/>
    <row r="14911" ht="14.4" x14ac:dyDescent="0.3"/>
    <row r="14912" ht="14.4" x14ac:dyDescent="0.3"/>
    <row r="14913" ht="14.4" x14ac:dyDescent="0.3"/>
    <row r="14914" ht="14.4" x14ac:dyDescent="0.3"/>
    <row r="14915" ht="14.4" x14ac:dyDescent="0.3"/>
    <row r="14916" ht="14.4" x14ac:dyDescent="0.3"/>
    <row r="14917" ht="14.4" x14ac:dyDescent="0.3"/>
    <row r="14918" ht="14.4" x14ac:dyDescent="0.3"/>
    <row r="14919" ht="14.4" x14ac:dyDescent="0.3"/>
    <row r="14920" ht="14.4" x14ac:dyDescent="0.3"/>
    <row r="14921" ht="14.4" x14ac:dyDescent="0.3"/>
    <row r="14922" ht="14.4" x14ac:dyDescent="0.3"/>
    <row r="14923" ht="14.4" x14ac:dyDescent="0.3"/>
    <row r="14924" ht="14.4" x14ac:dyDescent="0.3"/>
    <row r="14925" ht="14.4" x14ac:dyDescent="0.3"/>
    <row r="14926" ht="14.4" x14ac:dyDescent="0.3"/>
    <row r="14927" ht="14.4" x14ac:dyDescent="0.3"/>
    <row r="14928" ht="14.4" x14ac:dyDescent="0.3"/>
    <row r="14929" ht="14.4" x14ac:dyDescent="0.3"/>
    <row r="14930" ht="14.4" x14ac:dyDescent="0.3"/>
    <row r="14931" ht="14.4" x14ac:dyDescent="0.3"/>
    <row r="14932" ht="14.4" x14ac:dyDescent="0.3"/>
    <row r="14933" ht="14.4" x14ac:dyDescent="0.3"/>
    <row r="14934" ht="14.4" x14ac:dyDescent="0.3"/>
    <row r="14935" ht="14.4" x14ac:dyDescent="0.3"/>
    <row r="14936" ht="14.4" x14ac:dyDescent="0.3"/>
    <row r="14937" ht="14.4" x14ac:dyDescent="0.3"/>
    <row r="14938" ht="14.4" x14ac:dyDescent="0.3"/>
    <row r="14939" ht="14.4" x14ac:dyDescent="0.3"/>
    <row r="14940" ht="14.4" x14ac:dyDescent="0.3"/>
    <row r="14941" ht="14.4" x14ac:dyDescent="0.3"/>
    <row r="14942" ht="14.4" x14ac:dyDescent="0.3"/>
    <row r="14943" ht="14.4" x14ac:dyDescent="0.3"/>
    <row r="14944" ht="14.4" x14ac:dyDescent="0.3"/>
    <row r="14945" ht="14.4" x14ac:dyDescent="0.3"/>
    <row r="14946" ht="14.4" x14ac:dyDescent="0.3"/>
    <row r="14947" ht="14.4" x14ac:dyDescent="0.3"/>
    <row r="14948" ht="14.4" x14ac:dyDescent="0.3"/>
    <row r="14949" ht="14.4" x14ac:dyDescent="0.3"/>
    <row r="14950" ht="14.4" x14ac:dyDescent="0.3"/>
    <row r="14951" ht="14.4" x14ac:dyDescent="0.3"/>
    <row r="14952" ht="14.4" x14ac:dyDescent="0.3"/>
    <row r="14953" ht="14.4" x14ac:dyDescent="0.3"/>
    <row r="14954" ht="14.4" x14ac:dyDescent="0.3"/>
    <row r="14955" ht="14.4" x14ac:dyDescent="0.3"/>
    <row r="14956" ht="14.4" x14ac:dyDescent="0.3"/>
    <row r="14957" ht="14.4" x14ac:dyDescent="0.3"/>
    <row r="14958" ht="14.4" x14ac:dyDescent="0.3"/>
    <row r="14959" ht="14.4" x14ac:dyDescent="0.3"/>
    <row r="14960" ht="14.4" x14ac:dyDescent="0.3"/>
    <row r="14961" ht="14.4" x14ac:dyDescent="0.3"/>
    <row r="14962" ht="14.4" x14ac:dyDescent="0.3"/>
    <row r="14963" ht="14.4" x14ac:dyDescent="0.3"/>
    <row r="14964" ht="14.4" x14ac:dyDescent="0.3"/>
    <row r="14965" ht="14.4" x14ac:dyDescent="0.3"/>
    <row r="14966" ht="14.4" x14ac:dyDescent="0.3"/>
    <row r="14967" ht="14.4" x14ac:dyDescent="0.3"/>
    <row r="14968" ht="14.4" x14ac:dyDescent="0.3"/>
    <row r="14969" ht="14.4" x14ac:dyDescent="0.3"/>
    <row r="14970" ht="14.4" x14ac:dyDescent="0.3"/>
    <row r="14971" ht="14.4" x14ac:dyDescent="0.3"/>
    <row r="14972" ht="14.4" x14ac:dyDescent="0.3"/>
    <row r="14973" ht="14.4" x14ac:dyDescent="0.3"/>
    <row r="14974" ht="14.4" x14ac:dyDescent="0.3"/>
    <row r="14975" ht="14.4" x14ac:dyDescent="0.3"/>
    <row r="14976" ht="14.4" x14ac:dyDescent="0.3"/>
    <row r="14977" ht="14.4" x14ac:dyDescent="0.3"/>
    <row r="14978" ht="14.4" x14ac:dyDescent="0.3"/>
    <row r="14979" ht="14.4" x14ac:dyDescent="0.3"/>
    <row r="14980" ht="14.4" x14ac:dyDescent="0.3"/>
    <row r="14981" ht="14.4" x14ac:dyDescent="0.3"/>
    <row r="14982" ht="14.4" x14ac:dyDescent="0.3"/>
    <row r="14983" ht="14.4" x14ac:dyDescent="0.3"/>
    <row r="14984" ht="14.4" x14ac:dyDescent="0.3"/>
    <row r="14985" ht="14.4" x14ac:dyDescent="0.3"/>
    <row r="14986" ht="14.4" x14ac:dyDescent="0.3"/>
    <row r="14987" ht="14.4" x14ac:dyDescent="0.3"/>
    <row r="14988" ht="14.4" x14ac:dyDescent="0.3"/>
    <row r="14989" ht="14.4" x14ac:dyDescent="0.3"/>
    <row r="14990" ht="14.4" x14ac:dyDescent="0.3"/>
    <row r="14991" ht="14.4" x14ac:dyDescent="0.3"/>
    <row r="14992" ht="14.4" x14ac:dyDescent="0.3"/>
    <row r="14993" ht="14.4" x14ac:dyDescent="0.3"/>
    <row r="14994" ht="14.4" x14ac:dyDescent="0.3"/>
    <row r="14995" ht="14.4" x14ac:dyDescent="0.3"/>
    <row r="14996" ht="14.4" x14ac:dyDescent="0.3"/>
    <row r="14997" ht="14.4" x14ac:dyDescent="0.3"/>
    <row r="14998" ht="14.4" x14ac:dyDescent="0.3"/>
    <row r="14999" ht="14.4" x14ac:dyDescent="0.3"/>
    <row r="15000" ht="14.4" x14ac:dyDescent="0.3"/>
    <row r="15001" ht="14.4" x14ac:dyDescent="0.3"/>
    <row r="15002" ht="14.4" x14ac:dyDescent="0.3"/>
    <row r="15003" ht="14.4" x14ac:dyDescent="0.3"/>
    <row r="15004" ht="14.4" x14ac:dyDescent="0.3"/>
    <row r="15005" ht="14.4" x14ac:dyDescent="0.3"/>
    <row r="15006" ht="14.4" x14ac:dyDescent="0.3"/>
    <row r="15007" ht="14.4" x14ac:dyDescent="0.3"/>
    <row r="15008" ht="14.4" x14ac:dyDescent="0.3"/>
    <row r="15009" ht="14.4" x14ac:dyDescent="0.3"/>
    <row r="15010" ht="14.4" x14ac:dyDescent="0.3"/>
    <row r="15011" ht="14.4" x14ac:dyDescent="0.3"/>
    <row r="15012" ht="14.4" x14ac:dyDescent="0.3"/>
    <row r="15013" ht="14.4" x14ac:dyDescent="0.3"/>
    <row r="15014" ht="14.4" x14ac:dyDescent="0.3"/>
    <row r="15015" ht="14.4" x14ac:dyDescent="0.3"/>
    <row r="15016" ht="14.4" x14ac:dyDescent="0.3"/>
    <row r="15017" ht="14.4" x14ac:dyDescent="0.3"/>
    <row r="15018" ht="14.4" x14ac:dyDescent="0.3"/>
    <row r="15019" ht="14.4" x14ac:dyDescent="0.3"/>
    <row r="15020" ht="14.4" x14ac:dyDescent="0.3"/>
    <row r="15021" ht="14.4" x14ac:dyDescent="0.3"/>
    <row r="15022" ht="14.4" x14ac:dyDescent="0.3"/>
    <row r="15023" ht="14.4" x14ac:dyDescent="0.3"/>
    <row r="15024" ht="14.4" x14ac:dyDescent="0.3"/>
    <row r="15025" ht="14.4" x14ac:dyDescent="0.3"/>
    <row r="15026" ht="14.4" x14ac:dyDescent="0.3"/>
    <row r="15027" ht="14.4" x14ac:dyDescent="0.3"/>
    <row r="15028" ht="14.4" x14ac:dyDescent="0.3"/>
    <row r="15029" ht="14.4" x14ac:dyDescent="0.3"/>
    <row r="15030" ht="14.4" x14ac:dyDescent="0.3"/>
    <row r="15031" ht="14.4" x14ac:dyDescent="0.3"/>
    <row r="15032" ht="14.4" x14ac:dyDescent="0.3"/>
    <row r="15033" ht="14.4" x14ac:dyDescent="0.3"/>
    <row r="15034" ht="14.4" x14ac:dyDescent="0.3"/>
    <row r="15035" ht="14.4" x14ac:dyDescent="0.3"/>
    <row r="15036" ht="14.4" x14ac:dyDescent="0.3"/>
    <row r="15037" ht="14.4" x14ac:dyDescent="0.3"/>
    <row r="15038" ht="14.4" x14ac:dyDescent="0.3"/>
    <row r="15039" ht="14.4" x14ac:dyDescent="0.3"/>
    <row r="15040" ht="14.4" x14ac:dyDescent="0.3"/>
    <row r="15041" ht="14.4" x14ac:dyDescent="0.3"/>
    <row r="15042" ht="14.4" x14ac:dyDescent="0.3"/>
    <row r="15043" ht="14.4" x14ac:dyDescent="0.3"/>
    <row r="15044" ht="14.4" x14ac:dyDescent="0.3"/>
    <row r="15045" ht="14.4" x14ac:dyDescent="0.3"/>
    <row r="15046" ht="14.4" x14ac:dyDescent="0.3"/>
    <row r="15047" ht="14.4" x14ac:dyDescent="0.3"/>
    <row r="15048" ht="14.4" x14ac:dyDescent="0.3"/>
    <row r="15049" ht="14.4" x14ac:dyDescent="0.3"/>
    <row r="15050" ht="14.4" x14ac:dyDescent="0.3"/>
    <row r="15051" ht="14.4" x14ac:dyDescent="0.3"/>
    <row r="15052" ht="14.4" x14ac:dyDescent="0.3"/>
    <row r="15053" ht="14.4" x14ac:dyDescent="0.3"/>
    <row r="15054" ht="14.4" x14ac:dyDescent="0.3"/>
    <row r="15055" ht="14.4" x14ac:dyDescent="0.3"/>
    <row r="15056" ht="14.4" x14ac:dyDescent="0.3"/>
    <row r="15057" ht="14.4" x14ac:dyDescent="0.3"/>
    <row r="15058" ht="14.4" x14ac:dyDescent="0.3"/>
    <row r="15059" ht="14.4" x14ac:dyDescent="0.3"/>
    <row r="15060" ht="14.4" x14ac:dyDescent="0.3"/>
    <row r="15061" ht="14.4" x14ac:dyDescent="0.3"/>
    <row r="15062" ht="14.4" x14ac:dyDescent="0.3"/>
    <row r="15063" ht="14.4" x14ac:dyDescent="0.3"/>
    <row r="15064" ht="14.4" x14ac:dyDescent="0.3"/>
    <row r="15065" ht="14.4" x14ac:dyDescent="0.3"/>
    <row r="15066" ht="14.4" x14ac:dyDescent="0.3"/>
    <row r="15067" ht="14.4" x14ac:dyDescent="0.3"/>
    <row r="15068" ht="14.4" x14ac:dyDescent="0.3"/>
    <row r="15069" ht="14.4" x14ac:dyDescent="0.3"/>
    <row r="15070" ht="14.4" x14ac:dyDescent="0.3"/>
    <row r="15071" ht="14.4" x14ac:dyDescent="0.3"/>
    <row r="15072" ht="14.4" x14ac:dyDescent="0.3"/>
    <row r="15073" ht="14.4" x14ac:dyDescent="0.3"/>
    <row r="15074" ht="14.4" x14ac:dyDescent="0.3"/>
    <row r="15075" ht="14.4" x14ac:dyDescent="0.3"/>
    <row r="15076" ht="14.4" x14ac:dyDescent="0.3"/>
    <row r="15077" ht="14.4" x14ac:dyDescent="0.3"/>
    <row r="15078" ht="14.4" x14ac:dyDescent="0.3"/>
    <row r="15079" ht="14.4" x14ac:dyDescent="0.3"/>
    <row r="15080" ht="14.4" x14ac:dyDescent="0.3"/>
    <row r="15081" ht="14.4" x14ac:dyDescent="0.3"/>
    <row r="15082" ht="14.4" x14ac:dyDescent="0.3"/>
    <row r="15083" ht="14.4" x14ac:dyDescent="0.3"/>
    <row r="15084" ht="14.4" x14ac:dyDescent="0.3"/>
    <row r="15085" ht="14.4" x14ac:dyDescent="0.3"/>
    <row r="15086" ht="14.4" x14ac:dyDescent="0.3"/>
    <row r="15087" ht="14.4" x14ac:dyDescent="0.3"/>
    <row r="15088" ht="14.4" x14ac:dyDescent="0.3"/>
    <row r="15089" spans="1:43" ht="14.4" x14ac:dyDescent="0.3"/>
    <row r="15090" spans="1:43" ht="14.4" x14ac:dyDescent="0.3"/>
    <row r="15091" spans="1:43" ht="14.4" x14ac:dyDescent="0.3"/>
    <row r="15092" spans="1:43" ht="14.4" x14ac:dyDescent="0.3"/>
    <row r="15093" spans="1:43" ht="14.4" x14ac:dyDescent="0.3"/>
    <row r="15094" spans="1:43" ht="14.4" x14ac:dyDescent="0.3"/>
    <row r="15095" spans="1:43" ht="14.4" x14ac:dyDescent="0.3"/>
    <row r="15096" spans="1:43" ht="14.4" x14ac:dyDescent="0.3"/>
    <row r="15097" spans="1:43" ht="14.4" x14ac:dyDescent="0.3"/>
    <row r="15098" spans="1:43" ht="14.4" x14ac:dyDescent="0.3"/>
    <row r="15099" spans="1:43" ht="14.4" hidden="1" x14ac:dyDescent="0.3">
      <c r="A15099" t="s">
        <v>1990</v>
      </c>
      <c r="B15099">
        <v>4891204</v>
      </c>
      <c r="C15099" t="s">
        <v>842</v>
      </c>
      <c r="D15099" t="s">
        <v>843</v>
      </c>
      <c r="E15099" t="s">
        <v>846</v>
      </c>
      <c r="F15099" t="s">
        <v>1991</v>
      </c>
      <c r="H15099" t="s">
        <v>377</v>
      </c>
      <c r="J15099" t="s">
        <v>140</v>
      </c>
      <c r="K15099">
        <v>161267.98800000001</v>
      </c>
      <c r="L15099">
        <v>383848.63400000002</v>
      </c>
      <c r="M15099">
        <v>1</v>
      </c>
      <c r="N15099" t="s">
        <v>871</v>
      </c>
      <c r="O15099" t="s">
        <v>832</v>
      </c>
      <c r="P15099" t="s">
        <v>567</v>
      </c>
      <c r="Q15099" t="s">
        <v>761</v>
      </c>
      <c r="R15099" t="s">
        <v>145</v>
      </c>
      <c r="S15099">
        <v>36</v>
      </c>
      <c r="T15099">
        <v>3350</v>
      </c>
      <c r="V15099" t="s">
        <v>848</v>
      </c>
      <c r="W15099" t="s">
        <v>390</v>
      </c>
      <c r="X15099" t="s">
        <v>7</v>
      </c>
      <c r="Y15099" t="s">
        <v>1948</v>
      </c>
      <c r="Z15099" t="s">
        <v>1992</v>
      </c>
      <c r="AA15099" t="s">
        <v>1552</v>
      </c>
      <c r="AB15099">
        <v>100</v>
      </c>
      <c r="AC15099" t="s">
        <v>150</v>
      </c>
      <c r="AE15099" t="s">
        <v>1960</v>
      </c>
      <c r="AF15099" t="s">
        <v>485</v>
      </c>
      <c r="AG15099" t="s">
        <v>486</v>
      </c>
      <c r="AL15099" t="s">
        <v>1993</v>
      </c>
      <c r="AM15099" t="s">
        <v>1994</v>
      </c>
      <c r="AN15099" t="s">
        <v>1995</v>
      </c>
      <c r="AO15099" t="s">
        <v>871</v>
      </c>
      <c r="AQ15099" t="str">
        <f>IF(ISBLANK(AP15099), IFERROR(IF(VLOOKUP(AO15099, Ellens_additions!$A$2:$B$252, 2, FALSE) = "", "", VLOOKUP(AO15099, Ellens_additions!$A$2:$B$252, 2, FALSE)), 0), AP15099)</f>
        <v/>
      </c>
    </row>
    <row r="15100" spans="1:43" ht="14.4" hidden="1" x14ac:dyDescent="0.3">
      <c r="A15100" t="s">
        <v>1996</v>
      </c>
      <c r="B15100">
        <v>4891211</v>
      </c>
      <c r="C15100" t="s">
        <v>842</v>
      </c>
      <c r="D15100" t="s">
        <v>843</v>
      </c>
      <c r="E15100" t="s">
        <v>846</v>
      </c>
      <c r="F15100" t="s">
        <v>1991</v>
      </c>
      <c r="H15100" t="s">
        <v>303</v>
      </c>
      <c r="J15100" t="s">
        <v>140</v>
      </c>
      <c r="K15100">
        <v>161244.77100000001</v>
      </c>
      <c r="L15100">
        <v>383859.69</v>
      </c>
      <c r="M15100">
        <v>1</v>
      </c>
      <c r="N15100" t="s">
        <v>871</v>
      </c>
      <c r="O15100" t="s">
        <v>832</v>
      </c>
      <c r="P15100" t="s">
        <v>567</v>
      </c>
      <c r="Q15100" t="s">
        <v>761</v>
      </c>
      <c r="R15100" t="s">
        <v>145</v>
      </c>
      <c r="S15100">
        <v>36</v>
      </c>
      <c r="T15100">
        <v>3350</v>
      </c>
      <c r="V15100" t="s">
        <v>848</v>
      </c>
      <c r="W15100" t="s">
        <v>390</v>
      </c>
      <c r="X15100" t="s">
        <v>7</v>
      </c>
      <c r="Y15100" t="s">
        <v>1948</v>
      </c>
      <c r="Z15100" t="s">
        <v>1992</v>
      </c>
      <c r="AA15100" t="s">
        <v>1552</v>
      </c>
      <c r="AB15100">
        <v>100</v>
      </c>
      <c r="AC15100" t="s">
        <v>150</v>
      </c>
      <c r="AE15100" t="s">
        <v>1960</v>
      </c>
      <c r="AF15100" t="s">
        <v>485</v>
      </c>
      <c r="AG15100" t="s">
        <v>486</v>
      </c>
      <c r="AL15100" t="s">
        <v>1997</v>
      </c>
      <c r="AM15100" t="s">
        <v>1998</v>
      </c>
      <c r="AN15100" t="s">
        <v>1999</v>
      </c>
      <c r="AO15100" t="s">
        <v>871</v>
      </c>
      <c r="AQ15100" t="str">
        <f>IF(ISBLANK(AP15100), IFERROR(IF(VLOOKUP(AO15100, Ellens_additions!$A$2:$B$252, 2, FALSE) = "", "", VLOOKUP(AO15100, Ellens_additions!$A$2:$B$252, 2, FALSE)), 0), AP15100)</f>
        <v/>
      </c>
    </row>
    <row r="15101" spans="1:43" ht="14.4" hidden="1" x14ac:dyDescent="0.3">
      <c r="A15101" t="s">
        <v>2000</v>
      </c>
      <c r="B15101">
        <v>4891218</v>
      </c>
      <c r="C15101" t="s">
        <v>842</v>
      </c>
      <c r="D15101" t="s">
        <v>843</v>
      </c>
      <c r="E15101" t="s">
        <v>846</v>
      </c>
      <c r="F15101" t="s">
        <v>2001</v>
      </c>
      <c r="H15101" t="s">
        <v>251</v>
      </c>
      <c r="J15101" t="s">
        <v>140</v>
      </c>
      <c r="K15101">
        <v>161263.71799999999</v>
      </c>
      <c r="L15101">
        <v>383933.11200000002</v>
      </c>
      <c r="M15101">
        <v>1</v>
      </c>
      <c r="N15101" t="s">
        <v>2002</v>
      </c>
      <c r="O15101" t="s">
        <v>1268</v>
      </c>
      <c r="P15101" t="s">
        <v>2003</v>
      </c>
      <c r="Q15101" t="s">
        <v>761</v>
      </c>
      <c r="R15101" t="s">
        <v>145</v>
      </c>
      <c r="S15101">
        <v>18</v>
      </c>
      <c r="T15101">
        <v>0</v>
      </c>
      <c r="V15101" t="s">
        <v>848</v>
      </c>
      <c r="W15101" t="s">
        <v>849</v>
      </c>
      <c r="X15101" t="s">
        <v>7</v>
      </c>
      <c r="Y15101" t="s">
        <v>2004</v>
      </c>
      <c r="Z15101" t="s">
        <v>1511</v>
      </c>
      <c r="AA15101" t="s">
        <v>1947</v>
      </c>
      <c r="AB15101">
        <v>100</v>
      </c>
      <c r="AC15101" t="s">
        <v>150</v>
      </c>
      <c r="AE15101" t="s">
        <v>1960</v>
      </c>
      <c r="AF15101" t="s">
        <v>485</v>
      </c>
      <c r="AG15101" t="s">
        <v>486</v>
      </c>
      <c r="AL15101" t="s">
        <v>2005</v>
      </c>
      <c r="AM15101" t="s">
        <v>2006</v>
      </c>
      <c r="AN15101" t="s">
        <v>2007</v>
      </c>
      <c r="AO15101" t="s">
        <v>2002</v>
      </c>
      <c r="AQ15101" t="str">
        <f>IF(ISBLANK(AP15101), IFERROR(IF(VLOOKUP(AO15101, Ellens_additions!$A$2:$B$252, 2, FALSE) = "", "", VLOOKUP(AO15101, Ellens_additions!$A$2:$B$252, 2, FALSE)), 0), AP15101)</f>
        <v/>
      </c>
    </row>
    <row r="15102" spans="1:43" ht="14.4" hidden="1" x14ac:dyDescent="0.3">
      <c r="A15102" t="s">
        <v>2008</v>
      </c>
      <c r="B15102">
        <v>4891219</v>
      </c>
      <c r="C15102" t="s">
        <v>842</v>
      </c>
      <c r="D15102" t="s">
        <v>843</v>
      </c>
      <c r="E15102" t="s">
        <v>846</v>
      </c>
      <c r="F15102" t="s">
        <v>2001</v>
      </c>
      <c r="H15102" t="s">
        <v>303</v>
      </c>
      <c r="J15102" t="s">
        <v>140</v>
      </c>
      <c r="K15102">
        <v>161272.486</v>
      </c>
      <c r="L15102">
        <v>383935.39600000001</v>
      </c>
      <c r="M15102">
        <v>1</v>
      </c>
      <c r="N15102" t="s">
        <v>2002</v>
      </c>
      <c r="O15102" t="s">
        <v>1268</v>
      </c>
      <c r="P15102" t="s">
        <v>2003</v>
      </c>
      <c r="Q15102" t="s">
        <v>761</v>
      </c>
      <c r="R15102" t="s">
        <v>145</v>
      </c>
      <c r="S15102">
        <v>18</v>
      </c>
      <c r="T15102">
        <v>0</v>
      </c>
      <c r="V15102" t="s">
        <v>848</v>
      </c>
      <c r="W15102" t="s">
        <v>849</v>
      </c>
      <c r="X15102" t="s">
        <v>7</v>
      </c>
      <c r="Y15102" t="s">
        <v>2004</v>
      </c>
      <c r="Z15102" t="s">
        <v>1511</v>
      </c>
      <c r="AA15102" t="s">
        <v>1947</v>
      </c>
      <c r="AB15102">
        <v>100</v>
      </c>
      <c r="AC15102" t="s">
        <v>150</v>
      </c>
      <c r="AE15102" t="s">
        <v>1960</v>
      </c>
      <c r="AF15102" t="s">
        <v>485</v>
      </c>
      <c r="AG15102" t="s">
        <v>486</v>
      </c>
      <c r="AL15102" t="s">
        <v>2009</v>
      </c>
      <c r="AM15102" t="s">
        <v>2010</v>
      </c>
      <c r="AN15102" t="s">
        <v>2011</v>
      </c>
      <c r="AO15102" t="s">
        <v>2002</v>
      </c>
      <c r="AQ15102" t="str">
        <f>IF(ISBLANK(AP15102), IFERROR(IF(VLOOKUP(AO15102, Ellens_additions!$A$2:$B$252, 2, FALSE) = "", "", VLOOKUP(AO15102, Ellens_additions!$A$2:$B$252, 2, FALSE)), 0), AP15102)</f>
        <v/>
      </c>
    </row>
    <row r="15103" spans="1:43" ht="14.4" hidden="1" x14ac:dyDescent="0.3">
      <c r="A15103" t="s">
        <v>2012</v>
      </c>
      <c r="B15103">
        <v>4891221</v>
      </c>
      <c r="C15103" t="s">
        <v>842</v>
      </c>
      <c r="D15103" t="s">
        <v>843</v>
      </c>
      <c r="E15103" t="s">
        <v>846</v>
      </c>
      <c r="F15103" t="s">
        <v>2001</v>
      </c>
      <c r="H15103" t="s">
        <v>406</v>
      </c>
      <c r="J15103" t="s">
        <v>140</v>
      </c>
      <c r="K15103">
        <v>161271.073</v>
      </c>
      <c r="L15103">
        <v>383940.61499999999</v>
      </c>
      <c r="M15103">
        <v>1</v>
      </c>
      <c r="N15103" t="s">
        <v>2002</v>
      </c>
      <c r="O15103" t="s">
        <v>1268</v>
      </c>
      <c r="P15103" t="s">
        <v>2003</v>
      </c>
      <c r="Q15103" t="s">
        <v>761</v>
      </c>
      <c r="R15103" t="s">
        <v>145</v>
      </c>
      <c r="S15103">
        <v>18</v>
      </c>
      <c r="T15103">
        <v>0</v>
      </c>
      <c r="V15103" t="s">
        <v>848</v>
      </c>
      <c r="W15103" t="s">
        <v>849</v>
      </c>
      <c r="X15103" t="s">
        <v>7</v>
      </c>
      <c r="Y15103" t="s">
        <v>2004</v>
      </c>
      <c r="Z15103" t="s">
        <v>1511</v>
      </c>
      <c r="AA15103" t="s">
        <v>1947</v>
      </c>
      <c r="AB15103">
        <v>100</v>
      </c>
      <c r="AC15103" t="s">
        <v>150</v>
      </c>
      <c r="AE15103" t="s">
        <v>1960</v>
      </c>
      <c r="AF15103" t="s">
        <v>485</v>
      </c>
      <c r="AG15103" t="s">
        <v>486</v>
      </c>
      <c r="AL15103" t="s">
        <v>2013</v>
      </c>
      <c r="AM15103" t="s">
        <v>2014</v>
      </c>
      <c r="AN15103" t="s">
        <v>2015</v>
      </c>
      <c r="AO15103" t="s">
        <v>2002</v>
      </c>
      <c r="AQ15103" t="str">
        <f>IF(ISBLANK(AP15103), IFERROR(IF(VLOOKUP(AO15103, Ellens_additions!$A$2:$B$252, 2, FALSE) = "", "", VLOOKUP(AO15103, Ellens_additions!$A$2:$B$252, 2, FALSE)), 0), AP15103)</f>
        <v/>
      </c>
    </row>
    <row r="15104" spans="1:43" ht="14.4" hidden="1" x14ac:dyDescent="0.3">
      <c r="A15104" t="s">
        <v>2016</v>
      </c>
      <c r="B15104">
        <v>4891223</v>
      </c>
      <c r="C15104" t="s">
        <v>842</v>
      </c>
      <c r="D15104" t="s">
        <v>843</v>
      </c>
      <c r="E15104" t="s">
        <v>846</v>
      </c>
      <c r="F15104" t="s">
        <v>2001</v>
      </c>
      <c r="H15104" t="s">
        <v>278</v>
      </c>
      <c r="J15104" t="s">
        <v>140</v>
      </c>
      <c r="K15104">
        <v>161269.853</v>
      </c>
      <c r="L15104">
        <v>383945.65299999999</v>
      </c>
      <c r="M15104">
        <v>1</v>
      </c>
      <c r="N15104" t="s">
        <v>1246</v>
      </c>
      <c r="O15104" t="s">
        <v>1543</v>
      </c>
      <c r="P15104" t="s">
        <v>2017</v>
      </c>
      <c r="Q15104" t="s">
        <v>761</v>
      </c>
      <c r="R15104" t="s">
        <v>145</v>
      </c>
      <c r="S15104">
        <v>18</v>
      </c>
      <c r="T15104">
        <v>0</v>
      </c>
      <c r="V15104" t="s">
        <v>848</v>
      </c>
      <c r="W15104" t="s">
        <v>849</v>
      </c>
      <c r="X15104" t="s">
        <v>7</v>
      </c>
      <c r="Y15104" t="s">
        <v>2004</v>
      </c>
      <c r="Z15104" t="s">
        <v>1511</v>
      </c>
      <c r="AA15104" t="s">
        <v>1947</v>
      </c>
      <c r="AB15104">
        <v>100</v>
      </c>
      <c r="AC15104" t="s">
        <v>150</v>
      </c>
      <c r="AE15104" t="s">
        <v>1960</v>
      </c>
      <c r="AF15104" t="s">
        <v>485</v>
      </c>
      <c r="AG15104" t="s">
        <v>486</v>
      </c>
      <c r="AL15104" t="s">
        <v>2018</v>
      </c>
      <c r="AM15104" t="s">
        <v>2019</v>
      </c>
      <c r="AN15104" t="s">
        <v>2020</v>
      </c>
      <c r="AO15104" t="s">
        <v>1246</v>
      </c>
      <c r="AQ15104" t="str">
        <f>IF(ISBLANK(AP15104), IFERROR(IF(VLOOKUP(AO15104, Ellens_additions!$A$2:$B$252, 2, FALSE) = "", "", VLOOKUP(AO15104, Ellens_additions!$A$2:$B$252, 2, FALSE)), 0), AP15104)</f>
        <v/>
      </c>
    </row>
    <row r="15105" ht="14.4" x14ac:dyDescent="0.3"/>
    <row r="15106" ht="14.4" x14ac:dyDescent="0.3"/>
    <row r="15107" ht="14.4" x14ac:dyDescent="0.3"/>
    <row r="15108" ht="14.4" x14ac:dyDescent="0.3"/>
    <row r="15109" ht="14.4" x14ac:dyDescent="0.3"/>
    <row r="15110" ht="14.4" x14ac:dyDescent="0.3"/>
    <row r="15111" ht="14.4" x14ac:dyDescent="0.3"/>
    <row r="15112" ht="14.4" x14ac:dyDescent="0.3"/>
    <row r="15113" ht="14.4" x14ac:dyDescent="0.3"/>
    <row r="15114" ht="14.4" x14ac:dyDescent="0.3"/>
    <row r="15115" ht="14.4" x14ac:dyDescent="0.3"/>
    <row r="15116" ht="14.4" x14ac:dyDescent="0.3"/>
    <row r="15117" ht="14.4" x14ac:dyDescent="0.3"/>
    <row r="15118" ht="14.4" x14ac:dyDescent="0.3"/>
    <row r="15119" ht="14.4" x14ac:dyDescent="0.3"/>
    <row r="15120" ht="14.4" x14ac:dyDescent="0.3"/>
    <row r="15121" ht="14.4" x14ac:dyDescent="0.3"/>
    <row r="15122" ht="14.4" x14ac:dyDescent="0.3"/>
    <row r="15123" ht="14.4" x14ac:dyDescent="0.3"/>
    <row r="15124" ht="14.4" x14ac:dyDescent="0.3"/>
    <row r="15125" ht="14.4" x14ac:dyDescent="0.3"/>
    <row r="15126" ht="14.4" x14ac:dyDescent="0.3"/>
    <row r="15127" ht="14.4" x14ac:dyDescent="0.3"/>
    <row r="15128" ht="14.4" x14ac:dyDescent="0.3"/>
    <row r="15129" ht="14.4" x14ac:dyDescent="0.3"/>
    <row r="15130" ht="14.4" x14ac:dyDescent="0.3"/>
    <row r="15131" ht="14.4" x14ac:dyDescent="0.3"/>
    <row r="15132" ht="14.4" x14ac:dyDescent="0.3"/>
    <row r="15133" ht="14.4" x14ac:dyDescent="0.3"/>
    <row r="15134" ht="14.4" x14ac:dyDescent="0.3"/>
    <row r="15135" ht="14.4" x14ac:dyDescent="0.3"/>
    <row r="15136" ht="14.4" x14ac:dyDescent="0.3"/>
    <row r="15137" ht="14.4" x14ac:dyDescent="0.3"/>
    <row r="15138" ht="14.4" x14ac:dyDescent="0.3"/>
    <row r="15139" ht="14.4" x14ac:dyDescent="0.3"/>
    <row r="15140" ht="14.4" x14ac:dyDescent="0.3"/>
    <row r="15141" ht="14.4" x14ac:dyDescent="0.3"/>
    <row r="15142" ht="14.4" x14ac:dyDescent="0.3"/>
    <row r="15143" ht="14.4" x14ac:dyDescent="0.3"/>
    <row r="15144" ht="14.4" x14ac:dyDescent="0.3"/>
    <row r="15145" ht="14.4" x14ac:dyDescent="0.3"/>
    <row r="15146" ht="14.4" x14ac:dyDescent="0.3"/>
    <row r="15147" ht="14.4" x14ac:dyDescent="0.3"/>
    <row r="15148" ht="14.4" x14ac:dyDescent="0.3"/>
    <row r="15149" ht="14.4" x14ac:dyDescent="0.3"/>
    <row r="15150" ht="14.4" x14ac:dyDescent="0.3"/>
    <row r="15151" ht="14.4" x14ac:dyDescent="0.3"/>
    <row r="15152" ht="14.4" x14ac:dyDescent="0.3"/>
    <row r="15153" ht="14.4" x14ac:dyDescent="0.3"/>
    <row r="15154" ht="14.4" x14ac:dyDescent="0.3"/>
    <row r="15155" ht="14.4" x14ac:dyDescent="0.3"/>
    <row r="15156" ht="14.4" x14ac:dyDescent="0.3"/>
    <row r="15157" ht="14.4" x14ac:dyDescent="0.3"/>
    <row r="15158" ht="14.4" x14ac:dyDescent="0.3"/>
    <row r="15159" ht="14.4" x14ac:dyDescent="0.3"/>
    <row r="15160" ht="14.4" x14ac:dyDescent="0.3"/>
    <row r="15161" ht="14.4" x14ac:dyDescent="0.3"/>
    <row r="15162" ht="14.4" x14ac:dyDescent="0.3"/>
    <row r="15163" ht="14.4" x14ac:dyDescent="0.3"/>
    <row r="15164" ht="14.4" x14ac:dyDescent="0.3"/>
    <row r="15165" ht="14.4" x14ac:dyDescent="0.3"/>
    <row r="15166" ht="14.4" x14ac:dyDescent="0.3"/>
    <row r="15167" ht="14.4" x14ac:dyDescent="0.3"/>
    <row r="15168" ht="14.4" x14ac:dyDescent="0.3"/>
    <row r="15169" ht="14.4" x14ac:dyDescent="0.3"/>
    <row r="15170" ht="14.4" x14ac:dyDescent="0.3"/>
    <row r="15171" ht="14.4" x14ac:dyDescent="0.3"/>
    <row r="15172" ht="14.4" x14ac:dyDescent="0.3"/>
    <row r="15173" ht="14.4" x14ac:dyDescent="0.3"/>
    <row r="15174" ht="14.4" x14ac:dyDescent="0.3"/>
    <row r="15175" ht="14.4" x14ac:dyDescent="0.3"/>
    <row r="15176" ht="14.4" x14ac:dyDescent="0.3"/>
    <row r="15177" ht="14.4" x14ac:dyDescent="0.3"/>
    <row r="15178" ht="14.4" x14ac:dyDescent="0.3"/>
    <row r="15179" ht="14.4" x14ac:dyDescent="0.3"/>
    <row r="15180" ht="14.4" x14ac:dyDescent="0.3"/>
    <row r="15181" ht="14.4" x14ac:dyDescent="0.3"/>
    <row r="15182" ht="14.4" x14ac:dyDescent="0.3"/>
    <row r="15183" ht="14.4" x14ac:dyDescent="0.3"/>
    <row r="15184" ht="14.4" x14ac:dyDescent="0.3"/>
    <row r="15185" ht="14.4" x14ac:dyDescent="0.3"/>
    <row r="15186" ht="14.4" x14ac:dyDescent="0.3"/>
    <row r="15187" ht="14.4" x14ac:dyDescent="0.3"/>
    <row r="15188" ht="14.4" x14ac:dyDescent="0.3"/>
    <row r="15189" ht="14.4" x14ac:dyDescent="0.3"/>
    <row r="15190" ht="14.4" x14ac:dyDescent="0.3"/>
    <row r="15191" ht="14.4" x14ac:dyDescent="0.3"/>
    <row r="15192" ht="14.4" x14ac:dyDescent="0.3"/>
    <row r="15193" ht="14.4" x14ac:dyDescent="0.3"/>
    <row r="15194" ht="14.4" x14ac:dyDescent="0.3"/>
    <row r="15195" ht="14.4" x14ac:dyDescent="0.3"/>
    <row r="15196" ht="14.4" x14ac:dyDescent="0.3"/>
    <row r="15197" ht="14.4" x14ac:dyDescent="0.3"/>
    <row r="15198" ht="14.4" x14ac:dyDescent="0.3"/>
    <row r="15199" ht="14.4" x14ac:dyDescent="0.3"/>
    <row r="15200" ht="14.4" x14ac:dyDescent="0.3"/>
    <row r="15201" ht="14.4" x14ac:dyDescent="0.3"/>
    <row r="15202" ht="14.4" x14ac:dyDescent="0.3"/>
    <row r="15203" ht="14.4" x14ac:dyDescent="0.3"/>
    <row r="15204" ht="14.4" x14ac:dyDescent="0.3"/>
    <row r="15205" ht="14.4" x14ac:dyDescent="0.3"/>
    <row r="15206" ht="14.4" x14ac:dyDescent="0.3"/>
    <row r="15207" ht="14.4" x14ac:dyDescent="0.3"/>
    <row r="15208" ht="14.4" x14ac:dyDescent="0.3"/>
    <row r="15209" ht="14.4" x14ac:dyDescent="0.3"/>
    <row r="15210" ht="14.4" x14ac:dyDescent="0.3"/>
    <row r="15211" ht="14.4" x14ac:dyDescent="0.3"/>
    <row r="15212" ht="14.4" x14ac:dyDescent="0.3"/>
    <row r="15213" ht="14.4" x14ac:dyDescent="0.3"/>
    <row r="15214" ht="14.4" x14ac:dyDescent="0.3"/>
    <row r="15215" ht="14.4" x14ac:dyDescent="0.3"/>
    <row r="15216" ht="14.4" x14ac:dyDescent="0.3"/>
    <row r="15217" ht="14.4" x14ac:dyDescent="0.3"/>
    <row r="15218" ht="14.4" x14ac:dyDescent="0.3"/>
    <row r="15219" ht="14.4" x14ac:dyDescent="0.3"/>
    <row r="15220" ht="14.4" x14ac:dyDescent="0.3"/>
    <row r="15221" ht="14.4" x14ac:dyDescent="0.3"/>
    <row r="15222" ht="14.4" x14ac:dyDescent="0.3"/>
    <row r="15223" ht="14.4" x14ac:dyDescent="0.3"/>
    <row r="15224" ht="14.4" x14ac:dyDescent="0.3"/>
    <row r="15225" ht="14.4" x14ac:dyDescent="0.3"/>
    <row r="15226" ht="14.4" x14ac:dyDescent="0.3"/>
    <row r="15227" ht="14.4" x14ac:dyDescent="0.3"/>
    <row r="15228" ht="14.4" x14ac:dyDescent="0.3"/>
    <row r="15229" ht="14.4" x14ac:dyDescent="0.3"/>
    <row r="15230" ht="14.4" x14ac:dyDescent="0.3"/>
    <row r="15231" ht="14.4" x14ac:dyDescent="0.3"/>
    <row r="15232" ht="14.4" x14ac:dyDescent="0.3"/>
    <row r="15233" ht="14.4" x14ac:dyDescent="0.3"/>
    <row r="15234" ht="14.4" x14ac:dyDescent="0.3"/>
    <row r="15235" ht="14.4" x14ac:dyDescent="0.3"/>
    <row r="15236" ht="14.4" x14ac:dyDescent="0.3"/>
    <row r="15237" ht="14.4" x14ac:dyDescent="0.3"/>
    <row r="15238" ht="14.4" x14ac:dyDescent="0.3"/>
    <row r="15239" ht="14.4" x14ac:dyDescent="0.3"/>
    <row r="15240" ht="14.4" x14ac:dyDescent="0.3"/>
    <row r="15241" ht="14.4" x14ac:dyDescent="0.3"/>
    <row r="15242" ht="14.4" x14ac:dyDescent="0.3"/>
    <row r="15243" ht="14.4" x14ac:dyDescent="0.3"/>
    <row r="15244" ht="14.4" x14ac:dyDescent="0.3"/>
    <row r="15245" ht="14.4" x14ac:dyDescent="0.3"/>
    <row r="15246" ht="14.4" x14ac:dyDescent="0.3"/>
    <row r="15247" ht="14.4" x14ac:dyDescent="0.3"/>
    <row r="15248" ht="14.4" x14ac:dyDescent="0.3"/>
    <row r="15249" ht="14.4" x14ac:dyDescent="0.3"/>
    <row r="15250" ht="14.4" x14ac:dyDescent="0.3"/>
    <row r="15251" ht="14.4" x14ac:dyDescent="0.3"/>
    <row r="15252" ht="14.4" x14ac:dyDescent="0.3"/>
    <row r="15253" ht="14.4" x14ac:dyDescent="0.3"/>
    <row r="15254" ht="14.4" x14ac:dyDescent="0.3"/>
    <row r="15255" ht="14.4" x14ac:dyDescent="0.3"/>
    <row r="15256" ht="14.4" x14ac:dyDescent="0.3"/>
    <row r="15257" ht="14.4" x14ac:dyDescent="0.3"/>
    <row r="15258" ht="14.4" x14ac:dyDescent="0.3"/>
    <row r="15259" ht="14.4" x14ac:dyDescent="0.3"/>
    <row r="15260" ht="14.4" x14ac:dyDescent="0.3"/>
    <row r="15261" ht="14.4" x14ac:dyDescent="0.3"/>
    <row r="15262" ht="14.4" x14ac:dyDescent="0.3"/>
    <row r="15263" ht="14.4" x14ac:dyDescent="0.3"/>
    <row r="15264" ht="14.4" x14ac:dyDescent="0.3"/>
    <row r="15265" ht="14.4" x14ac:dyDescent="0.3"/>
    <row r="15266" ht="14.4" x14ac:dyDescent="0.3"/>
    <row r="15267" ht="14.4" x14ac:dyDescent="0.3"/>
    <row r="15268" ht="14.4" x14ac:dyDescent="0.3"/>
    <row r="15269" ht="14.4" x14ac:dyDescent="0.3"/>
    <row r="15270" ht="14.4" x14ac:dyDescent="0.3"/>
    <row r="15271" ht="14.4" x14ac:dyDescent="0.3"/>
    <row r="15272" ht="14.4" x14ac:dyDescent="0.3"/>
    <row r="15273" ht="14.4" x14ac:dyDescent="0.3"/>
    <row r="15274" ht="14.4" x14ac:dyDescent="0.3"/>
    <row r="15275" ht="14.4" x14ac:dyDescent="0.3"/>
    <row r="15276" ht="14.4" x14ac:dyDescent="0.3"/>
    <row r="15277" ht="14.4" x14ac:dyDescent="0.3"/>
    <row r="15278" ht="14.4" x14ac:dyDescent="0.3"/>
    <row r="15279" ht="14.4" x14ac:dyDescent="0.3"/>
    <row r="15280" ht="14.4" x14ac:dyDescent="0.3"/>
    <row r="15281" ht="14.4" x14ac:dyDescent="0.3"/>
    <row r="15282" ht="14.4" x14ac:dyDescent="0.3"/>
    <row r="15283" ht="14.4" x14ac:dyDescent="0.3"/>
    <row r="15284" ht="14.4" x14ac:dyDescent="0.3"/>
    <row r="15285" ht="14.4" x14ac:dyDescent="0.3"/>
    <row r="15286" ht="14.4" x14ac:dyDescent="0.3"/>
    <row r="15287" ht="14.4" x14ac:dyDescent="0.3"/>
    <row r="15288" ht="14.4" x14ac:dyDescent="0.3"/>
    <row r="15289" ht="14.4" x14ac:dyDescent="0.3"/>
    <row r="15290" ht="14.4" x14ac:dyDescent="0.3"/>
    <row r="15291" ht="14.4" x14ac:dyDescent="0.3"/>
    <row r="15292" ht="14.4" x14ac:dyDescent="0.3"/>
    <row r="15293" ht="14.4" x14ac:dyDescent="0.3"/>
    <row r="15294" ht="14.4" x14ac:dyDescent="0.3"/>
    <row r="15295" ht="14.4" x14ac:dyDescent="0.3"/>
    <row r="15296" ht="14.4" x14ac:dyDescent="0.3"/>
    <row r="15297" ht="14.4" x14ac:dyDescent="0.3"/>
    <row r="15298" ht="14.4" x14ac:dyDescent="0.3"/>
    <row r="15299" ht="14.4" x14ac:dyDescent="0.3"/>
    <row r="15300" ht="14.4" x14ac:dyDescent="0.3"/>
    <row r="15301" ht="14.4" x14ac:dyDescent="0.3"/>
    <row r="15302" ht="14.4" x14ac:dyDescent="0.3"/>
    <row r="15303" ht="14.4" x14ac:dyDescent="0.3"/>
    <row r="15304" ht="14.4" x14ac:dyDescent="0.3"/>
    <row r="15305" ht="14.4" x14ac:dyDescent="0.3"/>
    <row r="15306" ht="14.4" x14ac:dyDescent="0.3"/>
    <row r="15307" ht="14.4" x14ac:dyDescent="0.3"/>
    <row r="15308" ht="14.4" x14ac:dyDescent="0.3"/>
    <row r="15309" ht="14.4" x14ac:dyDescent="0.3"/>
    <row r="15310" ht="14.4" x14ac:dyDescent="0.3"/>
    <row r="15311" ht="14.4" x14ac:dyDescent="0.3"/>
    <row r="15312" ht="14.4" x14ac:dyDescent="0.3"/>
    <row r="15313" ht="14.4" x14ac:dyDescent="0.3"/>
    <row r="15314" ht="14.4" x14ac:dyDescent="0.3"/>
    <row r="15315" ht="14.4" x14ac:dyDescent="0.3"/>
    <row r="15316" ht="14.4" x14ac:dyDescent="0.3"/>
    <row r="15317" ht="14.4" x14ac:dyDescent="0.3"/>
    <row r="15318" ht="14.4" x14ac:dyDescent="0.3"/>
    <row r="15319" ht="14.4" x14ac:dyDescent="0.3"/>
    <row r="15320" ht="14.4" x14ac:dyDescent="0.3"/>
    <row r="15321" ht="14.4" x14ac:dyDescent="0.3"/>
    <row r="15322" ht="14.4" x14ac:dyDescent="0.3"/>
    <row r="15323" ht="14.4" x14ac:dyDescent="0.3"/>
    <row r="15324" ht="14.4" x14ac:dyDescent="0.3"/>
    <row r="15325" ht="14.4" x14ac:dyDescent="0.3"/>
    <row r="15326" ht="14.4" x14ac:dyDescent="0.3"/>
    <row r="15327" ht="14.4" x14ac:dyDescent="0.3"/>
    <row r="15328" ht="14.4" x14ac:dyDescent="0.3"/>
    <row r="15329" ht="14.4" x14ac:dyDescent="0.3"/>
    <row r="15330" ht="14.4" x14ac:dyDescent="0.3"/>
    <row r="15331" ht="14.4" x14ac:dyDescent="0.3"/>
    <row r="15332" ht="14.4" x14ac:dyDescent="0.3"/>
    <row r="15333" ht="14.4" x14ac:dyDescent="0.3"/>
    <row r="15334" ht="14.4" x14ac:dyDescent="0.3"/>
    <row r="15335" ht="14.4" x14ac:dyDescent="0.3"/>
    <row r="15336" ht="14.4" x14ac:dyDescent="0.3"/>
    <row r="15337" ht="14.4" x14ac:dyDescent="0.3"/>
    <row r="15338" ht="14.4" x14ac:dyDescent="0.3"/>
    <row r="15339" ht="14.4" x14ac:dyDescent="0.3"/>
    <row r="15340" ht="14.4" x14ac:dyDescent="0.3"/>
    <row r="15341" ht="14.4" x14ac:dyDescent="0.3"/>
    <row r="15342" ht="14.4" x14ac:dyDescent="0.3"/>
    <row r="15343" ht="14.4" x14ac:dyDescent="0.3"/>
    <row r="15344" ht="14.4" x14ac:dyDescent="0.3"/>
    <row r="15345" ht="14.4" x14ac:dyDescent="0.3"/>
    <row r="15346" ht="14.4" x14ac:dyDescent="0.3"/>
    <row r="15347" ht="14.4" x14ac:dyDescent="0.3"/>
    <row r="15348" ht="14.4" x14ac:dyDescent="0.3"/>
    <row r="15349" ht="14.4" x14ac:dyDescent="0.3"/>
    <row r="15350" ht="14.4" x14ac:dyDescent="0.3"/>
    <row r="15351" ht="14.4" x14ac:dyDescent="0.3"/>
    <row r="15352" ht="14.4" x14ac:dyDescent="0.3"/>
    <row r="15353" ht="14.4" x14ac:dyDescent="0.3"/>
    <row r="15354" ht="14.4" x14ac:dyDescent="0.3"/>
    <row r="15355" ht="14.4" x14ac:dyDescent="0.3"/>
    <row r="15356" ht="14.4" x14ac:dyDescent="0.3"/>
    <row r="15357" ht="14.4" x14ac:dyDescent="0.3"/>
    <row r="15358" ht="14.4" x14ac:dyDescent="0.3"/>
    <row r="15359" ht="14.4" x14ac:dyDescent="0.3"/>
    <row r="15360" ht="14.4" x14ac:dyDescent="0.3"/>
    <row r="15361" ht="14.4" x14ac:dyDescent="0.3"/>
    <row r="15362" ht="14.4" x14ac:dyDescent="0.3"/>
    <row r="15363" ht="14.4" x14ac:dyDescent="0.3"/>
    <row r="15364" ht="14.4" x14ac:dyDescent="0.3"/>
    <row r="15365" ht="14.4" x14ac:dyDescent="0.3"/>
    <row r="15366" ht="14.4" x14ac:dyDescent="0.3"/>
    <row r="15367" ht="14.4" x14ac:dyDescent="0.3"/>
    <row r="15368" ht="14.4" x14ac:dyDescent="0.3"/>
    <row r="15369" ht="14.4" x14ac:dyDescent="0.3"/>
    <row r="15370" ht="14.4" x14ac:dyDescent="0.3"/>
    <row r="15371" ht="14.4" x14ac:dyDescent="0.3"/>
    <row r="15372" ht="14.4" x14ac:dyDescent="0.3"/>
    <row r="15373" ht="14.4" x14ac:dyDescent="0.3"/>
    <row r="15374" ht="14.4" x14ac:dyDescent="0.3"/>
    <row r="15375" ht="14.4" x14ac:dyDescent="0.3"/>
    <row r="15376" ht="14.4" x14ac:dyDescent="0.3"/>
    <row r="15377" ht="14.4" x14ac:dyDescent="0.3"/>
    <row r="15378" ht="14.4" x14ac:dyDescent="0.3"/>
    <row r="15379" ht="14.4" x14ac:dyDescent="0.3"/>
    <row r="15380" ht="14.4" x14ac:dyDescent="0.3"/>
    <row r="15381" ht="14.4" x14ac:dyDescent="0.3"/>
    <row r="15382" ht="14.4" x14ac:dyDescent="0.3"/>
    <row r="15383" ht="14.4" x14ac:dyDescent="0.3"/>
    <row r="15384" ht="14.4" x14ac:dyDescent="0.3"/>
    <row r="15385" ht="14.4" x14ac:dyDescent="0.3"/>
    <row r="15386" ht="14.4" x14ac:dyDescent="0.3"/>
    <row r="15387" ht="14.4" x14ac:dyDescent="0.3"/>
    <row r="15388" ht="14.4" x14ac:dyDescent="0.3"/>
    <row r="15389" ht="14.4" x14ac:dyDescent="0.3"/>
    <row r="15390" ht="14.4" x14ac:dyDescent="0.3"/>
    <row r="15391" ht="14.4" x14ac:dyDescent="0.3"/>
    <row r="15392" ht="14.4" x14ac:dyDescent="0.3"/>
    <row r="15393" ht="14.4" x14ac:dyDescent="0.3"/>
    <row r="15394" ht="14.4" x14ac:dyDescent="0.3"/>
    <row r="15395" ht="14.4" x14ac:dyDescent="0.3"/>
    <row r="15396" ht="14.4" x14ac:dyDescent="0.3"/>
    <row r="15397" ht="14.4" x14ac:dyDescent="0.3"/>
    <row r="15398" ht="14.4" x14ac:dyDescent="0.3"/>
    <row r="15399" ht="14.4" x14ac:dyDescent="0.3"/>
    <row r="15400" ht="14.4" x14ac:dyDescent="0.3"/>
    <row r="15401" ht="14.4" x14ac:dyDescent="0.3"/>
    <row r="15402" ht="14.4" x14ac:dyDescent="0.3"/>
    <row r="15403" ht="14.4" x14ac:dyDescent="0.3"/>
    <row r="15404" ht="14.4" x14ac:dyDescent="0.3"/>
    <row r="15405" ht="14.4" x14ac:dyDescent="0.3"/>
    <row r="15406" ht="14.4" x14ac:dyDescent="0.3"/>
    <row r="15407" ht="14.4" x14ac:dyDescent="0.3"/>
    <row r="15408" ht="14.4" x14ac:dyDescent="0.3"/>
    <row r="15409" ht="14.4" x14ac:dyDescent="0.3"/>
    <row r="15410" ht="14.4" x14ac:dyDescent="0.3"/>
    <row r="15411" ht="14.4" x14ac:dyDescent="0.3"/>
    <row r="15412" ht="14.4" x14ac:dyDescent="0.3"/>
    <row r="15413" ht="14.4" x14ac:dyDescent="0.3"/>
    <row r="15414" ht="14.4" x14ac:dyDescent="0.3"/>
    <row r="15415" ht="14.4" x14ac:dyDescent="0.3"/>
    <row r="15416" ht="14.4" x14ac:dyDescent="0.3"/>
    <row r="15417" ht="14.4" x14ac:dyDescent="0.3"/>
    <row r="15418" ht="14.4" x14ac:dyDescent="0.3"/>
    <row r="15419" ht="14.4" x14ac:dyDescent="0.3"/>
    <row r="15420" ht="14.4" x14ac:dyDescent="0.3"/>
    <row r="15421" ht="14.4" x14ac:dyDescent="0.3"/>
    <row r="15422" ht="14.4" x14ac:dyDescent="0.3"/>
    <row r="15423" ht="14.4" x14ac:dyDescent="0.3"/>
    <row r="15424" ht="14.4" x14ac:dyDescent="0.3"/>
    <row r="15425" ht="14.4" x14ac:dyDescent="0.3"/>
    <row r="15426" ht="14.4" x14ac:dyDescent="0.3"/>
    <row r="15427" ht="14.4" x14ac:dyDescent="0.3"/>
    <row r="15428" ht="14.4" x14ac:dyDescent="0.3"/>
    <row r="15429" ht="14.4" x14ac:dyDescent="0.3"/>
    <row r="15430" ht="14.4" x14ac:dyDescent="0.3"/>
    <row r="15431" ht="14.4" x14ac:dyDescent="0.3"/>
    <row r="15432" ht="14.4" x14ac:dyDescent="0.3"/>
    <row r="15433" ht="14.4" x14ac:dyDescent="0.3"/>
    <row r="15434" ht="14.4" x14ac:dyDescent="0.3"/>
    <row r="15435" ht="14.4" x14ac:dyDescent="0.3"/>
    <row r="15436" ht="14.4" x14ac:dyDescent="0.3"/>
    <row r="15437" ht="14.4" x14ac:dyDescent="0.3"/>
    <row r="15438" ht="14.4" x14ac:dyDescent="0.3"/>
    <row r="15439" ht="14.4" x14ac:dyDescent="0.3"/>
    <row r="15440" ht="14.4" x14ac:dyDescent="0.3"/>
    <row r="15441" ht="14.4" x14ac:dyDescent="0.3"/>
    <row r="15442" ht="14.4" x14ac:dyDescent="0.3"/>
    <row r="15443" ht="14.4" x14ac:dyDescent="0.3"/>
    <row r="15444" ht="14.4" x14ac:dyDescent="0.3"/>
    <row r="15445" ht="14.4" x14ac:dyDescent="0.3"/>
    <row r="15446" ht="14.4" x14ac:dyDescent="0.3"/>
    <row r="15447" ht="14.4" x14ac:dyDescent="0.3"/>
    <row r="15448" ht="14.4" x14ac:dyDescent="0.3"/>
    <row r="15449" ht="14.4" x14ac:dyDescent="0.3"/>
    <row r="15450" ht="14.4" x14ac:dyDescent="0.3"/>
    <row r="15451" ht="14.4" x14ac:dyDescent="0.3"/>
    <row r="15452" ht="14.4" x14ac:dyDescent="0.3"/>
    <row r="15453" ht="14.4" x14ac:dyDescent="0.3"/>
    <row r="15454" ht="14.4" x14ac:dyDescent="0.3"/>
    <row r="15455" ht="14.4" x14ac:dyDescent="0.3"/>
    <row r="15456" ht="14.4" x14ac:dyDescent="0.3"/>
    <row r="15457" ht="14.4" x14ac:dyDescent="0.3"/>
    <row r="15458" ht="14.4" x14ac:dyDescent="0.3"/>
    <row r="15459" ht="14.4" x14ac:dyDescent="0.3"/>
    <row r="15460" ht="14.4" x14ac:dyDescent="0.3"/>
    <row r="15461" ht="14.4" x14ac:dyDescent="0.3"/>
    <row r="15462" ht="14.4" x14ac:dyDescent="0.3"/>
    <row r="15463" ht="14.4" x14ac:dyDescent="0.3"/>
    <row r="15464" ht="14.4" x14ac:dyDescent="0.3"/>
    <row r="15465" ht="14.4" x14ac:dyDescent="0.3"/>
    <row r="15466" ht="14.4" x14ac:dyDescent="0.3"/>
    <row r="15467" ht="14.4" x14ac:dyDescent="0.3"/>
    <row r="15468" ht="14.4" x14ac:dyDescent="0.3"/>
    <row r="15469" ht="14.4" x14ac:dyDescent="0.3"/>
    <row r="15470" ht="14.4" x14ac:dyDescent="0.3"/>
    <row r="15471" ht="14.4" x14ac:dyDescent="0.3"/>
    <row r="15472" ht="14.4" x14ac:dyDescent="0.3"/>
    <row r="15473" ht="14.4" x14ac:dyDescent="0.3"/>
    <row r="15474" ht="14.4" x14ac:dyDescent="0.3"/>
    <row r="15475" ht="14.4" x14ac:dyDescent="0.3"/>
    <row r="15476" ht="14.4" x14ac:dyDescent="0.3"/>
    <row r="15477" ht="14.4" x14ac:dyDescent="0.3"/>
    <row r="15478" ht="14.4" x14ac:dyDescent="0.3"/>
    <row r="15479" ht="14.4" x14ac:dyDescent="0.3"/>
    <row r="15480" ht="14.4" x14ac:dyDescent="0.3"/>
    <row r="15481" ht="14.4" x14ac:dyDescent="0.3"/>
    <row r="15482" ht="14.4" x14ac:dyDescent="0.3"/>
    <row r="15483" ht="14.4" x14ac:dyDescent="0.3"/>
    <row r="15484" ht="14.4" x14ac:dyDescent="0.3"/>
    <row r="15485" ht="14.4" x14ac:dyDescent="0.3"/>
    <row r="15486" ht="14.4" x14ac:dyDescent="0.3"/>
    <row r="15487" ht="14.4" x14ac:dyDescent="0.3"/>
    <row r="15488" ht="14.4" x14ac:dyDescent="0.3"/>
    <row r="15489" ht="14.4" x14ac:dyDescent="0.3"/>
    <row r="15490" ht="14.4" x14ac:dyDescent="0.3"/>
    <row r="15491" ht="14.4" x14ac:dyDescent="0.3"/>
    <row r="15492" ht="14.4" x14ac:dyDescent="0.3"/>
    <row r="15493" ht="14.4" x14ac:dyDescent="0.3"/>
    <row r="15494" ht="14.4" x14ac:dyDescent="0.3"/>
    <row r="15495" ht="14.4" x14ac:dyDescent="0.3"/>
    <row r="15496" ht="14.4" x14ac:dyDescent="0.3"/>
    <row r="15497" ht="14.4" x14ac:dyDescent="0.3"/>
    <row r="15498" ht="14.4" x14ac:dyDescent="0.3"/>
    <row r="15499" ht="14.4" x14ac:dyDescent="0.3"/>
    <row r="15500" ht="14.4" x14ac:dyDescent="0.3"/>
    <row r="15501" ht="14.4" x14ac:dyDescent="0.3"/>
    <row r="15502" ht="14.4" x14ac:dyDescent="0.3"/>
    <row r="15503" ht="14.4" x14ac:dyDescent="0.3"/>
    <row r="15504" ht="14.4" x14ac:dyDescent="0.3"/>
    <row r="15505" ht="14.4" x14ac:dyDescent="0.3"/>
    <row r="15506" ht="14.4" x14ac:dyDescent="0.3"/>
    <row r="15507" ht="14.4" x14ac:dyDescent="0.3"/>
    <row r="15508" ht="14.4" x14ac:dyDescent="0.3"/>
    <row r="15509" ht="14.4" x14ac:dyDescent="0.3"/>
    <row r="15510" ht="14.4" x14ac:dyDescent="0.3"/>
    <row r="15511" ht="14.4" x14ac:dyDescent="0.3"/>
    <row r="15512" ht="14.4" x14ac:dyDescent="0.3"/>
    <row r="15513" ht="14.4" x14ac:dyDescent="0.3"/>
    <row r="15514" ht="14.4" x14ac:dyDescent="0.3"/>
    <row r="15515" ht="14.4" x14ac:dyDescent="0.3"/>
    <row r="15516" ht="14.4" x14ac:dyDescent="0.3"/>
    <row r="15517" ht="14.4" x14ac:dyDescent="0.3"/>
    <row r="15518" ht="14.4" x14ac:dyDescent="0.3"/>
    <row r="15519" ht="14.4" x14ac:dyDescent="0.3"/>
    <row r="15520" ht="14.4" x14ac:dyDescent="0.3"/>
    <row r="15521" ht="14.4" x14ac:dyDescent="0.3"/>
    <row r="15522" ht="14.4" x14ac:dyDescent="0.3"/>
    <row r="15523" ht="14.4" x14ac:dyDescent="0.3"/>
    <row r="15524" ht="14.4" x14ac:dyDescent="0.3"/>
    <row r="15525" ht="14.4" x14ac:dyDescent="0.3"/>
    <row r="15526" ht="14.4" x14ac:dyDescent="0.3"/>
    <row r="15527" ht="14.4" x14ac:dyDescent="0.3"/>
    <row r="15528" ht="14.4" x14ac:dyDescent="0.3"/>
    <row r="15529" ht="14.4" x14ac:dyDescent="0.3"/>
    <row r="15530" ht="14.4" x14ac:dyDescent="0.3"/>
    <row r="15531" ht="14.4" x14ac:dyDescent="0.3"/>
    <row r="15532" ht="14.4" x14ac:dyDescent="0.3"/>
    <row r="15533" ht="14.4" x14ac:dyDescent="0.3"/>
    <row r="15534" ht="14.4" x14ac:dyDescent="0.3"/>
    <row r="15535" ht="14.4" x14ac:dyDescent="0.3"/>
    <row r="15536" ht="14.4" x14ac:dyDescent="0.3"/>
    <row r="15537" ht="14.4" x14ac:dyDescent="0.3"/>
    <row r="15538" ht="14.4" x14ac:dyDescent="0.3"/>
    <row r="15539" ht="14.4" x14ac:dyDescent="0.3"/>
    <row r="15540" ht="14.4" x14ac:dyDescent="0.3"/>
    <row r="15541" ht="14.4" x14ac:dyDescent="0.3"/>
    <row r="15542" ht="14.4" x14ac:dyDescent="0.3"/>
    <row r="15543" ht="14.4" x14ac:dyDescent="0.3"/>
    <row r="15544" ht="14.4" x14ac:dyDescent="0.3"/>
    <row r="15545" ht="14.4" x14ac:dyDescent="0.3"/>
    <row r="15546" ht="14.4" x14ac:dyDescent="0.3"/>
    <row r="15547" ht="14.4" x14ac:dyDescent="0.3"/>
    <row r="15548" ht="14.4" x14ac:dyDescent="0.3"/>
    <row r="15549" ht="14.4" x14ac:dyDescent="0.3"/>
    <row r="15550" ht="14.4" x14ac:dyDescent="0.3"/>
    <row r="15551" ht="14.4" x14ac:dyDescent="0.3"/>
    <row r="15552" ht="14.4" x14ac:dyDescent="0.3"/>
    <row r="15553" ht="14.4" x14ac:dyDescent="0.3"/>
    <row r="15554" ht="14.4" x14ac:dyDescent="0.3"/>
    <row r="15555" ht="14.4" x14ac:dyDescent="0.3"/>
    <row r="15556" ht="14.4" x14ac:dyDescent="0.3"/>
    <row r="15557" ht="14.4" x14ac:dyDescent="0.3"/>
    <row r="15558" ht="14.4" x14ac:dyDescent="0.3"/>
    <row r="15559" ht="14.4" x14ac:dyDescent="0.3"/>
    <row r="15560" ht="14.4" x14ac:dyDescent="0.3"/>
    <row r="15561" ht="14.4" x14ac:dyDescent="0.3"/>
    <row r="15562" ht="14.4" x14ac:dyDescent="0.3"/>
    <row r="15563" ht="14.4" x14ac:dyDescent="0.3"/>
    <row r="15564" ht="14.4" x14ac:dyDescent="0.3"/>
    <row r="15565" ht="14.4" x14ac:dyDescent="0.3"/>
    <row r="15566" ht="14.4" x14ac:dyDescent="0.3"/>
    <row r="15567" ht="14.4" x14ac:dyDescent="0.3"/>
    <row r="15568" ht="14.4" x14ac:dyDescent="0.3"/>
    <row r="15569" ht="14.4" x14ac:dyDescent="0.3"/>
    <row r="15570" ht="14.4" x14ac:dyDescent="0.3"/>
    <row r="15571" ht="14.4" x14ac:dyDescent="0.3"/>
    <row r="15572" ht="14.4" x14ac:dyDescent="0.3"/>
    <row r="15573" ht="14.4" x14ac:dyDescent="0.3"/>
    <row r="15574" ht="14.4" x14ac:dyDescent="0.3"/>
    <row r="15575" ht="14.4" x14ac:dyDescent="0.3"/>
    <row r="15576" ht="14.4" x14ac:dyDescent="0.3"/>
    <row r="15577" ht="14.4" x14ac:dyDescent="0.3"/>
    <row r="15578" ht="14.4" x14ac:dyDescent="0.3"/>
    <row r="15579" ht="14.4" x14ac:dyDescent="0.3"/>
    <row r="15580" ht="14.4" x14ac:dyDescent="0.3"/>
    <row r="15581" ht="14.4" x14ac:dyDescent="0.3"/>
    <row r="15582" ht="14.4" x14ac:dyDescent="0.3"/>
    <row r="15583" ht="14.4" x14ac:dyDescent="0.3"/>
    <row r="15584" ht="14.4" x14ac:dyDescent="0.3"/>
    <row r="15585" ht="14.4" x14ac:dyDescent="0.3"/>
    <row r="15586" ht="14.4" x14ac:dyDescent="0.3"/>
    <row r="15587" ht="14.4" x14ac:dyDescent="0.3"/>
    <row r="15588" ht="14.4" x14ac:dyDescent="0.3"/>
    <row r="15589" ht="14.4" x14ac:dyDescent="0.3"/>
    <row r="15590" ht="14.4" x14ac:dyDescent="0.3"/>
    <row r="15591" ht="14.4" x14ac:dyDescent="0.3"/>
    <row r="15592" ht="14.4" x14ac:dyDescent="0.3"/>
    <row r="15593" ht="14.4" x14ac:dyDescent="0.3"/>
    <row r="15594" ht="14.4" x14ac:dyDescent="0.3"/>
    <row r="15595" ht="14.4" x14ac:dyDescent="0.3"/>
    <row r="15596" ht="14.4" x14ac:dyDescent="0.3"/>
    <row r="15597" ht="14.4" x14ac:dyDescent="0.3"/>
    <row r="15598" ht="14.4" x14ac:dyDescent="0.3"/>
    <row r="15599" ht="14.4" x14ac:dyDescent="0.3"/>
    <row r="15600" ht="14.4" x14ac:dyDescent="0.3"/>
    <row r="15601" ht="14.4" x14ac:dyDescent="0.3"/>
    <row r="15602" ht="14.4" x14ac:dyDescent="0.3"/>
    <row r="15603" ht="14.4" x14ac:dyDescent="0.3"/>
    <row r="15604" ht="14.4" x14ac:dyDescent="0.3"/>
    <row r="15605" ht="14.4" x14ac:dyDescent="0.3"/>
    <row r="15606" ht="14.4" x14ac:dyDescent="0.3"/>
    <row r="15607" ht="14.4" x14ac:dyDescent="0.3"/>
    <row r="15608" ht="14.4" x14ac:dyDescent="0.3"/>
    <row r="15609" ht="14.4" x14ac:dyDescent="0.3"/>
    <row r="15610" ht="14.4" x14ac:dyDescent="0.3"/>
    <row r="15611" ht="14.4" x14ac:dyDescent="0.3"/>
    <row r="15612" ht="14.4" x14ac:dyDescent="0.3"/>
    <row r="15613" ht="14.4" x14ac:dyDescent="0.3"/>
    <row r="15614" ht="14.4" x14ac:dyDescent="0.3"/>
    <row r="15615" ht="14.4" x14ac:dyDescent="0.3"/>
    <row r="15616" ht="14.4" x14ac:dyDescent="0.3"/>
    <row r="15617" ht="14.4" x14ac:dyDescent="0.3"/>
    <row r="15618" ht="14.4" x14ac:dyDescent="0.3"/>
    <row r="15619" ht="14.4" x14ac:dyDescent="0.3"/>
    <row r="15620" ht="14.4" x14ac:dyDescent="0.3"/>
    <row r="15621" ht="14.4" x14ac:dyDescent="0.3"/>
    <row r="15622" ht="14.4" x14ac:dyDescent="0.3"/>
    <row r="15623" ht="14.4" x14ac:dyDescent="0.3"/>
    <row r="15624" ht="14.4" x14ac:dyDescent="0.3"/>
    <row r="15625" ht="14.4" x14ac:dyDescent="0.3"/>
    <row r="15626" ht="14.4" x14ac:dyDescent="0.3"/>
    <row r="15627" ht="14.4" x14ac:dyDescent="0.3"/>
    <row r="15628" ht="14.4" x14ac:dyDescent="0.3"/>
    <row r="15629" ht="14.4" x14ac:dyDescent="0.3"/>
    <row r="15630" ht="14.4" x14ac:dyDescent="0.3"/>
    <row r="15631" ht="14.4" x14ac:dyDescent="0.3"/>
    <row r="15632" ht="14.4" x14ac:dyDescent="0.3"/>
    <row r="15633" ht="14.4" x14ac:dyDescent="0.3"/>
    <row r="15634" ht="14.4" x14ac:dyDescent="0.3"/>
    <row r="15635" ht="14.4" x14ac:dyDescent="0.3"/>
    <row r="15636" ht="14.4" x14ac:dyDescent="0.3"/>
    <row r="15637" ht="14.4" x14ac:dyDescent="0.3"/>
    <row r="15638" ht="14.4" x14ac:dyDescent="0.3"/>
    <row r="15639" ht="14.4" x14ac:dyDescent="0.3"/>
    <row r="15640" ht="14.4" x14ac:dyDescent="0.3"/>
    <row r="15641" ht="14.4" x14ac:dyDescent="0.3"/>
    <row r="15642" ht="14.4" x14ac:dyDescent="0.3"/>
    <row r="15643" ht="14.4" x14ac:dyDescent="0.3"/>
    <row r="15644" ht="14.4" x14ac:dyDescent="0.3"/>
    <row r="15645" ht="14.4" x14ac:dyDescent="0.3"/>
    <row r="15646" ht="14.4" x14ac:dyDescent="0.3"/>
    <row r="15647" ht="14.4" x14ac:dyDescent="0.3"/>
    <row r="15648" ht="14.4" x14ac:dyDescent="0.3"/>
    <row r="15649" ht="14.4" x14ac:dyDescent="0.3"/>
    <row r="15650" ht="14.4" x14ac:dyDescent="0.3"/>
    <row r="15651" ht="14.4" x14ac:dyDescent="0.3"/>
    <row r="15652" ht="14.4" x14ac:dyDescent="0.3"/>
    <row r="15653" ht="14.4" x14ac:dyDescent="0.3"/>
    <row r="15654" ht="14.4" x14ac:dyDescent="0.3"/>
    <row r="15655" ht="14.4" x14ac:dyDescent="0.3"/>
    <row r="15656" ht="14.4" x14ac:dyDescent="0.3"/>
    <row r="15657" ht="14.4" x14ac:dyDescent="0.3"/>
    <row r="15658" ht="14.4" x14ac:dyDescent="0.3"/>
    <row r="15659" ht="14.4" x14ac:dyDescent="0.3"/>
    <row r="15660" ht="14.4" x14ac:dyDescent="0.3"/>
    <row r="15661" ht="14.4" x14ac:dyDescent="0.3"/>
    <row r="15662" ht="14.4" x14ac:dyDescent="0.3"/>
    <row r="15663" ht="14.4" x14ac:dyDescent="0.3"/>
    <row r="15664" ht="14.4" x14ac:dyDescent="0.3"/>
    <row r="15665" ht="14.4" x14ac:dyDescent="0.3"/>
    <row r="15666" ht="14.4" x14ac:dyDescent="0.3"/>
    <row r="15667" ht="14.4" x14ac:dyDescent="0.3"/>
    <row r="15668" ht="14.4" x14ac:dyDescent="0.3"/>
    <row r="15669" ht="14.4" x14ac:dyDescent="0.3"/>
    <row r="15670" ht="14.4" x14ac:dyDescent="0.3"/>
    <row r="15671" ht="14.4" x14ac:dyDescent="0.3"/>
    <row r="15672" ht="14.4" x14ac:dyDescent="0.3"/>
    <row r="15673" ht="14.4" x14ac:dyDescent="0.3"/>
    <row r="15674" ht="14.4" x14ac:dyDescent="0.3"/>
    <row r="15675" ht="14.4" x14ac:dyDescent="0.3"/>
    <row r="15676" ht="14.4" x14ac:dyDescent="0.3"/>
    <row r="15677" ht="14.4" x14ac:dyDescent="0.3"/>
    <row r="15678" ht="14.4" x14ac:dyDescent="0.3"/>
    <row r="15679" ht="14.4" x14ac:dyDescent="0.3"/>
    <row r="15680" ht="14.4" x14ac:dyDescent="0.3"/>
    <row r="15681" ht="14.4" x14ac:dyDescent="0.3"/>
    <row r="15682" ht="14.4" x14ac:dyDescent="0.3"/>
    <row r="15683" ht="14.4" x14ac:dyDescent="0.3"/>
    <row r="15684" ht="14.4" x14ac:dyDescent="0.3"/>
    <row r="15685" ht="14.4" x14ac:dyDescent="0.3"/>
    <row r="15686" ht="14.4" x14ac:dyDescent="0.3"/>
    <row r="15687" ht="14.4" x14ac:dyDescent="0.3"/>
    <row r="15688" ht="14.4" x14ac:dyDescent="0.3"/>
    <row r="15689" ht="14.4" x14ac:dyDescent="0.3"/>
    <row r="15690" ht="14.4" x14ac:dyDescent="0.3"/>
    <row r="15691" ht="14.4" x14ac:dyDescent="0.3"/>
    <row r="15692" ht="14.4" x14ac:dyDescent="0.3"/>
    <row r="15693" ht="14.4" x14ac:dyDescent="0.3"/>
    <row r="15694" ht="14.4" x14ac:dyDescent="0.3"/>
    <row r="15695" ht="14.4" x14ac:dyDescent="0.3"/>
    <row r="15696" ht="14.4" x14ac:dyDescent="0.3"/>
    <row r="15697" ht="14.4" x14ac:dyDescent="0.3"/>
    <row r="15698" ht="14.4" x14ac:dyDescent="0.3"/>
    <row r="15699" ht="14.4" x14ac:dyDescent="0.3"/>
    <row r="15700" ht="14.4" x14ac:dyDescent="0.3"/>
    <row r="15701" ht="14.4" x14ac:dyDescent="0.3"/>
    <row r="15702" ht="14.4" x14ac:dyDescent="0.3"/>
    <row r="15703" ht="14.4" x14ac:dyDescent="0.3"/>
    <row r="15704" ht="14.4" x14ac:dyDescent="0.3"/>
    <row r="15705" ht="14.4" x14ac:dyDescent="0.3"/>
    <row r="15706" ht="14.4" x14ac:dyDescent="0.3"/>
    <row r="15707" ht="14.4" x14ac:dyDescent="0.3"/>
    <row r="15708" ht="14.4" x14ac:dyDescent="0.3"/>
    <row r="15709" ht="14.4" x14ac:dyDescent="0.3"/>
    <row r="15710" ht="14.4" x14ac:dyDescent="0.3"/>
    <row r="15711" ht="14.4" x14ac:dyDescent="0.3"/>
    <row r="15712" ht="14.4" x14ac:dyDescent="0.3"/>
    <row r="15713" ht="14.4" x14ac:dyDescent="0.3"/>
    <row r="15714" ht="14.4" x14ac:dyDescent="0.3"/>
    <row r="15715" ht="14.4" x14ac:dyDescent="0.3"/>
    <row r="15716" ht="14.4" x14ac:dyDescent="0.3"/>
    <row r="15717" ht="14.4" x14ac:dyDescent="0.3"/>
    <row r="15718" ht="14.4" x14ac:dyDescent="0.3"/>
    <row r="15719" ht="14.4" x14ac:dyDescent="0.3"/>
    <row r="15720" ht="14.4" x14ac:dyDescent="0.3"/>
    <row r="15721" ht="14.4" x14ac:dyDescent="0.3"/>
    <row r="15722" ht="14.4" x14ac:dyDescent="0.3"/>
    <row r="15723" ht="14.4" x14ac:dyDescent="0.3"/>
    <row r="15724" ht="14.4" x14ac:dyDescent="0.3"/>
    <row r="15725" ht="14.4" x14ac:dyDescent="0.3"/>
    <row r="15726" ht="14.4" x14ac:dyDescent="0.3"/>
    <row r="15727" ht="14.4" x14ac:dyDescent="0.3"/>
    <row r="15728" ht="14.4" x14ac:dyDescent="0.3"/>
    <row r="15729" ht="14.4" x14ac:dyDescent="0.3"/>
    <row r="15730" ht="14.4" x14ac:dyDescent="0.3"/>
    <row r="15731" ht="14.4" x14ac:dyDescent="0.3"/>
    <row r="15732" ht="14.4" x14ac:dyDescent="0.3"/>
    <row r="15733" ht="14.4" x14ac:dyDescent="0.3"/>
    <row r="15734" ht="14.4" x14ac:dyDescent="0.3"/>
    <row r="15735" ht="14.4" x14ac:dyDescent="0.3"/>
    <row r="15736" ht="14.4" x14ac:dyDescent="0.3"/>
    <row r="15737" ht="14.4" x14ac:dyDescent="0.3"/>
    <row r="15738" ht="14.4" x14ac:dyDescent="0.3"/>
    <row r="15739" ht="14.4" x14ac:dyDescent="0.3"/>
    <row r="15740" ht="14.4" x14ac:dyDescent="0.3"/>
    <row r="15741" ht="14.4" x14ac:dyDescent="0.3"/>
    <row r="15742" ht="14.4" x14ac:dyDescent="0.3"/>
    <row r="15743" ht="14.4" x14ac:dyDescent="0.3"/>
    <row r="15744" ht="14.4" x14ac:dyDescent="0.3"/>
    <row r="15745" ht="14.4" x14ac:dyDescent="0.3"/>
    <row r="15746" ht="14.4" x14ac:dyDescent="0.3"/>
    <row r="15747" ht="14.4" x14ac:dyDescent="0.3"/>
    <row r="15748" ht="14.4" x14ac:dyDescent="0.3"/>
    <row r="15749" ht="14.4" x14ac:dyDescent="0.3"/>
    <row r="15750" ht="14.4" x14ac:dyDescent="0.3"/>
    <row r="15751" ht="14.4" x14ac:dyDescent="0.3"/>
    <row r="15752" ht="14.4" x14ac:dyDescent="0.3"/>
    <row r="15753" ht="14.4" x14ac:dyDescent="0.3"/>
    <row r="15754" ht="14.4" x14ac:dyDescent="0.3"/>
    <row r="15755" ht="14.4" x14ac:dyDescent="0.3"/>
    <row r="15756" ht="14.4" x14ac:dyDescent="0.3"/>
    <row r="15757" ht="14.4" x14ac:dyDescent="0.3"/>
    <row r="15758" ht="14.4" x14ac:dyDescent="0.3"/>
    <row r="15759" ht="14.4" x14ac:dyDescent="0.3"/>
    <row r="15760" ht="14.4" x14ac:dyDescent="0.3"/>
    <row r="15761" ht="14.4" x14ac:dyDescent="0.3"/>
    <row r="15762" ht="14.4" x14ac:dyDescent="0.3"/>
    <row r="15763" ht="14.4" x14ac:dyDescent="0.3"/>
    <row r="15764" ht="14.4" x14ac:dyDescent="0.3"/>
    <row r="15765" ht="14.4" x14ac:dyDescent="0.3"/>
    <row r="15766" ht="14.4" x14ac:dyDescent="0.3"/>
    <row r="15767" ht="14.4" x14ac:dyDescent="0.3"/>
    <row r="15768" ht="14.4" x14ac:dyDescent="0.3"/>
    <row r="15769" ht="14.4" x14ac:dyDescent="0.3"/>
    <row r="15770" ht="14.4" x14ac:dyDescent="0.3"/>
    <row r="15771" ht="14.4" x14ac:dyDescent="0.3"/>
    <row r="15772" ht="14.4" x14ac:dyDescent="0.3"/>
    <row r="15773" ht="14.4" x14ac:dyDescent="0.3"/>
    <row r="15774" ht="14.4" x14ac:dyDescent="0.3"/>
    <row r="15775" ht="14.4" x14ac:dyDescent="0.3"/>
    <row r="15776" ht="14.4" x14ac:dyDescent="0.3"/>
    <row r="15777" spans="1:43" ht="14.4" x14ac:dyDescent="0.3"/>
    <row r="15778" spans="1:43" ht="14.4" x14ac:dyDescent="0.3"/>
    <row r="15779" spans="1:43" ht="14.4" x14ac:dyDescent="0.3"/>
    <row r="15780" spans="1:43" ht="14.4" x14ac:dyDescent="0.3"/>
    <row r="15781" spans="1:43" ht="14.4" x14ac:dyDescent="0.3"/>
    <row r="15782" spans="1:43" ht="14.4" x14ac:dyDescent="0.3"/>
    <row r="15783" spans="1:43" ht="14.4" x14ac:dyDescent="0.3"/>
    <row r="15784" spans="1:43" ht="14.4" x14ac:dyDescent="0.3"/>
    <row r="15785" spans="1:43" ht="14.4" x14ac:dyDescent="0.3"/>
    <row r="15786" spans="1:43" ht="14.4" x14ac:dyDescent="0.3"/>
    <row r="15787" spans="1:43" ht="14.4" x14ac:dyDescent="0.3"/>
    <row r="15788" spans="1:43" ht="14.4" hidden="1" x14ac:dyDescent="0.3">
      <c r="A15788" t="s">
        <v>2031</v>
      </c>
      <c r="B15788">
        <v>4905871</v>
      </c>
      <c r="C15788" t="s">
        <v>135</v>
      </c>
      <c r="D15788" t="s">
        <v>136</v>
      </c>
      <c r="E15788" t="s">
        <v>318</v>
      </c>
      <c r="F15788" t="s">
        <v>537</v>
      </c>
      <c r="H15788" t="s">
        <v>600</v>
      </c>
      <c r="J15788" t="s">
        <v>140</v>
      </c>
      <c r="K15788">
        <v>155387.06599999999</v>
      </c>
      <c r="L15788">
        <v>385294.86800000002</v>
      </c>
      <c r="M15788">
        <v>1</v>
      </c>
      <c r="N15788" t="s">
        <v>2032</v>
      </c>
      <c r="O15788" t="s">
        <v>862</v>
      </c>
      <c r="P15788" t="s">
        <v>536</v>
      </c>
      <c r="Q15788" t="s">
        <v>144</v>
      </c>
      <c r="S15788">
        <v>53</v>
      </c>
      <c r="T15788">
        <v>6800</v>
      </c>
      <c r="V15788" t="s">
        <v>146</v>
      </c>
      <c r="W15788" t="s">
        <v>147</v>
      </c>
      <c r="X15788" t="s">
        <v>7</v>
      </c>
      <c r="Y15788" t="s">
        <v>2033</v>
      </c>
      <c r="Z15788" t="s">
        <v>862</v>
      </c>
      <c r="AA15788" t="s">
        <v>2034</v>
      </c>
      <c r="AB15788">
        <v>0</v>
      </c>
      <c r="AE15788" t="s">
        <v>2035</v>
      </c>
      <c r="AF15788" t="s">
        <v>862</v>
      </c>
      <c r="AG15788" t="s">
        <v>2036</v>
      </c>
      <c r="AL15788" t="s">
        <v>2037</v>
      </c>
      <c r="AM15788" t="s">
        <v>2038</v>
      </c>
      <c r="AN15788" t="s">
        <v>2039</v>
      </c>
      <c r="AO15788" t="s">
        <v>2032</v>
      </c>
      <c r="AP15788" t="s">
        <v>158</v>
      </c>
      <c r="AQ15788" t="str">
        <f>IF(ISBLANK(AP15788), IFERROR(IF(VLOOKUP(AO15788, Ellens_additions!$A$2:$B$252, 2, FALSE) = "", "", VLOOKUP(AO15788, Ellens_additions!$A$2:$B$252, 2, FALSE)), 0), AP15788)</f>
        <v>3000</v>
      </c>
    </row>
    <row r="15789" spans="1:43" ht="14.4" x14ac:dyDescent="0.3"/>
    <row r="15790" spans="1:43" ht="14.4" x14ac:dyDescent="0.3"/>
    <row r="15791" spans="1:43" ht="14.4" x14ac:dyDescent="0.3"/>
    <row r="15792" spans="1:43" ht="14.4" x14ac:dyDescent="0.3"/>
    <row r="15793" ht="14.4" x14ac:dyDescent="0.3"/>
    <row r="15794" ht="14.4" x14ac:dyDescent="0.3"/>
    <row r="15795" ht="14.4" x14ac:dyDescent="0.3"/>
    <row r="15796" ht="14.4" x14ac:dyDescent="0.3"/>
    <row r="15797" ht="14.4" x14ac:dyDescent="0.3"/>
    <row r="15798" ht="14.4" x14ac:dyDescent="0.3"/>
    <row r="15799" ht="14.4" x14ac:dyDescent="0.3"/>
    <row r="15800" ht="14.4" x14ac:dyDescent="0.3"/>
    <row r="15801" ht="14.4" x14ac:dyDescent="0.3"/>
    <row r="15802" ht="14.4" x14ac:dyDescent="0.3"/>
    <row r="15803" ht="14.4" x14ac:dyDescent="0.3"/>
    <row r="15804" ht="14.4" x14ac:dyDescent="0.3"/>
    <row r="15805" ht="14.4" x14ac:dyDescent="0.3"/>
    <row r="15806" ht="14.4" x14ac:dyDescent="0.3"/>
    <row r="15807" ht="14.4" x14ac:dyDescent="0.3"/>
    <row r="15808" ht="14.4" x14ac:dyDescent="0.3"/>
    <row r="15809" ht="14.4" x14ac:dyDescent="0.3"/>
    <row r="15810" ht="14.4" x14ac:dyDescent="0.3"/>
    <row r="15811" ht="14.4" x14ac:dyDescent="0.3"/>
    <row r="15812" ht="14.4" x14ac:dyDescent="0.3"/>
    <row r="15813" ht="14.4" x14ac:dyDescent="0.3"/>
    <row r="15814" ht="14.4" x14ac:dyDescent="0.3"/>
    <row r="15815" ht="14.4" x14ac:dyDescent="0.3"/>
    <row r="15816" ht="14.4" x14ac:dyDescent="0.3"/>
    <row r="15817" ht="14.4" x14ac:dyDescent="0.3"/>
    <row r="15818" ht="14.4" x14ac:dyDescent="0.3"/>
    <row r="15819" ht="14.4" x14ac:dyDescent="0.3"/>
    <row r="15820" ht="14.4" x14ac:dyDescent="0.3"/>
    <row r="15821" ht="14.4" x14ac:dyDescent="0.3"/>
    <row r="15822" ht="14.4" x14ac:dyDescent="0.3"/>
    <row r="15823" ht="14.4" x14ac:dyDescent="0.3"/>
    <row r="15824" ht="14.4" x14ac:dyDescent="0.3"/>
    <row r="15825" ht="14.4" x14ac:dyDescent="0.3"/>
    <row r="15826" ht="14.4" x14ac:dyDescent="0.3"/>
    <row r="15827" ht="14.4" x14ac:dyDescent="0.3"/>
    <row r="15828" ht="14.4" x14ac:dyDescent="0.3"/>
    <row r="15829" ht="14.4" x14ac:dyDescent="0.3"/>
    <row r="15830" ht="14.4" x14ac:dyDescent="0.3"/>
    <row r="15831" ht="14.4" x14ac:dyDescent="0.3"/>
    <row r="15832" ht="14.4" x14ac:dyDescent="0.3"/>
    <row r="15833" ht="14.4" x14ac:dyDescent="0.3"/>
    <row r="15834" ht="14.4" x14ac:dyDescent="0.3"/>
    <row r="15835" ht="14.4" x14ac:dyDescent="0.3"/>
    <row r="15836" ht="14.4" x14ac:dyDescent="0.3"/>
    <row r="15837" ht="14.4" x14ac:dyDescent="0.3"/>
    <row r="15838" ht="14.4" x14ac:dyDescent="0.3"/>
    <row r="15839" ht="14.4" x14ac:dyDescent="0.3"/>
    <row r="15840" ht="14.4" x14ac:dyDescent="0.3"/>
    <row r="15841" ht="14.4" x14ac:dyDescent="0.3"/>
    <row r="15842" ht="14.4" x14ac:dyDescent="0.3"/>
    <row r="15843" ht="14.4" x14ac:dyDescent="0.3"/>
    <row r="15844" ht="14.4" x14ac:dyDescent="0.3"/>
    <row r="15845" ht="14.4" x14ac:dyDescent="0.3"/>
    <row r="15846" ht="14.4" x14ac:dyDescent="0.3"/>
    <row r="15847" ht="14.4" x14ac:dyDescent="0.3"/>
    <row r="15848" ht="14.4" x14ac:dyDescent="0.3"/>
    <row r="15849" ht="14.4" x14ac:dyDescent="0.3"/>
    <row r="15850" ht="14.4" x14ac:dyDescent="0.3"/>
    <row r="15851" ht="14.4" x14ac:dyDescent="0.3"/>
    <row r="15852" ht="14.4" x14ac:dyDescent="0.3"/>
    <row r="15853" ht="14.4" x14ac:dyDescent="0.3"/>
    <row r="15854" ht="14.4" x14ac:dyDescent="0.3"/>
    <row r="15855" ht="14.4" x14ac:dyDescent="0.3"/>
    <row r="15856" ht="14.4" x14ac:dyDescent="0.3"/>
    <row r="15857" ht="14.4" x14ac:dyDescent="0.3"/>
    <row r="15858" ht="14.4" x14ac:dyDescent="0.3"/>
    <row r="15859" ht="14.4" x14ac:dyDescent="0.3"/>
    <row r="15860" ht="14.4" x14ac:dyDescent="0.3"/>
    <row r="15861" ht="14.4" x14ac:dyDescent="0.3"/>
    <row r="15862" ht="14.4" x14ac:dyDescent="0.3"/>
    <row r="15863" ht="14.4" x14ac:dyDescent="0.3"/>
    <row r="15864" ht="14.4" x14ac:dyDescent="0.3"/>
    <row r="15865" ht="14.4" x14ac:dyDescent="0.3"/>
    <row r="15866" ht="14.4" x14ac:dyDescent="0.3"/>
    <row r="15867" ht="14.4" x14ac:dyDescent="0.3"/>
    <row r="15868" ht="14.4" x14ac:dyDescent="0.3"/>
    <row r="15869" ht="14.4" x14ac:dyDescent="0.3"/>
    <row r="15870" ht="14.4" x14ac:dyDescent="0.3"/>
    <row r="15871" ht="14.4" x14ac:dyDescent="0.3"/>
    <row r="15872" ht="14.4" x14ac:dyDescent="0.3"/>
    <row r="15873" ht="14.4" x14ac:dyDescent="0.3"/>
    <row r="15874" ht="14.4" x14ac:dyDescent="0.3"/>
    <row r="15875" ht="14.4" x14ac:dyDescent="0.3"/>
    <row r="15876" ht="14.4" x14ac:dyDescent="0.3"/>
    <row r="15877" ht="14.4" x14ac:dyDescent="0.3"/>
    <row r="15878" ht="14.4" x14ac:dyDescent="0.3"/>
    <row r="15879" ht="14.4" x14ac:dyDescent="0.3"/>
    <row r="15880" ht="14.4" x14ac:dyDescent="0.3"/>
    <row r="15881" ht="14.4" x14ac:dyDescent="0.3"/>
    <row r="15882" ht="14.4" x14ac:dyDescent="0.3"/>
    <row r="15883" ht="14.4" x14ac:dyDescent="0.3"/>
    <row r="15884" ht="14.4" x14ac:dyDescent="0.3"/>
    <row r="15885" ht="14.4" x14ac:dyDescent="0.3"/>
    <row r="15886" ht="14.4" x14ac:dyDescent="0.3"/>
    <row r="15887" ht="14.4" x14ac:dyDescent="0.3"/>
    <row r="15888" ht="14.4" x14ac:dyDescent="0.3"/>
    <row r="15889" ht="14.4" x14ac:dyDescent="0.3"/>
    <row r="15890" ht="14.4" x14ac:dyDescent="0.3"/>
    <row r="15891" ht="14.4" x14ac:dyDescent="0.3"/>
    <row r="15892" ht="14.4" x14ac:dyDescent="0.3"/>
    <row r="15893" ht="14.4" x14ac:dyDescent="0.3"/>
    <row r="15894" ht="14.4" x14ac:dyDescent="0.3"/>
    <row r="15895" ht="14.4" x14ac:dyDescent="0.3"/>
    <row r="15896" ht="14.4" x14ac:dyDescent="0.3"/>
    <row r="15897" ht="14.4" x14ac:dyDescent="0.3"/>
    <row r="15898" ht="14.4" x14ac:dyDescent="0.3"/>
    <row r="15899" ht="14.4" x14ac:dyDescent="0.3"/>
    <row r="15900" ht="14.4" x14ac:dyDescent="0.3"/>
    <row r="15901" ht="14.4" x14ac:dyDescent="0.3"/>
    <row r="15902" ht="14.4" x14ac:dyDescent="0.3"/>
    <row r="15903" ht="14.4" x14ac:dyDescent="0.3"/>
    <row r="15904" ht="14.4" x14ac:dyDescent="0.3"/>
    <row r="15905" ht="14.4" x14ac:dyDescent="0.3"/>
    <row r="15906" ht="14.4" x14ac:dyDescent="0.3"/>
    <row r="15907" ht="14.4" x14ac:dyDescent="0.3"/>
    <row r="15908" ht="14.4" x14ac:dyDescent="0.3"/>
    <row r="15909" ht="14.4" x14ac:dyDescent="0.3"/>
    <row r="15910" ht="14.4" x14ac:dyDescent="0.3"/>
    <row r="15911" ht="14.4" x14ac:dyDescent="0.3"/>
    <row r="15912" ht="14.4" x14ac:dyDescent="0.3"/>
    <row r="15913" ht="14.4" x14ac:dyDescent="0.3"/>
    <row r="15914" ht="14.4" x14ac:dyDescent="0.3"/>
    <row r="15915" ht="14.4" x14ac:dyDescent="0.3"/>
    <row r="15916" ht="14.4" x14ac:dyDescent="0.3"/>
    <row r="15917" ht="14.4" x14ac:dyDescent="0.3"/>
    <row r="15918" ht="14.4" x14ac:dyDescent="0.3"/>
    <row r="15919" ht="14.4" x14ac:dyDescent="0.3"/>
    <row r="15920" ht="14.4" x14ac:dyDescent="0.3"/>
    <row r="15921" ht="14.4" x14ac:dyDescent="0.3"/>
    <row r="15922" ht="14.4" x14ac:dyDescent="0.3"/>
    <row r="15923" ht="14.4" x14ac:dyDescent="0.3"/>
    <row r="15924" ht="14.4" x14ac:dyDescent="0.3"/>
    <row r="15925" ht="14.4" x14ac:dyDescent="0.3"/>
    <row r="15926" ht="14.4" x14ac:dyDescent="0.3"/>
    <row r="15927" ht="14.4" x14ac:dyDescent="0.3"/>
    <row r="15928" ht="14.4" x14ac:dyDescent="0.3"/>
    <row r="15929" ht="14.4" x14ac:dyDescent="0.3"/>
    <row r="15930" ht="14.4" x14ac:dyDescent="0.3"/>
    <row r="15931" ht="14.4" x14ac:dyDescent="0.3"/>
    <row r="15932" ht="14.4" x14ac:dyDescent="0.3"/>
    <row r="15933" ht="14.4" x14ac:dyDescent="0.3"/>
    <row r="15934" ht="14.4" x14ac:dyDescent="0.3"/>
    <row r="15935" ht="14.4" x14ac:dyDescent="0.3"/>
    <row r="15936" ht="14.4" x14ac:dyDescent="0.3"/>
    <row r="15937" ht="14.4" x14ac:dyDescent="0.3"/>
    <row r="15938" ht="14.4" x14ac:dyDescent="0.3"/>
    <row r="15939" ht="14.4" x14ac:dyDescent="0.3"/>
    <row r="15940" ht="14.4" x14ac:dyDescent="0.3"/>
    <row r="15941" ht="14.4" x14ac:dyDescent="0.3"/>
    <row r="15942" ht="14.4" x14ac:dyDescent="0.3"/>
    <row r="15943" ht="14.4" x14ac:dyDescent="0.3"/>
    <row r="15944" ht="14.4" x14ac:dyDescent="0.3"/>
    <row r="15945" ht="14.4" x14ac:dyDescent="0.3"/>
    <row r="15946" ht="14.4" x14ac:dyDescent="0.3"/>
    <row r="15947" ht="14.4" x14ac:dyDescent="0.3"/>
    <row r="15948" ht="14.4" x14ac:dyDescent="0.3"/>
    <row r="15949" ht="14.4" x14ac:dyDescent="0.3"/>
    <row r="15950" ht="14.4" x14ac:dyDescent="0.3"/>
    <row r="15951" ht="14.4" x14ac:dyDescent="0.3"/>
    <row r="15952" ht="14.4" x14ac:dyDescent="0.3"/>
    <row r="15953" ht="14.4" x14ac:dyDescent="0.3"/>
    <row r="15954" ht="14.4" x14ac:dyDescent="0.3"/>
    <row r="15955" ht="14.4" x14ac:dyDescent="0.3"/>
    <row r="15956" ht="14.4" x14ac:dyDescent="0.3"/>
    <row r="15957" ht="14.4" x14ac:dyDescent="0.3"/>
    <row r="15958" ht="14.4" x14ac:dyDescent="0.3"/>
    <row r="15959" ht="14.4" x14ac:dyDescent="0.3"/>
    <row r="15960" ht="14.4" x14ac:dyDescent="0.3"/>
    <row r="15961" ht="14.4" x14ac:dyDescent="0.3"/>
    <row r="15962" ht="14.4" x14ac:dyDescent="0.3"/>
    <row r="15963" ht="14.4" x14ac:dyDescent="0.3"/>
    <row r="15964" ht="14.4" x14ac:dyDescent="0.3"/>
    <row r="15965" ht="14.4" x14ac:dyDescent="0.3"/>
    <row r="15966" ht="14.4" x14ac:dyDescent="0.3"/>
    <row r="15967" ht="14.4" x14ac:dyDescent="0.3"/>
    <row r="15968" ht="14.4" x14ac:dyDescent="0.3"/>
    <row r="15969" ht="14.4" x14ac:dyDescent="0.3"/>
    <row r="15970" ht="14.4" x14ac:dyDescent="0.3"/>
    <row r="15971" ht="14.4" x14ac:dyDescent="0.3"/>
    <row r="15972" ht="14.4" x14ac:dyDescent="0.3"/>
    <row r="15973" ht="14.4" x14ac:dyDescent="0.3"/>
    <row r="15974" ht="14.4" x14ac:dyDescent="0.3"/>
    <row r="15975" ht="14.4" x14ac:dyDescent="0.3"/>
    <row r="15976" ht="14.4" x14ac:dyDescent="0.3"/>
    <row r="15977" ht="14.4" x14ac:dyDescent="0.3"/>
    <row r="15978" ht="14.4" x14ac:dyDescent="0.3"/>
    <row r="15979" ht="14.4" x14ac:dyDescent="0.3"/>
    <row r="15980" ht="14.4" x14ac:dyDescent="0.3"/>
    <row r="15981" ht="14.4" x14ac:dyDescent="0.3"/>
    <row r="15982" ht="14.4" x14ac:dyDescent="0.3"/>
    <row r="15983" ht="14.4" x14ac:dyDescent="0.3"/>
    <row r="15984" ht="14.4" x14ac:dyDescent="0.3"/>
    <row r="15985" ht="14.4" x14ac:dyDescent="0.3"/>
    <row r="15986" ht="14.4" x14ac:dyDescent="0.3"/>
    <row r="15987" ht="14.4" x14ac:dyDescent="0.3"/>
    <row r="15988" ht="14.4" x14ac:dyDescent="0.3"/>
    <row r="15989" ht="14.4" x14ac:dyDescent="0.3"/>
    <row r="15990" ht="14.4" x14ac:dyDescent="0.3"/>
    <row r="15991" ht="14.4" x14ac:dyDescent="0.3"/>
    <row r="15992" ht="14.4" x14ac:dyDescent="0.3"/>
    <row r="15993" ht="14.4" x14ac:dyDescent="0.3"/>
    <row r="15994" ht="14.4" x14ac:dyDescent="0.3"/>
    <row r="15995" ht="14.4" x14ac:dyDescent="0.3"/>
    <row r="15996" ht="14.4" x14ac:dyDescent="0.3"/>
    <row r="15997" ht="14.4" x14ac:dyDescent="0.3"/>
    <row r="15998" ht="14.4" x14ac:dyDescent="0.3"/>
    <row r="15999" ht="14.4" x14ac:dyDescent="0.3"/>
    <row r="16000" ht="14.4" x14ac:dyDescent="0.3"/>
    <row r="16001" ht="14.4" x14ac:dyDescent="0.3"/>
    <row r="16002" ht="14.4" x14ac:dyDescent="0.3"/>
    <row r="16003" ht="14.4" x14ac:dyDescent="0.3"/>
    <row r="16004" ht="14.4" x14ac:dyDescent="0.3"/>
    <row r="16005" ht="14.4" x14ac:dyDescent="0.3"/>
    <row r="16006" ht="14.4" x14ac:dyDescent="0.3"/>
    <row r="16007" ht="14.4" x14ac:dyDescent="0.3"/>
    <row r="16008" ht="14.4" x14ac:dyDescent="0.3"/>
    <row r="16009" ht="14.4" x14ac:dyDescent="0.3"/>
    <row r="16010" ht="14.4" x14ac:dyDescent="0.3"/>
    <row r="16011" ht="14.4" x14ac:dyDescent="0.3"/>
    <row r="16012" ht="14.4" x14ac:dyDescent="0.3"/>
    <row r="16013" ht="14.4" x14ac:dyDescent="0.3"/>
    <row r="16014" ht="14.4" x14ac:dyDescent="0.3"/>
    <row r="16015" ht="14.4" x14ac:dyDescent="0.3"/>
    <row r="16016" ht="14.4" x14ac:dyDescent="0.3"/>
    <row r="16017" ht="14.4" x14ac:dyDescent="0.3"/>
    <row r="16018" ht="14.4" x14ac:dyDescent="0.3"/>
    <row r="16019" ht="14.4" x14ac:dyDescent="0.3"/>
    <row r="16020" ht="14.4" x14ac:dyDescent="0.3"/>
    <row r="16021" ht="14.4" x14ac:dyDescent="0.3"/>
    <row r="16022" ht="14.4" x14ac:dyDescent="0.3"/>
    <row r="16023" ht="14.4" x14ac:dyDescent="0.3"/>
    <row r="16024" ht="14.4" x14ac:dyDescent="0.3"/>
    <row r="16025" ht="14.4" x14ac:dyDescent="0.3"/>
    <row r="16026" ht="14.4" x14ac:dyDescent="0.3"/>
    <row r="16027" ht="14.4" x14ac:dyDescent="0.3"/>
    <row r="16028" ht="14.4" x14ac:dyDescent="0.3"/>
    <row r="16029" ht="14.4" x14ac:dyDescent="0.3"/>
    <row r="16030" ht="14.4" x14ac:dyDescent="0.3"/>
    <row r="16031" ht="14.4" x14ac:dyDescent="0.3"/>
    <row r="16032" ht="14.4" x14ac:dyDescent="0.3"/>
    <row r="16033" ht="14.4" x14ac:dyDescent="0.3"/>
    <row r="16034" ht="14.4" x14ac:dyDescent="0.3"/>
    <row r="16035" ht="14.4" x14ac:dyDescent="0.3"/>
    <row r="16036" ht="14.4" x14ac:dyDescent="0.3"/>
    <row r="16037" ht="14.4" x14ac:dyDescent="0.3"/>
    <row r="16038" ht="14.4" x14ac:dyDescent="0.3"/>
    <row r="16039" ht="14.4" x14ac:dyDescent="0.3"/>
    <row r="16040" ht="14.4" x14ac:dyDescent="0.3"/>
    <row r="16041" ht="14.4" x14ac:dyDescent="0.3"/>
    <row r="16042" ht="14.4" x14ac:dyDescent="0.3"/>
    <row r="16043" ht="14.4" x14ac:dyDescent="0.3"/>
    <row r="16044" ht="14.4" x14ac:dyDescent="0.3"/>
    <row r="16045" ht="14.4" x14ac:dyDescent="0.3"/>
    <row r="16046" ht="14.4" x14ac:dyDescent="0.3"/>
    <row r="16047" ht="14.4" x14ac:dyDescent="0.3"/>
    <row r="16048" ht="14.4" x14ac:dyDescent="0.3"/>
    <row r="16049" ht="14.4" x14ac:dyDescent="0.3"/>
    <row r="16050" ht="14.4" x14ac:dyDescent="0.3"/>
    <row r="16051" ht="14.4" x14ac:dyDescent="0.3"/>
    <row r="16052" ht="14.4" x14ac:dyDescent="0.3"/>
    <row r="16053" ht="14.4" x14ac:dyDescent="0.3"/>
    <row r="16054" ht="14.4" x14ac:dyDescent="0.3"/>
    <row r="16055" ht="14.4" x14ac:dyDescent="0.3"/>
    <row r="16056" ht="14.4" x14ac:dyDescent="0.3"/>
    <row r="16057" ht="14.4" x14ac:dyDescent="0.3"/>
    <row r="16058" ht="14.4" x14ac:dyDescent="0.3"/>
    <row r="16059" ht="14.4" x14ac:dyDescent="0.3"/>
    <row r="16060" ht="14.4" x14ac:dyDescent="0.3"/>
    <row r="16061" ht="14.4" x14ac:dyDescent="0.3"/>
    <row r="16062" ht="14.4" x14ac:dyDescent="0.3"/>
    <row r="16063" ht="14.4" x14ac:dyDescent="0.3"/>
    <row r="16064" ht="14.4" x14ac:dyDescent="0.3"/>
    <row r="16065" ht="14.4" x14ac:dyDescent="0.3"/>
    <row r="16066" ht="14.4" x14ac:dyDescent="0.3"/>
    <row r="16067" ht="14.4" x14ac:dyDescent="0.3"/>
    <row r="16068" ht="14.4" x14ac:dyDescent="0.3"/>
    <row r="16069" ht="14.4" x14ac:dyDescent="0.3"/>
    <row r="16070" ht="14.4" x14ac:dyDescent="0.3"/>
    <row r="16071" ht="14.4" x14ac:dyDescent="0.3"/>
    <row r="16072" ht="14.4" x14ac:dyDescent="0.3"/>
    <row r="16073" ht="14.4" x14ac:dyDescent="0.3"/>
    <row r="16074" ht="14.4" x14ac:dyDescent="0.3"/>
    <row r="16075" ht="14.4" x14ac:dyDescent="0.3"/>
    <row r="16076" ht="14.4" x14ac:dyDescent="0.3"/>
    <row r="16077" ht="14.4" x14ac:dyDescent="0.3"/>
    <row r="16078" ht="14.4" x14ac:dyDescent="0.3"/>
    <row r="16079" ht="14.4" x14ac:dyDescent="0.3"/>
    <row r="16080" ht="14.4" x14ac:dyDescent="0.3"/>
    <row r="16081" ht="14.4" x14ac:dyDescent="0.3"/>
    <row r="16082" ht="14.4" x14ac:dyDescent="0.3"/>
    <row r="16083" ht="14.4" x14ac:dyDescent="0.3"/>
    <row r="16084" ht="14.4" x14ac:dyDescent="0.3"/>
    <row r="16085" ht="14.4" x14ac:dyDescent="0.3"/>
    <row r="16086" ht="14.4" x14ac:dyDescent="0.3"/>
    <row r="16087" ht="14.4" x14ac:dyDescent="0.3"/>
    <row r="16088" ht="14.4" x14ac:dyDescent="0.3"/>
    <row r="16089" ht="14.4" x14ac:dyDescent="0.3"/>
    <row r="16090" ht="14.4" x14ac:dyDescent="0.3"/>
    <row r="16091" ht="14.4" x14ac:dyDescent="0.3"/>
    <row r="16092" ht="14.4" x14ac:dyDescent="0.3"/>
    <row r="16093" ht="14.4" x14ac:dyDescent="0.3"/>
    <row r="16094" ht="14.4" x14ac:dyDescent="0.3"/>
    <row r="16095" ht="14.4" x14ac:dyDescent="0.3"/>
    <row r="16096" ht="14.4" x14ac:dyDescent="0.3"/>
    <row r="16097" ht="14.4" x14ac:dyDescent="0.3"/>
    <row r="16098" ht="14.4" x14ac:dyDescent="0.3"/>
    <row r="16099" ht="14.4" x14ac:dyDescent="0.3"/>
    <row r="16100" ht="14.4" x14ac:dyDescent="0.3"/>
    <row r="16101" ht="14.4" x14ac:dyDescent="0.3"/>
    <row r="16102" ht="14.4" x14ac:dyDescent="0.3"/>
    <row r="16103" ht="14.4" x14ac:dyDescent="0.3"/>
    <row r="16104" ht="14.4" x14ac:dyDescent="0.3"/>
    <row r="16105" ht="14.4" x14ac:dyDescent="0.3"/>
    <row r="16106" ht="14.4" x14ac:dyDescent="0.3"/>
    <row r="16107" ht="14.4" x14ac:dyDescent="0.3"/>
    <row r="16108" ht="14.4" x14ac:dyDescent="0.3"/>
    <row r="16109" ht="14.4" x14ac:dyDescent="0.3"/>
    <row r="16110" ht="14.4" x14ac:dyDescent="0.3"/>
    <row r="16111" ht="14.4" x14ac:dyDescent="0.3"/>
    <row r="16112" ht="14.4" x14ac:dyDescent="0.3"/>
    <row r="16113" ht="14.4" x14ac:dyDescent="0.3"/>
    <row r="16114" ht="14.4" x14ac:dyDescent="0.3"/>
    <row r="16115" ht="14.4" x14ac:dyDescent="0.3"/>
    <row r="16116" ht="14.4" x14ac:dyDescent="0.3"/>
    <row r="16117" ht="14.4" x14ac:dyDescent="0.3"/>
    <row r="16118" ht="14.4" x14ac:dyDescent="0.3"/>
    <row r="16119" ht="14.4" x14ac:dyDescent="0.3"/>
    <row r="16120" ht="14.4" x14ac:dyDescent="0.3"/>
    <row r="16121" ht="14.4" x14ac:dyDescent="0.3"/>
    <row r="16122" ht="14.4" x14ac:dyDescent="0.3"/>
    <row r="16123" ht="14.4" x14ac:dyDescent="0.3"/>
    <row r="16124" ht="14.4" x14ac:dyDescent="0.3"/>
    <row r="16125" ht="14.4" x14ac:dyDescent="0.3"/>
    <row r="16126" ht="14.4" x14ac:dyDescent="0.3"/>
    <row r="16127" ht="14.4" x14ac:dyDescent="0.3"/>
    <row r="16128" ht="14.4" x14ac:dyDescent="0.3"/>
    <row r="16129" ht="14.4" x14ac:dyDescent="0.3"/>
    <row r="16130" ht="14.4" x14ac:dyDescent="0.3"/>
    <row r="16131" ht="14.4" x14ac:dyDescent="0.3"/>
    <row r="16132" ht="14.4" x14ac:dyDescent="0.3"/>
    <row r="16133" ht="14.4" x14ac:dyDescent="0.3"/>
    <row r="16134" ht="14.4" x14ac:dyDescent="0.3"/>
    <row r="16135" ht="14.4" x14ac:dyDescent="0.3"/>
    <row r="16136" ht="14.4" x14ac:dyDescent="0.3"/>
    <row r="16137" ht="14.4" x14ac:dyDescent="0.3"/>
    <row r="16138" ht="14.4" x14ac:dyDescent="0.3"/>
    <row r="16139" ht="14.4" x14ac:dyDescent="0.3"/>
    <row r="16140" ht="14.4" x14ac:dyDescent="0.3"/>
    <row r="16141" ht="14.4" x14ac:dyDescent="0.3"/>
    <row r="16142" ht="14.4" x14ac:dyDescent="0.3"/>
    <row r="16143" ht="14.4" x14ac:dyDescent="0.3"/>
    <row r="16144" ht="14.4" x14ac:dyDescent="0.3"/>
    <row r="16145" ht="14.4" x14ac:dyDescent="0.3"/>
    <row r="16146" ht="14.4" x14ac:dyDescent="0.3"/>
    <row r="16147" ht="14.4" x14ac:dyDescent="0.3"/>
    <row r="16148" ht="14.4" x14ac:dyDescent="0.3"/>
    <row r="16149" ht="14.4" x14ac:dyDescent="0.3"/>
    <row r="16150" ht="14.4" x14ac:dyDescent="0.3"/>
    <row r="16151" ht="14.4" x14ac:dyDescent="0.3"/>
    <row r="16152" ht="14.4" x14ac:dyDescent="0.3"/>
    <row r="16153" ht="14.4" x14ac:dyDescent="0.3"/>
    <row r="16154" ht="14.4" x14ac:dyDescent="0.3"/>
    <row r="16155" ht="14.4" x14ac:dyDescent="0.3"/>
    <row r="16156" ht="14.4" x14ac:dyDescent="0.3"/>
    <row r="16157" ht="14.4" x14ac:dyDescent="0.3"/>
    <row r="16158" ht="14.4" x14ac:dyDescent="0.3"/>
    <row r="16159" ht="14.4" x14ac:dyDescent="0.3"/>
    <row r="16160" ht="14.4" x14ac:dyDescent="0.3"/>
    <row r="16161" ht="14.4" x14ac:dyDescent="0.3"/>
    <row r="16162" ht="14.4" x14ac:dyDescent="0.3"/>
    <row r="16163" ht="14.4" x14ac:dyDescent="0.3"/>
    <row r="16164" ht="14.4" x14ac:dyDescent="0.3"/>
    <row r="16165" ht="14.4" x14ac:dyDescent="0.3"/>
    <row r="16166" ht="14.4" x14ac:dyDescent="0.3"/>
    <row r="16167" ht="14.4" x14ac:dyDescent="0.3"/>
    <row r="16168" ht="14.4" x14ac:dyDescent="0.3"/>
    <row r="16169" ht="14.4" x14ac:dyDescent="0.3"/>
    <row r="16170" ht="14.4" x14ac:dyDescent="0.3"/>
    <row r="16171" ht="14.4" x14ac:dyDescent="0.3"/>
    <row r="16172" ht="14.4" x14ac:dyDescent="0.3"/>
    <row r="16173" ht="14.4" x14ac:dyDescent="0.3"/>
    <row r="16174" ht="14.4" x14ac:dyDescent="0.3"/>
    <row r="16175" ht="14.4" x14ac:dyDescent="0.3"/>
    <row r="16176" ht="14.4" x14ac:dyDescent="0.3"/>
    <row r="16177" ht="14.4" x14ac:dyDescent="0.3"/>
    <row r="16178" ht="14.4" x14ac:dyDescent="0.3"/>
    <row r="16179" ht="14.4" x14ac:dyDescent="0.3"/>
    <row r="16180" ht="14.4" x14ac:dyDescent="0.3"/>
    <row r="16181" ht="14.4" x14ac:dyDescent="0.3"/>
    <row r="16182" ht="14.4" x14ac:dyDescent="0.3"/>
    <row r="16183" ht="14.4" x14ac:dyDescent="0.3"/>
    <row r="16184" ht="14.4" x14ac:dyDescent="0.3"/>
    <row r="16185" ht="14.4" x14ac:dyDescent="0.3"/>
    <row r="16186" ht="14.4" x14ac:dyDescent="0.3"/>
    <row r="16187" ht="14.4" x14ac:dyDescent="0.3"/>
    <row r="16188" ht="14.4" x14ac:dyDescent="0.3"/>
    <row r="16189" ht="14.4" x14ac:dyDescent="0.3"/>
    <row r="16190" ht="14.4" x14ac:dyDescent="0.3"/>
    <row r="16191" ht="14.4" x14ac:dyDescent="0.3"/>
    <row r="16192" ht="14.4" x14ac:dyDescent="0.3"/>
    <row r="16193" ht="14.4" x14ac:dyDescent="0.3"/>
    <row r="16194" ht="14.4" x14ac:dyDescent="0.3"/>
    <row r="16195" ht="14.4" x14ac:dyDescent="0.3"/>
    <row r="16196" ht="14.4" x14ac:dyDescent="0.3"/>
    <row r="16197" ht="14.4" x14ac:dyDescent="0.3"/>
    <row r="16198" ht="14.4" x14ac:dyDescent="0.3"/>
    <row r="16199" ht="14.4" x14ac:dyDescent="0.3"/>
    <row r="16200" ht="14.4" x14ac:dyDescent="0.3"/>
    <row r="16201" ht="14.4" x14ac:dyDescent="0.3"/>
    <row r="16202" ht="14.4" x14ac:dyDescent="0.3"/>
    <row r="16203" ht="14.4" x14ac:dyDescent="0.3"/>
    <row r="16204" ht="14.4" x14ac:dyDescent="0.3"/>
    <row r="16205" ht="14.4" x14ac:dyDescent="0.3"/>
    <row r="16206" ht="14.4" x14ac:dyDescent="0.3"/>
    <row r="16207" ht="14.4" x14ac:dyDescent="0.3"/>
    <row r="16208" ht="14.4" x14ac:dyDescent="0.3"/>
    <row r="16209" ht="14.4" x14ac:dyDescent="0.3"/>
    <row r="16210" ht="14.4" x14ac:dyDescent="0.3"/>
    <row r="16211" ht="14.4" x14ac:dyDescent="0.3"/>
    <row r="16212" ht="14.4" x14ac:dyDescent="0.3"/>
    <row r="16213" ht="14.4" x14ac:dyDescent="0.3"/>
    <row r="16214" ht="14.4" x14ac:dyDescent="0.3"/>
    <row r="16215" ht="14.4" x14ac:dyDescent="0.3"/>
    <row r="16216" ht="14.4" x14ac:dyDescent="0.3"/>
    <row r="16217" ht="14.4" x14ac:dyDescent="0.3"/>
    <row r="16218" ht="14.4" x14ac:dyDescent="0.3"/>
    <row r="16219" ht="14.4" x14ac:dyDescent="0.3"/>
    <row r="16220" ht="14.4" x14ac:dyDescent="0.3"/>
    <row r="16221" ht="14.4" x14ac:dyDescent="0.3"/>
    <row r="16222" ht="14.4" x14ac:dyDescent="0.3"/>
    <row r="16223" ht="14.4" x14ac:dyDescent="0.3"/>
    <row r="16224" ht="14.4" x14ac:dyDescent="0.3"/>
    <row r="16225" ht="14.4" x14ac:dyDescent="0.3"/>
    <row r="16226" ht="14.4" x14ac:dyDescent="0.3"/>
    <row r="16227" ht="14.4" x14ac:dyDescent="0.3"/>
    <row r="16228" ht="14.4" x14ac:dyDescent="0.3"/>
    <row r="16229" ht="14.4" x14ac:dyDescent="0.3"/>
    <row r="16230" ht="14.4" x14ac:dyDescent="0.3"/>
    <row r="16231" ht="14.4" x14ac:dyDescent="0.3"/>
    <row r="16232" ht="14.4" x14ac:dyDescent="0.3"/>
    <row r="16233" ht="14.4" x14ac:dyDescent="0.3"/>
    <row r="16234" ht="14.4" x14ac:dyDescent="0.3"/>
    <row r="16235" ht="14.4" x14ac:dyDescent="0.3"/>
    <row r="16236" ht="14.4" x14ac:dyDescent="0.3"/>
    <row r="16237" ht="14.4" x14ac:dyDescent="0.3"/>
    <row r="16238" ht="14.4" x14ac:dyDescent="0.3"/>
    <row r="16239" ht="14.4" x14ac:dyDescent="0.3"/>
    <row r="16240" ht="14.4" x14ac:dyDescent="0.3"/>
    <row r="16241" ht="14.4" x14ac:dyDescent="0.3"/>
    <row r="16242" ht="14.4" x14ac:dyDescent="0.3"/>
    <row r="16243" ht="14.4" x14ac:dyDescent="0.3"/>
    <row r="16244" ht="14.4" x14ac:dyDescent="0.3"/>
    <row r="16245" ht="14.4" x14ac:dyDescent="0.3"/>
    <row r="16246" ht="14.4" x14ac:dyDescent="0.3"/>
    <row r="16247" ht="14.4" x14ac:dyDescent="0.3"/>
    <row r="16248" ht="14.4" x14ac:dyDescent="0.3"/>
    <row r="16249" ht="14.4" x14ac:dyDescent="0.3"/>
    <row r="16250" ht="14.4" x14ac:dyDescent="0.3"/>
    <row r="16251" ht="14.4" x14ac:dyDescent="0.3"/>
    <row r="16252" ht="14.4" x14ac:dyDescent="0.3"/>
    <row r="16253" ht="14.4" x14ac:dyDescent="0.3"/>
    <row r="16254" ht="14.4" x14ac:dyDescent="0.3"/>
    <row r="16255" ht="14.4" x14ac:dyDescent="0.3"/>
    <row r="16256" ht="14.4" x14ac:dyDescent="0.3"/>
    <row r="16257" ht="14.4" x14ac:dyDescent="0.3"/>
    <row r="16258" ht="14.4" x14ac:dyDescent="0.3"/>
    <row r="16259" ht="14.4" x14ac:dyDescent="0.3"/>
    <row r="16260" ht="14.4" x14ac:dyDescent="0.3"/>
    <row r="16261" ht="14.4" x14ac:dyDescent="0.3"/>
    <row r="16262" ht="14.4" x14ac:dyDescent="0.3"/>
    <row r="16263" ht="14.4" x14ac:dyDescent="0.3"/>
    <row r="16264" ht="14.4" x14ac:dyDescent="0.3"/>
    <row r="16265" ht="14.4" x14ac:dyDescent="0.3"/>
    <row r="16266" ht="14.4" x14ac:dyDescent="0.3"/>
    <row r="16267" ht="14.4" x14ac:dyDescent="0.3"/>
    <row r="16268" ht="14.4" x14ac:dyDescent="0.3"/>
    <row r="16269" ht="14.4" x14ac:dyDescent="0.3"/>
    <row r="16270" ht="14.4" x14ac:dyDescent="0.3"/>
    <row r="16271" ht="14.4" x14ac:dyDescent="0.3"/>
    <row r="16272" ht="14.4" x14ac:dyDescent="0.3"/>
    <row r="16273" ht="14.4" x14ac:dyDescent="0.3"/>
    <row r="16274" ht="14.4" x14ac:dyDescent="0.3"/>
    <row r="16275" ht="14.4" x14ac:dyDescent="0.3"/>
    <row r="16276" ht="14.4" x14ac:dyDescent="0.3"/>
    <row r="16277" ht="14.4" x14ac:dyDescent="0.3"/>
    <row r="16278" ht="14.4" x14ac:dyDescent="0.3"/>
    <row r="16279" ht="14.4" x14ac:dyDescent="0.3"/>
    <row r="16280" ht="14.4" x14ac:dyDescent="0.3"/>
    <row r="16281" ht="14.4" x14ac:dyDescent="0.3"/>
    <row r="16282" ht="14.4" x14ac:dyDescent="0.3"/>
    <row r="16283" ht="14.4" x14ac:dyDescent="0.3"/>
    <row r="16284" ht="14.4" x14ac:dyDescent="0.3"/>
    <row r="16285" ht="14.4" x14ac:dyDescent="0.3"/>
    <row r="16286" ht="14.4" x14ac:dyDescent="0.3"/>
    <row r="16287" ht="14.4" x14ac:dyDescent="0.3"/>
    <row r="16288" ht="14.4" x14ac:dyDescent="0.3"/>
    <row r="16289" ht="14.4" x14ac:dyDescent="0.3"/>
    <row r="16290" ht="14.4" x14ac:dyDescent="0.3"/>
    <row r="16291" ht="14.4" x14ac:dyDescent="0.3"/>
    <row r="16292" ht="14.4" x14ac:dyDescent="0.3"/>
    <row r="16293" ht="14.4" x14ac:dyDescent="0.3"/>
    <row r="16294" ht="14.4" x14ac:dyDescent="0.3"/>
    <row r="16295" ht="14.4" x14ac:dyDescent="0.3"/>
    <row r="16296" ht="14.4" x14ac:dyDescent="0.3"/>
    <row r="16297" ht="14.4" x14ac:dyDescent="0.3"/>
    <row r="16298" ht="14.4" x14ac:dyDescent="0.3"/>
    <row r="16299" ht="14.4" x14ac:dyDescent="0.3"/>
    <row r="16300" ht="14.4" x14ac:dyDescent="0.3"/>
    <row r="16301" ht="14.4" x14ac:dyDescent="0.3"/>
    <row r="16302" ht="14.4" x14ac:dyDescent="0.3"/>
    <row r="16303" ht="14.4" x14ac:dyDescent="0.3"/>
    <row r="16304" ht="14.4" x14ac:dyDescent="0.3"/>
    <row r="16305" ht="14.4" x14ac:dyDescent="0.3"/>
    <row r="16306" ht="14.4" x14ac:dyDescent="0.3"/>
    <row r="16307" ht="14.4" x14ac:dyDescent="0.3"/>
    <row r="16308" ht="14.4" x14ac:dyDescent="0.3"/>
    <row r="16309" ht="14.4" x14ac:dyDescent="0.3"/>
    <row r="16310" ht="14.4" x14ac:dyDescent="0.3"/>
    <row r="16311" ht="14.4" x14ac:dyDescent="0.3"/>
    <row r="16312" ht="14.4" x14ac:dyDescent="0.3"/>
    <row r="16313" ht="14.4" x14ac:dyDescent="0.3"/>
    <row r="16314" ht="14.4" x14ac:dyDescent="0.3"/>
    <row r="16315" ht="14.4" x14ac:dyDescent="0.3"/>
    <row r="16316" ht="14.4" x14ac:dyDescent="0.3"/>
    <row r="16317" ht="14.4" x14ac:dyDescent="0.3"/>
    <row r="16318" ht="14.4" x14ac:dyDescent="0.3"/>
    <row r="16319" ht="14.4" x14ac:dyDescent="0.3"/>
    <row r="16320" ht="14.4" x14ac:dyDescent="0.3"/>
    <row r="16321" ht="14.4" x14ac:dyDescent="0.3"/>
    <row r="16322" ht="14.4" x14ac:dyDescent="0.3"/>
    <row r="16323" ht="14.4" x14ac:dyDescent="0.3"/>
    <row r="16324" ht="14.4" x14ac:dyDescent="0.3"/>
    <row r="16325" ht="14.4" x14ac:dyDescent="0.3"/>
    <row r="16326" ht="14.4" x14ac:dyDescent="0.3"/>
    <row r="16327" ht="14.4" x14ac:dyDescent="0.3"/>
    <row r="16328" ht="14.4" x14ac:dyDescent="0.3"/>
    <row r="16329" ht="14.4" x14ac:dyDescent="0.3"/>
    <row r="16330" ht="14.4" x14ac:dyDescent="0.3"/>
    <row r="16331" ht="14.4" x14ac:dyDescent="0.3"/>
    <row r="16332" ht="14.4" x14ac:dyDescent="0.3"/>
    <row r="16333" ht="14.4" x14ac:dyDescent="0.3"/>
    <row r="16334" ht="14.4" x14ac:dyDescent="0.3"/>
    <row r="16335" ht="14.4" x14ac:dyDescent="0.3"/>
    <row r="16336" ht="14.4" x14ac:dyDescent="0.3"/>
    <row r="16337" ht="14.4" x14ac:dyDescent="0.3"/>
    <row r="16338" ht="14.4" x14ac:dyDescent="0.3"/>
    <row r="16339" ht="14.4" x14ac:dyDescent="0.3"/>
    <row r="16340" ht="14.4" x14ac:dyDescent="0.3"/>
    <row r="16341" ht="14.4" x14ac:dyDescent="0.3"/>
    <row r="16342" ht="14.4" x14ac:dyDescent="0.3"/>
    <row r="16343" ht="14.4" x14ac:dyDescent="0.3"/>
    <row r="16344" ht="14.4" x14ac:dyDescent="0.3"/>
    <row r="16345" ht="14.4" x14ac:dyDescent="0.3"/>
    <row r="16346" ht="14.4" x14ac:dyDescent="0.3"/>
    <row r="16347" ht="14.4" x14ac:dyDescent="0.3"/>
    <row r="16348" ht="14.4" x14ac:dyDescent="0.3"/>
    <row r="16349" ht="14.4" x14ac:dyDescent="0.3"/>
    <row r="16350" ht="14.4" x14ac:dyDescent="0.3"/>
    <row r="16351" ht="14.4" x14ac:dyDescent="0.3"/>
    <row r="16352" ht="14.4" x14ac:dyDescent="0.3"/>
    <row r="16353" ht="14.4" x14ac:dyDescent="0.3"/>
    <row r="16354" ht="14.4" x14ac:dyDescent="0.3"/>
    <row r="16355" ht="14.4" x14ac:dyDescent="0.3"/>
    <row r="16356" ht="14.4" x14ac:dyDescent="0.3"/>
    <row r="16357" ht="14.4" x14ac:dyDescent="0.3"/>
    <row r="16358" ht="14.4" x14ac:dyDescent="0.3"/>
    <row r="16359" ht="14.4" x14ac:dyDescent="0.3"/>
    <row r="16360" ht="14.4" x14ac:dyDescent="0.3"/>
    <row r="16361" ht="14.4" x14ac:dyDescent="0.3"/>
    <row r="16362" ht="14.4" x14ac:dyDescent="0.3"/>
    <row r="16363" ht="14.4" x14ac:dyDescent="0.3"/>
    <row r="16364" ht="14.4" x14ac:dyDescent="0.3"/>
    <row r="16365" ht="14.4" x14ac:dyDescent="0.3"/>
    <row r="16366" ht="14.4" x14ac:dyDescent="0.3"/>
    <row r="16367" ht="14.4" x14ac:dyDescent="0.3"/>
    <row r="16368" ht="14.4" x14ac:dyDescent="0.3"/>
    <row r="16369" ht="14.4" x14ac:dyDescent="0.3"/>
    <row r="16370" ht="14.4" x14ac:dyDescent="0.3"/>
    <row r="16371" ht="14.4" x14ac:dyDescent="0.3"/>
    <row r="16372" ht="14.4" x14ac:dyDescent="0.3"/>
    <row r="16373" ht="14.4" x14ac:dyDescent="0.3"/>
    <row r="16374" ht="14.4" x14ac:dyDescent="0.3"/>
    <row r="16375" ht="14.4" x14ac:dyDescent="0.3"/>
    <row r="16376" ht="14.4" x14ac:dyDescent="0.3"/>
    <row r="16377" ht="14.4" x14ac:dyDescent="0.3"/>
    <row r="16378" ht="14.4" x14ac:dyDescent="0.3"/>
    <row r="16379" ht="14.4" x14ac:dyDescent="0.3"/>
    <row r="16380" ht="14.4" x14ac:dyDescent="0.3"/>
    <row r="16381" ht="14.4" x14ac:dyDescent="0.3"/>
    <row r="16382" ht="14.4" x14ac:dyDescent="0.3"/>
    <row r="16383" ht="14.4" x14ac:dyDescent="0.3"/>
    <row r="16384" ht="14.4" x14ac:dyDescent="0.3"/>
    <row r="16385" ht="14.4" x14ac:dyDescent="0.3"/>
    <row r="16386" ht="14.4" x14ac:dyDescent="0.3"/>
    <row r="16387" ht="14.4" x14ac:dyDescent="0.3"/>
    <row r="16388" ht="14.4" x14ac:dyDescent="0.3"/>
    <row r="16389" ht="14.4" x14ac:dyDescent="0.3"/>
    <row r="16390" ht="14.4" x14ac:dyDescent="0.3"/>
    <row r="16391" ht="14.4" x14ac:dyDescent="0.3"/>
    <row r="16392" ht="14.4" x14ac:dyDescent="0.3"/>
    <row r="16393" ht="14.4" x14ac:dyDescent="0.3"/>
    <row r="16394" ht="14.4" x14ac:dyDescent="0.3"/>
    <row r="16395" ht="14.4" x14ac:dyDescent="0.3"/>
    <row r="16396" ht="14.4" x14ac:dyDescent="0.3"/>
    <row r="16397" ht="14.4" x14ac:dyDescent="0.3"/>
    <row r="16398" ht="14.4" x14ac:dyDescent="0.3"/>
    <row r="16399" ht="14.4" x14ac:dyDescent="0.3"/>
    <row r="16400" ht="14.4" x14ac:dyDescent="0.3"/>
    <row r="16401" ht="14.4" x14ac:dyDescent="0.3"/>
    <row r="16402" ht="14.4" x14ac:dyDescent="0.3"/>
    <row r="16403" ht="14.4" x14ac:dyDescent="0.3"/>
    <row r="16404" ht="14.4" x14ac:dyDescent="0.3"/>
    <row r="16405" ht="14.4" x14ac:dyDescent="0.3"/>
    <row r="16406" ht="14.4" x14ac:dyDescent="0.3"/>
    <row r="16407" ht="14.4" x14ac:dyDescent="0.3"/>
    <row r="16408" ht="14.4" x14ac:dyDescent="0.3"/>
    <row r="16409" ht="14.4" x14ac:dyDescent="0.3"/>
    <row r="16410" ht="14.4" x14ac:dyDescent="0.3"/>
    <row r="16411" ht="14.4" x14ac:dyDescent="0.3"/>
    <row r="16412" ht="14.4" x14ac:dyDescent="0.3"/>
    <row r="16413" ht="14.4" x14ac:dyDescent="0.3"/>
    <row r="16414" ht="14.4" x14ac:dyDescent="0.3"/>
    <row r="16415" ht="14.4" x14ac:dyDescent="0.3"/>
    <row r="16416" ht="14.4" x14ac:dyDescent="0.3"/>
    <row r="16417" spans="1:43" ht="14.4" x14ac:dyDescent="0.3"/>
    <row r="16418" spans="1:43" ht="14.4" x14ac:dyDescent="0.3"/>
    <row r="16419" spans="1:43" ht="14.4" x14ac:dyDescent="0.3"/>
    <row r="16420" spans="1:43" ht="14.4" x14ac:dyDescent="0.3"/>
    <row r="16421" spans="1:43" ht="14.4" x14ac:dyDescent="0.3"/>
    <row r="16422" spans="1:43" ht="14.4" hidden="1" x14ac:dyDescent="0.3">
      <c r="A16422" t="s">
        <v>2045</v>
      </c>
      <c r="B16422">
        <v>4906200</v>
      </c>
      <c r="C16422" t="s">
        <v>135</v>
      </c>
      <c r="D16422" t="s">
        <v>136</v>
      </c>
      <c r="E16422" t="s">
        <v>344</v>
      </c>
      <c r="F16422" t="s">
        <v>1784</v>
      </c>
      <c r="H16422" t="s">
        <v>554</v>
      </c>
      <c r="J16422" t="s">
        <v>140</v>
      </c>
      <c r="K16422">
        <v>156382.68</v>
      </c>
      <c r="L16422">
        <v>384195.462</v>
      </c>
      <c r="M16422">
        <v>1</v>
      </c>
      <c r="N16422" t="s">
        <v>178</v>
      </c>
      <c r="O16422" t="s">
        <v>371</v>
      </c>
      <c r="Q16422" t="s">
        <v>181</v>
      </c>
      <c r="R16422" t="s">
        <v>182</v>
      </c>
      <c r="S16422">
        <v>50</v>
      </c>
      <c r="T16422">
        <v>4400</v>
      </c>
      <c r="V16422" t="s">
        <v>183</v>
      </c>
      <c r="X16422" t="s">
        <v>7</v>
      </c>
      <c r="Y16422" t="s">
        <v>1044</v>
      </c>
      <c r="Z16422" t="s">
        <v>371</v>
      </c>
      <c r="AA16422" t="s">
        <v>372</v>
      </c>
      <c r="AB16422">
        <v>0</v>
      </c>
      <c r="AE16422" t="s">
        <v>1866</v>
      </c>
      <c r="AF16422" t="s">
        <v>371</v>
      </c>
      <c r="AG16422" t="s">
        <v>373</v>
      </c>
      <c r="AL16422" t="s">
        <v>2046</v>
      </c>
      <c r="AM16422" t="s">
        <v>2047</v>
      </c>
      <c r="AN16422" t="s">
        <v>2048</v>
      </c>
      <c r="AO16422" t="s">
        <v>178</v>
      </c>
      <c r="AQ16422">
        <f>IF(ISBLANK(AP16422), IFERROR(IF(VLOOKUP(AO16422, Ellens_additions!$A$2:$B$252, 2, FALSE) = "", "", VLOOKUP(AO16422, Ellens_additions!$A$2:$B$252, 2, FALSE)), 0), AP16422)</f>
        <v>2000</v>
      </c>
    </row>
    <row r="16423" spans="1:43" ht="14.4" x14ac:dyDescent="0.3"/>
    <row r="16424" spans="1:43" ht="14.4" x14ac:dyDescent="0.3"/>
    <row r="16425" spans="1:43" ht="14.4" x14ac:dyDescent="0.3"/>
    <row r="16426" spans="1:43" ht="14.4" x14ac:dyDescent="0.3"/>
    <row r="16427" spans="1:43" ht="14.4" x14ac:dyDescent="0.3"/>
    <row r="16428" spans="1:43" ht="14.4" x14ac:dyDescent="0.3"/>
    <row r="16429" spans="1:43" ht="14.4" x14ac:dyDescent="0.3"/>
    <row r="16430" spans="1:43" ht="14.4" x14ac:dyDescent="0.3"/>
    <row r="16431" spans="1:43" ht="14.4" x14ac:dyDescent="0.3"/>
    <row r="16432" spans="1:43" ht="14.4" x14ac:dyDescent="0.3"/>
    <row r="16433" ht="14.4" x14ac:dyDescent="0.3"/>
    <row r="16434" ht="14.4" x14ac:dyDescent="0.3"/>
    <row r="16435" ht="14.4" x14ac:dyDescent="0.3"/>
    <row r="16436" ht="14.4" x14ac:dyDescent="0.3"/>
    <row r="16437" ht="14.4" x14ac:dyDescent="0.3"/>
    <row r="16438" ht="14.4" x14ac:dyDescent="0.3"/>
    <row r="16439" ht="14.4" x14ac:dyDescent="0.3"/>
    <row r="16440" ht="14.4" x14ac:dyDescent="0.3"/>
    <row r="16441" ht="14.4" x14ac:dyDescent="0.3"/>
    <row r="16442" ht="14.4" x14ac:dyDescent="0.3"/>
    <row r="16443" ht="14.4" x14ac:dyDescent="0.3"/>
    <row r="16444" ht="14.4" x14ac:dyDescent="0.3"/>
    <row r="16445" ht="14.4" x14ac:dyDescent="0.3"/>
    <row r="16446" ht="14.4" x14ac:dyDescent="0.3"/>
    <row r="16447" ht="14.4" x14ac:dyDescent="0.3"/>
    <row r="16448" ht="14.4" x14ac:dyDescent="0.3"/>
    <row r="16449" ht="14.4" x14ac:dyDescent="0.3"/>
    <row r="16450" ht="14.4" x14ac:dyDescent="0.3"/>
    <row r="16451" ht="14.4" x14ac:dyDescent="0.3"/>
    <row r="16452" ht="14.4" x14ac:dyDescent="0.3"/>
    <row r="16453" ht="14.4" x14ac:dyDescent="0.3"/>
    <row r="16454" ht="14.4" x14ac:dyDescent="0.3"/>
    <row r="16455" ht="14.4" x14ac:dyDescent="0.3"/>
    <row r="16456" ht="14.4" x14ac:dyDescent="0.3"/>
    <row r="16457" ht="14.4" x14ac:dyDescent="0.3"/>
    <row r="16458" ht="14.4" x14ac:dyDescent="0.3"/>
    <row r="16459" ht="14.4" x14ac:dyDescent="0.3"/>
    <row r="16460" ht="14.4" x14ac:dyDescent="0.3"/>
    <row r="16461" ht="14.4" x14ac:dyDescent="0.3"/>
    <row r="16462" ht="14.4" x14ac:dyDescent="0.3"/>
    <row r="16463" ht="14.4" x14ac:dyDescent="0.3"/>
    <row r="16464" ht="14.4" x14ac:dyDescent="0.3"/>
    <row r="16465" ht="14.4" x14ac:dyDescent="0.3"/>
    <row r="16466" ht="14.4" x14ac:dyDescent="0.3"/>
    <row r="16467" ht="14.4" x14ac:dyDescent="0.3"/>
    <row r="16468" ht="14.4" x14ac:dyDescent="0.3"/>
    <row r="16469" ht="14.4" x14ac:dyDescent="0.3"/>
    <row r="16470" ht="14.4" x14ac:dyDescent="0.3"/>
    <row r="16471" ht="14.4" x14ac:dyDescent="0.3"/>
    <row r="16472" ht="14.4" x14ac:dyDescent="0.3"/>
    <row r="16473" ht="14.4" x14ac:dyDescent="0.3"/>
    <row r="16474" ht="14.4" x14ac:dyDescent="0.3"/>
    <row r="16475" ht="14.4" x14ac:dyDescent="0.3"/>
    <row r="16476" ht="14.4" x14ac:dyDescent="0.3"/>
    <row r="16477" ht="14.4" x14ac:dyDescent="0.3"/>
    <row r="16478" ht="14.4" x14ac:dyDescent="0.3"/>
    <row r="16479" ht="14.4" x14ac:dyDescent="0.3"/>
    <row r="16480" ht="14.4" x14ac:dyDescent="0.3"/>
    <row r="16481" ht="14.4" x14ac:dyDescent="0.3"/>
    <row r="16482" ht="14.4" x14ac:dyDescent="0.3"/>
    <row r="16483" ht="14.4" x14ac:dyDescent="0.3"/>
    <row r="16484" ht="14.4" x14ac:dyDescent="0.3"/>
    <row r="16485" ht="14.4" x14ac:dyDescent="0.3"/>
    <row r="16486" ht="14.4" x14ac:dyDescent="0.3"/>
    <row r="16487" ht="14.4" x14ac:dyDescent="0.3"/>
    <row r="16488" ht="14.4" x14ac:dyDescent="0.3"/>
    <row r="16489" ht="14.4" x14ac:dyDescent="0.3"/>
    <row r="16490" ht="14.4" x14ac:dyDescent="0.3"/>
    <row r="16491" ht="14.4" x14ac:dyDescent="0.3"/>
    <row r="16492" ht="14.4" x14ac:dyDescent="0.3"/>
    <row r="16493" ht="14.4" x14ac:dyDescent="0.3"/>
    <row r="16494" ht="14.4" x14ac:dyDescent="0.3"/>
    <row r="16495" ht="14.4" x14ac:dyDescent="0.3"/>
    <row r="16496" ht="14.4" x14ac:dyDescent="0.3"/>
    <row r="16497" ht="14.4" x14ac:dyDescent="0.3"/>
    <row r="16498" ht="14.4" x14ac:dyDescent="0.3"/>
    <row r="16499" ht="14.4" x14ac:dyDescent="0.3"/>
    <row r="16500" ht="14.4" x14ac:dyDescent="0.3"/>
    <row r="16501" ht="14.4" x14ac:dyDescent="0.3"/>
    <row r="16502" ht="14.4" x14ac:dyDescent="0.3"/>
    <row r="16503" ht="14.4" x14ac:dyDescent="0.3"/>
    <row r="16504" ht="14.4" x14ac:dyDescent="0.3"/>
    <row r="16505" ht="14.4" x14ac:dyDescent="0.3"/>
    <row r="16506" ht="14.4" x14ac:dyDescent="0.3"/>
    <row r="16507" ht="14.4" x14ac:dyDescent="0.3"/>
    <row r="16508" ht="14.4" x14ac:dyDescent="0.3"/>
    <row r="16509" ht="14.4" x14ac:dyDescent="0.3"/>
    <row r="16510" ht="14.4" x14ac:dyDescent="0.3"/>
    <row r="16511" ht="14.4" x14ac:dyDescent="0.3"/>
    <row r="16512" ht="14.4" x14ac:dyDescent="0.3"/>
    <row r="16513" ht="14.4" x14ac:dyDescent="0.3"/>
    <row r="16514" ht="14.4" x14ac:dyDescent="0.3"/>
    <row r="16515" ht="14.4" x14ac:dyDescent="0.3"/>
    <row r="16516" ht="14.4" x14ac:dyDescent="0.3"/>
    <row r="16517" ht="14.4" x14ac:dyDescent="0.3"/>
    <row r="16518" ht="14.4" x14ac:dyDescent="0.3"/>
    <row r="16519" ht="14.4" x14ac:dyDescent="0.3"/>
    <row r="16520" ht="14.4" x14ac:dyDescent="0.3"/>
    <row r="16521" ht="14.4" x14ac:dyDescent="0.3"/>
    <row r="16522" ht="14.4" x14ac:dyDescent="0.3"/>
    <row r="16523" ht="14.4" x14ac:dyDescent="0.3"/>
    <row r="16524" ht="14.4" x14ac:dyDescent="0.3"/>
    <row r="16525" ht="14.4" x14ac:dyDescent="0.3"/>
    <row r="16526" ht="14.4" x14ac:dyDescent="0.3"/>
    <row r="16527" ht="14.4" x14ac:dyDescent="0.3"/>
    <row r="16528" ht="14.4" x14ac:dyDescent="0.3"/>
    <row r="16529" ht="14.4" x14ac:dyDescent="0.3"/>
    <row r="16530" ht="14.4" x14ac:dyDescent="0.3"/>
    <row r="16531" ht="14.4" x14ac:dyDescent="0.3"/>
    <row r="16532" ht="14.4" x14ac:dyDescent="0.3"/>
    <row r="16533" ht="14.4" x14ac:dyDescent="0.3"/>
    <row r="16534" ht="14.4" x14ac:dyDescent="0.3"/>
    <row r="16535" ht="14.4" x14ac:dyDescent="0.3"/>
    <row r="16536" ht="14.4" x14ac:dyDescent="0.3"/>
    <row r="16537" ht="14.4" x14ac:dyDescent="0.3"/>
    <row r="16538" ht="14.4" x14ac:dyDescent="0.3"/>
    <row r="16539" ht="14.4" x14ac:dyDescent="0.3"/>
    <row r="16540" ht="14.4" x14ac:dyDescent="0.3"/>
    <row r="16541" ht="14.4" x14ac:dyDescent="0.3"/>
    <row r="16542" ht="14.4" x14ac:dyDescent="0.3"/>
    <row r="16543" ht="14.4" x14ac:dyDescent="0.3"/>
    <row r="16544" ht="14.4" x14ac:dyDescent="0.3"/>
    <row r="16545" ht="14.4" x14ac:dyDescent="0.3"/>
    <row r="16546" ht="14.4" x14ac:dyDescent="0.3"/>
    <row r="16547" ht="14.4" x14ac:dyDescent="0.3"/>
    <row r="16548" ht="14.4" x14ac:dyDescent="0.3"/>
    <row r="16549" ht="14.4" x14ac:dyDescent="0.3"/>
    <row r="16550" ht="14.4" x14ac:dyDescent="0.3"/>
    <row r="16551" ht="14.4" x14ac:dyDescent="0.3"/>
    <row r="16552" ht="14.4" x14ac:dyDescent="0.3"/>
    <row r="16553" ht="14.4" x14ac:dyDescent="0.3"/>
    <row r="16554" ht="14.4" x14ac:dyDescent="0.3"/>
    <row r="16555" ht="14.4" x14ac:dyDescent="0.3"/>
    <row r="16556" ht="14.4" x14ac:dyDescent="0.3"/>
    <row r="16557" ht="14.4" x14ac:dyDescent="0.3"/>
    <row r="16558" ht="14.4" x14ac:dyDescent="0.3"/>
    <row r="16559" ht="14.4" x14ac:dyDescent="0.3"/>
    <row r="16560" ht="14.4" x14ac:dyDescent="0.3"/>
    <row r="16561" ht="14.4" x14ac:dyDescent="0.3"/>
    <row r="16562" ht="14.4" x14ac:dyDescent="0.3"/>
    <row r="16563" ht="14.4" x14ac:dyDescent="0.3"/>
    <row r="16564" ht="14.4" x14ac:dyDescent="0.3"/>
    <row r="16565" ht="14.4" x14ac:dyDescent="0.3"/>
    <row r="16566" ht="14.4" x14ac:dyDescent="0.3"/>
    <row r="16567" ht="14.4" x14ac:dyDescent="0.3"/>
    <row r="16568" ht="14.4" x14ac:dyDescent="0.3"/>
    <row r="16569" ht="14.4" x14ac:dyDescent="0.3"/>
    <row r="16570" ht="14.4" x14ac:dyDescent="0.3"/>
    <row r="16571" ht="14.4" x14ac:dyDescent="0.3"/>
    <row r="16572" ht="14.4" x14ac:dyDescent="0.3"/>
    <row r="16573" ht="14.4" x14ac:dyDescent="0.3"/>
    <row r="16574" ht="14.4" x14ac:dyDescent="0.3"/>
    <row r="16575" ht="14.4" x14ac:dyDescent="0.3"/>
    <row r="16576" ht="14.4" x14ac:dyDescent="0.3"/>
    <row r="16577" ht="14.4" x14ac:dyDescent="0.3"/>
    <row r="16578" ht="14.4" x14ac:dyDescent="0.3"/>
    <row r="16579" ht="14.4" x14ac:dyDescent="0.3"/>
    <row r="16580" ht="14.4" x14ac:dyDescent="0.3"/>
    <row r="16581" ht="14.4" x14ac:dyDescent="0.3"/>
    <row r="16582" ht="14.4" x14ac:dyDescent="0.3"/>
    <row r="16583" ht="14.4" x14ac:dyDescent="0.3"/>
    <row r="16584" ht="14.4" x14ac:dyDescent="0.3"/>
    <row r="16585" ht="14.4" x14ac:dyDescent="0.3"/>
    <row r="16586" ht="14.4" x14ac:dyDescent="0.3"/>
    <row r="16587" ht="14.4" x14ac:dyDescent="0.3"/>
    <row r="16588" ht="14.4" x14ac:dyDescent="0.3"/>
    <row r="16589" ht="14.4" x14ac:dyDescent="0.3"/>
    <row r="16590" ht="14.4" x14ac:dyDescent="0.3"/>
    <row r="16591" ht="14.4" x14ac:dyDescent="0.3"/>
    <row r="16592" ht="14.4" x14ac:dyDescent="0.3"/>
    <row r="16593" ht="14.4" x14ac:dyDescent="0.3"/>
    <row r="16594" ht="14.4" x14ac:dyDescent="0.3"/>
    <row r="16595" ht="14.4" x14ac:dyDescent="0.3"/>
    <row r="16596" ht="14.4" x14ac:dyDescent="0.3"/>
    <row r="16597" ht="14.4" x14ac:dyDescent="0.3"/>
    <row r="16598" ht="14.4" x14ac:dyDescent="0.3"/>
    <row r="16599" ht="14.4" x14ac:dyDescent="0.3"/>
    <row r="16600" ht="14.4" x14ac:dyDescent="0.3"/>
    <row r="16601" ht="14.4" x14ac:dyDescent="0.3"/>
    <row r="16602" ht="14.4" x14ac:dyDescent="0.3"/>
    <row r="16603" ht="14.4" x14ac:dyDescent="0.3"/>
    <row r="16604" ht="14.4" x14ac:dyDescent="0.3"/>
    <row r="16605" ht="14.4" x14ac:dyDescent="0.3"/>
    <row r="16606" ht="14.4" x14ac:dyDescent="0.3"/>
    <row r="16607" ht="14.4" x14ac:dyDescent="0.3"/>
    <row r="16608" ht="14.4" x14ac:dyDescent="0.3"/>
    <row r="16609" ht="14.4" x14ac:dyDescent="0.3"/>
    <row r="16610" ht="14.4" x14ac:dyDescent="0.3"/>
    <row r="16611" ht="14.4" x14ac:dyDescent="0.3"/>
    <row r="16612" ht="14.4" x14ac:dyDescent="0.3"/>
    <row r="16613" ht="14.4" x14ac:dyDescent="0.3"/>
    <row r="16614" ht="14.4" x14ac:dyDescent="0.3"/>
    <row r="16615" ht="14.4" x14ac:dyDescent="0.3"/>
    <row r="16616" ht="14.4" x14ac:dyDescent="0.3"/>
    <row r="16617" ht="14.4" x14ac:dyDescent="0.3"/>
    <row r="16618" ht="14.4" x14ac:dyDescent="0.3"/>
    <row r="16619" ht="14.4" x14ac:dyDescent="0.3"/>
    <row r="16620" ht="14.4" x14ac:dyDescent="0.3"/>
    <row r="16621" ht="14.4" x14ac:dyDescent="0.3"/>
    <row r="16622" ht="14.4" x14ac:dyDescent="0.3"/>
    <row r="16623" ht="14.4" x14ac:dyDescent="0.3"/>
    <row r="16624" ht="14.4" x14ac:dyDescent="0.3"/>
    <row r="16625" ht="14.4" x14ac:dyDescent="0.3"/>
    <row r="16626" ht="14.4" x14ac:dyDescent="0.3"/>
    <row r="16627" ht="14.4" x14ac:dyDescent="0.3"/>
    <row r="16628" ht="14.4" x14ac:dyDescent="0.3"/>
    <row r="16629" ht="14.4" x14ac:dyDescent="0.3"/>
    <row r="16630" ht="14.4" x14ac:dyDescent="0.3"/>
    <row r="16631" ht="14.4" x14ac:dyDescent="0.3"/>
    <row r="16632" ht="14.4" x14ac:dyDescent="0.3"/>
    <row r="16633" ht="14.4" x14ac:dyDescent="0.3"/>
    <row r="16634" ht="14.4" x14ac:dyDescent="0.3"/>
    <row r="16635" ht="14.4" x14ac:dyDescent="0.3"/>
    <row r="16636" ht="14.4" x14ac:dyDescent="0.3"/>
    <row r="16637" ht="14.4" x14ac:dyDescent="0.3"/>
    <row r="16638" ht="14.4" x14ac:dyDescent="0.3"/>
    <row r="16639" ht="14.4" x14ac:dyDescent="0.3"/>
    <row r="16640" ht="14.4" x14ac:dyDescent="0.3"/>
    <row r="16641" ht="14.4" x14ac:dyDescent="0.3"/>
    <row r="16642" ht="14.4" x14ac:dyDescent="0.3"/>
    <row r="16643" ht="14.4" x14ac:dyDescent="0.3"/>
    <row r="16644" ht="14.4" x14ac:dyDescent="0.3"/>
    <row r="16645" ht="14.4" x14ac:dyDescent="0.3"/>
    <row r="16646" ht="14.4" x14ac:dyDescent="0.3"/>
    <row r="16647" ht="14.4" x14ac:dyDescent="0.3"/>
    <row r="16648" ht="14.4" x14ac:dyDescent="0.3"/>
    <row r="16649" ht="14.4" x14ac:dyDescent="0.3"/>
    <row r="16650" ht="14.4" x14ac:dyDescent="0.3"/>
    <row r="16651" ht="14.4" x14ac:dyDescent="0.3"/>
    <row r="16652" ht="14.4" x14ac:dyDescent="0.3"/>
    <row r="16653" ht="14.4" x14ac:dyDescent="0.3"/>
    <row r="16654" ht="14.4" x14ac:dyDescent="0.3"/>
    <row r="16655" ht="14.4" x14ac:dyDescent="0.3"/>
    <row r="16656" ht="14.4" x14ac:dyDescent="0.3"/>
    <row r="16657" ht="14.4" x14ac:dyDescent="0.3"/>
    <row r="16658" ht="14.4" x14ac:dyDescent="0.3"/>
    <row r="16659" ht="14.4" x14ac:dyDescent="0.3"/>
    <row r="16660" ht="14.4" x14ac:dyDescent="0.3"/>
    <row r="16661" ht="14.4" x14ac:dyDescent="0.3"/>
    <row r="16662" ht="14.4" x14ac:dyDescent="0.3"/>
    <row r="16663" ht="14.4" x14ac:dyDescent="0.3"/>
    <row r="16664" ht="14.4" x14ac:dyDescent="0.3"/>
    <row r="16665" ht="14.4" x14ac:dyDescent="0.3"/>
    <row r="16666" ht="14.4" x14ac:dyDescent="0.3"/>
    <row r="16667" ht="14.4" x14ac:dyDescent="0.3"/>
    <row r="16668" ht="14.4" x14ac:dyDescent="0.3"/>
    <row r="16669" ht="14.4" x14ac:dyDescent="0.3"/>
    <row r="16670" ht="14.4" x14ac:dyDescent="0.3"/>
    <row r="16671" ht="14.4" x14ac:dyDescent="0.3"/>
    <row r="16672" ht="14.4" x14ac:dyDescent="0.3"/>
    <row r="16673" ht="14.4" x14ac:dyDescent="0.3"/>
    <row r="16674" ht="14.4" x14ac:dyDescent="0.3"/>
    <row r="16675" ht="14.4" x14ac:dyDescent="0.3"/>
    <row r="16676" ht="14.4" x14ac:dyDescent="0.3"/>
    <row r="16677" ht="14.4" x14ac:dyDescent="0.3"/>
    <row r="16678" ht="14.4" x14ac:dyDescent="0.3"/>
    <row r="16679" ht="14.4" x14ac:dyDescent="0.3"/>
    <row r="16680" ht="14.4" x14ac:dyDescent="0.3"/>
    <row r="16681" ht="14.4" x14ac:dyDescent="0.3"/>
    <row r="16682" ht="14.4" x14ac:dyDescent="0.3"/>
    <row r="16683" ht="14.4" x14ac:dyDescent="0.3"/>
    <row r="16684" ht="14.4" x14ac:dyDescent="0.3"/>
    <row r="16685" ht="14.4" x14ac:dyDescent="0.3"/>
    <row r="16686" ht="14.4" x14ac:dyDescent="0.3"/>
    <row r="16687" ht="14.4" x14ac:dyDescent="0.3"/>
    <row r="16688" ht="14.4" x14ac:dyDescent="0.3"/>
    <row r="16689" ht="14.4" x14ac:dyDescent="0.3"/>
    <row r="16690" ht="14.4" x14ac:dyDescent="0.3"/>
    <row r="16691" ht="14.4" x14ac:dyDescent="0.3"/>
    <row r="16692" ht="14.4" x14ac:dyDescent="0.3"/>
    <row r="16693" ht="14.4" x14ac:dyDescent="0.3"/>
    <row r="16694" ht="14.4" x14ac:dyDescent="0.3"/>
    <row r="16695" ht="14.4" x14ac:dyDescent="0.3"/>
    <row r="16696" ht="14.4" x14ac:dyDescent="0.3"/>
    <row r="16697" ht="14.4" x14ac:dyDescent="0.3"/>
    <row r="16698" ht="14.4" x14ac:dyDescent="0.3"/>
    <row r="16699" ht="14.4" x14ac:dyDescent="0.3"/>
    <row r="16700" ht="14.4" x14ac:dyDescent="0.3"/>
    <row r="16701" ht="14.4" x14ac:dyDescent="0.3"/>
    <row r="16702" ht="14.4" x14ac:dyDescent="0.3"/>
    <row r="16703" ht="14.4" x14ac:dyDescent="0.3"/>
    <row r="16704" ht="14.4" x14ac:dyDescent="0.3"/>
    <row r="16705" ht="14.4" x14ac:dyDescent="0.3"/>
    <row r="16706" ht="14.4" x14ac:dyDescent="0.3"/>
    <row r="16707" ht="14.4" x14ac:dyDescent="0.3"/>
    <row r="16708" ht="14.4" x14ac:dyDescent="0.3"/>
    <row r="16709" ht="14.4" x14ac:dyDescent="0.3"/>
    <row r="16710" ht="14.4" x14ac:dyDescent="0.3"/>
    <row r="16711" ht="14.4" x14ac:dyDescent="0.3"/>
    <row r="16712" ht="14.4" x14ac:dyDescent="0.3"/>
    <row r="16713" ht="14.4" x14ac:dyDescent="0.3"/>
    <row r="16714" ht="14.4" x14ac:dyDescent="0.3"/>
    <row r="16715" ht="14.4" x14ac:dyDescent="0.3"/>
    <row r="16716" ht="14.4" x14ac:dyDescent="0.3"/>
    <row r="16717" ht="14.4" x14ac:dyDescent="0.3"/>
    <row r="16718" ht="14.4" x14ac:dyDescent="0.3"/>
    <row r="16719" ht="14.4" x14ac:dyDescent="0.3"/>
    <row r="16720" ht="14.4" x14ac:dyDescent="0.3"/>
    <row r="16721" ht="14.4" x14ac:dyDescent="0.3"/>
    <row r="16722" ht="14.4" x14ac:dyDescent="0.3"/>
    <row r="16723" ht="14.4" x14ac:dyDescent="0.3"/>
    <row r="16724" ht="14.4" x14ac:dyDescent="0.3"/>
    <row r="16725" ht="14.4" x14ac:dyDescent="0.3"/>
    <row r="16726" ht="14.4" x14ac:dyDescent="0.3"/>
    <row r="16727" ht="14.4" x14ac:dyDescent="0.3"/>
    <row r="16728" ht="14.4" x14ac:dyDescent="0.3"/>
    <row r="16729" ht="14.4" x14ac:dyDescent="0.3"/>
    <row r="16730" ht="14.4" x14ac:dyDescent="0.3"/>
    <row r="16731" ht="14.4" x14ac:dyDescent="0.3"/>
    <row r="16732" ht="14.4" x14ac:dyDescent="0.3"/>
    <row r="16733" ht="14.4" x14ac:dyDescent="0.3"/>
    <row r="16734" ht="14.4" x14ac:dyDescent="0.3"/>
    <row r="16735" ht="14.4" x14ac:dyDescent="0.3"/>
    <row r="16736" ht="14.4" x14ac:dyDescent="0.3"/>
    <row r="16737" ht="14.4" x14ac:dyDescent="0.3"/>
    <row r="16738" ht="14.4" x14ac:dyDescent="0.3"/>
    <row r="16739" ht="14.4" x14ac:dyDescent="0.3"/>
    <row r="16740" ht="14.4" x14ac:dyDescent="0.3"/>
    <row r="16741" ht="14.4" x14ac:dyDescent="0.3"/>
    <row r="16742" ht="14.4" x14ac:dyDescent="0.3"/>
    <row r="16743" ht="14.4" x14ac:dyDescent="0.3"/>
    <row r="16744" ht="14.4" x14ac:dyDescent="0.3"/>
    <row r="16745" ht="14.4" x14ac:dyDescent="0.3"/>
    <row r="16746" ht="14.4" x14ac:dyDescent="0.3"/>
    <row r="16747" ht="14.4" x14ac:dyDescent="0.3"/>
    <row r="16748" ht="14.4" x14ac:dyDescent="0.3"/>
    <row r="16749" ht="14.4" x14ac:dyDescent="0.3"/>
    <row r="16750" ht="14.4" x14ac:dyDescent="0.3"/>
    <row r="16751" ht="14.4" x14ac:dyDescent="0.3"/>
    <row r="16752" ht="14.4" x14ac:dyDescent="0.3"/>
    <row r="16753" ht="14.4" x14ac:dyDescent="0.3"/>
    <row r="16754" ht="14.4" x14ac:dyDescent="0.3"/>
    <row r="16755" ht="14.4" x14ac:dyDescent="0.3"/>
    <row r="16756" ht="14.4" x14ac:dyDescent="0.3"/>
    <row r="16757" ht="14.4" x14ac:dyDescent="0.3"/>
    <row r="16758" ht="14.4" x14ac:dyDescent="0.3"/>
    <row r="16759" ht="14.4" x14ac:dyDescent="0.3"/>
    <row r="16760" ht="14.4" x14ac:dyDescent="0.3"/>
    <row r="16761" ht="14.4" x14ac:dyDescent="0.3"/>
    <row r="16762" ht="14.4" x14ac:dyDescent="0.3"/>
    <row r="16763" ht="14.4" x14ac:dyDescent="0.3"/>
    <row r="16764" ht="14.4" x14ac:dyDescent="0.3"/>
    <row r="16765" ht="14.4" x14ac:dyDescent="0.3"/>
    <row r="16766" ht="14.4" x14ac:dyDescent="0.3"/>
    <row r="16767" ht="14.4" x14ac:dyDescent="0.3"/>
    <row r="16768" ht="14.4" x14ac:dyDescent="0.3"/>
    <row r="16769" ht="14.4" x14ac:dyDescent="0.3"/>
    <row r="16770" ht="14.4" x14ac:dyDescent="0.3"/>
    <row r="16771" ht="14.4" x14ac:dyDescent="0.3"/>
    <row r="16772" ht="14.4" x14ac:dyDescent="0.3"/>
    <row r="16773" ht="14.4" x14ac:dyDescent="0.3"/>
    <row r="16774" ht="14.4" x14ac:dyDescent="0.3"/>
    <row r="16775" ht="14.4" x14ac:dyDescent="0.3"/>
    <row r="16776" ht="14.4" x14ac:dyDescent="0.3"/>
    <row r="16777" ht="14.4" x14ac:dyDescent="0.3"/>
    <row r="16778" ht="14.4" x14ac:dyDescent="0.3"/>
    <row r="16779" ht="14.4" x14ac:dyDescent="0.3"/>
    <row r="16780" ht="14.4" x14ac:dyDescent="0.3"/>
    <row r="16781" ht="14.4" x14ac:dyDescent="0.3"/>
    <row r="16782" ht="14.4" x14ac:dyDescent="0.3"/>
    <row r="16783" ht="14.4" x14ac:dyDescent="0.3"/>
    <row r="16784" ht="14.4" x14ac:dyDescent="0.3"/>
    <row r="16785" ht="14.4" x14ac:dyDescent="0.3"/>
    <row r="16786" ht="14.4" x14ac:dyDescent="0.3"/>
    <row r="16787" ht="14.4" x14ac:dyDescent="0.3"/>
    <row r="16788" ht="14.4" x14ac:dyDescent="0.3"/>
    <row r="16789" ht="14.4" x14ac:dyDescent="0.3"/>
    <row r="16790" ht="14.4" x14ac:dyDescent="0.3"/>
    <row r="16791" ht="14.4" x14ac:dyDescent="0.3"/>
    <row r="16792" ht="14.4" x14ac:dyDescent="0.3"/>
    <row r="16793" ht="14.4" x14ac:dyDescent="0.3"/>
    <row r="16794" ht="14.4" x14ac:dyDescent="0.3"/>
    <row r="16795" ht="14.4" x14ac:dyDescent="0.3"/>
    <row r="16796" ht="14.4" x14ac:dyDescent="0.3"/>
    <row r="16797" ht="14.4" x14ac:dyDescent="0.3"/>
    <row r="16798" ht="14.4" x14ac:dyDescent="0.3"/>
    <row r="16799" ht="14.4" x14ac:dyDescent="0.3"/>
    <row r="16800" ht="14.4" x14ac:dyDescent="0.3"/>
    <row r="16801" ht="14.4" x14ac:dyDescent="0.3"/>
    <row r="16802" ht="14.4" x14ac:dyDescent="0.3"/>
    <row r="16803" ht="14.4" x14ac:dyDescent="0.3"/>
    <row r="16804" ht="14.4" x14ac:dyDescent="0.3"/>
    <row r="16805" ht="14.4" x14ac:dyDescent="0.3"/>
    <row r="16806" ht="14.4" x14ac:dyDescent="0.3"/>
    <row r="16807" ht="14.4" x14ac:dyDescent="0.3"/>
    <row r="16808" ht="14.4" x14ac:dyDescent="0.3"/>
    <row r="16809" ht="14.4" x14ac:dyDescent="0.3"/>
    <row r="16810" ht="14.4" x14ac:dyDescent="0.3"/>
    <row r="16811" ht="14.4" x14ac:dyDescent="0.3"/>
    <row r="16812" ht="14.4" x14ac:dyDescent="0.3"/>
    <row r="16813" ht="14.4" x14ac:dyDescent="0.3"/>
    <row r="16814" ht="14.4" x14ac:dyDescent="0.3"/>
    <row r="16815" ht="14.4" x14ac:dyDescent="0.3"/>
    <row r="16816" ht="14.4" x14ac:dyDescent="0.3"/>
    <row r="16817" ht="14.4" x14ac:dyDescent="0.3"/>
    <row r="16818" ht="14.4" x14ac:dyDescent="0.3"/>
    <row r="16819" ht="14.4" x14ac:dyDescent="0.3"/>
    <row r="16820" ht="14.4" x14ac:dyDescent="0.3"/>
    <row r="16821" ht="14.4" x14ac:dyDescent="0.3"/>
    <row r="16822" ht="14.4" x14ac:dyDescent="0.3"/>
    <row r="16823" ht="14.4" x14ac:dyDescent="0.3"/>
    <row r="16824" ht="14.4" x14ac:dyDescent="0.3"/>
    <row r="16825" ht="14.4" x14ac:dyDescent="0.3"/>
    <row r="16826" ht="14.4" x14ac:dyDescent="0.3"/>
    <row r="16827" ht="14.4" x14ac:dyDescent="0.3"/>
    <row r="16828" ht="14.4" x14ac:dyDescent="0.3"/>
    <row r="16829" ht="14.4" x14ac:dyDescent="0.3"/>
    <row r="16830" ht="14.4" x14ac:dyDescent="0.3"/>
    <row r="16831" ht="14.4" x14ac:dyDescent="0.3"/>
    <row r="16832" ht="14.4" x14ac:dyDescent="0.3"/>
    <row r="16833" ht="14.4" x14ac:dyDescent="0.3"/>
    <row r="16834" ht="14.4" x14ac:dyDescent="0.3"/>
    <row r="16835" ht="14.4" x14ac:dyDescent="0.3"/>
    <row r="16836" ht="14.4" x14ac:dyDescent="0.3"/>
    <row r="16837" ht="14.4" x14ac:dyDescent="0.3"/>
    <row r="16838" ht="14.4" x14ac:dyDescent="0.3"/>
    <row r="16839" ht="14.4" x14ac:dyDescent="0.3"/>
    <row r="16840" ht="14.4" x14ac:dyDescent="0.3"/>
    <row r="16841" ht="14.4" x14ac:dyDescent="0.3"/>
    <row r="16842" ht="14.4" x14ac:dyDescent="0.3"/>
    <row r="16843" ht="14.4" x14ac:dyDescent="0.3"/>
    <row r="16844" ht="14.4" x14ac:dyDescent="0.3"/>
    <row r="16845" ht="14.4" x14ac:dyDescent="0.3"/>
    <row r="16846" ht="14.4" x14ac:dyDescent="0.3"/>
    <row r="16847" ht="14.4" x14ac:dyDescent="0.3"/>
    <row r="16848" ht="14.4" x14ac:dyDescent="0.3"/>
    <row r="16849" ht="14.4" x14ac:dyDescent="0.3"/>
    <row r="16850" ht="14.4" x14ac:dyDescent="0.3"/>
    <row r="16851" ht="14.4" x14ac:dyDescent="0.3"/>
    <row r="16852" ht="14.4" x14ac:dyDescent="0.3"/>
    <row r="16853" ht="14.4" x14ac:dyDescent="0.3"/>
    <row r="16854" ht="14.4" x14ac:dyDescent="0.3"/>
    <row r="16855" ht="14.4" x14ac:dyDescent="0.3"/>
    <row r="16856" ht="14.4" x14ac:dyDescent="0.3"/>
    <row r="16857" ht="14.4" x14ac:dyDescent="0.3"/>
    <row r="16858" ht="14.4" x14ac:dyDescent="0.3"/>
    <row r="16859" ht="14.4" x14ac:dyDescent="0.3"/>
    <row r="16860" ht="14.4" x14ac:dyDescent="0.3"/>
    <row r="16861" ht="14.4" x14ac:dyDescent="0.3"/>
    <row r="16862" ht="14.4" x14ac:dyDescent="0.3"/>
    <row r="16863" ht="14.4" x14ac:dyDescent="0.3"/>
    <row r="16864" ht="14.4" x14ac:dyDescent="0.3"/>
    <row r="16865" ht="14.4" x14ac:dyDescent="0.3"/>
    <row r="16866" ht="14.4" x14ac:dyDescent="0.3"/>
    <row r="16867" ht="14.4" x14ac:dyDescent="0.3"/>
    <row r="16868" ht="14.4" x14ac:dyDescent="0.3"/>
    <row r="16869" ht="14.4" x14ac:dyDescent="0.3"/>
    <row r="16870" ht="14.4" x14ac:dyDescent="0.3"/>
    <row r="16871" ht="14.4" x14ac:dyDescent="0.3"/>
    <row r="16872" ht="14.4" x14ac:dyDescent="0.3"/>
    <row r="16873" ht="14.4" x14ac:dyDescent="0.3"/>
    <row r="16874" ht="14.4" x14ac:dyDescent="0.3"/>
    <row r="16875" ht="14.4" x14ac:dyDescent="0.3"/>
    <row r="16876" ht="14.4" x14ac:dyDescent="0.3"/>
    <row r="16877" ht="14.4" x14ac:dyDescent="0.3"/>
    <row r="16878" ht="14.4" x14ac:dyDescent="0.3"/>
    <row r="16879" ht="14.4" x14ac:dyDescent="0.3"/>
    <row r="16880" ht="14.4" x14ac:dyDescent="0.3"/>
    <row r="16881" ht="14.4" x14ac:dyDescent="0.3"/>
    <row r="16882" ht="14.4" x14ac:dyDescent="0.3"/>
    <row r="16883" ht="14.4" x14ac:dyDescent="0.3"/>
    <row r="16884" ht="14.4" x14ac:dyDescent="0.3"/>
    <row r="16885" ht="14.4" x14ac:dyDescent="0.3"/>
    <row r="16886" ht="14.4" x14ac:dyDescent="0.3"/>
    <row r="16887" ht="14.4" x14ac:dyDescent="0.3"/>
    <row r="16888" ht="14.4" x14ac:dyDescent="0.3"/>
    <row r="16889" ht="14.4" x14ac:dyDescent="0.3"/>
    <row r="16890" ht="14.4" x14ac:dyDescent="0.3"/>
    <row r="16891" ht="14.4" x14ac:dyDescent="0.3"/>
    <row r="16892" ht="14.4" x14ac:dyDescent="0.3"/>
    <row r="16893" ht="14.4" x14ac:dyDescent="0.3"/>
    <row r="16894" ht="14.4" x14ac:dyDescent="0.3"/>
    <row r="16895" ht="14.4" x14ac:dyDescent="0.3"/>
    <row r="16896" ht="14.4" x14ac:dyDescent="0.3"/>
    <row r="16897" ht="14.4" x14ac:dyDescent="0.3"/>
    <row r="16898" ht="14.4" x14ac:dyDescent="0.3"/>
    <row r="16899" ht="14.4" x14ac:dyDescent="0.3"/>
    <row r="16900" ht="14.4" x14ac:dyDescent="0.3"/>
    <row r="16901" ht="14.4" x14ac:dyDescent="0.3"/>
    <row r="16902" ht="14.4" x14ac:dyDescent="0.3"/>
    <row r="16903" ht="14.4" x14ac:dyDescent="0.3"/>
    <row r="16904" ht="14.4" x14ac:dyDescent="0.3"/>
    <row r="16905" ht="14.4" x14ac:dyDescent="0.3"/>
    <row r="16906" ht="14.4" x14ac:dyDescent="0.3"/>
    <row r="16907" ht="14.4" x14ac:dyDescent="0.3"/>
    <row r="16908" ht="14.4" x14ac:dyDescent="0.3"/>
    <row r="16909" ht="14.4" x14ac:dyDescent="0.3"/>
    <row r="16910" ht="14.4" x14ac:dyDescent="0.3"/>
    <row r="16911" ht="14.4" x14ac:dyDescent="0.3"/>
    <row r="16912" ht="14.4" x14ac:dyDescent="0.3"/>
    <row r="16913" ht="14.4" x14ac:dyDescent="0.3"/>
    <row r="16914" ht="14.4" x14ac:dyDescent="0.3"/>
    <row r="16915" ht="14.4" x14ac:dyDescent="0.3"/>
    <row r="16916" ht="14.4" x14ac:dyDescent="0.3"/>
    <row r="16917" ht="14.4" x14ac:dyDescent="0.3"/>
    <row r="16918" ht="14.4" x14ac:dyDescent="0.3"/>
    <row r="16919" ht="14.4" x14ac:dyDescent="0.3"/>
    <row r="16920" ht="14.4" x14ac:dyDescent="0.3"/>
    <row r="16921" ht="14.4" x14ac:dyDescent="0.3"/>
    <row r="16922" ht="14.4" x14ac:dyDescent="0.3"/>
    <row r="16923" ht="14.4" x14ac:dyDescent="0.3"/>
    <row r="16924" ht="14.4" x14ac:dyDescent="0.3"/>
    <row r="16925" ht="14.4" x14ac:dyDescent="0.3"/>
    <row r="16926" ht="14.4" x14ac:dyDescent="0.3"/>
    <row r="16927" ht="14.4" x14ac:dyDescent="0.3"/>
    <row r="16928" ht="14.4" x14ac:dyDescent="0.3"/>
    <row r="16929" ht="14.4" x14ac:dyDescent="0.3"/>
    <row r="16930" ht="14.4" x14ac:dyDescent="0.3"/>
    <row r="16931" ht="14.4" x14ac:dyDescent="0.3"/>
    <row r="16932" ht="14.4" x14ac:dyDescent="0.3"/>
    <row r="16933" ht="14.4" x14ac:dyDescent="0.3"/>
    <row r="16934" ht="14.4" x14ac:dyDescent="0.3"/>
    <row r="16935" ht="14.4" x14ac:dyDescent="0.3"/>
    <row r="16936" ht="14.4" x14ac:dyDescent="0.3"/>
    <row r="16937" ht="14.4" x14ac:dyDescent="0.3"/>
    <row r="16938" ht="14.4" x14ac:dyDescent="0.3"/>
    <row r="16939" ht="14.4" x14ac:dyDescent="0.3"/>
    <row r="16940" ht="14.4" x14ac:dyDescent="0.3"/>
    <row r="16941" ht="14.4" x14ac:dyDescent="0.3"/>
    <row r="16942" ht="14.4" x14ac:dyDescent="0.3"/>
    <row r="16943" ht="14.4" x14ac:dyDescent="0.3"/>
    <row r="16944" ht="14.4" x14ac:dyDescent="0.3"/>
    <row r="16945" ht="14.4" x14ac:dyDescent="0.3"/>
    <row r="16946" ht="14.4" x14ac:dyDescent="0.3"/>
    <row r="16947" ht="14.4" x14ac:dyDescent="0.3"/>
    <row r="16948" ht="14.4" x14ac:dyDescent="0.3"/>
    <row r="16949" ht="14.4" x14ac:dyDescent="0.3"/>
    <row r="16950" ht="14.4" x14ac:dyDescent="0.3"/>
    <row r="16951" ht="14.4" x14ac:dyDescent="0.3"/>
    <row r="16952" ht="14.4" x14ac:dyDescent="0.3"/>
    <row r="16953" ht="14.4" x14ac:dyDescent="0.3"/>
    <row r="16954" ht="14.4" x14ac:dyDescent="0.3"/>
    <row r="16955" ht="14.4" x14ac:dyDescent="0.3"/>
    <row r="16956" ht="14.4" x14ac:dyDescent="0.3"/>
    <row r="16957" ht="14.4" x14ac:dyDescent="0.3"/>
    <row r="16958" ht="14.4" x14ac:dyDescent="0.3"/>
    <row r="16959" ht="14.4" x14ac:dyDescent="0.3"/>
    <row r="16960" ht="14.4" x14ac:dyDescent="0.3"/>
    <row r="16961" ht="14.4" x14ac:dyDescent="0.3"/>
    <row r="16962" ht="14.4" x14ac:dyDescent="0.3"/>
    <row r="16963" ht="14.4" x14ac:dyDescent="0.3"/>
    <row r="16964" ht="14.4" x14ac:dyDescent="0.3"/>
    <row r="16965" ht="14.4" x14ac:dyDescent="0.3"/>
    <row r="16966" ht="14.4" x14ac:dyDescent="0.3"/>
    <row r="16967" ht="14.4" x14ac:dyDescent="0.3"/>
    <row r="16968" ht="14.4" x14ac:dyDescent="0.3"/>
    <row r="16969" ht="14.4" x14ac:dyDescent="0.3"/>
    <row r="16970" ht="14.4" x14ac:dyDescent="0.3"/>
    <row r="16971" ht="14.4" x14ac:dyDescent="0.3"/>
    <row r="16972" ht="14.4" x14ac:dyDescent="0.3"/>
    <row r="16973" ht="14.4" x14ac:dyDescent="0.3"/>
    <row r="16974" ht="14.4" x14ac:dyDescent="0.3"/>
    <row r="16975" ht="14.4" x14ac:dyDescent="0.3"/>
    <row r="16976" ht="14.4" x14ac:dyDescent="0.3"/>
    <row r="16977" ht="14.4" x14ac:dyDescent="0.3"/>
    <row r="16978" ht="14.4" x14ac:dyDescent="0.3"/>
    <row r="16979" ht="14.4" x14ac:dyDescent="0.3"/>
    <row r="16980" ht="14.4" x14ac:dyDescent="0.3"/>
    <row r="16981" ht="14.4" x14ac:dyDescent="0.3"/>
    <row r="16982" ht="14.4" x14ac:dyDescent="0.3"/>
    <row r="16983" ht="14.4" x14ac:dyDescent="0.3"/>
    <row r="16984" ht="14.4" x14ac:dyDescent="0.3"/>
    <row r="16985" ht="14.4" x14ac:dyDescent="0.3"/>
    <row r="16986" ht="14.4" x14ac:dyDescent="0.3"/>
    <row r="16987" ht="14.4" x14ac:dyDescent="0.3"/>
    <row r="16988" ht="14.4" x14ac:dyDescent="0.3"/>
    <row r="16989" ht="14.4" x14ac:dyDescent="0.3"/>
    <row r="16990" ht="14.4" x14ac:dyDescent="0.3"/>
    <row r="16991" ht="14.4" x14ac:dyDescent="0.3"/>
    <row r="16992" ht="14.4" x14ac:dyDescent="0.3"/>
    <row r="16993" ht="14.4" x14ac:dyDescent="0.3"/>
    <row r="16994" ht="14.4" x14ac:dyDescent="0.3"/>
    <row r="16995" ht="14.4" x14ac:dyDescent="0.3"/>
    <row r="16996" ht="14.4" x14ac:dyDescent="0.3"/>
    <row r="16997" ht="14.4" x14ac:dyDescent="0.3"/>
    <row r="16998" ht="14.4" x14ac:dyDescent="0.3"/>
    <row r="16999" ht="14.4" x14ac:dyDescent="0.3"/>
    <row r="17000" ht="14.4" x14ac:dyDescent="0.3"/>
    <row r="17001" ht="14.4" x14ac:dyDescent="0.3"/>
    <row r="17002" ht="14.4" x14ac:dyDescent="0.3"/>
    <row r="17003" ht="14.4" x14ac:dyDescent="0.3"/>
    <row r="17004" ht="14.4" x14ac:dyDescent="0.3"/>
    <row r="17005" ht="14.4" x14ac:dyDescent="0.3"/>
    <row r="17006" ht="14.4" x14ac:dyDescent="0.3"/>
    <row r="17007" ht="14.4" x14ac:dyDescent="0.3"/>
    <row r="17008" ht="14.4" x14ac:dyDescent="0.3"/>
    <row r="17009" spans="1:43" ht="14.4" x14ac:dyDescent="0.3"/>
    <row r="17010" spans="1:43" ht="14.4" x14ac:dyDescent="0.3"/>
    <row r="17011" spans="1:43" ht="14.4" x14ac:dyDescent="0.3"/>
    <row r="17012" spans="1:43" ht="14.4" x14ac:dyDescent="0.3"/>
    <row r="17013" spans="1:43" ht="14.4" x14ac:dyDescent="0.3"/>
    <row r="17014" spans="1:43" ht="14.4" x14ac:dyDescent="0.3"/>
    <row r="17015" spans="1:43" ht="14.4" x14ac:dyDescent="0.3"/>
    <row r="17016" spans="1:43" ht="14.4" x14ac:dyDescent="0.3"/>
    <row r="17017" spans="1:43" ht="14.4" x14ac:dyDescent="0.3"/>
    <row r="17018" spans="1:43" ht="14.4" x14ac:dyDescent="0.3"/>
    <row r="17019" spans="1:43" ht="14.4" hidden="1" x14ac:dyDescent="0.3">
      <c r="A17019" t="s">
        <v>2050</v>
      </c>
      <c r="B17019">
        <v>4901957</v>
      </c>
      <c r="C17019" t="s">
        <v>968</v>
      </c>
      <c r="D17019" t="s">
        <v>990</v>
      </c>
      <c r="E17019" t="s">
        <v>1247</v>
      </c>
      <c r="F17019" t="s">
        <v>2051</v>
      </c>
      <c r="H17019" t="s">
        <v>296</v>
      </c>
      <c r="J17019" t="s">
        <v>140</v>
      </c>
      <c r="K17019">
        <v>162425.53</v>
      </c>
      <c r="L17019">
        <v>381679.03</v>
      </c>
      <c r="M17019">
        <v>1</v>
      </c>
      <c r="N17019" t="s">
        <v>804</v>
      </c>
      <c r="O17019" t="s">
        <v>631</v>
      </c>
      <c r="P17019" t="s">
        <v>1885</v>
      </c>
      <c r="Q17019" t="s">
        <v>144</v>
      </c>
      <c r="R17019" t="s">
        <v>145</v>
      </c>
      <c r="S17019">
        <v>21.3</v>
      </c>
      <c r="T17019">
        <v>2100</v>
      </c>
      <c r="V17019" t="s">
        <v>146</v>
      </c>
      <c r="W17019" t="s">
        <v>147</v>
      </c>
      <c r="X17019" t="s">
        <v>7</v>
      </c>
      <c r="Y17019" t="s">
        <v>781</v>
      </c>
      <c r="Z17019" t="s">
        <v>631</v>
      </c>
      <c r="AA17019" t="s">
        <v>475</v>
      </c>
      <c r="AB17019">
        <v>0</v>
      </c>
      <c r="AE17019" t="s">
        <v>816</v>
      </c>
      <c r="AF17019" t="s">
        <v>631</v>
      </c>
      <c r="AG17019" t="s">
        <v>856</v>
      </c>
      <c r="AL17019" t="s">
        <v>2052</v>
      </c>
      <c r="AM17019" t="s">
        <v>2053</v>
      </c>
      <c r="AN17019" t="s">
        <v>2054</v>
      </c>
      <c r="AO17019" t="s">
        <v>804</v>
      </c>
      <c r="AP17019" t="s">
        <v>158</v>
      </c>
      <c r="AQ17019" t="str">
        <f>IF(ISBLANK(AP17019), IFERROR(IF(VLOOKUP(AO17019, Ellens_additions!$A$2:$B$252, 2, FALSE) = "", "", VLOOKUP(AO17019, Ellens_additions!$A$2:$B$252, 2, FALSE)), 0), AP17019)</f>
        <v>3000</v>
      </c>
    </row>
    <row r="17020" spans="1:43" ht="14.4" hidden="1" x14ac:dyDescent="0.3">
      <c r="A17020" t="s">
        <v>2055</v>
      </c>
      <c r="B17020">
        <v>4901958</v>
      </c>
      <c r="C17020" t="s">
        <v>968</v>
      </c>
      <c r="D17020" t="s">
        <v>990</v>
      </c>
      <c r="E17020" t="s">
        <v>1247</v>
      </c>
      <c r="F17020" t="s">
        <v>1874</v>
      </c>
      <c r="H17020" t="s">
        <v>296</v>
      </c>
      <c r="J17020" t="s">
        <v>140</v>
      </c>
      <c r="K17020">
        <v>162439.6</v>
      </c>
      <c r="L17020">
        <v>381687.66</v>
      </c>
      <c r="M17020">
        <v>1</v>
      </c>
      <c r="N17020" t="s">
        <v>804</v>
      </c>
      <c r="O17020" t="s">
        <v>631</v>
      </c>
      <c r="P17020" t="s">
        <v>1885</v>
      </c>
      <c r="Q17020" t="s">
        <v>144</v>
      </c>
      <c r="R17020" t="s">
        <v>145</v>
      </c>
      <c r="S17020">
        <v>21.3</v>
      </c>
      <c r="T17020">
        <v>2100</v>
      </c>
      <c r="V17020" t="s">
        <v>146</v>
      </c>
      <c r="W17020" t="s">
        <v>147</v>
      </c>
      <c r="X17020" t="s">
        <v>7</v>
      </c>
      <c r="Y17020" t="s">
        <v>781</v>
      </c>
      <c r="Z17020" t="s">
        <v>631</v>
      </c>
      <c r="AA17020" t="s">
        <v>475</v>
      </c>
      <c r="AB17020">
        <v>0</v>
      </c>
      <c r="AE17020" t="s">
        <v>816</v>
      </c>
      <c r="AF17020" t="s">
        <v>631</v>
      </c>
      <c r="AG17020" t="s">
        <v>856</v>
      </c>
      <c r="AL17020" t="s">
        <v>2056</v>
      </c>
      <c r="AM17020" t="s">
        <v>2057</v>
      </c>
      <c r="AN17020" t="s">
        <v>2058</v>
      </c>
      <c r="AO17020" t="s">
        <v>804</v>
      </c>
      <c r="AP17020" t="s">
        <v>158</v>
      </c>
      <c r="AQ17020" t="str">
        <f>IF(ISBLANK(AP17020), IFERROR(IF(VLOOKUP(AO17020, Ellens_additions!$A$2:$B$252, 2, FALSE) = "", "", VLOOKUP(AO17020, Ellens_additions!$A$2:$B$252, 2, FALSE)), 0), AP17020)</f>
        <v>3000</v>
      </c>
    </row>
    <row r="17021" spans="1:43" ht="14.4" hidden="1" x14ac:dyDescent="0.3">
      <c r="A17021" t="s">
        <v>2059</v>
      </c>
      <c r="B17021">
        <v>4901959</v>
      </c>
      <c r="C17021" t="s">
        <v>968</v>
      </c>
      <c r="D17021" t="s">
        <v>990</v>
      </c>
      <c r="E17021" t="s">
        <v>1247</v>
      </c>
      <c r="F17021" t="s">
        <v>2051</v>
      </c>
      <c r="H17021" t="s">
        <v>229</v>
      </c>
      <c r="J17021" t="s">
        <v>140</v>
      </c>
      <c r="K17021">
        <v>162410.87</v>
      </c>
      <c r="L17021">
        <v>381696.88</v>
      </c>
      <c r="M17021">
        <v>1</v>
      </c>
      <c r="N17021" t="s">
        <v>804</v>
      </c>
      <c r="O17021" t="s">
        <v>631</v>
      </c>
      <c r="P17021" t="s">
        <v>1885</v>
      </c>
      <c r="Q17021" t="s">
        <v>144</v>
      </c>
      <c r="R17021" t="s">
        <v>145</v>
      </c>
      <c r="S17021">
        <v>21.3</v>
      </c>
      <c r="T17021">
        <v>2100</v>
      </c>
      <c r="V17021" t="s">
        <v>146</v>
      </c>
      <c r="W17021" t="s">
        <v>147</v>
      </c>
      <c r="X17021" t="s">
        <v>7</v>
      </c>
      <c r="Y17021" t="s">
        <v>781</v>
      </c>
      <c r="Z17021" t="s">
        <v>631</v>
      </c>
      <c r="AA17021" t="s">
        <v>475</v>
      </c>
      <c r="AB17021">
        <v>0</v>
      </c>
      <c r="AE17021" t="s">
        <v>816</v>
      </c>
      <c r="AF17021" t="s">
        <v>631</v>
      </c>
      <c r="AG17021" t="s">
        <v>856</v>
      </c>
      <c r="AL17021" t="s">
        <v>2060</v>
      </c>
      <c r="AM17021" t="s">
        <v>2061</v>
      </c>
      <c r="AN17021" t="s">
        <v>2062</v>
      </c>
      <c r="AO17021" t="s">
        <v>804</v>
      </c>
      <c r="AP17021" t="s">
        <v>158</v>
      </c>
      <c r="AQ17021" t="str">
        <f>IF(ISBLANK(AP17021), IFERROR(IF(VLOOKUP(AO17021, Ellens_additions!$A$2:$B$252, 2, FALSE) = "", "", VLOOKUP(AO17021, Ellens_additions!$A$2:$B$252, 2, FALSE)), 0), AP17021)</f>
        <v>3000</v>
      </c>
    </row>
    <row r="17022" spans="1:43" ht="14.4" x14ac:dyDescent="0.3"/>
    <row r="17023" spans="1:43" ht="14.4" x14ac:dyDescent="0.3"/>
    <row r="17024" spans="1:43" ht="14.4" x14ac:dyDescent="0.3"/>
    <row r="17025" spans="1:43" ht="14.4" x14ac:dyDescent="0.3"/>
    <row r="17026" spans="1:43" ht="14.4" x14ac:dyDescent="0.3"/>
    <row r="17027" spans="1:43" ht="14.4" x14ac:dyDescent="0.3"/>
    <row r="17028" spans="1:43" ht="14.4" x14ac:dyDescent="0.3"/>
    <row r="17029" spans="1:43" ht="14.4" hidden="1" x14ac:dyDescent="0.3">
      <c r="A17029" t="s">
        <v>2063</v>
      </c>
      <c r="B17029">
        <v>4901979</v>
      </c>
      <c r="C17029" t="s">
        <v>968</v>
      </c>
      <c r="D17029" t="s">
        <v>969</v>
      </c>
      <c r="E17029" t="s">
        <v>1008</v>
      </c>
      <c r="F17029" t="s">
        <v>2064</v>
      </c>
      <c r="H17029" t="s">
        <v>229</v>
      </c>
      <c r="J17029" t="s">
        <v>2065</v>
      </c>
      <c r="K17029">
        <v>162091.06</v>
      </c>
      <c r="L17029">
        <v>382155.12</v>
      </c>
      <c r="M17029">
        <v>1</v>
      </c>
      <c r="N17029" t="s">
        <v>1225</v>
      </c>
      <c r="O17029" t="s">
        <v>465</v>
      </c>
      <c r="P17029" t="s">
        <v>1852</v>
      </c>
      <c r="S17029">
        <v>0</v>
      </c>
      <c r="T17029">
        <v>0</v>
      </c>
      <c r="V17029" t="s">
        <v>265</v>
      </c>
      <c r="W17029" t="s">
        <v>147</v>
      </c>
      <c r="X17029" t="s">
        <v>7</v>
      </c>
      <c r="Y17029" t="s">
        <v>781</v>
      </c>
      <c r="Z17029" t="s">
        <v>465</v>
      </c>
      <c r="AA17029" t="s">
        <v>2066</v>
      </c>
      <c r="AB17029">
        <v>0</v>
      </c>
      <c r="AD17029" t="s">
        <v>229</v>
      </c>
      <c r="AE17029" t="s">
        <v>2067</v>
      </c>
      <c r="AF17029" t="s">
        <v>465</v>
      </c>
      <c r="AG17029" t="s">
        <v>2068</v>
      </c>
      <c r="AL17029" t="s">
        <v>2069</v>
      </c>
      <c r="AM17029" t="s">
        <v>2070</v>
      </c>
      <c r="AN17029" t="s">
        <v>2071</v>
      </c>
      <c r="AO17029" t="s">
        <v>1225</v>
      </c>
      <c r="AQ17029">
        <f>IF(ISBLANK(AP17029), IFERROR(IF(VLOOKUP(AO17029, Ellens_additions!$A$2:$B$252, 2, FALSE) = "", "", VLOOKUP(AO17029, Ellens_additions!$A$2:$B$252, 2, FALSE)), 0), AP17029)</f>
        <v>0</v>
      </c>
    </row>
    <row r="17030" spans="1:43" ht="14.4" x14ac:dyDescent="0.3"/>
    <row r="17031" spans="1:43" ht="14.4" x14ac:dyDescent="0.3"/>
    <row r="17032" spans="1:43" ht="14.4" x14ac:dyDescent="0.3"/>
    <row r="17033" spans="1:43" ht="14.4" x14ac:dyDescent="0.3"/>
    <row r="17034" spans="1:43" ht="14.4" x14ac:dyDescent="0.3"/>
    <row r="17035" spans="1:43" ht="14.4" x14ac:dyDescent="0.3"/>
    <row r="17036" spans="1:43" ht="14.4" x14ac:dyDescent="0.3"/>
    <row r="17037" spans="1:43" ht="14.4" x14ac:dyDescent="0.3"/>
    <row r="17038" spans="1:43" ht="14.4" x14ac:dyDescent="0.3"/>
    <row r="17039" spans="1:43" ht="14.4" x14ac:dyDescent="0.3"/>
    <row r="17040" spans="1:43" ht="14.4" x14ac:dyDescent="0.3"/>
    <row r="17041" ht="14.4" x14ac:dyDescent="0.3"/>
    <row r="17042" ht="14.4" x14ac:dyDescent="0.3"/>
    <row r="17043" ht="14.4" x14ac:dyDescent="0.3"/>
    <row r="17044" ht="14.4" x14ac:dyDescent="0.3"/>
    <row r="17045" ht="14.4" x14ac:dyDescent="0.3"/>
    <row r="17046" ht="14.4" x14ac:dyDescent="0.3"/>
    <row r="17047" ht="14.4" x14ac:dyDescent="0.3"/>
    <row r="17048" ht="14.4" x14ac:dyDescent="0.3"/>
    <row r="17049" ht="14.4" x14ac:dyDescent="0.3"/>
    <row r="17050" ht="14.4" x14ac:dyDescent="0.3"/>
    <row r="17051" ht="14.4" x14ac:dyDescent="0.3"/>
    <row r="17052" ht="14.4" x14ac:dyDescent="0.3"/>
    <row r="17053" ht="14.4" x14ac:dyDescent="0.3"/>
    <row r="17054" ht="14.4" x14ac:dyDescent="0.3"/>
    <row r="17055" ht="14.4" x14ac:dyDescent="0.3"/>
    <row r="17056" ht="14.4" x14ac:dyDescent="0.3"/>
    <row r="17057" ht="14.4" x14ac:dyDescent="0.3"/>
    <row r="17058" ht="14.4" x14ac:dyDescent="0.3"/>
    <row r="17059" ht="14.4" x14ac:dyDescent="0.3"/>
    <row r="17060" ht="14.4" x14ac:dyDescent="0.3"/>
    <row r="17061" ht="14.4" x14ac:dyDescent="0.3"/>
    <row r="17062" ht="14.4" x14ac:dyDescent="0.3"/>
    <row r="17063" ht="14.4" x14ac:dyDescent="0.3"/>
    <row r="17064" ht="14.4" x14ac:dyDescent="0.3"/>
    <row r="17065" ht="14.4" x14ac:dyDescent="0.3"/>
    <row r="17066" ht="14.4" x14ac:dyDescent="0.3"/>
    <row r="17067" ht="14.4" x14ac:dyDescent="0.3"/>
    <row r="17068" ht="14.4" x14ac:dyDescent="0.3"/>
    <row r="17069" ht="14.4" x14ac:dyDescent="0.3"/>
    <row r="17070" ht="14.4" x14ac:dyDescent="0.3"/>
    <row r="17071" ht="14.4" x14ac:dyDescent="0.3"/>
    <row r="17072" ht="14.4" x14ac:dyDescent="0.3"/>
    <row r="17073" ht="14.4" x14ac:dyDescent="0.3"/>
    <row r="17074" ht="14.4" x14ac:dyDescent="0.3"/>
    <row r="17075" ht="14.4" x14ac:dyDescent="0.3"/>
    <row r="17076" ht="14.4" x14ac:dyDescent="0.3"/>
    <row r="17077" ht="14.4" x14ac:dyDescent="0.3"/>
    <row r="17078" ht="14.4" x14ac:dyDescent="0.3"/>
    <row r="17079" ht="14.4" x14ac:dyDescent="0.3"/>
    <row r="17080" ht="14.4" x14ac:dyDescent="0.3"/>
    <row r="17081" ht="14.4" x14ac:dyDescent="0.3"/>
    <row r="17082" ht="14.4" x14ac:dyDescent="0.3"/>
    <row r="17083" ht="14.4" x14ac:dyDescent="0.3"/>
    <row r="17084" ht="14.4" x14ac:dyDescent="0.3"/>
    <row r="17085" ht="14.4" x14ac:dyDescent="0.3"/>
    <row r="17086" ht="14.4" x14ac:dyDescent="0.3"/>
    <row r="17087" ht="14.4" x14ac:dyDescent="0.3"/>
    <row r="17088" ht="14.4" x14ac:dyDescent="0.3"/>
    <row r="17089" ht="14.4" x14ac:dyDescent="0.3"/>
    <row r="17090" ht="14.4" x14ac:dyDescent="0.3"/>
    <row r="17091" ht="14.4" x14ac:dyDescent="0.3"/>
    <row r="17092" ht="14.4" x14ac:dyDescent="0.3"/>
    <row r="17093" ht="14.4" x14ac:dyDescent="0.3"/>
    <row r="17094" ht="14.4" x14ac:dyDescent="0.3"/>
    <row r="17095" ht="14.4" x14ac:dyDescent="0.3"/>
    <row r="17096" ht="14.4" x14ac:dyDescent="0.3"/>
    <row r="17097" ht="14.4" x14ac:dyDescent="0.3"/>
    <row r="17098" ht="14.4" x14ac:dyDescent="0.3"/>
    <row r="17099" ht="14.4" x14ac:dyDescent="0.3"/>
    <row r="17100" ht="14.4" x14ac:dyDescent="0.3"/>
    <row r="17101" ht="14.4" x14ac:dyDescent="0.3"/>
    <row r="17102" ht="14.4" x14ac:dyDescent="0.3"/>
    <row r="17103" ht="14.4" x14ac:dyDescent="0.3"/>
    <row r="17104" ht="14.4" x14ac:dyDescent="0.3"/>
    <row r="17105" spans="1:43" ht="14.4" x14ac:dyDescent="0.3"/>
    <row r="17106" spans="1:43" ht="14.4" x14ac:dyDescent="0.3"/>
    <row r="17107" spans="1:43" ht="14.4" x14ac:dyDescent="0.3"/>
    <row r="17108" spans="1:43" ht="14.4" x14ac:dyDescent="0.3"/>
    <row r="17109" spans="1:43" ht="14.4" x14ac:dyDescent="0.3"/>
    <row r="17110" spans="1:43" ht="14.4" x14ac:dyDescent="0.3"/>
    <row r="17111" spans="1:43" ht="14.4" x14ac:dyDescent="0.3"/>
    <row r="17112" spans="1:43" ht="14.4" x14ac:dyDescent="0.3"/>
    <row r="17113" spans="1:43" ht="14.4" hidden="1" x14ac:dyDescent="0.3">
      <c r="A17113" t="s">
        <v>2072</v>
      </c>
      <c r="B17113">
        <v>4902244</v>
      </c>
      <c r="C17113" t="s">
        <v>968</v>
      </c>
      <c r="D17113" t="s">
        <v>990</v>
      </c>
      <c r="E17113" t="s">
        <v>1247</v>
      </c>
      <c r="F17113" t="s">
        <v>1874</v>
      </c>
      <c r="H17113" t="s">
        <v>274</v>
      </c>
      <c r="J17113" t="s">
        <v>140</v>
      </c>
      <c r="K17113">
        <v>162457.64000000001</v>
      </c>
      <c r="L17113">
        <v>381682.09</v>
      </c>
      <c r="M17113">
        <v>1</v>
      </c>
      <c r="N17113" t="s">
        <v>804</v>
      </c>
      <c r="O17113" t="s">
        <v>631</v>
      </c>
      <c r="P17113" t="s">
        <v>1885</v>
      </c>
      <c r="Q17113" t="s">
        <v>144</v>
      </c>
      <c r="R17113" t="s">
        <v>145</v>
      </c>
      <c r="S17113">
        <v>21.3</v>
      </c>
      <c r="T17113">
        <v>2100</v>
      </c>
      <c r="V17113" t="s">
        <v>146</v>
      </c>
      <c r="W17113" t="s">
        <v>147</v>
      </c>
      <c r="X17113" t="s">
        <v>7</v>
      </c>
      <c r="Y17113" t="s">
        <v>781</v>
      </c>
      <c r="Z17113" t="s">
        <v>631</v>
      </c>
      <c r="AA17113" t="s">
        <v>475</v>
      </c>
      <c r="AB17113">
        <v>0</v>
      </c>
      <c r="AE17113" t="s">
        <v>816</v>
      </c>
      <c r="AF17113" t="s">
        <v>631</v>
      </c>
      <c r="AG17113" t="s">
        <v>856</v>
      </c>
      <c r="AL17113" t="s">
        <v>2073</v>
      </c>
      <c r="AM17113" t="s">
        <v>2074</v>
      </c>
      <c r="AN17113" t="s">
        <v>2075</v>
      </c>
      <c r="AO17113" t="s">
        <v>804</v>
      </c>
      <c r="AP17113" t="s">
        <v>158</v>
      </c>
      <c r="AQ17113" t="str">
        <f>IF(ISBLANK(AP17113), IFERROR(IF(VLOOKUP(AO17113, Ellens_additions!$A$2:$B$252, 2, FALSE) = "", "", VLOOKUP(AO17113, Ellens_additions!$A$2:$B$252, 2, FALSE)), 0), AP17113)</f>
        <v>3000</v>
      </c>
    </row>
    <row r="17114" spans="1:43" ht="14.4" hidden="1" x14ac:dyDescent="0.3">
      <c r="A17114" t="s">
        <v>2076</v>
      </c>
      <c r="B17114">
        <v>4902248</v>
      </c>
      <c r="C17114" t="s">
        <v>968</v>
      </c>
      <c r="D17114" t="s">
        <v>990</v>
      </c>
      <c r="E17114" t="s">
        <v>1247</v>
      </c>
      <c r="F17114" t="s">
        <v>2051</v>
      </c>
      <c r="H17114" t="s">
        <v>275</v>
      </c>
      <c r="J17114" t="s">
        <v>140</v>
      </c>
      <c r="K17114">
        <v>162445.76999999999</v>
      </c>
      <c r="L17114">
        <v>381609.03</v>
      </c>
      <c r="M17114">
        <v>1</v>
      </c>
      <c r="N17114" t="s">
        <v>804</v>
      </c>
      <c r="O17114" t="s">
        <v>631</v>
      </c>
      <c r="P17114" t="s">
        <v>1885</v>
      </c>
      <c r="Q17114" t="s">
        <v>144</v>
      </c>
      <c r="R17114" t="s">
        <v>145</v>
      </c>
      <c r="S17114">
        <v>21.3</v>
      </c>
      <c r="T17114">
        <v>2100</v>
      </c>
      <c r="V17114" t="s">
        <v>146</v>
      </c>
      <c r="W17114" t="s">
        <v>147</v>
      </c>
      <c r="X17114" t="s">
        <v>7</v>
      </c>
      <c r="Y17114" t="s">
        <v>781</v>
      </c>
      <c r="Z17114" t="s">
        <v>631</v>
      </c>
      <c r="AA17114" t="s">
        <v>475</v>
      </c>
      <c r="AB17114">
        <v>0</v>
      </c>
      <c r="AE17114" t="s">
        <v>816</v>
      </c>
      <c r="AF17114" t="s">
        <v>631</v>
      </c>
      <c r="AG17114" t="s">
        <v>856</v>
      </c>
      <c r="AL17114" t="s">
        <v>2077</v>
      </c>
      <c r="AM17114" t="s">
        <v>2078</v>
      </c>
      <c r="AN17114" t="s">
        <v>2079</v>
      </c>
      <c r="AO17114" t="s">
        <v>804</v>
      </c>
      <c r="AP17114" t="s">
        <v>158</v>
      </c>
      <c r="AQ17114" t="str">
        <f>IF(ISBLANK(AP17114), IFERROR(IF(VLOOKUP(AO17114, Ellens_additions!$A$2:$B$252, 2, FALSE) = "", "", VLOOKUP(AO17114, Ellens_additions!$A$2:$B$252, 2, FALSE)), 0), AP17114)</f>
        <v>3000</v>
      </c>
    </row>
    <row r="17115" spans="1:43" ht="14.4" hidden="1" x14ac:dyDescent="0.3">
      <c r="A17115" t="s">
        <v>2080</v>
      </c>
      <c r="B17115">
        <v>4902249</v>
      </c>
      <c r="C17115" t="s">
        <v>968</v>
      </c>
      <c r="D17115" t="s">
        <v>990</v>
      </c>
      <c r="E17115" t="s">
        <v>1247</v>
      </c>
      <c r="F17115" t="s">
        <v>2051</v>
      </c>
      <c r="H17115" t="s">
        <v>251</v>
      </c>
      <c r="J17115" t="s">
        <v>140</v>
      </c>
      <c r="K17115">
        <v>162456.85</v>
      </c>
      <c r="L17115">
        <v>381587.04</v>
      </c>
      <c r="M17115">
        <v>1</v>
      </c>
      <c r="N17115" t="s">
        <v>804</v>
      </c>
      <c r="O17115" t="s">
        <v>631</v>
      </c>
      <c r="P17115" t="s">
        <v>1885</v>
      </c>
      <c r="Q17115" t="s">
        <v>144</v>
      </c>
      <c r="R17115" t="s">
        <v>145</v>
      </c>
      <c r="S17115">
        <v>21.3</v>
      </c>
      <c r="T17115">
        <v>2100</v>
      </c>
      <c r="V17115" t="s">
        <v>146</v>
      </c>
      <c r="W17115" t="s">
        <v>147</v>
      </c>
      <c r="X17115" t="s">
        <v>7</v>
      </c>
      <c r="Y17115" t="s">
        <v>781</v>
      </c>
      <c r="Z17115" t="s">
        <v>631</v>
      </c>
      <c r="AA17115" t="s">
        <v>475</v>
      </c>
      <c r="AB17115">
        <v>0</v>
      </c>
      <c r="AE17115" t="s">
        <v>816</v>
      </c>
      <c r="AF17115" t="s">
        <v>631</v>
      </c>
      <c r="AG17115" t="s">
        <v>856</v>
      </c>
      <c r="AL17115" t="s">
        <v>2081</v>
      </c>
      <c r="AM17115" t="s">
        <v>2082</v>
      </c>
      <c r="AN17115" t="s">
        <v>2083</v>
      </c>
      <c r="AO17115" t="s">
        <v>804</v>
      </c>
      <c r="AP17115" t="s">
        <v>158</v>
      </c>
      <c r="AQ17115" t="str">
        <f>IF(ISBLANK(AP17115), IFERROR(IF(VLOOKUP(AO17115, Ellens_additions!$A$2:$B$252, 2, FALSE) = "", "", VLOOKUP(AO17115, Ellens_additions!$A$2:$B$252, 2, FALSE)), 0), AP17115)</f>
        <v>3000</v>
      </c>
    </row>
    <row r="17116" spans="1:43" ht="14.4" hidden="1" x14ac:dyDescent="0.3">
      <c r="A17116" t="s">
        <v>2084</v>
      </c>
      <c r="B17116">
        <v>4902254</v>
      </c>
      <c r="C17116" t="s">
        <v>968</v>
      </c>
      <c r="D17116" t="s">
        <v>990</v>
      </c>
      <c r="E17116" t="s">
        <v>1247</v>
      </c>
      <c r="F17116" t="s">
        <v>2051</v>
      </c>
      <c r="H17116" t="s">
        <v>276</v>
      </c>
      <c r="J17116" t="s">
        <v>140</v>
      </c>
      <c r="K17116">
        <v>162526.79</v>
      </c>
      <c r="L17116">
        <v>381543.55</v>
      </c>
      <c r="M17116">
        <v>1</v>
      </c>
      <c r="N17116" t="s">
        <v>804</v>
      </c>
      <c r="O17116" t="s">
        <v>631</v>
      </c>
      <c r="P17116" t="s">
        <v>1885</v>
      </c>
      <c r="Q17116" t="s">
        <v>144</v>
      </c>
      <c r="R17116" t="s">
        <v>145</v>
      </c>
      <c r="S17116">
        <v>21.3</v>
      </c>
      <c r="T17116">
        <v>2100</v>
      </c>
      <c r="V17116" t="s">
        <v>146</v>
      </c>
      <c r="W17116" t="s">
        <v>147</v>
      </c>
      <c r="X17116" t="s">
        <v>7</v>
      </c>
      <c r="Y17116" t="s">
        <v>781</v>
      </c>
      <c r="Z17116" t="s">
        <v>631</v>
      </c>
      <c r="AA17116" t="s">
        <v>475</v>
      </c>
      <c r="AB17116">
        <v>0</v>
      </c>
      <c r="AE17116" t="s">
        <v>816</v>
      </c>
      <c r="AF17116" t="s">
        <v>631</v>
      </c>
      <c r="AG17116" t="s">
        <v>856</v>
      </c>
      <c r="AL17116" t="s">
        <v>2085</v>
      </c>
      <c r="AM17116" t="s">
        <v>2086</v>
      </c>
      <c r="AN17116" t="s">
        <v>2087</v>
      </c>
      <c r="AO17116" t="s">
        <v>804</v>
      </c>
      <c r="AP17116" t="s">
        <v>158</v>
      </c>
      <c r="AQ17116" t="str">
        <f>IF(ISBLANK(AP17116), IFERROR(IF(VLOOKUP(AO17116, Ellens_additions!$A$2:$B$252, 2, FALSE) = "", "", VLOOKUP(AO17116, Ellens_additions!$A$2:$B$252, 2, FALSE)), 0), AP17116)</f>
        <v>3000</v>
      </c>
    </row>
    <row r="17117" spans="1:43" ht="14.4" hidden="1" x14ac:dyDescent="0.3">
      <c r="A17117" t="s">
        <v>2088</v>
      </c>
      <c r="B17117">
        <v>4902256</v>
      </c>
      <c r="C17117" t="s">
        <v>968</v>
      </c>
      <c r="D17117" t="s">
        <v>990</v>
      </c>
      <c r="E17117" t="s">
        <v>1247</v>
      </c>
      <c r="F17117" t="s">
        <v>1874</v>
      </c>
      <c r="H17117" t="s">
        <v>275</v>
      </c>
      <c r="J17117" t="s">
        <v>140</v>
      </c>
      <c r="K17117">
        <v>162488.10999999999</v>
      </c>
      <c r="L17117">
        <v>381639.43</v>
      </c>
      <c r="M17117">
        <v>1</v>
      </c>
      <c r="N17117" t="s">
        <v>804</v>
      </c>
      <c r="O17117" t="s">
        <v>631</v>
      </c>
      <c r="P17117" t="s">
        <v>1885</v>
      </c>
      <c r="Q17117" t="s">
        <v>144</v>
      </c>
      <c r="R17117" t="s">
        <v>145</v>
      </c>
      <c r="S17117">
        <v>21.3</v>
      </c>
      <c r="T17117">
        <v>2100</v>
      </c>
      <c r="V17117" t="s">
        <v>146</v>
      </c>
      <c r="W17117" t="s">
        <v>147</v>
      </c>
      <c r="X17117" t="s">
        <v>7</v>
      </c>
      <c r="Y17117" t="s">
        <v>781</v>
      </c>
      <c r="Z17117" t="s">
        <v>631</v>
      </c>
      <c r="AA17117" t="s">
        <v>475</v>
      </c>
      <c r="AB17117">
        <v>0</v>
      </c>
      <c r="AE17117" t="s">
        <v>816</v>
      </c>
      <c r="AF17117" t="s">
        <v>631</v>
      </c>
      <c r="AG17117" t="s">
        <v>856</v>
      </c>
      <c r="AL17117" t="s">
        <v>2089</v>
      </c>
      <c r="AM17117" t="s">
        <v>2090</v>
      </c>
      <c r="AN17117" t="s">
        <v>2091</v>
      </c>
      <c r="AO17117" t="s">
        <v>804</v>
      </c>
      <c r="AP17117" t="s">
        <v>158</v>
      </c>
      <c r="AQ17117" t="str">
        <f>IF(ISBLANK(AP17117), IFERROR(IF(VLOOKUP(AO17117, Ellens_additions!$A$2:$B$252, 2, FALSE) = "", "", VLOOKUP(AO17117, Ellens_additions!$A$2:$B$252, 2, FALSE)), 0), AP17117)</f>
        <v>3000</v>
      </c>
    </row>
    <row r="17118" spans="1:43" ht="14.4" hidden="1" x14ac:dyDescent="0.3">
      <c r="A17118" t="s">
        <v>2092</v>
      </c>
      <c r="B17118">
        <v>4902260</v>
      </c>
      <c r="C17118" t="s">
        <v>968</v>
      </c>
      <c r="D17118" t="s">
        <v>990</v>
      </c>
      <c r="E17118" t="s">
        <v>1247</v>
      </c>
      <c r="F17118" t="s">
        <v>1874</v>
      </c>
      <c r="H17118" t="s">
        <v>256</v>
      </c>
      <c r="J17118" t="s">
        <v>140</v>
      </c>
      <c r="K17118">
        <v>162520.42000000001</v>
      </c>
      <c r="L17118">
        <v>381574.36</v>
      </c>
      <c r="M17118">
        <v>1</v>
      </c>
      <c r="N17118" t="s">
        <v>804</v>
      </c>
      <c r="O17118" t="s">
        <v>631</v>
      </c>
      <c r="P17118" t="s">
        <v>1885</v>
      </c>
      <c r="Q17118" t="s">
        <v>144</v>
      </c>
      <c r="R17118" t="s">
        <v>145</v>
      </c>
      <c r="S17118">
        <v>21.3</v>
      </c>
      <c r="T17118">
        <v>2100</v>
      </c>
      <c r="V17118" t="s">
        <v>146</v>
      </c>
      <c r="W17118" t="s">
        <v>147</v>
      </c>
      <c r="X17118" t="s">
        <v>7</v>
      </c>
      <c r="Y17118" t="s">
        <v>781</v>
      </c>
      <c r="Z17118" t="s">
        <v>631</v>
      </c>
      <c r="AA17118" t="s">
        <v>475</v>
      </c>
      <c r="AB17118">
        <v>0</v>
      </c>
      <c r="AE17118" t="s">
        <v>816</v>
      </c>
      <c r="AF17118" t="s">
        <v>631</v>
      </c>
      <c r="AG17118" t="s">
        <v>856</v>
      </c>
      <c r="AL17118" t="s">
        <v>2093</v>
      </c>
      <c r="AM17118" t="s">
        <v>2094</v>
      </c>
      <c r="AN17118" t="s">
        <v>2095</v>
      </c>
      <c r="AO17118" t="s">
        <v>804</v>
      </c>
      <c r="AP17118" t="s">
        <v>158</v>
      </c>
      <c r="AQ17118" t="str">
        <f>IF(ISBLANK(AP17118), IFERROR(IF(VLOOKUP(AO17118, Ellens_additions!$A$2:$B$252, 2, FALSE) = "", "", VLOOKUP(AO17118, Ellens_additions!$A$2:$B$252, 2, FALSE)), 0), AP17118)</f>
        <v>3000</v>
      </c>
    </row>
    <row r="17119" spans="1:43" ht="14.4" hidden="1" x14ac:dyDescent="0.3">
      <c r="A17119" t="s">
        <v>2096</v>
      </c>
      <c r="B17119">
        <v>4902261</v>
      </c>
      <c r="C17119" t="s">
        <v>968</v>
      </c>
      <c r="D17119" t="s">
        <v>990</v>
      </c>
      <c r="E17119" t="s">
        <v>1247</v>
      </c>
      <c r="F17119" t="s">
        <v>1874</v>
      </c>
      <c r="H17119" t="s">
        <v>278</v>
      </c>
      <c r="J17119" t="s">
        <v>140</v>
      </c>
      <c r="K17119">
        <v>162541.57</v>
      </c>
      <c r="L17119">
        <v>381553.3</v>
      </c>
      <c r="M17119">
        <v>1</v>
      </c>
      <c r="N17119" t="s">
        <v>804</v>
      </c>
      <c r="O17119" t="s">
        <v>631</v>
      </c>
      <c r="P17119" t="s">
        <v>1885</v>
      </c>
      <c r="Q17119" t="s">
        <v>144</v>
      </c>
      <c r="R17119" t="s">
        <v>145</v>
      </c>
      <c r="S17119">
        <v>21.3</v>
      </c>
      <c r="T17119">
        <v>2100</v>
      </c>
      <c r="V17119" t="s">
        <v>146</v>
      </c>
      <c r="W17119" t="s">
        <v>147</v>
      </c>
      <c r="X17119" t="s">
        <v>7</v>
      </c>
      <c r="Y17119" t="s">
        <v>781</v>
      </c>
      <c r="Z17119" t="s">
        <v>631</v>
      </c>
      <c r="AA17119" t="s">
        <v>475</v>
      </c>
      <c r="AB17119">
        <v>0</v>
      </c>
      <c r="AE17119" t="s">
        <v>816</v>
      </c>
      <c r="AF17119" t="s">
        <v>631</v>
      </c>
      <c r="AG17119" t="s">
        <v>856</v>
      </c>
      <c r="AL17119" t="s">
        <v>2097</v>
      </c>
      <c r="AM17119" t="s">
        <v>2098</v>
      </c>
      <c r="AN17119" t="s">
        <v>2099</v>
      </c>
      <c r="AO17119" t="s">
        <v>804</v>
      </c>
      <c r="AP17119" t="s">
        <v>158</v>
      </c>
      <c r="AQ17119" t="str">
        <f>IF(ISBLANK(AP17119), IFERROR(IF(VLOOKUP(AO17119, Ellens_additions!$A$2:$B$252, 2, FALSE) = "", "", VLOOKUP(AO17119, Ellens_additions!$A$2:$B$252, 2, FALSE)), 0), AP17119)</f>
        <v>3000</v>
      </c>
    </row>
    <row r="17120" spans="1:43" ht="14.4" hidden="1" x14ac:dyDescent="0.3">
      <c r="A17120" t="s">
        <v>2100</v>
      </c>
      <c r="B17120">
        <v>4902263</v>
      </c>
      <c r="C17120" t="s">
        <v>968</v>
      </c>
      <c r="D17120" t="s">
        <v>990</v>
      </c>
      <c r="E17120" t="s">
        <v>1247</v>
      </c>
      <c r="F17120" t="s">
        <v>1874</v>
      </c>
      <c r="H17120" t="s">
        <v>295</v>
      </c>
      <c r="J17120" t="s">
        <v>140</v>
      </c>
      <c r="K17120">
        <v>162567.12</v>
      </c>
      <c r="L17120">
        <v>381527.83</v>
      </c>
      <c r="M17120">
        <v>1</v>
      </c>
      <c r="N17120" t="s">
        <v>804</v>
      </c>
      <c r="O17120" t="s">
        <v>631</v>
      </c>
      <c r="P17120" t="s">
        <v>1885</v>
      </c>
      <c r="Q17120" t="s">
        <v>144</v>
      </c>
      <c r="R17120" t="s">
        <v>145</v>
      </c>
      <c r="S17120">
        <v>21.3</v>
      </c>
      <c r="T17120">
        <v>2100</v>
      </c>
      <c r="V17120" t="s">
        <v>146</v>
      </c>
      <c r="W17120" t="s">
        <v>147</v>
      </c>
      <c r="X17120" t="s">
        <v>7</v>
      </c>
      <c r="Y17120" t="s">
        <v>781</v>
      </c>
      <c r="Z17120" t="s">
        <v>631</v>
      </c>
      <c r="AA17120" t="s">
        <v>475</v>
      </c>
      <c r="AB17120">
        <v>0</v>
      </c>
      <c r="AE17120" t="s">
        <v>816</v>
      </c>
      <c r="AF17120" t="s">
        <v>631</v>
      </c>
      <c r="AG17120" t="s">
        <v>856</v>
      </c>
      <c r="AL17120" t="s">
        <v>2101</v>
      </c>
      <c r="AM17120" t="s">
        <v>2102</v>
      </c>
      <c r="AN17120" t="s">
        <v>2103</v>
      </c>
      <c r="AO17120" t="s">
        <v>804</v>
      </c>
      <c r="AP17120" t="s">
        <v>158</v>
      </c>
      <c r="AQ17120" t="str">
        <f>IF(ISBLANK(AP17120), IFERROR(IF(VLOOKUP(AO17120, Ellens_additions!$A$2:$B$252, 2, FALSE) = "", "", VLOOKUP(AO17120, Ellens_additions!$A$2:$B$252, 2, FALSE)), 0), AP17120)</f>
        <v>3000</v>
      </c>
    </row>
    <row r="17121" spans="1:43" ht="14.4" hidden="1" x14ac:dyDescent="0.3">
      <c r="A17121" t="s">
        <v>2104</v>
      </c>
      <c r="B17121">
        <v>4902264</v>
      </c>
      <c r="C17121" t="s">
        <v>968</v>
      </c>
      <c r="D17121" t="s">
        <v>990</v>
      </c>
      <c r="E17121" t="s">
        <v>1247</v>
      </c>
      <c r="F17121" t="s">
        <v>1874</v>
      </c>
      <c r="H17121" t="s">
        <v>277</v>
      </c>
      <c r="J17121" t="s">
        <v>140</v>
      </c>
      <c r="K17121">
        <v>162561.07</v>
      </c>
      <c r="L17121">
        <v>381506.94</v>
      </c>
      <c r="M17121">
        <v>1</v>
      </c>
      <c r="N17121" t="s">
        <v>804</v>
      </c>
      <c r="O17121" t="s">
        <v>631</v>
      </c>
      <c r="P17121" t="s">
        <v>1885</v>
      </c>
      <c r="Q17121" t="s">
        <v>144</v>
      </c>
      <c r="R17121" t="s">
        <v>145</v>
      </c>
      <c r="S17121">
        <v>21.3</v>
      </c>
      <c r="T17121">
        <v>2100</v>
      </c>
      <c r="V17121" t="s">
        <v>146</v>
      </c>
      <c r="W17121" t="s">
        <v>147</v>
      </c>
      <c r="X17121" t="s">
        <v>7</v>
      </c>
      <c r="Y17121" t="s">
        <v>781</v>
      </c>
      <c r="Z17121" t="s">
        <v>631</v>
      </c>
      <c r="AA17121" t="s">
        <v>475</v>
      </c>
      <c r="AB17121">
        <v>0</v>
      </c>
      <c r="AE17121" t="s">
        <v>816</v>
      </c>
      <c r="AF17121" t="s">
        <v>631</v>
      </c>
      <c r="AG17121" t="s">
        <v>856</v>
      </c>
      <c r="AL17121" t="s">
        <v>2105</v>
      </c>
      <c r="AM17121" t="s">
        <v>2106</v>
      </c>
      <c r="AN17121" t="s">
        <v>2107</v>
      </c>
      <c r="AO17121" t="s">
        <v>804</v>
      </c>
      <c r="AP17121" t="s">
        <v>158</v>
      </c>
      <c r="AQ17121" t="str">
        <f>IF(ISBLANK(AP17121), IFERROR(IF(VLOOKUP(AO17121, Ellens_additions!$A$2:$B$252, 2, FALSE) = "", "", VLOOKUP(AO17121, Ellens_additions!$A$2:$B$252, 2, FALSE)), 0), AP17121)</f>
        <v>3000</v>
      </c>
    </row>
    <row r="17122" spans="1:43" ht="14.4" hidden="1" x14ac:dyDescent="0.3">
      <c r="A17122" t="s">
        <v>2108</v>
      </c>
      <c r="B17122">
        <v>4902265</v>
      </c>
      <c r="C17122" t="s">
        <v>968</v>
      </c>
      <c r="D17122" t="s">
        <v>990</v>
      </c>
      <c r="E17122" t="s">
        <v>1247</v>
      </c>
      <c r="F17122" t="s">
        <v>1874</v>
      </c>
      <c r="H17122" t="s">
        <v>407</v>
      </c>
      <c r="J17122" t="s">
        <v>140</v>
      </c>
      <c r="K17122">
        <v>162581.57</v>
      </c>
      <c r="L17122">
        <v>381505.09</v>
      </c>
      <c r="M17122">
        <v>1</v>
      </c>
      <c r="N17122" t="s">
        <v>804</v>
      </c>
      <c r="O17122" t="s">
        <v>631</v>
      </c>
      <c r="P17122" t="s">
        <v>1885</v>
      </c>
      <c r="Q17122" t="s">
        <v>144</v>
      </c>
      <c r="R17122" t="s">
        <v>145</v>
      </c>
      <c r="S17122">
        <v>21.3</v>
      </c>
      <c r="T17122">
        <v>2100</v>
      </c>
      <c r="V17122" t="s">
        <v>146</v>
      </c>
      <c r="W17122" t="s">
        <v>147</v>
      </c>
      <c r="X17122" t="s">
        <v>7</v>
      </c>
      <c r="Y17122" t="s">
        <v>781</v>
      </c>
      <c r="Z17122" t="s">
        <v>631</v>
      </c>
      <c r="AA17122" t="s">
        <v>475</v>
      </c>
      <c r="AB17122">
        <v>0</v>
      </c>
      <c r="AE17122" t="s">
        <v>816</v>
      </c>
      <c r="AF17122" t="s">
        <v>631</v>
      </c>
      <c r="AG17122" t="s">
        <v>856</v>
      </c>
      <c r="AL17122" t="s">
        <v>2109</v>
      </c>
      <c r="AM17122" t="s">
        <v>2110</v>
      </c>
      <c r="AN17122" t="s">
        <v>2111</v>
      </c>
      <c r="AO17122" t="s">
        <v>804</v>
      </c>
      <c r="AP17122" t="s">
        <v>158</v>
      </c>
      <c r="AQ17122" t="str">
        <f>IF(ISBLANK(AP17122), IFERROR(IF(VLOOKUP(AO17122, Ellens_additions!$A$2:$B$252, 2, FALSE) = "", "", VLOOKUP(AO17122, Ellens_additions!$A$2:$B$252, 2, FALSE)), 0), AP17122)</f>
        <v>3000</v>
      </c>
    </row>
    <row r="17123" spans="1:43" ht="14.4" x14ac:dyDescent="0.3"/>
    <row r="17124" spans="1:43" ht="14.4" x14ac:dyDescent="0.3"/>
    <row r="17125" spans="1:43" ht="14.4" x14ac:dyDescent="0.3"/>
    <row r="17126" spans="1:43" ht="14.4" x14ac:dyDescent="0.3"/>
    <row r="17127" spans="1:43" ht="14.4" hidden="1" x14ac:dyDescent="0.3">
      <c r="A17127" t="s">
        <v>2112</v>
      </c>
      <c r="B17127">
        <v>4902276</v>
      </c>
      <c r="C17127" t="s">
        <v>968</v>
      </c>
      <c r="D17127" t="s">
        <v>990</v>
      </c>
      <c r="E17127" t="s">
        <v>1247</v>
      </c>
      <c r="F17127" t="s">
        <v>2113</v>
      </c>
      <c r="H17127" t="s">
        <v>296</v>
      </c>
      <c r="J17127" t="s">
        <v>140</v>
      </c>
      <c r="K17127">
        <v>162541.60999999999</v>
      </c>
      <c r="L17127">
        <v>381641.02</v>
      </c>
      <c r="M17127">
        <v>1</v>
      </c>
      <c r="N17127" t="s">
        <v>804</v>
      </c>
      <c r="O17127" t="s">
        <v>631</v>
      </c>
      <c r="P17127" t="s">
        <v>1885</v>
      </c>
      <c r="Q17127" t="s">
        <v>144</v>
      </c>
      <c r="R17127" t="s">
        <v>145</v>
      </c>
      <c r="S17127">
        <v>21.3</v>
      </c>
      <c r="T17127">
        <v>2100</v>
      </c>
      <c r="V17127" t="s">
        <v>146</v>
      </c>
      <c r="W17127" t="s">
        <v>147</v>
      </c>
      <c r="X17127" t="s">
        <v>7</v>
      </c>
      <c r="Y17127" t="s">
        <v>781</v>
      </c>
      <c r="Z17127" t="s">
        <v>631</v>
      </c>
      <c r="AA17127" t="s">
        <v>475</v>
      </c>
      <c r="AB17127">
        <v>0</v>
      </c>
      <c r="AE17127" t="s">
        <v>816</v>
      </c>
      <c r="AF17127" t="s">
        <v>631</v>
      </c>
      <c r="AG17127" t="s">
        <v>856</v>
      </c>
      <c r="AL17127" t="s">
        <v>2114</v>
      </c>
      <c r="AM17127" t="s">
        <v>2115</v>
      </c>
      <c r="AN17127" t="s">
        <v>2116</v>
      </c>
      <c r="AO17127" t="s">
        <v>804</v>
      </c>
      <c r="AP17127" t="s">
        <v>158</v>
      </c>
      <c r="AQ17127" t="str">
        <f>IF(ISBLANK(AP17127), IFERROR(IF(VLOOKUP(AO17127, Ellens_additions!$A$2:$B$252, 2, FALSE) = "", "", VLOOKUP(AO17127, Ellens_additions!$A$2:$B$252, 2, FALSE)), 0), AP17127)</f>
        <v>3000</v>
      </c>
    </row>
    <row r="17128" spans="1:43" ht="14.4" hidden="1" x14ac:dyDescent="0.3">
      <c r="A17128" t="s">
        <v>2117</v>
      </c>
      <c r="B17128">
        <v>4902279</v>
      </c>
      <c r="C17128" t="s">
        <v>968</v>
      </c>
      <c r="D17128" t="s">
        <v>990</v>
      </c>
      <c r="E17128" t="s">
        <v>1247</v>
      </c>
      <c r="F17128" t="s">
        <v>2113</v>
      </c>
      <c r="H17128" t="s">
        <v>275</v>
      </c>
      <c r="J17128" t="s">
        <v>140</v>
      </c>
      <c r="K17128">
        <v>162587.57999999999</v>
      </c>
      <c r="L17128">
        <v>381584.03</v>
      </c>
      <c r="M17128">
        <v>1</v>
      </c>
      <c r="N17128" t="s">
        <v>804</v>
      </c>
      <c r="O17128" t="s">
        <v>631</v>
      </c>
      <c r="P17128" t="s">
        <v>1885</v>
      </c>
      <c r="Q17128" t="s">
        <v>144</v>
      </c>
      <c r="R17128" t="s">
        <v>145</v>
      </c>
      <c r="S17128">
        <v>21.3</v>
      </c>
      <c r="T17128">
        <v>2100</v>
      </c>
      <c r="V17128" t="s">
        <v>146</v>
      </c>
      <c r="W17128" t="s">
        <v>147</v>
      </c>
      <c r="X17128" t="s">
        <v>7</v>
      </c>
      <c r="Y17128" t="s">
        <v>781</v>
      </c>
      <c r="Z17128" t="s">
        <v>631</v>
      </c>
      <c r="AA17128" t="s">
        <v>475</v>
      </c>
      <c r="AB17128">
        <v>0</v>
      </c>
      <c r="AE17128" t="s">
        <v>816</v>
      </c>
      <c r="AF17128" t="s">
        <v>631</v>
      </c>
      <c r="AG17128" t="s">
        <v>856</v>
      </c>
      <c r="AL17128" t="s">
        <v>2118</v>
      </c>
      <c r="AM17128" t="s">
        <v>2119</v>
      </c>
      <c r="AN17128" t="s">
        <v>2120</v>
      </c>
      <c r="AO17128" t="s">
        <v>804</v>
      </c>
      <c r="AP17128" t="s">
        <v>158</v>
      </c>
      <c r="AQ17128" t="str">
        <f>IF(ISBLANK(AP17128), IFERROR(IF(VLOOKUP(AO17128, Ellens_additions!$A$2:$B$252, 2, FALSE) = "", "", VLOOKUP(AO17128, Ellens_additions!$A$2:$B$252, 2, FALSE)), 0), AP17128)</f>
        <v>3000</v>
      </c>
    </row>
    <row r="17129" spans="1:43" ht="14.4" x14ac:dyDescent="0.3"/>
    <row r="17130" spans="1:43" ht="14.4" x14ac:dyDescent="0.3"/>
    <row r="17131" spans="1:43" ht="14.4" x14ac:dyDescent="0.3"/>
    <row r="17132" spans="1:43" ht="14.4" x14ac:dyDescent="0.3"/>
    <row r="17133" spans="1:43" ht="14.4" x14ac:dyDescent="0.3"/>
    <row r="17134" spans="1:43" ht="14.4" x14ac:dyDescent="0.3"/>
    <row r="17135" spans="1:43" ht="14.4" x14ac:dyDescent="0.3"/>
    <row r="17136" spans="1:43" ht="14.4" x14ac:dyDescent="0.3"/>
    <row r="17137" spans="1:43" ht="14.4" x14ac:dyDescent="0.3"/>
    <row r="17138" spans="1:43" ht="14.4" x14ac:dyDescent="0.3"/>
    <row r="17139" spans="1:43" ht="14.4" x14ac:dyDescent="0.3"/>
    <row r="17140" spans="1:43" ht="14.4" x14ac:dyDescent="0.3"/>
    <row r="17141" spans="1:43" ht="14.4" x14ac:dyDescent="0.3"/>
    <row r="17142" spans="1:43" ht="14.4" x14ac:dyDescent="0.3"/>
    <row r="17143" spans="1:43" ht="14.4" x14ac:dyDescent="0.3"/>
    <row r="17144" spans="1:43" ht="14.4" x14ac:dyDescent="0.3"/>
    <row r="17145" spans="1:43" ht="14.4" x14ac:dyDescent="0.3"/>
    <row r="17146" spans="1:43" ht="14.4" x14ac:dyDescent="0.3"/>
    <row r="17147" spans="1:43" ht="14.4" x14ac:dyDescent="0.3"/>
    <row r="17148" spans="1:43" ht="14.4" x14ac:dyDescent="0.3"/>
    <row r="17149" spans="1:43" ht="14.4" x14ac:dyDescent="0.3"/>
    <row r="17150" spans="1:43" ht="14.4" hidden="1" x14ac:dyDescent="0.3">
      <c r="A17150" t="s">
        <v>2121</v>
      </c>
      <c r="B17150">
        <v>4902351</v>
      </c>
      <c r="C17150" t="s">
        <v>968</v>
      </c>
      <c r="D17150" t="s">
        <v>990</v>
      </c>
      <c r="E17150" t="s">
        <v>991</v>
      </c>
      <c r="F17150" t="s">
        <v>992</v>
      </c>
      <c r="H17150" t="s">
        <v>2122</v>
      </c>
      <c r="J17150" t="s">
        <v>140</v>
      </c>
      <c r="K17150">
        <v>162776.16</v>
      </c>
      <c r="L17150">
        <v>381256.12</v>
      </c>
      <c r="M17150">
        <v>1</v>
      </c>
      <c r="N17150" t="s">
        <v>2123</v>
      </c>
      <c r="O17150" t="s">
        <v>529</v>
      </c>
      <c r="Q17150" t="s">
        <v>144</v>
      </c>
      <c r="S17150">
        <v>28</v>
      </c>
      <c r="T17150">
        <v>1512</v>
      </c>
      <c r="V17150" t="s">
        <v>146</v>
      </c>
      <c r="X17150" t="s">
        <v>7</v>
      </c>
      <c r="Y17150" t="s">
        <v>2124</v>
      </c>
      <c r="Z17150" t="s">
        <v>529</v>
      </c>
      <c r="AA17150" t="s">
        <v>528</v>
      </c>
      <c r="AB17150">
        <v>0</v>
      </c>
      <c r="AE17150" t="s">
        <v>1460</v>
      </c>
      <c r="AF17150" t="s">
        <v>529</v>
      </c>
      <c r="AG17150" t="s">
        <v>566</v>
      </c>
      <c r="AL17150" t="s">
        <v>2125</v>
      </c>
      <c r="AM17150" t="s">
        <v>2126</v>
      </c>
      <c r="AN17150" t="s">
        <v>2127</v>
      </c>
      <c r="AO17150" t="s">
        <v>2123</v>
      </c>
      <c r="AQ17150">
        <f>IF(ISBLANK(AP17150), IFERROR(IF(VLOOKUP(AO17150, Ellens_additions!$A$2:$B$252, 2, FALSE) = "", "", VLOOKUP(AO17150, Ellens_additions!$A$2:$B$252, 2, FALSE)), 0), AP17150)</f>
        <v>0</v>
      </c>
    </row>
    <row r="17151" spans="1:43" ht="14.4" hidden="1" x14ac:dyDescent="0.3">
      <c r="A17151" t="s">
        <v>2128</v>
      </c>
      <c r="B17151">
        <v>4902352</v>
      </c>
      <c r="C17151" t="s">
        <v>968</v>
      </c>
      <c r="D17151" t="s">
        <v>990</v>
      </c>
      <c r="E17151" t="s">
        <v>991</v>
      </c>
      <c r="F17151" t="s">
        <v>992</v>
      </c>
      <c r="H17151" t="s">
        <v>2129</v>
      </c>
      <c r="J17151" t="s">
        <v>140</v>
      </c>
      <c r="K17151">
        <v>162769.85</v>
      </c>
      <c r="L17151">
        <v>381257.12</v>
      </c>
      <c r="M17151">
        <v>1</v>
      </c>
      <c r="N17151" t="s">
        <v>2123</v>
      </c>
      <c r="O17151" t="s">
        <v>529</v>
      </c>
      <c r="P17151" t="s">
        <v>1798</v>
      </c>
      <c r="Q17151" t="s">
        <v>144</v>
      </c>
      <c r="S17151">
        <v>28</v>
      </c>
      <c r="T17151">
        <v>1512</v>
      </c>
      <c r="V17151" t="s">
        <v>146</v>
      </c>
      <c r="W17151" t="s">
        <v>184</v>
      </c>
      <c r="X17151" t="s">
        <v>7</v>
      </c>
      <c r="Y17151" t="s">
        <v>2124</v>
      </c>
      <c r="Z17151" t="s">
        <v>529</v>
      </c>
      <c r="AA17151" t="s">
        <v>528</v>
      </c>
      <c r="AB17151">
        <v>0</v>
      </c>
      <c r="AE17151" t="s">
        <v>1460</v>
      </c>
      <c r="AF17151" t="s">
        <v>529</v>
      </c>
      <c r="AG17151" t="s">
        <v>566</v>
      </c>
      <c r="AL17151" t="s">
        <v>2130</v>
      </c>
      <c r="AM17151" t="s">
        <v>2131</v>
      </c>
      <c r="AN17151" t="s">
        <v>2132</v>
      </c>
      <c r="AO17151" t="s">
        <v>2123</v>
      </c>
      <c r="AQ17151">
        <f>IF(ISBLANK(AP17151), IFERROR(IF(VLOOKUP(AO17151, Ellens_additions!$A$2:$B$252, 2, FALSE) = "", "", VLOOKUP(AO17151, Ellens_additions!$A$2:$B$252, 2, FALSE)), 0), AP17151)</f>
        <v>0</v>
      </c>
    </row>
    <row r="17152" spans="1:43" ht="14.4" x14ac:dyDescent="0.3"/>
    <row r="17153" spans="1:43" ht="14.4" x14ac:dyDescent="0.3"/>
    <row r="17154" spans="1:43" ht="14.4" x14ac:dyDescent="0.3"/>
    <row r="17155" spans="1:43" ht="14.4" x14ac:dyDescent="0.3"/>
    <row r="17156" spans="1:43" ht="14.4" x14ac:dyDescent="0.3"/>
    <row r="17157" spans="1:43" ht="14.4" x14ac:dyDescent="0.3"/>
    <row r="17158" spans="1:43" ht="14.4" x14ac:dyDescent="0.3"/>
    <row r="17159" spans="1:43" ht="14.4" x14ac:dyDescent="0.3"/>
    <row r="17160" spans="1:43" ht="14.4" x14ac:dyDescent="0.3"/>
    <row r="17161" spans="1:43" ht="14.4" hidden="1" x14ac:dyDescent="0.3">
      <c r="A17161" t="s">
        <v>2133</v>
      </c>
      <c r="B17161">
        <v>4908882</v>
      </c>
      <c r="C17161" t="s">
        <v>135</v>
      </c>
      <c r="D17161" t="s">
        <v>174</v>
      </c>
      <c r="E17161" t="s">
        <v>316</v>
      </c>
      <c r="F17161" t="s">
        <v>288</v>
      </c>
      <c r="H17161" t="s">
        <v>2134</v>
      </c>
      <c r="J17161" t="s">
        <v>140</v>
      </c>
      <c r="K17161">
        <v>159367</v>
      </c>
      <c r="L17161">
        <v>383544</v>
      </c>
      <c r="N17161" t="s">
        <v>1494</v>
      </c>
      <c r="O17161" t="s">
        <v>448</v>
      </c>
      <c r="P17161" t="s">
        <v>1495</v>
      </c>
      <c r="Q17161" t="s">
        <v>144</v>
      </c>
      <c r="S17161">
        <v>0</v>
      </c>
      <c r="T17161">
        <v>0</v>
      </c>
      <c r="V17161" t="s">
        <v>146</v>
      </c>
      <c r="W17161" t="s">
        <v>184</v>
      </c>
      <c r="X17161" t="s">
        <v>7</v>
      </c>
      <c r="Y17161" t="s">
        <v>1494</v>
      </c>
      <c r="Z17161" t="s">
        <v>448</v>
      </c>
      <c r="AA17161" t="s">
        <v>456</v>
      </c>
      <c r="AB17161">
        <v>0</v>
      </c>
      <c r="AE17161" t="s">
        <v>1496</v>
      </c>
      <c r="AF17161" t="s">
        <v>448</v>
      </c>
      <c r="AG17161" t="s">
        <v>560</v>
      </c>
      <c r="AL17161" t="s">
        <v>2135</v>
      </c>
      <c r="AM17161" t="s">
        <v>2136</v>
      </c>
      <c r="AN17161" t="s">
        <v>2137</v>
      </c>
      <c r="AO17161" t="s">
        <v>1494</v>
      </c>
      <c r="AQ17161">
        <f>IF(ISBLANK(AP17161), IFERROR(IF(VLOOKUP(AO17161, Ellens_additions!$A$2:$B$252, 2, FALSE) = "", "", VLOOKUP(AO17161, Ellens_additions!$A$2:$B$252, 2, FALSE)), 0), AP17161)</f>
        <v>0</v>
      </c>
    </row>
    <row r="17162" spans="1:43" ht="14.4" hidden="1" x14ac:dyDescent="0.3">
      <c r="A17162" t="s">
        <v>2138</v>
      </c>
      <c r="B17162">
        <v>4908883</v>
      </c>
      <c r="C17162" t="s">
        <v>135</v>
      </c>
      <c r="D17162" t="s">
        <v>174</v>
      </c>
      <c r="E17162" t="s">
        <v>316</v>
      </c>
      <c r="F17162" t="s">
        <v>288</v>
      </c>
      <c r="H17162" t="s">
        <v>2139</v>
      </c>
      <c r="J17162" t="s">
        <v>140</v>
      </c>
      <c r="K17162">
        <v>159371</v>
      </c>
      <c r="L17162">
        <v>383548</v>
      </c>
      <c r="N17162" t="s">
        <v>1494</v>
      </c>
      <c r="O17162" t="s">
        <v>448</v>
      </c>
      <c r="P17162" t="s">
        <v>1495</v>
      </c>
      <c r="Q17162" t="s">
        <v>144</v>
      </c>
      <c r="S17162">
        <v>0</v>
      </c>
      <c r="T17162">
        <v>0</v>
      </c>
      <c r="V17162" t="s">
        <v>146</v>
      </c>
      <c r="W17162" t="s">
        <v>184</v>
      </c>
      <c r="X17162" t="s">
        <v>7</v>
      </c>
      <c r="Y17162" t="s">
        <v>1494</v>
      </c>
      <c r="Z17162" t="s">
        <v>448</v>
      </c>
      <c r="AA17162" t="s">
        <v>456</v>
      </c>
      <c r="AB17162">
        <v>0</v>
      </c>
      <c r="AE17162" t="s">
        <v>1496</v>
      </c>
      <c r="AF17162" t="s">
        <v>448</v>
      </c>
      <c r="AG17162" t="s">
        <v>560</v>
      </c>
      <c r="AL17162" t="s">
        <v>2140</v>
      </c>
      <c r="AM17162" t="s">
        <v>2141</v>
      </c>
      <c r="AN17162" t="s">
        <v>2142</v>
      </c>
      <c r="AO17162" t="s">
        <v>1494</v>
      </c>
      <c r="AQ17162">
        <f>IF(ISBLANK(AP17162), IFERROR(IF(VLOOKUP(AO17162, Ellens_additions!$A$2:$B$252, 2, FALSE) = "", "", VLOOKUP(AO17162, Ellens_additions!$A$2:$B$252, 2, FALSE)), 0), AP17162)</f>
        <v>0</v>
      </c>
    </row>
    <row r="17163" spans="1:43" ht="14.4" hidden="1" x14ac:dyDescent="0.3">
      <c r="A17163" t="s">
        <v>2143</v>
      </c>
      <c r="B17163">
        <v>4908885</v>
      </c>
      <c r="C17163" t="s">
        <v>135</v>
      </c>
      <c r="D17163" t="s">
        <v>174</v>
      </c>
      <c r="E17163" t="s">
        <v>316</v>
      </c>
      <c r="F17163" t="s">
        <v>288</v>
      </c>
      <c r="H17163" t="s">
        <v>2144</v>
      </c>
      <c r="J17163" t="s">
        <v>140</v>
      </c>
      <c r="K17163">
        <v>159375</v>
      </c>
      <c r="L17163">
        <v>383554</v>
      </c>
      <c r="N17163" t="s">
        <v>1494</v>
      </c>
      <c r="O17163" t="s">
        <v>448</v>
      </c>
      <c r="P17163" t="s">
        <v>1495</v>
      </c>
      <c r="Q17163" t="s">
        <v>144</v>
      </c>
      <c r="S17163">
        <v>0</v>
      </c>
      <c r="T17163">
        <v>0</v>
      </c>
      <c r="V17163" t="s">
        <v>146</v>
      </c>
      <c r="W17163" t="s">
        <v>184</v>
      </c>
      <c r="X17163" t="s">
        <v>7</v>
      </c>
      <c r="Y17163" t="s">
        <v>1494</v>
      </c>
      <c r="Z17163" t="s">
        <v>448</v>
      </c>
      <c r="AA17163" t="s">
        <v>456</v>
      </c>
      <c r="AB17163">
        <v>0</v>
      </c>
      <c r="AE17163" t="s">
        <v>1496</v>
      </c>
      <c r="AF17163" t="s">
        <v>448</v>
      </c>
      <c r="AG17163" t="s">
        <v>560</v>
      </c>
      <c r="AL17163" t="s">
        <v>2145</v>
      </c>
      <c r="AM17163" t="s">
        <v>2146</v>
      </c>
      <c r="AN17163" t="s">
        <v>2147</v>
      </c>
      <c r="AO17163" t="s">
        <v>1494</v>
      </c>
      <c r="AQ17163">
        <f>IF(ISBLANK(AP17163), IFERROR(IF(VLOOKUP(AO17163, Ellens_additions!$A$2:$B$252, 2, FALSE) = "", "", VLOOKUP(AO17163, Ellens_additions!$A$2:$B$252, 2, FALSE)), 0), AP17163)</f>
        <v>0</v>
      </c>
    </row>
    <row r="17164" spans="1:43" ht="14.4" hidden="1" x14ac:dyDescent="0.3">
      <c r="A17164" t="s">
        <v>2148</v>
      </c>
      <c r="B17164">
        <v>4908887</v>
      </c>
      <c r="C17164" t="s">
        <v>135</v>
      </c>
      <c r="D17164" t="s">
        <v>174</v>
      </c>
      <c r="E17164" t="s">
        <v>316</v>
      </c>
      <c r="F17164" t="s">
        <v>288</v>
      </c>
      <c r="H17164" t="s">
        <v>2149</v>
      </c>
      <c r="J17164" t="s">
        <v>140</v>
      </c>
      <c r="K17164">
        <v>159378.56</v>
      </c>
      <c r="L17164">
        <v>383561.64</v>
      </c>
      <c r="N17164" t="s">
        <v>1494</v>
      </c>
      <c r="O17164" t="s">
        <v>448</v>
      </c>
      <c r="P17164" t="s">
        <v>1495</v>
      </c>
      <c r="Q17164" t="s">
        <v>144</v>
      </c>
      <c r="S17164">
        <v>0</v>
      </c>
      <c r="T17164">
        <v>0</v>
      </c>
      <c r="V17164" t="s">
        <v>146</v>
      </c>
      <c r="W17164" t="s">
        <v>184</v>
      </c>
      <c r="X17164" t="s">
        <v>7</v>
      </c>
      <c r="Y17164" t="s">
        <v>1494</v>
      </c>
      <c r="Z17164" t="s">
        <v>448</v>
      </c>
      <c r="AA17164" t="s">
        <v>456</v>
      </c>
      <c r="AB17164">
        <v>0</v>
      </c>
      <c r="AE17164" t="s">
        <v>1496</v>
      </c>
      <c r="AF17164" t="s">
        <v>448</v>
      </c>
      <c r="AG17164" t="s">
        <v>560</v>
      </c>
      <c r="AL17164" t="s">
        <v>2150</v>
      </c>
      <c r="AM17164" t="s">
        <v>2151</v>
      </c>
      <c r="AN17164" t="s">
        <v>2152</v>
      </c>
      <c r="AO17164" t="s">
        <v>1494</v>
      </c>
      <c r="AQ17164">
        <f>IF(ISBLANK(AP17164), IFERROR(IF(VLOOKUP(AO17164, Ellens_additions!$A$2:$B$252, 2, FALSE) = "", "", VLOOKUP(AO17164, Ellens_additions!$A$2:$B$252, 2, FALSE)), 0), AP17164)</f>
        <v>0</v>
      </c>
    </row>
    <row r="17165" spans="1:43" ht="14.4" hidden="1" x14ac:dyDescent="0.3">
      <c r="A17165" t="s">
        <v>2153</v>
      </c>
      <c r="B17165">
        <v>4908891</v>
      </c>
      <c r="C17165" t="s">
        <v>135</v>
      </c>
      <c r="D17165" t="s">
        <v>174</v>
      </c>
      <c r="E17165" t="s">
        <v>316</v>
      </c>
      <c r="F17165" t="s">
        <v>288</v>
      </c>
      <c r="H17165" t="s">
        <v>2154</v>
      </c>
      <c r="J17165" t="s">
        <v>140</v>
      </c>
      <c r="K17165">
        <v>159380.94</v>
      </c>
      <c r="L17165">
        <v>383574.8</v>
      </c>
      <c r="N17165" t="s">
        <v>1494</v>
      </c>
      <c r="O17165" t="s">
        <v>448</v>
      </c>
      <c r="P17165" t="s">
        <v>1495</v>
      </c>
      <c r="Q17165" t="s">
        <v>144</v>
      </c>
      <c r="S17165">
        <v>0</v>
      </c>
      <c r="T17165">
        <v>0</v>
      </c>
      <c r="V17165" t="s">
        <v>146</v>
      </c>
      <c r="W17165" t="s">
        <v>184</v>
      </c>
      <c r="X17165" t="s">
        <v>7</v>
      </c>
      <c r="Y17165" t="s">
        <v>1494</v>
      </c>
      <c r="Z17165" t="s">
        <v>448</v>
      </c>
      <c r="AA17165" t="s">
        <v>456</v>
      </c>
      <c r="AB17165">
        <v>0</v>
      </c>
      <c r="AE17165" t="s">
        <v>1496</v>
      </c>
      <c r="AF17165" t="s">
        <v>448</v>
      </c>
      <c r="AG17165" t="s">
        <v>560</v>
      </c>
      <c r="AL17165" t="s">
        <v>2155</v>
      </c>
      <c r="AM17165" t="s">
        <v>2156</v>
      </c>
      <c r="AN17165" t="s">
        <v>2157</v>
      </c>
      <c r="AO17165" t="s">
        <v>1494</v>
      </c>
      <c r="AQ17165">
        <f>IF(ISBLANK(AP17165), IFERROR(IF(VLOOKUP(AO17165, Ellens_additions!$A$2:$B$252, 2, FALSE) = "", "", VLOOKUP(AO17165, Ellens_additions!$A$2:$B$252, 2, FALSE)), 0), AP17165)</f>
        <v>0</v>
      </c>
    </row>
    <row r="17166" spans="1:43" ht="14.4" hidden="1" x14ac:dyDescent="0.3">
      <c r="A17166" t="s">
        <v>2158</v>
      </c>
      <c r="B17166">
        <v>4908893</v>
      </c>
      <c r="C17166" t="s">
        <v>135</v>
      </c>
      <c r="D17166" t="s">
        <v>174</v>
      </c>
      <c r="E17166" t="s">
        <v>316</v>
      </c>
      <c r="F17166" t="s">
        <v>288</v>
      </c>
      <c r="H17166" t="s">
        <v>2159</v>
      </c>
      <c r="J17166" t="s">
        <v>140</v>
      </c>
      <c r="K17166">
        <v>159335</v>
      </c>
      <c r="L17166">
        <v>383610</v>
      </c>
      <c r="N17166" t="s">
        <v>1494</v>
      </c>
      <c r="O17166" t="s">
        <v>448</v>
      </c>
      <c r="P17166" t="s">
        <v>1495</v>
      </c>
      <c r="Q17166" t="s">
        <v>144</v>
      </c>
      <c r="S17166">
        <v>0</v>
      </c>
      <c r="T17166">
        <v>0</v>
      </c>
      <c r="V17166" t="s">
        <v>146</v>
      </c>
      <c r="W17166" t="s">
        <v>184</v>
      </c>
      <c r="X17166" t="s">
        <v>7</v>
      </c>
      <c r="Y17166" t="s">
        <v>1494</v>
      </c>
      <c r="Z17166" t="s">
        <v>448</v>
      </c>
      <c r="AA17166" t="s">
        <v>456</v>
      </c>
      <c r="AB17166">
        <v>0</v>
      </c>
      <c r="AE17166" t="s">
        <v>1496</v>
      </c>
      <c r="AF17166" t="s">
        <v>448</v>
      </c>
      <c r="AG17166" t="s">
        <v>560</v>
      </c>
      <c r="AL17166" t="s">
        <v>2160</v>
      </c>
      <c r="AM17166" t="s">
        <v>2161</v>
      </c>
      <c r="AN17166" t="s">
        <v>2162</v>
      </c>
      <c r="AO17166" t="s">
        <v>1494</v>
      </c>
      <c r="AQ17166">
        <f>IF(ISBLANK(AP17166), IFERROR(IF(VLOOKUP(AO17166, Ellens_additions!$A$2:$B$252, 2, FALSE) = "", "", VLOOKUP(AO17166, Ellens_additions!$A$2:$B$252, 2, FALSE)), 0), AP17166)</f>
        <v>0</v>
      </c>
    </row>
    <row r="17167" spans="1:43" ht="14.4" hidden="1" x14ac:dyDescent="0.3">
      <c r="A17167" t="s">
        <v>2163</v>
      </c>
      <c r="B17167">
        <v>4908897</v>
      </c>
      <c r="C17167" t="s">
        <v>135</v>
      </c>
      <c r="D17167" t="s">
        <v>174</v>
      </c>
      <c r="E17167" t="s">
        <v>316</v>
      </c>
      <c r="F17167" t="s">
        <v>288</v>
      </c>
      <c r="H17167" t="s">
        <v>2164</v>
      </c>
      <c r="J17167" t="s">
        <v>140</v>
      </c>
      <c r="K17167">
        <v>159322</v>
      </c>
      <c r="L17167">
        <v>383602</v>
      </c>
      <c r="N17167" t="s">
        <v>1494</v>
      </c>
      <c r="O17167" t="s">
        <v>448</v>
      </c>
      <c r="P17167" t="s">
        <v>1495</v>
      </c>
      <c r="Q17167" t="s">
        <v>144</v>
      </c>
      <c r="S17167">
        <v>0</v>
      </c>
      <c r="T17167">
        <v>0</v>
      </c>
      <c r="V17167" t="s">
        <v>146</v>
      </c>
      <c r="W17167" t="s">
        <v>184</v>
      </c>
      <c r="X17167" t="s">
        <v>7</v>
      </c>
      <c r="Y17167" t="s">
        <v>1494</v>
      </c>
      <c r="Z17167" t="s">
        <v>448</v>
      </c>
      <c r="AA17167" t="s">
        <v>456</v>
      </c>
      <c r="AB17167">
        <v>0</v>
      </c>
      <c r="AE17167" t="s">
        <v>1496</v>
      </c>
      <c r="AF17167" t="s">
        <v>448</v>
      </c>
      <c r="AG17167" t="s">
        <v>560</v>
      </c>
      <c r="AL17167" t="s">
        <v>2165</v>
      </c>
      <c r="AM17167" t="s">
        <v>2166</v>
      </c>
      <c r="AN17167" t="s">
        <v>2167</v>
      </c>
      <c r="AO17167" t="s">
        <v>1494</v>
      </c>
      <c r="AQ17167">
        <f>IF(ISBLANK(AP17167), IFERROR(IF(VLOOKUP(AO17167, Ellens_additions!$A$2:$B$252, 2, FALSE) = "", "", VLOOKUP(AO17167, Ellens_additions!$A$2:$B$252, 2, FALSE)), 0), AP17167)</f>
        <v>0</v>
      </c>
    </row>
    <row r="17168" spans="1:43" ht="14.4" hidden="1" x14ac:dyDescent="0.3">
      <c r="A17168" t="s">
        <v>2168</v>
      </c>
      <c r="B17168">
        <v>4908899</v>
      </c>
      <c r="C17168" t="s">
        <v>135</v>
      </c>
      <c r="D17168" t="s">
        <v>174</v>
      </c>
      <c r="E17168" t="s">
        <v>316</v>
      </c>
      <c r="F17168" t="s">
        <v>288</v>
      </c>
      <c r="H17168" t="s">
        <v>2169</v>
      </c>
      <c r="J17168" t="s">
        <v>140</v>
      </c>
      <c r="K17168">
        <v>159317</v>
      </c>
      <c r="L17168">
        <v>383598</v>
      </c>
      <c r="N17168" t="s">
        <v>1494</v>
      </c>
      <c r="O17168" t="s">
        <v>448</v>
      </c>
      <c r="P17168" t="s">
        <v>1495</v>
      </c>
      <c r="Q17168" t="s">
        <v>144</v>
      </c>
      <c r="S17168">
        <v>0</v>
      </c>
      <c r="T17168">
        <v>0</v>
      </c>
      <c r="V17168" t="s">
        <v>146</v>
      </c>
      <c r="W17168" t="s">
        <v>184</v>
      </c>
      <c r="X17168" t="s">
        <v>7</v>
      </c>
      <c r="Y17168" t="s">
        <v>1494</v>
      </c>
      <c r="Z17168" t="s">
        <v>448</v>
      </c>
      <c r="AA17168" t="s">
        <v>456</v>
      </c>
      <c r="AB17168">
        <v>0</v>
      </c>
      <c r="AE17168" t="s">
        <v>1496</v>
      </c>
      <c r="AF17168" t="s">
        <v>448</v>
      </c>
      <c r="AG17168" t="s">
        <v>560</v>
      </c>
      <c r="AL17168" t="s">
        <v>2170</v>
      </c>
      <c r="AM17168" t="s">
        <v>2171</v>
      </c>
      <c r="AN17168" t="s">
        <v>2172</v>
      </c>
      <c r="AO17168" t="s">
        <v>1494</v>
      </c>
      <c r="AQ17168">
        <f>IF(ISBLANK(AP17168), IFERROR(IF(VLOOKUP(AO17168, Ellens_additions!$A$2:$B$252, 2, FALSE) = "", "", VLOOKUP(AO17168, Ellens_additions!$A$2:$B$252, 2, FALSE)), 0), AP17168)</f>
        <v>0</v>
      </c>
    </row>
    <row r="17169" spans="1:43" ht="14.4" hidden="1" x14ac:dyDescent="0.3">
      <c r="A17169" t="s">
        <v>2173</v>
      </c>
      <c r="B17169">
        <v>4908909</v>
      </c>
      <c r="C17169" t="s">
        <v>135</v>
      </c>
      <c r="D17169" t="s">
        <v>174</v>
      </c>
      <c r="E17169" t="s">
        <v>316</v>
      </c>
      <c r="F17169" t="s">
        <v>288</v>
      </c>
      <c r="H17169" t="s">
        <v>2174</v>
      </c>
      <c r="J17169" t="s">
        <v>140</v>
      </c>
      <c r="K17169">
        <v>159307.41</v>
      </c>
      <c r="L17169">
        <v>383566.38</v>
      </c>
      <c r="N17169" t="s">
        <v>1494</v>
      </c>
      <c r="O17169" t="s">
        <v>448</v>
      </c>
      <c r="P17169" t="s">
        <v>1495</v>
      </c>
      <c r="Q17169" t="s">
        <v>144</v>
      </c>
      <c r="S17169">
        <v>0</v>
      </c>
      <c r="T17169">
        <v>0</v>
      </c>
      <c r="V17169" t="s">
        <v>146</v>
      </c>
      <c r="W17169" t="s">
        <v>184</v>
      </c>
      <c r="X17169" t="s">
        <v>7</v>
      </c>
      <c r="Y17169" t="s">
        <v>1494</v>
      </c>
      <c r="Z17169" t="s">
        <v>448</v>
      </c>
      <c r="AA17169" t="s">
        <v>456</v>
      </c>
      <c r="AB17169">
        <v>0</v>
      </c>
      <c r="AE17169" t="s">
        <v>1496</v>
      </c>
      <c r="AF17169" t="s">
        <v>448</v>
      </c>
      <c r="AG17169" t="s">
        <v>560</v>
      </c>
      <c r="AL17169" t="s">
        <v>2175</v>
      </c>
      <c r="AM17169" t="s">
        <v>2176</v>
      </c>
      <c r="AN17169" t="s">
        <v>2177</v>
      </c>
      <c r="AO17169" t="s">
        <v>1494</v>
      </c>
      <c r="AQ17169">
        <f>IF(ISBLANK(AP17169), IFERROR(IF(VLOOKUP(AO17169, Ellens_additions!$A$2:$B$252, 2, FALSE) = "", "", VLOOKUP(AO17169, Ellens_additions!$A$2:$B$252, 2, FALSE)), 0), AP17169)</f>
        <v>0</v>
      </c>
    </row>
    <row r="17170" spans="1:43" ht="14.4" hidden="1" x14ac:dyDescent="0.3">
      <c r="A17170" t="s">
        <v>2178</v>
      </c>
      <c r="B17170">
        <v>4908910</v>
      </c>
      <c r="C17170" t="s">
        <v>135</v>
      </c>
      <c r="D17170" t="s">
        <v>174</v>
      </c>
      <c r="E17170" t="s">
        <v>316</v>
      </c>
      <c r="F17170" t="s">
        <v>288</v>
      </c>
      <c r="H17170" t="s">
        <v>2179</v>
      </c>
      <c r="J17170" t="s">
        <v>140</v>
      </c>
      <c r="K17170">
        <v>159308</v>
      </c>
      <c r="L17170">
        <v>383562</v>
      </c>
      <c r="N17170" t="s">
        <v>1494</v>
      </c>
      <c r="O17170" t="s">
        <v>448</v>
      </c>
      <c r="P17170" t="s">
        <v>1495</v>
      </c>
      <c r="Q17170" t="s">
        <v>144</v>
      </c>
      <c r="S17170">
        <v>0</v>
      </c>
      <c r="T17170">
        <v>0</v>
      </c>
      <c r="V17170" t="s">
        <v>146</v>
      </c>
      <c r="W17170" t="s">
        <v>184</v>
      </c>
      <c r="X17170" t="s">
        <v>7</v>
      </c>
      <c r="Y17170" t="s">
        <v>1494</v>
      </c>
      <c r="Z17170" t="s">
        <v>448</v>
      </c>
      <c r="AA17170" t="s">
        <v>456</v>
      </c>
      <c r="AB17170">
        <v>0</v>
      </c>
      <c r="AE17170" t="s">
        <v>1496</v>
      </c>
      <c r="AF17170" t="s">
        <v>448</v>
      </c>
      <c r="AG17170" t="s">
        <v>560</v>
      </c>
      <c r="AL17170" t="s">
        <v>2180</v>
      </c>
      <c r="AM17170" t="s">
        <v>2181</v>
      </c>
      <c r="AN17170" t="s">
        <v>2182</v>
      </c>
      <c r="AO17170" t="s">
        <v>1494</v>
      </c>
      <c r="AQ17170">
        <f>IF(ISBLANK(AP17170), IFERROR(IF(VLOOKUP(AO17170, Ellens_additions!$A$2:$B$252, 2, FALSE) = "", "", VLOOKUP(AO17170, Ellens_additions!$A$2:$B$252, 2, FALSE)), 0), AP17170)</f>
        <v>0</v>
      </c>
    </row>
    <row r="17171" spans="1:43" ht="14.4" hidden="1" x14ac:dyDescent="0.3">
      <c r="A17171" t="s">
        <v>2183</v>
      </c>
      <c r="B17171">
        <v>4908912</v>
      </c>
      <c r="C17171" t="s">
        <v>135</v>
      </c>
      <c r="D17171" t="s">
        <v>174</v>
      </c>
      <c r="E17171" t="s">
        <v>316</v>
      </c>
      <c r="F17171" t="s">
        <v>288</v>
      </c>
      <c r="H17171" t="s">
        <v>2184</v>
      </c>
      <c r="J17171" t="s">
        <v>140</v>
      </c>
      <c r="K17171">
        <v>159311</v>
      </c>
      <c r="L17171">
        <v>383553</v>
      </c>
      <c r="N17171" t="s">
        <v>1494</v>
      </c>
      <c r="O17171" t="s">
        <v>448</v>
      </c>
      <c r="P17171" t="s">
        <v>1495</v>
      </c>
      <c r="Q17171" t="s">
        <v>144</v>
      </c>
      <c r="S17171">
        <v>0</v>
      </c>
      <c r="T17171">
        <v>0</v>
      </c>
      <c r="V17171" t="s">
        <v>146</v>
      </c>
      <c r="W17171" t="s">
        <v>184</v>
      </c>
      <c r="X17171" t="s">
        <v>7</v>
      </c>
      <c r="Y17171" t="s">
        <v>1494</v>
      </c>
      <c r="Z17171" t="s">
        <v>448</v>
      </c>
      <c r="AA17171" t="s">
        <v>456</v>
      </c>
      <c r="AB17171">
        <v>0</v>
      </c>
      <c r="AE17171" t="s">
        <v>1496</v>
      </c>
      <c r="AF17171" t="s">
        <v>448</v>
      </c>
      <c r="AG17171" t="s">
        <v>560</v>
      </c>
      <c r="AL17171" t="s">
        <v>2185</v>
      </c>
      <c r="AM17171" t="s">
        <v>2186</v>
      </c>
      <c r="AN17171" t="s">
        <v>2187</v>
      </c>
      <c r="AO17171" t="s">
        <v>1494</v>
      </c>
      <c r="AQ17171">
        <f>IF(ISBLANK(AP17171), IFERROR(IF(VLOOKUP(AO17171, Ellens_additions!$A$2:$B$252, 2, FALSE) = "", "", VLOOKUP(AO17171, Ellens_additions!$A$2:$B$252, 2, FALSE)), 0), AP17171)</f>
        <v>0</v>
      </c>
    </row>
    <row r="17172" spans="1:43" ht="14.4" hidden="1" x14ac:dyDescent="0.3">
      <c r="A17172" t="s">
        <v>2188</v>
      </c>
      <c r="B17172">
        <v>4908914</v>
      </c>
      <c r="C17172" t="s">
        <v>135</v>
      </c>
      <c r="D17172" t="s">
        <v>174</v>
      </c>
      <c r="E17172" t="s">
        <v>316</v>
      </c>
      <c r="F17172" t="s">
        <v>288</v>
      </c>
      <c r="H17172" t="s">
        <v>2189</v>
      </c>
      <c r="J17172" t="s">
        <v>140</v>
      </c>
      <c r="K17172">
        <v>159315.97</v>
      </c>
      <c r="L17172">
        <v>383546.3</v>
      </c>
      <c r="N17172" t="s">
        <v>1494</v>
      </c>
      <c r="O17172" t="s">
        <v>448</v>
      </c>
      <c r="P17172" t="s">
        <v>1495</v>
      </c>
      <c r="Q17172" t="s">
        <v>144</v>
      </c>
      <c r="S17172">
        <v>0</v>
      </c>
      <c r="T17172">
        <v>0</v>
      </c>
      <c r="V17172" t="s">
        <v>146</v>
      </c>
      <c r="W17172" t="s">
        <v>184</v>
      </c>
      <c r="X17172" t="s">
        <v>7</v>
      </c>
      <c r="Y17172" t="s">
        <v>1494</v>
      </c>
      <c r="Z17172" t="s">
        <v>448</v>
      </c>
      <c r="AA17172" t="s">
        <v>456</v>
      </c>
      <c r="AB17172">
        <v>0</v>
      </c>
      <c r="AE17172" t="s">
        <v>1496</v>
      </c>
      <c r="AF17172" t="s">
        <v>448</v>
      </c>
      <c r="AG17172" t="s">
        <v>560</v>
      </c>
      <c r="AL17172" t="s">
        <v>2190</v>
      </c>
      <c r="AM17172" t="s">
        <v>2191</v>
      </c>
      <c r="AN17172" t="s">
        <v>2192</v>
      </c>
      <c r="AO17172" t="s">
        <v>1494</v>
      </c>
      <c r="AQ17172">
        <f>IF(ISBLANK(AP17172), IFERROR(IF(VLOOKUP(AO17172, Ellens_additions!$A$2:$B$252, 2, FALSE) = "", "", VLOOKUP(AO17172, Ellens_additions!$A$2:$B$252, 2, FALSE)), 0), AP17172)</f>
        <v>0</v>
      </c>
    </row>
    <row r="17173" spans="1:43" ht="14.4" hidden="1" x14ac:dyDescent="0.3">
      <c r="A17173" t="s">
        <v>2193</v>
      </c>
      <c r="B17173">
        <v>4908915</v>
      </c>
      <c r="C17173" t="s">
        <v>135</v>
      </c>
      <c r="D17173" t="s">
        <v>174</v>
      </c>
      <c r="E17173" t="s">
        <v>316</v>
      </c>
      <c r="F17173" t="s">
        <v>288</v>
      </c>
      <c r="H17173" t="s">
        <v>2194</v>
      </c>
      <c r="J17173" t="s">
        <v>140</v>
      </c>
      <c r="K17173">
        <v>159318</v>
      </c>
      <c r="L17173">
        <v>383543</v>
      </c>
      <c r="N17173" t="s">
        <v>1494</v>
      </c>
      <c r="O17173" t="s">
        <v>448</v>
      </c>
      <c r="P17173" t="s">
        <v>1495</v>
      </c>
      <c r="Q17173" t="s">
        <v>144</v>
      </c>
      <c r="S17173">
        <v>0</v>
      </c>
      <c r="T17173">
        <v>0</v>
      </c>
      <c r="V17173" t="s">
        <v>146</v>
      </c>
      <c r="W17173" t="s">
        <v>184</v>
      </c>
      <c r="X17173" t="s">
        <v>7</v>
      </c>
      <c r="Y17173" t="s">
        <v>1494</v>
      </c>
      <c r="Z17173" t="s">
        <v>448</v>
      </c>
      <c r="AA17173" t="s">
        <v>456</v>
      </c>
      <c r="AB17173">
        <v>0</v>
      </c>
      <c r="AE17173" t="s">
        <v>1496</v>
      </c>
      <c r="AF17173" t="s">
        <v>448</v>
      </c>
      <c r="AG17173" t="s">
        <v>560</v>
      </c>
      <c r="AL17173" t="s">
        <v>2195</v>
      </c>
      <c r="AM17173" t="s">
        <v>2196</v>
      </c>
      <c r="AN17173" t="s">
        <v>2197</v>
      </c>
      <c r="AO17173" t="s">
        <v>1494</v>
      </c>
      <c r="AQ17173">
        <f>IF(ISBLANK(AP17173), IFERROR(IF(VLOOKUP(AO17173, Ellens_additions!$A$2:$B$252, 2, FALSE) = "", "", VLOOKUP(AO17173, Ellens_additions!$A$2:$B$252, 2, FALSE)), 0), AP17173)</f>
        <v>0</v>
      </c>
    </row>
    <row r="17174" spans="1:43" ht="14.4" hidden="1" x14ac:dyDescent="0.3">
      <c r="A17174" t="s">
        <v>2198</v>
      </c>
      <c r="B17174">
        <v>4908916</v>
      </c>
      <c r="C17174" t="s">
        <v>135</v>
      </c>
      <c r="D17174" t="s">
        <v>174</v>
      </c>
      <c r="E17174" t="s">
        <v>316</v>
      </c>
      <c r="F17174" t="s">
        <v>288</v>
      </c>
      <c r="H17174" t="s">
        <v>2199</v>
      </c>
      <c r="J17174" t="s">
        <v>140</v>
      </c>
      <c r="K17174">
        <v>159322</v>
      </c>
      <c r="L17174">
        <v>383540</v>
      </c>
      <c r="N17174" t="s">
        <v>1494</v>
      </c>
      <c r="O17174" t="s">
        <v>448</v>
      </c>
      <c r="P17174" t="s">
        <v>1495</v>
      </c>
      <c r="Q17174" t="s">
        <v>144</v>
      </c>
      <c r="S17174">
        <v>0</v>
      </c>
      <c r="T17174">
        <v>0</v>
      </c>
      <c r="V17174" t="s">
        <v>146</v>
      </c>
      <c r="W17174" t="s">
        <v>184</v>
      </c>
      <c r="X17174" t="s">
        <v>7</v>
      </c>
      <c r="Y17174" t="s">
        <v>1494</v>
      </c>
      <c r="Z17174" t="s">
        <v>448</v>
      </c>
      <c r="AA17174" t="s">
        <v>456</v>
      </c>
      <c r="AB17174">
        <v>0</v>
      </c>
      <c r="AE17174" t="s">
        <v>1496</v>
      </c>
      <c r="AF17174" t="s">
        <v>448</v>
      </c>
      <c r="AG17174" t="s">
        <v>560</v>
      </c>
      <c r="AL17174" t="s">
        <v>2200</v>
      </c>
      <c r="AM17174" t="s">
        <v>2201</v>
      </c>
      <c r="AN17174" t="s">
        <v>2202</v>
      </c>
      <c r="AO17174" t="s">
        <v>1494</v>
      </c>
      <c r="AQ17174">
        <f>IF(ISBLANK(AP17174), IFERROR(IF(VLOOKUP(AO17174, Ellens_additions!$A$2:$B$252, 2, FALSE) = "", "", VLOOKUP(AO17174, Ellens_additions!$A$2:$B$252, 2, FALSE)), 0), AP17174)</f>
        <v>0</v>
      </c>
    </row>
    <row r="17175" spans="1:43" ht="14.4" hidden="1" x14ac:dyDescent="0.3">
      <c r="A17175" t="s">
        <v>2203</v>
      </c>
      <c r="B17175">
        <v>4908920</v>
      </c>
      <c r="C17175" t="s">
        <v>135</v>
      </c>
      <c r="D17175" t="s">
        <v>174</v>
      </c>
      <c r="E17175" t="s">
        <v>316</v>
      </c>
      <c r="F17175" t="s">
        <v>288</v>
      </c>
      <c r="H17175" t="s">
        <v>2204</v>
      </c>
      <c r="J17175" t="s">
        <v>140</v>
      </c>
      <c r="K17175">
        <v>159336</v>
      </c>
      <c r="L17175">
        <v>383535</v>
      </c>
      <c r="N17175" t="s">
        <v>1494</v>
      </c>
      <c r="O17175" t="s">
        <v>448</v>
      </c>
      <c r="P17175" t="s">
        <v>1495</v>
      </c>
      <c r="Q17175" t="s">
        <v>144</v>
      </c>
      <c r="S17175">
        <v>0</v>
      </c>
      <c r="T17175">
        <v>0</v>
      </c>
      <c r="V17175" t="s">
        <v>146</v>
      </c>
      <c r="W17175" t="s">
        <v>184</v>
      </c>
      <c r="X17175" t="s">
        <v>7</v>
      </c>
      <c r="Y17175" t="s">
        <v>1494</v>
      </c>
      <c r="Z17175" t="s">
        <v>448</v>
      </c>
      <c r="AA17175" t="s">
        <v>456</v>
      </c>
      <c r="AB17175">
        <v>0</v>
      </c>
      <c r="AE17175" t="s">
        <v>1496</v>
      </c>
      <c r="AF17175" t="s">
        <v>448</v>
      </c>
      <c r="AG17175" t="s">
        <v>560</v>
      </c>
      <c r="AL17175" t="s">
        <v>2205</v>
      </c>
      <c r="AM17175" t="s">
        <v>2206</v>
      </c>
      <c r="AN17175" t="s">
        <v>2207</v>
      </c>
      <c r="AO17175" t="s">
        <v>1494</v>
      </c>
      <c r="AQ17175">
        <f>IF(ISBLANK(AP17175), IFERROR(IF(VLOOKUP(AO17175, Ellens_additions!$A$2:$B$252, 2, FALSE) = "", "", VLOOKUP(AO17175, Ellens_additions!$A$2:$B$252, 2, FALSE)), 0), AP17175)</f>
        <v>0</v>
      </c>
    </row>
    <row r="17176" spans="1:43" ht="14.4" hidden="1" x14ac:dyDescent="0.3">
      <c r="A17176" t="s">
        <v>2208</v>
      </c>
      <c r="B17176">
        <v>4908921</v>
      </c>
      <c r="C17176" t="s">
        <v>135</v>
      </c>
      <c r="D17176" t="s">
        <v>174</v>
      </c>
      <c r="E17176" t="s">
        <v>316</v>
      </c>
      <c r="F17176" t="s">
        <v>288</v>
      </c>
      <c r="H17176" t="s">
        <v>2209</v>
      </c>
      <c r="J17176" t="s">
        <v>140</v>
      </c>
      <c r="K17176">
        <v>159338.76</v>
      </c>
      <c r="L17176">
        <v>383534.89</v>
      </c>
      <c r="N17176" t="s">
        <v>1494</v>
      </c>
      <c r="O17176" t="s">
        <v>448</v>
      </c>
      <c r="P17176" t="s">
        <v>1495</v>
      </c>
      <c r="Q17176" t="s">
        <v>144</v>
      </c>
      <c r="S17176">
        <v>0</v>
      </c>
      <c r="T17176">
        <v>0</v>
      </c>
      <c r="V17176" t="s">
        <v>146</v>
      </c>
      <c r="W17176" t="s">
        <v>184</v>
      </c>
      <c r="X17176" t="s">
        <v>7</v>
      </c>
      <c r="Y17176" t="s">
        <v>1494</v>
      </c>
      <c r="Z17176" t="s">
        <v>448</v>
      </c>
      <c r="AA17176" t="s">
        <v>456</v>
      </c>
      <c r="AB17176">
        <v>0</v>
      </c>
      <c r="AE17176" t="s">
        <v>1496</v>
      </c>
      <c r="AF17176" t="s">
        <v>448</v>
      </c>
      <c r="AG17176" t="s">
        <v>560</v>
      </c>
      <c r="AL17176" t="s">
        <v>2210</v>
      </c>
      <c r="AM17176" t="s">
        <v>2211</v>
      </c>
      <c r="AN17176" t="s">
        <v>2212</v>
      </c>
      <c r="AO17176" t="s">
        <v>1494</v>
      </c>
      <c r="AQ17176">
        <f>IF(ISBLANK(AP17176), IFERROR(IF(VLOOKUP(AO17176, Ellens_additions!$A$2:$B$252, 2, FALSE) = "", "", VLOOKUP(AO17176, Ellens_additions!$A$2:$B$252, 2, FALSE)), 0), AP17176)</f>
        <v>0</v>
      </c>
    </row>
    <row r="17177" spans="1:43" ht="14.4" hidden="1" x14ac:dyDescent="0.3">
      <c r="A17177" t="s">
        <v>2213</v>
      </c>
      <c r="B17177">
        <v>4908923</v>
      </c>
      <c r="C17177" t="s">
        <v>135</v>
      </c>
      <c r="D17177" t="s">
        <v>174</v>
      </c>
      <c r="E17177" t="s">
        <v>316</v>
      </c>
      <c r="F17177" t="s">
        <v>288</v>
      </c>
      <c r="H17177" t="s">
        <v>2214</v>
      </c>
      <c r="J17177" t="s">
        <v>140</v>
      </c>
      <c r="K17177">
        <v>159345.99</v>
      </c>
      <c r="L17177">
        <v>383534.98</v>
      </c>
      <c r="N17177" t="s">
        <v>1494</v>
      </c>
      <c r="O17177" t="s">
        <v>448</v>
      </c>
      <c r="P17177" t="s">
        <v>1495</v>
      </c>
      <c r="Q17177" t="s">
        <v>144</v>
      </c>
      <c r="S17177">
        <v>0</v>
      </c>
      <c r="T17177">
        <v>0</v>
      </c>
      <c r="V17177" t="s">
        <v>146</v>
      </c>
      <c r="W17177" t="s">
        <v>184</v>
      </c>
      <c r="X17177" t="s">
        <v>7</v>
      </c>
      <c r="Y17177" t="s">
        <v>1494</v>
      </c>
      <c r="Z17177" t="s">
        <v>448</v>
      </c>
      <c r="AA17177" t="s">
        <v>456</v>
      </c>
      <c r="AB17177">
        <v>0</v>
      </c>
      <c r="AE17177" t="s">
        <v>1496</v>
      </c>
      <c r="AF17177" t="s">
        <v>448</v>
      </c>
      <c r="AG17177" t="s">
        <v>560</v>
      </c>
      <c r="AL17177" t="s">
        <v>2215</v>
      </c>
      <c r="AM17177" t="s">
        <v>2216</v>
      </c>
      <c r="AN17177" t="s">
        <v>2217</v>
      </c>
      <c r="AO17177" t="s">
        <v>1494</v>
      </c>
      <c r="AQ17177">
        <f>IF(ISBLANK(AP17177), IFERROR(IF(VLOOKUP(AO17177, Ellens_additions!$A$2:$B$252, 2, FALSE) = "", "", VLOOKUP(AO17177, Ellens_additions!$A$2:$B$252, 2, FALSE)), 0), AP17177)</f>
        <v>0</v>
      </c>
    </row>
    <row r="17178" spans="1:43" ht="14.4" hidden="1" x14ac:dyDescent="0.3">
      <c r="A17178" t="s">
        <v>2218</v>
      </c>
      <c r="B17178">
        <v>4908924</v>
      </c>
      <c r="C17178" t="s">
        <v>135</v>
      </c>
      <c r="D17178" t="s">
        <v>174</v>
      </c>
      <c r="E17178" t="s">
        <v>316</v>
      </c>
      <c r="F17178" t="s">
        <v>288</v>
      </c>
      <c r="H17178" t="s">
        <v>2219</v>
      </c>
      <c r="J17178" t="s">
        <v>140</v>
      </c>
      <c r="K17178">
        <v>159386.26999999999</v>
      </c>
      <c r="L17178">
        <v>383562.59</v>
      </c>
      <c r="N17178" t="s">
        <v>1494</v>
      </c>
      <c r="O17178" t="s">
        <v>448</v>
      </c>
      <c r="P17178" t="s">
        <v>1495</v>
      </c>
      <c r="Q17178" t="s">
        <v>144</v>
      </c>
      <c r="S17178">
        <v>0</v>
      </c>
      <c r="T17178">
        <v>0</v>
      </c>
      <c r="V17178" t="s">
        <v>146</v>
      </c>
      <c r="W17178" t="s">
        <v>184</v>
      </c>
      <c r="X17178" t="s">
        <v>7</v>
      </c>
      <c r="Y17178" t="s">
        <v>1494</v>
      </c>
      <c r="Z17178" t="s">
        <v>448</v>
      </c>
      <c r="AA17178" t="s">
        <v>456</v>
      </c>
      <c r="AB17178">
        <v>0</v>
      </c>
      <c r="AE17178" t="s">
        <v>1496</v>
      </c>
      <c r="AF17178" t="s">
        <v>448</v>
      </c>
      <c r="AG17178" t="s">
        <v>560</v>
      </c>
      <c r="AL17178" t="s">
        <v>2220</v>
      </c>
      <c r="AM17178" t="s">
        <v>2221</v>
      </c>
      <c r="AN17178" t="s">
        <v>2222</v>
      </c>
      <c r="AO17178" t="s">
        <v>1494</v>
      </c>
      <c r="AQ17178">
        <f>IF(ISBLANK(AP17178), IFERROR(IF(VLOOKUP(AO17178, Ellens_additions!$A$2:$B$252, 2, FALSE) = "", "", VLOOKUP(AO17178, Ellens_additions!$A$2:$B$252, 2, FALSE)), 0), AP17178)</f>
        <v>0</v>
      </c>
    </row>
    <row r="17179" spans="1:43" ht="14.4" hidden="1" x14ac:dyDescent="0.3">
      <c r="A17179" t="s">
        <v>2223</v>
      </c>
      <c r="B17179">
        <v>4908927</v>
      </c>
      <c r="C17179" t="s">
        <v>135</v>
      </c>
      <c r="D17179" t="s">
        <v>174</v>
      </c>
      <c r="E17179" t="s">
        <v>316</v>
      </c>
      <c r="F17179" t="s">
        <v>288</v>
      </c>
      <c r="H17179" t="s">
        <v>2224</v>
      </c>
      <c r="J17179" t="s">
        <v>140</v>
      </c>
      <c r="K17179">
        <v>159385.01999999999</v>
      </c>
      <c r="L17179">
        <v>383559.37</v>
      </c>
      <c r="N17179" t="s">
        <v>1494</v>
      </c>
      <c r="O17179" t="s">
        <v>448</v>
      </c>
      <c r="P17179" t="s">
        <v>1495</v>
      </c>
      <c r="Q17179" t="s">
        <v>144</v>
      </c>
      <c r="S17179">
        <v>0</v>
      </c>
      <c r="T17179">
        <v>0</v>
      </c>
      <c r="V17179" t="s">
        <v>146</v>
      </c>
      <c r="W17179" t="s">
        <v>184</v>
      </c>
      <c r="X17179" t="s">
        <v>7</v>
      </c>
      <c r="Y17179" t="s">
        <v>1494</v>
      </c>
      <c r="Z17179" t="s">
        <v>448</v>
      </c>
      <c r="AA17179" t="s">
        <v>456</v>
      </c>
      <c r="AB17179">
        <v>0</v>
      </c>
      <c r="AE17179" t="s">
        <v>1496</v>
      </c>
      <c r="AF17179" t="s">
        <v>448</v>
      </c>
      <c r="AG17179" t="s">
        <v>560</v>
      </c>
      <c r="AL17179" t="s">
        <v>2225</v>
      </c>
      <c r="AM17179" t="s">
        <v>2226</v>
      </c>
      <c r="AN17179" t="s">
        <v>2227</v>
      </c>
      <c r="AO17179" t="s">
        <v>1494</v>
      </c>
      <c r="AQ17179">
        <f>IF(ISBLANK(AP17179), IFERROR(IF(VLOOKUP(AO17179, Ellens_additions!$A$2:$B$252, 2, FALSE) = "", "", VLOOKUP(AO17179, Ellens_additions!$A$2:$B$252, 2, FALSE)), 0), AP17179)</f>
        <v>0</v>
      </c>
    </row>
    <row r="17180" spans="1:43" ht="14.4" hidden="1" x14ac:dyDescent="0.3">
      <c r="A17180" t="s">
        <v>2228</v>
      </c>
      <c r="B17180">
        <v>4908928</v>
      </c>
      <c r="C17180" t="s">
        <v>135</v>
      </c>
      <c r="D17180" t="s">
        <v>174</v>
      </c>
      <c r="E17180" t="s">
        <v>316</v>
      </c>
      <c r="F17180" t="s">
        <v>288</v>
      </c>
      <c r="H17180" t="s">
        <v>2229</v>
      </c>
      <c r="J17180" t="s">
        <v>140</v>
      </c>
      <c r="K17180">
        <v>159384.59</v>
      </c>
      <c r="L17180">
        <v>383558.21</v>
      </c>
      <c r="N17180" t="s">
        <v>1494</v>
      </c>
      <c r="O17180" t="s">
        <v>448</v>
      </c>
      <c r="P17180" t="s">
        <v>1495</v>
      </c>
      <c r="Q17180" t="s">
        <v>144</v>
      </c>
      <c r="S17180">
        <v>0</v>
      </c>
      <c r="T17180">
        <v>0</v>
      </c>
      <c r="V17180" t="s">
        <v>146</v>
      </c>
      <c r="W17180" t="s">
        <v>184</v>
      </c>
      <c r="X17180" t="s">
        <v>7</v>
      </c>
      <c r="Y17180" t="s">
        <v>1494</v>
      </c>
      <c r="Z17180" t="s">
        <v>448</v>
      </c>
      <c r="AA17180" t="s">
        <v>456</v>
      </c>
      <c r="AB17180">
        <v>0</v>
      </c>
      <c r="AE17180" t="s">
        <v>1496</v>
      </c>
      <c r="AF17180" t="s">
        <v>448</v>
      </c>
      <c r="AG17180" t="s">
        <v>560</v>
      </c>
      <c r="AL17180" t="s">
        <v>2230</v>
      </c>
      <c r="AM17180" t="s">
        <v>2231</v>
      </c>
      <c r="AN17180" t="s">
        <v>2232</v>
      </c>
      <c r="AO17180" t="s">
        <v>1494</v>
      </c>
      <c r="AQ17180">
        <f>IF(ISBLANK(AP17180), IFERROR(IF(VLOOKUP(AO17180, Ellens_additions!$A$2:$B$252, 2, FALSE) = "", "", VLOOKUP(AO17180, Ellens_additions!$A$2:$B$252, 2, FALSE)), 0), AP17180)</f>
        <v>0</v>
      </c>
    </row>
    <row r="17181" spans="1:43" ht="14.4" hidden="1" x14ac:dyDescent="0.3">
      <c r="A17181" t="s">
        <v>2233</v>
      </c>
      <c r="B17181">
        <v>4908930</v>
      </c>
      <c r="C17181" t="s">
        <v>135</v>
      </c>
      <c r="D17181" t="s">
        <v>174</v>
      </c>
      <c r="E17181" t="s">
        <v>316</v>
      </c>
      <c r="F17181" t="s">
        <v>288</v>
      </c>
      <c r="H17181" t="s">
        <v>2234</v>
      </c>
      <c r="J17181" t="s">
        <v>140</v>
      </c>
      <c r="K17181">
        <v>159383.79</v>
      </c>
      <c r="L17181">
        <v>383556.22</v>
      </c>
      <c r="N17181" t="s">
        <v>1494</v>
      </c>
      <c r="O17181" t="s">
        <v>448</v>
      </c>
      <c r="P17181" t="s">
        <v>1495</v>
      </c>
      <c r="Q17181" t="s">
        <v>144</v>
      </c>
      <c r="S17181">
        <v>0</v>
      </c>
      <c r="T17181">
        <v>0</v>
      </c>
      <c r="V17181" t="s">
        <v>146</v>
      </c>
      <c r="W17181" t="s">
        <v>184</v>
      </c>
      <c r="X17181" t="s">
        <v>7</v>
      </c>
      <c r="Y17181" t="s">
        <v>1494</v>
      </c>
      <c r="Z17181" t="s">
        <v>448</v>
      </c>
      <c r="AA17181" t="s">
        <v>456</v>
      </c>
      <c r="AB17181">
        <v>0</v>
      </c>
      <c r="AE17181" t="s">
        <v>1496</v>
      </c>
      <c r="AF17181" t="s">
        <v>448</v>
      </c>
      <c r="AG17181" t="s">
        <v>560</v>
      </c>
      <c r="AL17181" t="s">
        <v>2235</v>
      </c>
      <c r="AM17181" t="s">
        <v>2236</v>
      </c>
      <c r="AN17181" t="s">
        <v>2237</v>
      </c>
      <c r="AO17181" t="s">
        <v>1494</v>
      </c>
      <c r="AQ17181">
        <f>IF(ISBLANK(AP17181), IFERROR(IF(VLOOKUP(AO17181, Ellens_additions!$A$2:$B$252, 2, FALSE) = "", "", VLOOKUP(AO17181, Ellens_additions!$A$2:$B$252, 2, FALSE)), 0), AP17181)</f>
        <v>0</v>
      </c>
    </row>
    <row r="17182" spans="1:43" ht="14.4" hidden="1" x14ac:dyDescent="0.3">
      <c r="A17182" t="s">
        <v>2238</v>
      </c>
      <c r="B17182">
        <v>4908931</v>
      </c>
      <c r="C17182" t="s">
        <v>135</v>
      </c>
      <c r="D17182" t="s">
        <v>174</v>
      </c>
      <c r="E17182" t="s">
        <v>316</v>
      </c>
      <c r="F17182" t="s">
        <v>288</v>
      </c>
      <c r="H17182" t="s">
        <v>2239</v>
      </c>
      <c r="J17182" t="s">
        <v>140</v>
      </c>
      <c r="K17182">
        <v>159383.44</v>
      </c>
      <c r="L17182">
        <v>383555.34</v>
      </c>
      <c r="N17182" t="s">
        <v>1494</v>
      </c>
      <c r="O17182" t="s">
        <v>448</v>
      </c>
      <c r="P17182" t="s">
        <v>1495</v>
      </c>
      <c r="Q17182" t="s">
        <v>144</v>
      </c>
      <c r="S17182">
        <v>0</v>
      </c>
      <c r="T17182">
        <v>0</v>
      </c>
      <c r="V17182" t="s">
        <v>146</v>
      </c>
      <c r="W17182" t="s">
        <v>184</v>
      </c>
      <c r="X17182" t="s">
        <v>7</v>
      </c>
      <c r="Y17182" t="s">
        <v>1494</v>
      </c>
      <c r="Z17182" t="s">
        <v>448</v>
      </c>
      <c r="AA17182" t="s">
        <v>456</v>
      </c>
      <c r="AB17182">
        <v>0</v>
      </c>
      <c r="AE17182" t="s">
        <v>1496</v>
      </c>
      <c r="AF17182" t="s">
        <v>448</v>
      </c>
      <c r="AG17182" t="s">
        <v>560</v>
      </c>
      <c r="AL17182" t="s">
        <v>2240</v>
      </c>
      <c r="AM17182" t="s">
        <v>2241</v>
      </c>
      <c r="AN17182" t="s">
        <v>2242</v>
      </c>
      <c r="AO17182" t="s">
        <v>1494</v>
      </c>
      <c r="AQ17182">
        <f>IF(ISBLANK(AP17182), IFERROR(IF(VLOOKUP(AO17182, Ellens_additions!$A$2:$B$252, 2, FALSE) = "", "", VLOOKUP(AO17182, Ellens_additions!$A$2:$B$252, 2, FALSE)), 0), AP17182)</f>
        <v>0</v>
      </c>
    </row>
    <row r="17183" spans="1:43" ht="14.4" hidden="1" x14ac:dyDescent="0.3">
      <c r="A17183" t="s">
        <v>2243</v>
      </c>
      <c r="B17183">
        <v>4908941</v>
      </c>
      <c r="C17183" t="s">
        <v>135</v>
      </c>
      <c r="D17183" t="s">
        <v>174</v>
      </c>
      <c r="E17183" t="s">
        <v>316</v>
      </c>
      <c r="F17183" t="s">
        <v>288</v>
      </c>
      <c r="H17183" t="s">
        <v>2244</v>
      </c>
      <c r="J17183" t="s">
        <v>140</v>
      </c>
      <c r="K17183">
        <v>159386.67000000001</v>
      </c>
      <c r="L17183">
        <v>383563.52000000002</v>
      </c>
      <c r="N17183" t="s">
        <v>1494</v>
      </c>
      <c r="O17183" t="s">
        <v>448</v>
      </c>
      <c r="P17183" t="s">
        <v>1495</v>
      </c>
      <c r="Q17183" t="s">
        <v>144</v>
      </c>
      <c r="S17183">
        <v>0</v>
      </c>
      <c r="T17183">
        <v>0</v>
      </c>
      <c r="V17183" t="s">
        <v>146</v>
      </c>
      <c r="W17183" t="s">
        <v>184</v>
      </c>
      <c r="X17183" t="s">
        <v>7</v>
      </c>
      <c r="Y17183" t="s">
        <v>1494</v>
      </c>
      <c r="Z17183" t="s">
        <v>448</v>
      </c>
      <c r="AA17183" t="s">
        <v>456</v>
      </c>
      <c r="AB17183">
        <v>0</v>
      </c>
      <c r="AE17183" t="s">
        <v>1496</v>
      </c>
      <c r="AF17183" t="s">
        <v>448</v>
      </c>
      <c r="AG17183" t="s">
        <v>560</v>
      </c>
      <c r="AL17183" t="s">
        <v>2245</v>
      </c>
      <c r="AM17183" t="s">
        <v>2246</v>
      </c>
      <c r="AN17183" t="s">
        <v>2247</v>
      </c>
      <c r="AO17183" t="s">
        <v>1494</v>
      </c>
      <c r="AQ17183">
        <f>IF(ISBLANK(AP17183), IFERROR(IF(VLOOKUP(AO17183, Ellens_additions!$A$2:$B$252, 2, FALSE) = "", "", VLOOKUP(AO17183, Ellens_additions!$A$2:$B$252, 2, FALSE)), 0), AP17183)</f>
        <v>0</v>
      </c>
    </row>
    <row r="17184" spans="1:43" ht="14.4" hidden="1" x14ac:dyDescent="0.3">
      <c r="A17184" t="s">
        <v>2248</v>
      </c>
      <c r="B17184">
        <v>4908943</v>
      </c>
      <c r="C17184" t="s">
        <v>135</v>
      </c>
      <c r="D17184" t="s">
        <v>174</v>
      </c>
      <c r="E17184" t="s">
        <v>316</v>
      </c>
      <c r="F17184" t="s">
        <v>288</v>
      </c>
      <c r="H17184" t="s">
        <v>2249</v>
      </c>
      <c r="J17184" t="s">
        <v>140</v>
      </c>
      <c r="K17184">
        <v>159387.15</v>
      </c>
      <c r="L17184">
        <v>383565.22</v>
      </c>
      <c r="N17184" t="s">
        <v>1494</v>
      </c>
      <c r="O17184" t="s">
        <v>448</v>
      </c>
      <c r="P17184" t="s">
        <v>1495</v>
      </c>
      <c r="Q17184" t="s">
        <v>144</v>
      </c>
      <c r="S17184">
        <v>0</v>
      </c>
      <c r="T17184">
        <v>0</v>
      </c>
      <c r="V17184" t="s">
        <v>146</v>
      </c>
      <c r="W17184" t="s">
        <v>184</v>
      </c>
      <c r="X17184" t="s">
        <v>7</v>
      </c>
      <c r="Y17184" t="s">
        <v>1494</v>
      </c>
      <c r="Z17184" t="s">
        <v>448</v>
      </c>
      <c r="AA17184" t="s">
        <v>456</v>
      </c>
      <c r="AB17184">
        <v>0</v>
      </c>
      <c r="AE17184" t="s">
        <v>1496</v>
      </c>
      <c r="AF17184" t="s">
        <v>448</v>
      </c>
      <c r="AG17184" t="s">
        <v>560</v>
      </c>
      <c r="AL17184" t="s">
        <v>2250</v>
      </c>
      <c r="AM17184" t="s">
        <v>2251</v>
      </c>
      <c r="AN17184" t="s">
        <v>2252</v>
      </c>
      <c r="AO17184" t="s">
        <v>1494</v>
      </c>
      <c r="AQ17184">
        <f>IF(ISBLANK(AP17184), IFERROR(IF(VLOOKUP(AO17184, Ellens_additions!$A$2:$B$252, 2, FALSE) = "", "", VLOOKUP(AO17184, Ellens_additions!$A$2:$B$252, 2, FALSE)), 0), AP17184)</f>
        <v>0</v>
      </c>
    </row>
    <row r="17185" spans="1:43" ht="14.4" hidden="1" x14ac:dyDescent="0.3">
      <c r="A17185" t="s">
        <v>2253</v>
      </c>
      <c r="B17185">
        <v>4908944</v>
      </c>
      <c r="C17185" t="s">
        <v>135</v>
      </c>
      <c r="D17185" t="s">
        <v>174</v>
      </c>
      <c r="E17185" t="s">
        <v>316</v>
      </c>
      <c r="F17185" t="s">
        <v>288</v>
      </c>
      <c r="H17185" t="s">
        <v>2254</v>
      </c>
      <c r="J17185" t="s">
        <v>140</v>
      </c>
      <c r="K17185">
        <v>159387.35</v>
      </c>
      <c r="L17185">
        <v>383566.31</v>
      </c>
      <c r="N17185" t="s">
        <v>1494</v>
      </c>
      <c r="O17185" t="s">
        <v>448</v>
      </c>
      <c r="P17185" t="s">
        <v>1495</v>
      </c>
      <c r="Q17185" t="s">
        <v>144</v>
      </c>
      <c r="S17185">
        <v>0</v>
      </c>
      <c r="T17185">
        <v>0</v>
      </c>
      <c r="V17185" t="s">
        <v>146</v>
      </c>
      <c r="W17185" t="s">
        <v>184</v>
      </c>
      <c r="X17185" t="s">
        <v>7</v>
      </c>
      <c r="Y17185" t="s">
        <v>1494</v>
      </c>
      <c r="Z17185" t="s">
        <v>448</v>
      </c>
      <c r="AA17185" t="s">
        <v>456</v>
      </c>
      <c r="AB17185">
        <v>0</v>
      </c>
      <c r="AE17185" t="s">
        <v>1496</v>
      </c>
      <c r="AF17185" t="s">
        <v>448</v>
      </c>
      <c r="AG17185" t="s">
        <v>560</v>
      </c>
      <c r="AL17185" t="s">
        <v>2255</v>
      </c>
      <c r="AM17185" t="s">
        <v>2256</v>
      </c>
      <c r="AN17185" t="s">
        <v>2257</v>
      </c>
      <c r="AO17185" t="s">
        <v>1494</v>
      </c>
      <c r="AQ17185">
        <f>IF(ISBLANK(AP17185), IFERROR(IF(VLOOKUP(AO17185, Ellens_additions!$A$2:$B$252, 2, FALSE) = "", "", VLOOKUP(AO17185, Ellens_additions!$A$2:$B$252, 2, FALSE)), 0), AP17185)</f>
        <v>0</v>
      </c>
    </row>
    <row r="17186" spans="1:43" ht="14.4" hidden="1" x14ac:dyDescent="0.3">
      <c r="A17186" t="s">
        <v>2258</v>
      </c>
      <c r="B17186">
        <v>4908945</v>
      </c>
      <c r="C17186" t="s">
        <v>135</v>
      </c>
      <c r="D17186" t="s">
        <v>174</v>
      </c>
      <c r="E17186" t="s">
        <v>316</v>
      </c>
      <c r="F17186" t="s">
        <v>288</v>
      </c>
      <c r="H17186" t="s">
        <v>2259</v>
      </c>
      <c r="J17186" t="s">
        <v>140</v>
      </c>
      <c r="K17186">
        <v>159387.54999999999</v>
      </c>
      <c r="L17186">
        <v>383567.38</v>
      </c>
      <c r="N17186" t="s">
        <v>1494</v>
      </c>
      <c r="O17186" t="s">
        <v>448</v>
      </c>
      <c r="P17186" t="s">
        <v>1495</v>
      </c>
      <c r="Q17186" t="s">
        <v>144</v>
      </c>
      <c r="S17186">
        <v>0</v>
      </c>
      <c r="T17186">
        <v>0</v>
      </c>
      <c r="V17186" t="s">
        <v>146</v>
      </c>
      <c r="W17186" t="s">
        <v>184</v>
      </c>
      <c r="X17186" t="s">
        <v>7</v>
      </c>
      <c r="Y17186" t="s">
        <v>1494</v>
      </c>
      <c r="Z17186" t="s">
        <v>448</v>
      </c>
      <c r="AA17186" t="s">
        <v>456</v>
      </c>
      <c r="AB17186">
        <v>0</v>
      </c>
      <c r="AE17186" t="s">
        <v>1496</v>
      </c>
      <c r="AF17186" t="s">
        <v>448</v>
      </c>
      <c r="AG17186" t="s">
        <v>560</v>
      </c>
      <c r="AL17186" t="s">
        <v>2260</v>
      </c>
      <c r="AM17186" t="s">
        <v>2261</v>
      </c>
      <c r="AN17186" t="s">
        <v>2262</v>
      </c>
      <c r="AO17186" t="s">
        <v>1494</v>
      </c>
      <c r="AQ17186">
        <f>IF(ISBLANK(AP17186), IFERROR(IF(VLOOKUP(AO17186, Ellens_additions!$A$2:$B$252, 2, FALSE) = "", "", VLOOKUP(AO17186, Ellens_additions!$A$2:$B$252, 2, FALSE)), 0), AP17186)</f>
        <v>0</v>
      </c>
    </row>
    <row r="17187" spans="1:43" ht="14.4" hidden="1" x14ac:dyDescent="0.3">
      <c r="A17187" t="s">
        <v>2263</v>
      </c>
      <c r="B17187">
        <v>4908947</v>
      </c>
      <c r="C17187" t="s">
        <v>135</v>
      </c>
      <c r="D17187" t="s">
        <v>174</v>
      </c>
      <c r="E17187" t="s">
        <v>316</v>
      </c>
      <c r="F17187" t="s">
        <v>288</v>
      </c>
      <c r="H17187" t="s">
        <v>2264</v>
      </c>
      <c r="J17187" t="s">
        <v>140</v>
      </c>
      <c r="K17187">
        <v>159387.87</v>
      </c>
      <c r="L17187">
        <v>383569.6</v>
      </c>
      <c r="N17187" t="s">
        <v>1494</v>
      </c>
      <c r="O17187" t="s">
        <v>448</v>
      </c>
      <c r="P17187" t="s">
        <v>1495</v>
      </c>
      <c r="Q17187" t="s">
        <v>144</v>
      </c>
      <c r="S17187">
        <v>0</v>
      </c>
      <c r="T17187">
        <v>0</v>
      </c>
      <c r="V17187" t="s">
        <v>146</v>
      </c>
      <c r="W17187" t="s">
        <v>184</v>
      </c>
      <c r="X17187" t="s">
        <v>7</v>
      </c>
      <c r="Y17187" t="s">
        <v>1494</v>
      </c>
      <c r="Z17187" t="s">
        <v>448</v>
      </c>
      <c r="AA17187" t="s">
        <v>456</v>
      </c>
      <c r="AB17187">
        <v>0</v>
      </c>
      <c r="AE17187" t="s">
        <v>1496</v>
      </c>
      <c r="AF17187" t="s">
        <v>448</v>
      </c>
      <c r="AG17187" t="s">
        <v>560</v>
      </c>
      <c r="AL17187" t="s">
        <v>2265</v>
      </c>
      <c r="AM17187" t="s">
        <v>2266</v>
      </c>
      <c r="AN17187" t="s">
        <v>2267</v>
      </c>
      <c r="AO17187" t="s">
        <v>1494</v>
      </c>
      <c r="AQ17187">
        <f>IF(ISBLANK(AP17187), IFERROR(IF(VLOOKUP(AO17187, Ellens_additions!$A$2:$B$252, 2, FALSE) = "", "", VLOOKUP(AO17187, Ellens_additions!$A$2:$B$252, 2, FALSE)), 0), AP17187)</f>
        <v>0</v>
      </c>
    </row>
    <row r="17188" spans="1:43" ht="14.4" hidden="1" x14ac:dyDescent="0.3">
      <c r="A17188" t="s">
        <v>2268</v>
      </c>
      <c r="B17188">
        <v>4908949</v>
      </c>
      <c r="C17188" t="s">
        <v>135</v>
      </c>
      <c r="D17188" t="s">
        <v>174</v>
      </c>
      <c r="E17188" t="s">
        <v>316</v>
      </c>
      <c r="F17188" t="s">
        <v>288</v>
      </c>
      <c r="H17188" t="s">
        <v>2269</v>
      </c>
      <c r="J17188" t="s">
        <v>140</v>
      </c>
      <c r="K17188">
        <v>159388</v>
      </c>
      <c r="L17188">
        <v>383571.38</v>
      </c>
      <c r="N17188" t="s">
        <v>1494</v>
      </c>
      <c r="O17188" t="s">
        <v>448</v>
      </c>
      <c r="P17188" t="s">
        <v>1495</v>
      </c>
      <c r="Q17188" t="s">
        <v>144</v>
      </c>
      <c r="S17188">
        <v>0</v>
      </c>
      <c r="T17188">
        <v>0</v>
      </c>
      <c r="V17188" t="s">
        <v>146</v>
      </c>
      <c r="W17188" t="s">
        <v>184</v>
      </c>
      <c r="X17188" t="s">
        <v>7</v>
      </c>
      <c r="Y17188" t="s">
        <v>1494</v>
      </c>
      <c r="Z17188" t="s">
        <v>448</v>
      </c>
      <c r="AA17188" t="s">
        <v>456</v>
      </c>
      <c r="AB17188">
        <v>0</v>
      </c>
      <c r="AE17188" t="s">
        <v>1496</v>
      </c>
      <c r="AF17188" t="s">
        <v>448</v>
      </c>
      <c r="AG17188" t="s">
        <v>560</v>
      </c>
      <c r="AL17188" t="s">
        <v>2270</v>
      </c>
      <c r="AM17188" t="s">
        <v>2271</v>
      </c>
      <c r="AN17188" t="s">
        <v>2272</v>
      </c>
      <c r="AO17188" t="s">
        <v>1494</v>
      </c>
      <c r="AQ17188">
        <f>IF(ISBLANK(AP17188), IFERROR(IF(VLOOKUP(AO17188, Ellens_additions!$A$2:$B$252, 2, FALSE) = "", "", VLOOKUP(AO17188, Ellens_additions!$A$2:$B$252, 2, FALSE)), 0), AP17188)</f>
        <v>0</v>
      </c>
    </row>
    <row r="17189" spans="1:43" ht="14.4" hidden="1" x14ac:dyDescent="0.3">
      <c r="A17189" t="s">
        <v>2273</v>
      </c>
      <c r="B17189">
        <v>4908950</v>
      </c>
      <c r="C17189" t="s">
        <v>135</v>
      </c>
      <c r="D17189" t="s">
        <v>174</v>
      </c>
      <c r="E17189" t="s">
        <v>316</v>
      </c>
      <c r="F17189" t="s">
        <v>288</v>
      </c>
      <c r="H17189" t="s">
        <v>2274</v>
      </c>
      <c r="J17189" t="s">
        <v>140</v>
      </c>
      <c r="K17189">
        <v>159388.01999999999</v>
      </c>
      <c r="L17189">
        <v>383572.35</v>
      </c>
      <c r="N17189" t="s">
        <v>1494</v>
      </c>
      <c r="O17189" t="s">
        <v>448</v>
      </c>
      <c r="P17189" t="s">
        <v>1495</v>
      </c>
      <c r="Q17189" t="s">
        <v>144</v>
      </c>
      <c r="S17189">
        <v>0</v>
      </c>
      <c r="T17189">
        <v>0</v>
      </c>
      <c r="V17189" t="s">
        <v>146</v>
      </c>
      <c r="W17189" t="s">
        <v>184</v>
      </c>
      <c r="X17189" t="s">
        <v>7</v>
      </c>
      <c r="Y17189" t="s">
        <v>1494</v>
      </c>
      <c r="Z17189" t="s">
        <v>448</v>
      </c>
      <c r="AA17189" t="s">
        <v>456</v>
      </c>
      <c r="AB17189">
        <v>0</v>
      </c>
      <c r="AE17189" t="s">
        <v>1496</v>
      </c>
      <c r="AF17189" t="s">
        <v>448</v>
      </c>
      <c r="AG17189" t="s">
        <v>560</v>
      </c>
      <c r="AL17189" t="s">
        <v>2275</v>
      </c>
      <c r="AM17189" t="s">
        <v>2276</v>
      </c>
      <c r="AN17189" t="s">
        <v>2277</v>
      </c>
      <c r="AO17189" t="s">
        <v>1494</v>
      </c>
      <c r="AQ17189">
        <f>IF(ISBLANK(AP17189), IFERROR(IF(VLOOKUP(AO17189, Ellens_additions!$A$2:$B$252, 2, FALSE) = "", "", VLOOKUP(AO17189, Ellens_additions!$A$2:$B$252, 2, FALSE)), 0), AP17189)</f>
        <v>0</v>
      </c>
    </row>
    <row r="17190" spans="1:43" ht="14.4" hidden="1" x14ac:dyDescent="0.3">
      <c r="A17190" t="s">
        <v>2278</v>
      </c>
      <c r="B17190">
        <v>4908951</v>
      </c>
      <c r="C17190" t="s">
        <v>135</v>
      </c>
      <c r="D17190" t="s">
        <v>174</v>
      </c>
      <c r="E17190" t="s">
        <v>316</v>
      </c>
      <c r="F17190" t="s">
        <v>288</v>
      </c>
      <c r="H17190" t="s">
        <v>2279</v>
      </c>
      <c r="J17190" t="s">
        <v>140</v>
      </c>
      <c r="K17190">
        <v>159388.04</v>
      </c>
      <c r="L17190">
        <v>383573.41</v>
      </c>
      <c r="N17190" t="s">
        <v>1494</v>
      </c>
      <c r="O17190" t="s">
        <v>448</v>
      </c>
      <c r="P17190" t="s">
        <v>1495</v>
      </c>
      <c r="Q17190" t="s">
        <v>144</v>
      </c>
      <c r="S17190">
        <v>0</v>
      </c>
      <c r="T17190">
        <v>0</v>
      </c>
      <c r="V17190" t="s">
        <v>146</v>
      </c>
      <c r="W17190" t="s">
        <v>184</v>
      </c>
      <c r="X17190" t="s">
        <v>7</v>
      </c>
      <c r="Y17190" t="s">
        <v>1494</v>
      </c>
      <c r="Z17190" t="s">
        <v>448</v>
      </c>
      <c r="AA17190" t="s">
        <v>456</v>
      </c>
      <c r="AB17190">
        <v>0</v>
      </c>
      <c r="AE17190" t="s">
        <v>1496</v>
      </c>
      <c r="AF17190" t="s">
        <v>448</v>
      </c>
      <c r="AG17190" t="s">
        <v>560</v>
      </c>
      <c r="AL17190" t="s">
        <v>2280</v>
      </c>
      <c r="AM17190" t="s">
        <v>2281</v>
      </c>
      <c r="AN17190" t="s">
        <v>2282</v>
      </c>
      <c r="AO17190" t="s">
        <v>1494</v>
      </c>
      <c r="AQ17190">
        <f>IF(ISBLANK(AP17190), IFERROR(IF(VLOOKUP(AO17190, Ellens_additions!$A$2:$B$252, 2, FALSE) = "", "", VLOOKUP(AO17190, Ellens_additions!$A$2:$B$252, 2, FALSE)), 0), AP17190)</f>
        <v>0</v>
      </c>
    </row>
    <row r="17191" spans="1:43" ht="14.4" hidden="1" x14ac:dyDescent="0.3">
      <c r="A17191" t="s">
        <v>2283</v>
      </c>
      <c r="B17191">
        <v>4908956</v>
      </c>
      <c r="C17191" t="s">
        <v>135</v>
      </c>
      <c r="D17191" t="s">
        <v>174</v>
      </c>
      <c r="E17191" t="s">
        <v>316</v>
      </c>
      <c r="F17191" t="s">
        <v>288</v>
      </c>
      <c r="H17191" t="s">
        <v>2284</v>
      </c>
      <c r="J17191" t="s">
        <v>140</v>
      </c>
      <c r="K17191">
        <v>159387.79999999999</v>
      </c>
      <c r="L17191">
        <v>383577.83</v>
      </c>
      <c r="N17191" t="s">
        <v>1494</v>
      </c>
      <c r="O17191" t="s">
        <v>448</v>
      </c>
      <c r="P17191" t="s">
        <v>1495</v>
      </c>
      <c r="Q17191" t="s">
        <v>144</v>
      </c>
      <c r="S17191">
        <v>0</v>
      </c>
      <c r="T17191">
        <v>0</v>
      </c>
      <c r="V17191" t="s">
        <v>146</v>
      </c>
      <c r="W17191" t="s">
        <v>184</v>
      </c>
      <c r="X17191" t="s">
        <v>7</v>
      </c>
      <c r="Y17191" t="s">
        <v>1494</v>
      </c>
      <c r="Z17191" t="s">
        <v>448</v>
      </c>
      <c r="AA17191" t="s">
        <v>456</v>
      </c>
      <c r="AB17191">
        <v>0</v>
      </c>
      <c r="AE17191" t="s">
        <v>1496</v>
      </c>
      <c r="AF17191" t="s">
        <v>448</v>
      </c>
      <c r="AG17191" t="s">
        <v>560</v>
      </c>
      <c r="AL17191" t="s">
        <v>2285</v>
      </c>
      <c r="AM17191" t="s">
        <v>2286</v>
      </c>
      <c r="AN17191" t="s">
        <v>2287</v>
      </c>
      <c r="AO17191" t="s">
        <v>1494</v>
      </c>
      <c r="AQ17191">
        <f>IF(ISBLANK(AP17191), IFERROR(IF(VLOOKUP(AO17191, Ellens_additions!$A$2:$B$252, 2, FALSE) = "", "", VLOOKUP(AO17191, Ellens_additions!$A$2:$B$252, 2, FALSE)), 0), AP17191)</f>
        <v>0</v>
      </c>
    </row>
    <row r="17192" spans="1:43" ht="14.4" hidden="1" x14ac:dyDescent="0.3">
      <c r="A17192" t="s">
        <v>2288</v>
      </c>
      <c r="B17192">
        <v>4908957</v>
      </c>
      <c r="C17192" t="s">
        <v>135</v>
      </c>
      <c r="D17192" t="s">
        <v>174</v>
      </c>
      <c r="E17192" t="s">
        <v>316</v>
      </c>
      <c r="F17192" t="s">
        <v>288</v>
      </c>
      <c r="H17192" t="s">
        <v>2289</v>
      </c>
      <c r="J17192" t="s">
        <v>140</v>
      </c>
      <c r="K17192">
        <v>159387.69</v>
      </c>
      <c r="L17192">
        <v>383578.81</v>
      </c>
      <c r="N17192" t="s">
        <v>1494</v>
      </c>
      <c r="O17192" t="s">
        <v>448</v>
      </c>
      <c r="P17192" t="s">
        <v>1495</v>
      </c>
      <c r="Q17192" t="s">
        <v>144</v>
      </c>
      <c r="S17192">
        <v>0</v>
      </c>
      <c r="T17192">
        <v>0</v>
      </c>
      <c r="V17192" t="s">
        <v>146</v>
      </c>
      <c r="W17192" t="s">
        <v>184</v>
      </c>
      <c r="X17192" t="s">
        <v>7</v>
      </c>
      <c r="Y17192" t="s">
        <v>1494</v>
      </c>
      <c r="Z17192" t="s">
        <v>448</v>
      </c>
      <c r="AA17192" t="s">
        <v>456</v>
      </c>
      <c r="AB17192">
        <v>0</v>
      </c>
      <c r="AE17192" t="s">
        <v>1496</v>
      </c>
      <c r="AF17192" t="s">
        <v>448</v>
      </c>
      <c r="AG17192" t="s">
        <v>560</v>
      </c>
      <c r="AL17192" t="s">
        <v>2290</v>
      </c>
      <c r="AM17192" t="s">
        <v>2291</v>
      </c>
      <c r="AN17192" t="s">
        <v>2292</v>
      </c>
      <c r="AO17192" t="s">
        <v>1494</v>
      </c>
      <c r="AQ17192">
        <f>IF(ISBLANK(AP17192), IFERROR(IF(VLOOKUP(AO17192, Ellens_additions!$A$2:$B$252, 2, FALSE) = "", "", VLOOKUP(AO17192, Ellens_additions!$A$2:$B$252, 2, FALSE)), 0), AP17192)</f>
        <v>0</v>
      </c>
    </row>
    <row r="17193" spans="1:43" ht="14.4" hidden="1" x14ac:dyDescent="0.3">
      <c r="A17193" t="s">
        <v>2293</v>
      </c>
      <c r="B17193">
        <v>4908958</v>
      </c>
      <c r="C17193" t="s">
        <v>135</v>
      </c>
      <c r="D17193" t="s">
        <v>174</v>
      </c>
      <c r="E17193" t="s">
        <v>316</v>
      </c>
      <c r="F17193" t="s">
        <v>288</v>
      </c>
      <c r="H17193" t="s">
        <v>2294</v>
      </c>
      <c r="J17193" t="s">
        <v>140</v>
      </c>
      <c r="K17193">
        <v>159387.53</v>
      </c>
      <c r="L17193">
        <v>383579.83</v>
      </c>
      <c r="N17193" t="s">
        <v>1494</v>
      </c>
      <c r="O17193" t="s">
        <v>448</v>
      </c>
      <c r="P17193" t="s">
        <v>1495</v>
      </c>
      <c r="Q17193" t="s">
        <v>144</v>
      </c>
      <c r="S17193">
        <v>0</v>
      </c>
      <c r="T17193">
        <v>0</v>
      </c>
      <c r="V17193" t="s">
        <v>146</v>
      </c>
      <c r="W17193" t="s">
        <v>184</v>
      </c>
      <c r="X17193" t="s">
        <v>7</v>
      </c>
      <c r="Y17193" t="s">
        <v>1494</v>
      </c>
      <c r="Z17193" t="s">
        <v>448</v>
      </c>
      <c r="AA17193" t="s">
        <v>456</v>
      </c>
      <c r="AB17193">
        <v>0</v>
      </c>
      <c r="AE17193" t="s">
        <v>1496</v>
      </c>
      <c r="AF17193" t="s">
        <v>448</v>
      </c>
      <c r="AG17193" t="s">
        <v>560</v>
      </c>
      <c r="AL17193" t="s">
        <v>2295</v>
      </c>
      <c r="AM17193" t="s">
        <v>2296</v>
      </c>
      <c r="AN17193" t="s">
        <v>2297</v>
      </c>
      <c r="AO17193" t="s">
        <v>1494</v>
      </c>
      <c r="AQ17193">
        <f>IF(ISBLANK(AP17193), IFERROR(IF(VLOOKUP(AO17193, Ellens_additions!$A$2:$B$252, 2, FALSE) = "", "", VLOOKUP(AO17193, Ellens_additions!$A$2:$B$252, 2, FALSE)), 0), AP17193)</f>
        <v>0</v>
      </c>
    </row>
    <row r="17194" spans="1:43" ht="14.4" hidden="1" x14ac:dyDescent="0.3">
      <c r="A17194" t="s">
        <v>2298</v>
      </c>
      <c r="B17194">
        <v>4908960</v>
      </c>
      <c r="C17194" t="s">
        <v>135</v>
      </c>
      <c r="D17194" t="s">
        <v>174</v>
      </c>
      <c r="E17194" t="s">
        <v>316</v>
      </c>
      <c r="F17194" t="s">
        <v>288</v>
      </c>
      <c r="H17194" t="s">
        <v>2299</v>
      </c>
      <c r="J17194" t="s">
        <v>140</v>
      </c>
      <c r="K17194">
        <v>159387.22</v>
      </c>
      <c r="L17194">
        <v>383581.67</v>
      </c>
      <c r="N17194" t="s">
        <v>1494</v>
      </c>
      <c r="O17194" t="s">
        <v>448</v>
      </c>
      <c r="P17194" t="s">
        <v>1495</v>
      </c>
      <c r="Q17194" t="s">
        <v>144</v>
      </c>
      <c r="S17194">
        <v>0</v>
      </c>
      <c r="T17194">
        <v>0</v>
      </c>
      <c r="V17194" t="s">
        <v>146</v>
      </c>
      <c r="W17194" t="s">
        <v>184</v>
      </c>
      <c r="X17194" t="s">
        <v>7</v>
      </c>
      <c r="Y17194" t="s">
        <v>1494</v>
      </c>
      <c r="Z17194" t="s">
        <v>448</v>
      </c>
      <c r="AA17194" t="s">
        <v>456</v>
      </c>
      <c r="AB17194">
        <v>0</v>
      </c>
      <c r="AE17194" t="s">
        <v>1496</v>
      </c>
      <c r="AF17194" t="s">
        <v>448</v>
      </c>
      <c r="AG17194" t="s">
        <v>560</v>
      </c>
      <c r="AL17194" t="s">
        <v>2300</v>
      </c>
      <c r="AM17194" t="s">
        <v>2301</v>
      </c>
      <c r="AN17194" t="s">
        <v>2302</v>
      </c>
      <c r="AO17194" t="s">
        <v>1494</v>
      </c>
      <c r="AQ17194">
        <f>IF(ISBLANK(AP17194), IFERROR(IF(VLOOKUP(AO17194, Ellens_additions!$A$2:$B$252, 2, FALSE) = "", "", VLOOKUP(AO17194, Ellens_additions!$A$2:$B$252, 2, FALSE)), 0), AP17194)</f>
        <v>0</v>
      </c>
    </row>
    <row r="17195" spans="1:43" ht="14.4" hidden="1" x14ac:dyDescent="0.3">
      <c r="A17195" t="s">
        <v>2303</v>
      </c>
      <c r="B17195">
        <v>4908968</v>
      </c>
      <c r="C17195" t="s">
        <v>135</v>
      </c>
      <c r="D17195" t="s">
        <v>174</v>
      </c>
      <c r="E17195" t="s">
        <v>316</v>
      </c>
      <c r="F17195" t="s">
        <v>288</v>
      </c>
      <c r="H17195" t="s">
        <v>2304</v>
      </c>
      <c r="J17195" t="s">
        <v>140</v>
      </c>
      <c r="K17195">
        <v>159385.38</v>
      </c>
      <c r="L17195">
        <v>383589.2</v>
      </c>
      <c r="N17195" t="s">
        <v>1494</v>
      </c>
      <c r="O17195" t="s">
        <v>448</v>
      </c>
      <c r="P17195" t="s">
        <v>1495</v>
      </c>
      <c r="Q17195" t="s">
        <v>144</v>
      </c>
      <c r="S17195">
        <v>0</v>
      </c>
      <c r="T17195">
        <v>0</v>
      </c>
      <c r="V17195" t="s">
        <v>146</v>
      </c>
      <c r="W17195" t="s">
        <v>184</v>
      </c>
      <c r="X17195" t="s">
        <v>7</v>
      </c>
      <c r="Y17195" t="s">
        <v>1494</v>
      </c>
      <c r="Z17195" t="s">
        <v>448</v>
      </c>
      <c r="AA17195" t="s">
        <v>456</v>
      </c>
      <c r="AB17195">
        <v>0</v>
      </c>
      <c r="AE17195" t="s">
        <v>1496</v>
      </c>
      <c r="AF17195" t="s">
        <v>448</v>
      </c>
      <c r="AG17195" t="s">
        <v>560</v>
      </c>
      <c r="AL17195" t="s">
        <v>2305</v>
      </c>
      <c r="AM17195" t="s">
        <v>2306</v>
      </c>
      <c r="AN17195" t="s">
        <v>2307</v>
      </c>
      <c r="AO17195" t="s">
        <v>1494</v>
      </c>
      <c r="AQ17195">
        <f>IF(ISBLANK(AP17195), IFERROR(IF(VLOOKUP(AO17195, Ellens_additions!$A$2:$B$252, 2, FALSE) = "", "", VLOOKUP(AO17195, Ellens_additions!$A$2:$B$252, 2, FALSE)), 0), AP17195)</f>
        <v>0</v>
      </c>
    </row>
    <row r="17196" spans="1:43" ht="14.4" hidden="1" x14ac:dyDescent="0.3">
      <c r="A17196" t="s">
        <v>2308</v>
      </c>
      <c r="B17196">
        <v>4908969</v>
      </c>
      <c r="C17196" t="s">
        <v>135</v>
      </c>
      <c r="D17196" t="s">
        <v>174</v>
      </c>
      <c r="E17196" t="s">
        <v>316</v>
      </c>
      <c r="F17196" t="s">
        <v>288</v>
      </c>
      <c r="H17196" t="s">
        <v>2309</v>
      </c>
      <c r="J17196" t="s">
        <v>140</v>
      </c>
      <c r="K17196">
        <v>159385.14000000001</v>
      </c>
      <c r="L17196">
        <v>383590</v>
      </c>
      <c r="N17196" t="s">
        <v>1494</v>
      </c>
      <c r="O17196" t="s">
        <v>448</v>
      </c>
      <c r="P17196" t="s">
        <v>1495</v>
      </c>
      <c r="Q17196" t="s">
        <v>144</v>
      </c>
      <c r="S17196">
        <v>0</v>
      </c>
      <c r="T17196">
        <v>0</v>
      </c>
      <c r="V17196" t="s">
        <v>146</v>
      </c>
      <c r="W17196" t="s">
        <v>184</v>
      </c>
      <c r="X17196" t="s">
        <v>7</v>
      </c>
      <c r="Y17196" t="s">
        <v>1494</v>
      </c>
      <c r="Z17196" t="s">
        <v>448</v>
      </c>
      <c r="AA17196" t="s">
        <v>456</v>
      </c>
      <c r="AB17196">
        <v>0</v>
      </c>
      <c r="AE17196" t="s">
        <v>1496</v>
      </c>
      <c r="AF17196" t="s">
        <v>448</v>
      </c>
      <c r="AG17196" t="s">
        <v>560</v>
      </c>
      <c r="AL17196" t="s">
        <v>2310</v>
      </c>
      <c r="AM17196" t="s">
        <v>2311</v>
      </c>
      <c r="AN17196" t="s">
        <v>2312</v>
      </c>
      <c r="AO17196" t="s">
        <v>1494</v>
      </c>
      <c r="AQ17196">
        <f>IF(ISBLANK(AP17196), IFERROR(IF(VLOOKUP(AO17196, Ellens_additions!$A$2:$B$252, 2, FALSE) = "", "", VLOOKUP(AO17196, Ellens_additions!$A$2:$B$252, 2, FALSE)), 0), AP17196)</f>
        <v>0</v>
      </c>
    </row>
    <row r="17197" spans="1:43" ht="14.4" hidden="1" x14ac:dyDescent="0.3">
      <c r="A17197" t="s">
        <v>2313</v>
      </c>
      <c r="B17197">
        <v>4908971</v>
      </c>
      <c r="C17197" t="s">
        <v>135</v>
      </c>
      <c r="D17197" t="s">
        <v>174</v>
      </c>
      <c r="E17197" t="s">
        <v>316</v>
      </c>
      <c r="F17197" t="s">
        <v>288</v>
      </c>
      <c r="H17197" t="s">
        <v>2314</v>
      </c>
      <c r="J17197" t="s">
        <v>140</v>
      </c>
      <c r="K17197">
        <v>159384.5</v>
      </c>
      <c r="L17197">
        <v>383591.8</v>
      </c>
      <c r="N17197" t="s">
        <v>1494</v>
      </c>
      <c r="O17197" t="s">
        <v>448</v>
      </c>
      <c r="P17197" t="s">
        <v>1495</v>
      </c>
      <c r="Q17197" t="s">
        <v>144</v>
      </c>
      <c r="S17197">
        <v>0</v>
      </c>
      <c r="T17197">
        <v>0</v>
      </c>
      <c r="V17197" t="s">
        <v>146</v>
      </c>
      <c r="W17197" t="s">
        <v>184</v>
      </c>
      <c r="X17197" t="s">
        <v>7</v>
      </c>
      <c r="Y17197" t="s">
        <v>1494</v>
      </c>
      <c r="Z17197" t="s">
        <v>448</v>
      </c>
      <c r="AA17197" t="s">
        <v>456</v>
      </c>
      <c r="AB17197">
        <v>0</v>
      </c>
      <c r="AE17197" t="s">
        <v>1496</v>
      </c>
      <c r="AF17197" t="s">
        <v>448</v>
      </c>
      <c r="AG17197" t="s">
        <v>560</v>
      </c>
      <c r="AL17197" t="s">
        <v>2315</v>
      </c>
      <c r="AM17197" t="s">
        <v>2316</v>
      </c>
      <c r="AN17197" t="s">
        <v>2317</v>
      </c>
      <c r="AO17197" t="s">
        <v>1494</v>
      </c>
      <c r="AQ17197">
        <f>IF(ISBLANK(AP17197), IFERROR(IF(VLOOKUP(AO17197, Ellens_additions!$A$2:$B$252, 2, FALSE) = "", "", VLOOKUP(AO17197, Ellens_additions!$A$2:$B$252, 2, FALSE)), 0), AP17197)</f>
        <v>0</v>
      </c>
    </row>
    <row r="17198" spans="1:43" ht="14.4" hidden="1" x14ac:dyDescent="0.3">
      <c r="A17198" t="s">
        <v>2318</v>
      </c>
      <c r="B17198">
        <v>4908972</v>
      </c>
      <c r="C17198" t="s">
        <v>135</v>
      </c>
      <c r="D17198" t="s">
        <v>174</v>
      </c>
      <c r="E17198" t="s">
        <v>316</v>
      </c>
      <c r="F17198" t="s">
        <v>288</v>
      </c>
      <c r="H17198" t="s">
        <v>2319</v>
      </c>
      <c r="J17198" t="s">
        <v>140</v>
      </c>
      <c r="K17198">
        <v>159384.15</v>
      </c>
      <c r="L17198">
        <v>383592.67</v>
      </c>
      <c r="N17198" t="s">
        <v>1494</v>
      </c>
      <c r="O17198" t="s">
        <v>448</v>
      </c>
      <c r="P17198" t="s">
        <v>1495</v>
      </c>
      <c r="Q17198" t="s">
        <v>144</v>
      </c>
      <c r="S17198">
        <v>0</v>
      </c>
      <c r="T17198">
        <v>0</v>
      </c>
      <c r="V17198" t="s">
        <v>146</v>
      </c>
      <c r="W17198" t="s">
        <v>184</v>
      </c>
      <c r="X17198" t="s">
        <v>7</v>
      </c>
      <c r="Y17198" t="s">
        <v>1494</v>
      </c>
      <c r="Z17198" t="s">
        <v>448</v>
      </c>
      <c r="AA17198" t="s">
        <v>456</v>
      </c>
      <c r="AB17198">
        <v>0</v>
      </c>
      <c r="AE17198" t="s">
        <v>1496</v>
      </c>
      <c r="AF17198" t="s">
        <v>448</v>
      </c>
      <c r="AG17198" t="s">
        <v>560</v>
      </c>
      <c r="AL17198" t="s">
        <v>2320</v>
      </c>
      <c r="AM17198" t="s">
        <v>2321</v>
      </c>
      <c r="AN17198" t="s">
        <v>2322</v>
      </c>
      <c r="AO17198" t="s">
        <v>1494</v>
      </c>
      <c r="AQ17198">
        <f>IF(ISBLANK(AP17198), IFERROR(IF(VLOOKUP(AO17198, Ellens_additions!$A$2:$B$252, 2, FALSE) = "", "", VLOOKUP(AO17198, Ellens_additions!$A$2:$B$252, 2, FALSE)), 0), AP17198)</f>
        <v>0</v>
      </c>
    </row>
    <row r="17199" spans="1:43" ht="14.4" hidden="1" x14ac:dyDescent="0.3">
      <c r="A17199" t="s">
        <v>2323</v>
      </c>
      <c r="B17199">
        <v>4908974</v>
      </c>
      <c r="C17199" t="s">
        <v>135</v>
      </c>
      <c r="D17199" t="s">
        <v>174</v>
      </c>
      <c r="E17199" t="s">
        <v>316</v>
      </c>
      <c r="F17199" t="s">
        <v>288</v>
      </c>
      <c r="H17199" t="s">
        <v>2324</v>
      </c>
      <c r="J17199" t="s">
        <v>140</v>
      </c>
      <c r="K17199">
        <v>159383.34</v>
      </c>
      <c r="L17199">
        <v>383594.46</v>
      </c>
      <c r="N17199" t="s">
        <v>1494</v>
      </c>
      <c r="O17199" t="s">
        <v>448</v>
      </c>
      <c r="P17199" t="s">
        <v>1495</v>
      </c>
      <c r="Q17199" t="s">
        <v>144</v>
      </c>
      <c r="S17199">
        <v>0</v>
      </c>
      <c r="T17199">
        <v>0</v>
      </c>
      <c r="V17199" t="s">
        <v>146</v>
      </c>
      <c r="W17199" t="s">
        <v>184</v>
      </c>
      <c r="X17199" t="s">
        <v>7</v>
      </c>
      <c r="Y17199" t="s">
        <v>1494</v>
      </c>
      <c r="Z17199" t="s">
        <v>448</v>
      </c>
      <c r="AA17199" t="s">
        <v>456</v>
      </c>
      <c r="AB17199">
        <v>0</v>
      </c>
      <c r="AE17199" t="s">
        <v>1496</v>
      </c>
      <c r="AF17199" t="s">
        <v>448</v>
      </c>
      <c r="AG17199" t="s">
        <v>560</v>
      </c>
      <c r="AL17199" t="s">
        <v>2325</v>
      </c>
      <c r="AM17199" t="s">
        <v>2326</v>
      </c>
      <c r="AN17199" t="s">
        <v>2327</v>
      </c>
      <c r="AO17199" t="s">
        <v>1494</v>
      </c>
      <c r="AQ17199">
        <f>IF(ISBLANK(AP17199), IFERROR(IF(VLOOKUP(AO17199, Ellens_additions!$A$2:$B$252, 2, FALSE) = "", "", VLOOKUP(AO17199, Ellens_additions!$A$2:$B$252, 2, FALSE)), 0), AP17199)</f>
        <v>0</v>
      </c>
    </row>
    <row r="17200" spans="1:43" ht="14.4" hidden="1" x14ac:dyDescent="0.3">
      <c r="A17200" t="s">
        <v>2328</v>
      </c>
      <c r="B17200">
        <v>4908981</v>
      </c>
      <c r="C17200" t="s">
        <v>135</v>
      </c>
      <c r="D17200" t="s">
        <v>174</v>
      </c>
      <c r="E17200" t="s">
        <v>316</v>
      </c>
      <c r="F17200" t="s">
        <v>288</v>
      </c>
      <c r="H17200" t="s">
        <v>2329</v>
      </c>
      <c r="J17200" t="s">
        <v>140</v>
      </c>
      <c r="K17200">
        <v>159380.01</v>
      </c>
      <c r="L17200">
        <v>383600.81300000002</v>
      </c>
      <c r="N17200" t="s">
        <v>1494</v>
      </c>
      <c r="O17200" t="s">
        <v>448</v>
      </c>
      <c r="P17200" t="s">
        <v>1495</v>
      </c>
      <c r="Q17200" t="s">
        <v>144</v>
      </c>
      <c r="S17200">
        <v>0</v>
      </c>
      <c r="T17200">
        <v>0</v>
      </c>
      <c r="V17200" t="s">
        <v>146</v>
      </c>
      <c r="W17200" t="s">
        <v>184</v>
      </c>
      <c r="X17200" t="s">
        <v>7</v>
      </c>
      <c r="Y17200" t="s">
        <v>1494</v>
      </c>
      <c r="Z17200" t="s">
        <v>448</v>
      </c>
      <c r="AA17200" t="s">
        <v>456</v>
      </c>
      <c r="AB17200">
        <v>0</v>
      </c>
      <c r="AE17200" t="s">
        <v>1496</v>
      </c>
      <c r="AF17200" t="s">
        <v>448</v>
      </c>
      <c r="AG17200" t="s">
        <v>560</v>
      </c>
      <c r="AL17200" t="s">
        <v>2330</v>
      </c>
      <c r="AM17200" t="s">
        <v>2331</v>
      </c>
      <c r="AN17200" t="s">
        <v>2332</v>
      </c>
      <c r="AO17200" t="s">
        <v>1494</v>
      </c>
      <c r="AQ17200">
        <f>IF(ISBLANK(AP17200), IFERROR(IF(VLOOKUP(AO17200, Ellens_additions!$A$2:$B$252, 2, FALSE) = "", "", VLOOKUP(AO17200, Ellens_additions!$A$2:$B$252, 2, FALSE)), 0), AP17200)</f>
        <v>0</v>
      </c>
    </row>
    <row r="17201" spans="1:43" ht="14.4" hidden="1" x14ac:dyDescent="0.3">
      <c r="A17201" t="s">
        <v>2333</v>
      </c>
      <c r="B17201">
        <v>4908985</v>
      </c>
      <c r="C17201" t="s">
        <v>135</v>
      </c>
      <c r="D17201" t="s">
        <v>174</v>
      </c>
      <c r="E17201" t="s">
        <v>316</v>
      </c>
      <c r="F17201" t="s">
        <v>288</v>
      </c>
      <c r="H17201" t="s">
        <v>2334</v>
      </c>
      <c r="J17201" t="s">
        <v>140</v>
      </c>
      <c r="K17201">
        <v>159377.43</v>
      </c>
      <c r="L17201">
        <v>383604.32</v>
      </c>
      <c r="N17201" t="s">
        <v>1494</v>
      </c>
      <c r="O17201" t="s">
        <v>448</v>
      </c>
      <c r="P17201" t="s">
        <v>1495</v>
      </c>
      <c r="Q17201" t="s">
        <v>144</v>
      </c>
      <c r="S17201">
        <v>0</v>
      </c>
      <c r="T17201">
        <v>0</v>
      </c>
      <c r="V17201" t="s">
        <v>146</v>
      </c>
      <c r="W17201" t="s">
        <v>184</v>
      </c>
      <c r="X17201" t="s">
        <v>7</v>
      </c>
      <c r="Y17201" t="s">
        <v>1494</v>
      </c>
      <c r="Z17201" t="s">
        <v>448</v>
      </c>
      <c r="AA17201" t="s">
        <v>456</v>
      </c>
      <c r="AB17201">
        <v>0</v>
      </c>
      <c r="AE17201" t="s">
        <v>1496</v>
      </c>
      <c r="AF17201" t="s">
        <v>448</v>
      </c>
      <c r="AG17201" t="s">
        <v>560</v>
      </c>
      <c r="AL17201" t="s">
        <v>2335</v>
      </c>
      <c r="AM17201" t="s">
        <v>2336</v>
      </c>
      <c r="AN17201" t="s">
        <v>2337</v>
      </c>
      <c r="AO17201" t="s">
        <v>1494</v>
      </c>
      <c r="AQ17201">
        <f>IF(ISBLANK(AP17201), IFERROR(IF(VLOOKUP(AO17201, Ellens_additions!$A$2:$B$252, 2, FALSE) = "", "", VLOOKUP(AO17201, Ellens_additions!$A$2:$B$252, 2, FALSE)), 0), AP17201)</f>
        <v>0</v>
      </c>
    </row>
    <row r="17202" spans="1:43" ht="14.4" hidden="1" x14ac:dyDescent="0.3">
      <c r="A17202" t="s">
        <v>2338</v>
      </c>
      <c r="B17202">
        <v>4908990</v>
      </c>
      <c r="C17202" t="s">
        <v>135</v>
      </c>
      <c r="D17202" t="s">
        <v>174</v>
      </c>
      <c r="E17202" t="s">
        <v>316</v>
      </c>
      <c r="F17202" t="s">
        <v>288</v>
      </c>
      <c r="H17202" t="s">
        <v>2339</v>
      </c>
      <c r="J17202" t="s">
        <v>140</v>
      </c>
      <c r="K17202">
        <v>159373.29</v>
      </c>
      <c r="L17202">
        <v>383608.64</v>
      </c>
      <c r="N17202" t="s">
        <v>1494</v>
      </c>
      <c r="O17202" t="s">
        <v>448</v>
      </c>
      <c r="P17202" t="s">
        <v>1495</v>
      </c>
      <c r="Q17202" t="s">
        <v>144</v>
      </c>
      <c r="S17202">
        <v>0</v>
      </c>
      <c r="T17202">
        <v>0</v>
      </c>
      <c r="V17202" t="s">
        <v>146</v>
      </c>
      <c r="W17202" t="s">
        <v>184</v>
      </c>
      <c r="X17202" t="s">
        <v>7</v>
      </c>
      <c r="Y17202" t="s">
        <v>1494</v>
      </c>
      <c r="Z17202" t="s">
        <v>448</v>
      </c>
      <c r="AA17202" t="s">
        <v>456</v>
      </c>
      <c r="AB17202">
        <v>0</v>
      </c>
      <c r="AE17202" t="s">
        <v>1496</v>
      </c>
      <c r="AF17202" t="s">
        <v>448</v>
      </c>
      <c r="AG17202" t="s">
        <v>560</v>
      </c>
      <c r="AL17202" t="s">
        <v>2340</v>
      </c>
      <c r="AM17202" t="s">
        <v>2341</v>
      </c>
      <c r="AN17202" t="s">
        <v>2342</v>
      </c>
      <c r="AO17202" t="s">
        <v>1494</v>
      </c>
      <c r="AQ17202">
        <f>IF(ISBLANK(AP17202), IFERROR(IF(VLOOKUP(AO17202, Ellens_additions!$A$2:$B$252, 2, FALSE) = "", "", VLOOKUP(AO17202, Ellens_additions!$A$2:$B$252, 2, FALSE)), 0), AP17202)</f>
        <v>0</v>
      </c>
    </row>
    <row r="17203" spans="1:43" ht="14.4" hidden="1" x14ac:dyDescent="0.3">
      <c r="A17203" t="s">
        <v>2343</v>
      </c>
      <c r="B17203">
        <v>4908993</v>
      </c>
      <c r="C17203" t="s">
        <v>135</v>
      </c>
      <c r="D17203" t="s">
        <v>174</v>
      </c>
      <c r="E17203" t="s">
        <v>316</v>
      </c>
      <c r="F17203" t="s">
        <v>288</v>
      </c>
      <c r="H17203" t="s">
        <v>2344</v>
      </c>
      <c r="J17203" t="s">
        <v>140</v>
      </c>
      <c r="K17203">
        <v>159370.57</v>
      </c>
      <c r="L17203">
        <v>383611.03</v>
      </c>
      <c r="N17203" t="s">
        <v>1494</v>
      </c>
      <c r="O17203" t="s">
        <v>448</v>
      </c>
      <c r="P17203" t="s">
        <v>1495</v>
      </c>
      <c r="Q17203" t="s">
        <v>144</v>
      </c>
      <c r="S17203">
        <v>0</v>
      </c>
      <c r="T17203">
        <v>0</v>
      </c>
      <c r="V17203" t="s">
        <v>146</v>
      </c>
      <c r="W17203" t="s">
        <v>184</v>
      </c>
      <c r="X17203" t="s">
        <v>7</v>
      </c>
      <c r="Y17203" t="s">
        <v>1494</v>
      </c>
      <c r="Z17203" t="s">
        <v>448</v>
      </c>
      <c r="AA17203" t="s">
        <v>456</v>
      </c>
      <c r="AB17203">
        <v>0</v>
      </c>
      <c r="AE17203" t="s">
        <v>1496</v>
      </c>
      <c r="AF17203" t="s">
        <v>448</v>
      </c>
      <c r="AG17203" t="s">
        <v>560</v>
      </c>
      <c r="AL17203" t="s">
        <v>2345</v>
      </c>
      <c r="AM17203" t="s">
        <v>2346</v>
      </c>
      <c r="AN17203" t="s">
        <v>2347</v>
      </c>
      <c r="AO17203" t="s">
        <v>1494</v>
      </c>
      <c r="AQ17203">
        <f>IF(ISBLANK(AP17203), IFERROR(IF(VLOOKUP(AO17203, Ellens_additions!$A$2:$B$252, 2, FALSE) = "", "", VLOOKUP(AO17203, Ellens_additions!$A$2:$B$252, 2, FALSE)), 0), AP17203)</f>
        <v>0</v>
      </c>
    </row>
    <row r="17204" spans="1:43" ht="14.4" hidden="1" x14ac:dyDescent="0.3">
      <c r="A17204" t="s">
        <v>2348</v>
      </c>
      <c r="B17204">
        <v>4909002</v>
      </c>
      <c r="C17204" t="s">
        <v>135</v>
      </c>
      <c r="D17204" t="s">
        <v>174</v>
      </c>
      <c r="E17204" t="s">
        <v>316</v>
      </c>
      <c r="F17204" t="s">
        <v>288</v>
      </c>
      <c r="H17204" t="s">
        <v>2349</v>
      </c>
      <c r="J17204" t="s">
        <v>140</v>
      </c>
      <c r="K17204">
        <v>159360.94</v>
      </c>
      <c r="L17204">
        <v>383616.67</v>
      </c>
      <c r="N17204" t="s">
        <v>1494</v>
      </c>
      <c r="O17204" t="s">
        <v>448</v>
      </c>
      <c r="P17204" t="s">
        <v>1495</v>
      </c>
      <c r="Q17204" t="s">
        <v>144</v>
      </c>
      <c r="S17204">
        <v>0</v>
      </c>
      <c r="T17204">
        <v>0</v>
      </c>
      <c r="V17204" t="s">
        <v>146</v>
      </c>
      <c r="W17204" t="s">
        <v>184</v>
      </c>
      <c r="X17204" t="s">
        <v>7</v>
      </c>
      <c r="Y17204" t="s">
        <v>1494</v>
      </c>
      <c r="Z17204" t="s">
        <v>448</v>
      </c>
      <c r="AA17204" t="s">
        <v>456</v>
      </c>
      <c r="AB17204">
        <v>0</v>
      </c>
      <c r="AE17204" t="s">
        <v>1496</v>
      </c>
      <c r="AF17204" t="s">
        <v>448</v>
      </c>
      <c r="AG17204" t="s">
        <v>560</v>
      </c>
      <c r="AL17204" t="s">
        <v>2350</v>
      </c>
      <c r="AM17204" t="s">
        <v>2351</v>
      </c>
      <c r="AN17204" t="s">
        <v>2352</v>
      </c>
      <c r="AO17204" t="s">
        <v>1494</v>
      </c>
      <c r="AQ17204">
        <f>IF(ISBLANK(AP17204), IFERROR(IF(VLOOKUP(AO17204, Ellens_additions!$A$2:$B$252, 2, FALSE) = "", "", VLOOKUP(AO17204, Ellens_additions!$A$2:$B$252, 2, FALSE)), 0), AP17204)</f>
        <v>0</v>
      </c>
    </row>
    <row r="17205" spans="1:43" ht="14.4" hidden="1" x14ac:dyDescent="0.3">
      <c r="A17205" t="s">
        <v>2353</v>
      </c>
      <c r="B17205">
        <v>4909003</v>
      </c>
      <c r="C17205" t="s">
        <v>135</v>
      </c>
      <c r="D17205" t="s">
        <v>174</v>
      </c>
      <c r="E17205" t="s">
        <v>316</v>
      </c>
      <c r="F17205" t="s">
        <v>288</v>
      </c>
      <c r="H17205" t="s">
        <v>2354</v>
      </c>
      <c r="J17205" t="s">
        <v>140</v>
      </c>
      <c r="K17205">
        <v>159359.70000000001</v>
      </c>
      <c r="L17205">
        <v>383617.27</v>
      </c>
      <c r="N17205" t="s">
        <v>1494</v>
      </c>
      <c r="O17205" t="s">
        <v>448</v>
      </c>
      <c r="P17205" t="s">
        <v>1495</v>
      </c>
      <c r="Q17205" t="s">
        <v>144</v>
      </c>
      <c r="S17205">
        <v>0</v>
      </c>
      <c r="T17205">
        <v>0</v>
      </c>
      <c r="V17205" t="s">
        <v>146</v>
      </c>
      <c r="W17205" t="s">
        <v>184</v>
      </c>
      <c r="X17205" t="s">
        <v>7</v>
      </c>
      <c r="Y17205" t="s">
        <v>1494</v>
      </c>
      <c r="Z17205" t="s">
        <v>448</v>
      </c>
      <c r="AA17205" t="s">
        <v>456</v>
      </c>
      <c r="AB17205">
        <v>0</v>
      </c>
      <c r="AE17205" t="s">
        <v>1496</v>
      </c>
      <c r="AF17205" t="s">
        <v>448</v>
      </c>
      <c r="AG17205" t="s">
        <v>560</v>
      </c>
      <c r="AL17205" t="s">
        <v>2355</v>
      </c>
      <c r="AM17205" t="s">
        <v>2356</v>
      </c>
      <c r="AN17205" t="s">
        <v>2357</v>
      </c>
      <c r="AO17205" t="s">
        <v>1494</v>
      </c>
      <c r="AQ17205">
        <f>IF(ISBLANK(AP17205), IFERROR(IF(VLOOKUP(AO17205, Ellens_additions!$A$2:$B$252, 2, FALSE) = "", "", VLOOKUP(AO17205, Ellens_additions!$A$2:$B$252, 2, FALSE)), 0), AP17205)</f>
        <v>0</v>
      </c>
    </row>
    <row r="17206" spans="1:43" ht="14.4" hidden="1" x14ac:dyDescent="0.3">
      <c r="A17206" t="s">
        <v>2358</v>
      </c>
      <c r="B17206">
        <v>4909007</v>
      </c>
      <c r="C17206" t="s">
        <v>135</v>
      </c>
      <c r="D17206" t="s">
        <v>174</v>
      </c>
      <c r="E17206" t="s">
        <v>316</v>
      </c>
      <c r="F17206" t="s">
        <v>288</v>
      </c>
      <c r="H17206" t="s">
        <v>2359</v>
      </c>
      <c r="J17206" t="s">
        <v>140</v>
      </c>
      <c r="K17206">
        <v>159355.54</v>
      </c>
      <c r="L17206">
        <v>383618.92</v>
      </c>
      <c r="N17206" t="s">
        <v>1494</v>
      </c>
      <c r="O17206" t="s">
        <v>448</v>
      </c>
      <c r="P17206" t="s">
        <v>1495</v>
      </c>
      <c r="Q17206" t="s">
        <v>144</v>
      </c>
      <c r="S17206">
        <v>0</v>
      </c>
      <c r="T17206">
        <v>0</v>
      </c>
      <c r="V17206" t="s">
        <v>146</v>
      </c>
      <c r="W17206" t="s">
        <v>184</v>
      </c>
      <c r="X17206" t="s">
        <v>7</v>
      </c>
      <c r="Y17206" t="s">
        <v>1494</v>
      </c>
      <c r="Z17206" t="s">
        <v>448</v>
      </c>
      <c r="AA17206" t="s">
        <v>456</v>
      </c>
      <c r="AB17206">
        <v>0</v>
      </c>
      <c r="AE17206" t="s">
        <v>1496</v>
      </c>
      <c r="AF17206" t="s">
        <v>448</v>
      </c>
      <c r="AG17206" t="s">
        <v>560</v>
      </c>
      <c r="AL17206" t="s">
        <v>2360</v>
      </c>
      <c r="AM17206" t="s">
        <v>2361</v>
      </c>
      <c r="AN17206" t="s">
        <v>2362</v>
      </c>
      <c r="AO17206" t="s">
        <v>1494</v>
      </c>
      <c r="AQ17206">
        <f>IF(ISBLANK(AP17206), IFERROR(IF(VLOOKUP(AO17206, Ellens_additions!$A$2:$B$252, 2, FALSE) = "", "", VLOOKUP(AO17206, Ellens_additions!$A$2:$B$252, 2, FALSE)), 0), AP17206)</f>
        <v>0</v>
      </c>
    </row>
    <row r="17207" spans="1:43" ht="14.4" hidden="1" x14ac:dyDescent="0.3">
      <c r="A17207" t="s">
        <v>2363</v>
      </c>
      <c r="B17207">
        <v>4909011</v>
      </c>
      <c r="C17207" t="s">
        <v>135</v>
      </c>
      <c r="D17207" t="s">
        <v>174</v>
      </c>
      <c r="E17207" t="s">
        <v>316</v>
      </c>
      <c r="F17207" t="s">
        <v>288</v>
      </c>
      <c r="H17207" t="s">
        <v>2364</v>
      </c>
      <c r="J17207" t="s">
        <v>140</v>
      </c>
      <c r="K17207">
        <v>159351.76</v>
      </c>
      <c r="L17207">
        <v>383620.58</v>
      </c>
      <c r="N17207" t="s">
        <v>1494</v>
      </c>
      <c r="O17207" t="s">
        <v>448</v>
      </c>
      <c r="P17207" t="s">
        <v>1495</v>
      </c>
      <c r="Q17207" t="s">
        <v>144</v>
      </c>
      <c r="S17207">
        <v>0</v>
      </c>
      <c r="T17207">
        <v>0</v>
      </c>
      <c r="V17207" t="s">
        <v>146</v>
      </c>
      <c r="W17207" t="s">
        <v>184</v>
      </c>
      <c r="X17207" t="s">
        <v>7</v>
      </c>
      <c r="Y17207" t="s">
        <v>1494</v>
      </c>
      <c r="Z17207" t="s">
        <v>448</v>
      </c>
      <c r="AA17207" t="s">
        <v>456</v>
      </c>
      <c r="AB17207">
        <v>0</v>
      </c>
      <c r="AE17207" t="s">
        <v>1496</v>
      </c>
      <c r="AF17207" t="s">
        <v>448</v>
      </c>
      <c r="AG17207" t="s">
        <v>560</v>
      </c>
      <c r="AL17207" t="s">
        <v>2365</v>
      </c>
      <c r="AM17207" t="s">
        <v>2366</v>
      </c>
      <c r="AN17207" t="s">
        <v>2367</v>
      </c>
      <c r="AO17207" t="s">
        <v>1494</v>
      </c>
      <c r="AQ17207">
        <f>IF(ISBLANK(AP17207), IFERROR(IF(VLOOKUP(AO17207, Ellens_additions!$A$2:$B$252, 2, FALSE) = "", "", VLOOKUP(AO17207, Ellens_additions!$A$2:$B$252, 2, FALSE)), 0), AP17207)</f>
        <v>0</v>
      </c>
    </row>
    <row r="17208" spans="1:43" ht="14.4" hidden="1" x14ac:dyDescent="0.3">
      <c r="A17208" t="s">
        <v>2368</v>
      </c>
      <c r="B17208">
        <v>4909015</v>
      </c>
      <c r="C17208" t="s">
        <v>135</v>
      </c>
      <c r="D17208" t="s">
        <v>174</v>
      </c>
      <c r="E17208" t="s">
        <v>316</v>
      </c>
      <c r="F17208" t="s">
        <v>288</v>
      </c>
      <c r="H17208" t="s">
        <v>2369</v>
      </c>
      <c r="J17208" t="s">
        <v>140</v>
      </c>
      <c r="K17208">
        <v>159347.6</v>
      </c>
      <c r="L17208">
        <v>383623.16</v>
      </c>
      <c r="N17208" t="s">
        <v>1494</v>
      </c>
      <c r="O17208" t="s">
        <v>448</v>
      </c>
      <c r="P17208" t="s">
        <v>1495</v>
      </c>
      <c r="Q17208" t="s">
        <v>144</v>
      </c>
      <c r="S17208">
        <v>0</v>
      </c>
      <c r="T17208">
        <v>0</v>
      </c>
      <c r="V17208" t="s">
        <v>146</v>
      </c>
      <c r="W17208" t="s">
        <v>184</v>
      </c>
      <c r="X17208" t="s">
        <v>7</v>
      </c>
      <c r="Y17208" t="s">
        <v>1494</v>
      </c>
      <c r="Z17208" t="s">
        <v>448</v>
      </c>
      <c r="AA17208" t="s">
        <v>456</v>
      </c>
      <c r="AB17208">
        <v>0</v>
      </c>
      <c r="AE17208" t="s">
        <v>1496</v>
      </c>
      <c r="AF17208" t="s">
        <v>448</v>
      </c>
      <c r="AG17208" t="s">
        <v>560</v>
      </c>
      <c r="AL17208" t="s">
        <v>2370</v>
      </c>
      <c r="AM17208" t="s">
        <v>2371</v>
      </c>
      <c r="AN17208" t="s">
        <v>2372</v>
      </c>
      <c r="AO17208" t="s">
        <v>1494</v>
      </c>
      <c r="AQ17208">
        <f>IF(ISBLANK(AP17208), IFERROR(IF(VLOOKUP(AO17208, Ellens_additions!$A$2:$B$252, 2, FALSE) = "", "", VLOOKUP(AO17208, Ellens_additions!$A$2:$B$252, 2, FALSE)), 0), AP17208)</f>
        <v>0</v>
      </c>
    </row>
    <row r="17209" spans="1:43" ht="14.4" hidden="1" x14ac:dyDescent="0.3">
      <c r="A17209" t="s">
        <v>2373</v>
      </c>
      <c r="B17209">
        <v>4909016</v>
      </c>
      <c r="C17209" t="s">
        <v>135</v>
      </c>
      <c r="D17209" t="s">
        <v>174</v>
      </c>
      <c r="E17209" t="s">
        <v>316</v>
      </c>
      <c r="F17209" t="s">
        <v>288</v>
      </c>
      <c r="H17209" t="s">
        <v>2374</v>
      </c>
      <c r="J17209" t="s">
        <v>140</v>
      </c>
      <c r="K17209">
        <v>159346.71</v>
      </c>
      <c r="L17209">
        <v>383623.77</v>
      </c>
      <c r="N17209" t="s">
        <v>1494</v>
      </c>
      <c r="O17209" t="s">
        <v>448</v>
      </c>
      <c r="P17209" t="s">
        <v>1495</v>
      </c>
      <c r="Q17209" t="s">
        <v>144</v>
      </c>
      <c r="S17209">
        <v>0</v>
      </c>
      <c r="T17209">
        <v>0</v>
      </c>
      <c r="V17209" t="s">
        <v>146</v>
      </c>
      <c r="W17209" t="s">
        <v>184</v>
      </c>
      <c r="X17209" t="s">
        <v>7</v>
      </c>
      <c r="Y17209" t="s">
        <v>1494</v>
      </c>
      <c r="Z17209" t="s">
        <v>448</v>
      </c>
      <c r="AA17209" t="s">
        <v>456</v>
      </c>
      <c r="AB17209">
        <v>0</v>
      </c>
      <c r="AE17209" t="s">
        <v>1496</v>
      </c>
      <c r="AF17209" t="s">
        <v>448</v>
      </c>
      <c r="AG17209" t="s">
        <v>560</v>
      </c>
      <c r="AL17209" t="s">
        <v>2375</v>
      </c>
      <c r="AM17209" t="s">
        <v>2376</v>
      </c>
      <c r="AN17209" t="s">
        <v>2377</v>
      </c>
      <c r="AO17209" t="s">
        <v>1494</v>
      </c>
      <c r="AQ17209">
        <f>IF(ISBLANK(AP17209), IFERROR(IF(VLOOKUP(AO17209, Ellens_additions!$A$2:$B$252, 2, FALSE) = "", "", VLOOKUP(AO17209, Ellens_additions!$A$2:$B$252, 2, FALSE)), 0), AP17209)</f>
        <v>0</v>
      </c>
    </row>
    <row r="17210" spans="1:43" ht="14.4" hidden="1" x14ac:dyDescent="0.3">
      <c r="A17210" t="s">
        <v>2378</v>
      </c>
      <c r="B17210">
        <v>4909017</v>
      </c>
      <c r="C17210" t="s">
        <v>135</v>
      </c>
      <c r="D17210" t="s">
        <v>174</v>
      </c>
      <c r="E17210" t="s">
        <v>316</v>
      </c>
      <c r="F17210" t="s">
        <v>288</v>
      </c>
      <c r="H17210" t="s">
        <v>2379</v>
      </c>
      <c r="J17210" t="s">
        <v>140</v>
      </c>
      <c r="K17210">
        <v>159346.26999999999</v>
      </c>
      <c r="L17210">
        <v>383624.21</v>
      </c>
      <c r="N17210" t="s">
        <v>1494</v>
      </c>
      <c r="O17210" t="s">
        <v>448</v>
      </c>
      <c r="P17210" t="s">
        <v>1495</v>
      </c>
      <c r="Q17210" t="s">
        <v>144</v>
      </c>
      <c r="S17210">
        <v>0</v>
      </c>
      <c r="T17210">
        <v>0</v>
      </c>
      <c r="V17210" t="s">
        <v>146</v>
      </c>
      <c r="W17210" t="s">
        <v>184</v>
      </c>
      <c r="X17210" t="s">
        <v>7</v>
      </c>
      <c r="Y17210" t="s">
        <v>1494</v>
      </c>
      <c r="Z17210" t="s">
        <v>448</v>
      </c>
      <c r="AA17210" t="s">
        <v>456</v>
      </c>
      <c r="AB17210">
        <v>0</v>
      </c>
      <c r="AE17210" t="s">
        <v>1496</v>
      </c>
      <c r="AF17210" t="s">
        <v>448</v>
      </c>
      <c r="AG17210" t="s">
        <v>560</v>
      </c>
      <c r="AL17210" t="s">
        <v>2380</v>
      </c>
      <c r="AM17210" t="s">
        <v>2381</v>
      </c>
      <c r="AN17210" t="s">
        <v>2382</v>
      </c>
      <c r="AO17210" t="s">
        <v>1494</v>
      </c>
      <c r="AQ17210">
        <f>IF(ISBLANK(AP17210), IFERROR(IF(VLOOKUP(AO17210, Ellens_additions!$A$2:$B$252, 2, FALSE) = "", "", VLOOKUP(AO17210, Ellens_additions!$A$2:$B$252, 2, FALSE)), 0), AP17210)</f>
        <v>0</v>
      </c>
    </row>
    <row r="17211" spans="1:43" ht="14.4" hidden="1" x14ac:dyDescent="0.3">
      <c r="A17211" t="s">
        <v>2383</v>
      </c>
      <c r="B17211">
        <v>4909022</v>
      </c>
      <c r="C17211" t="s">
        <v>135</v>
      </c>
      <c r="D17211" t="s">
        <v>174</v>
      </c>
      <c r="E17211" t="s">
        <v>316</v>
      </c>
      <c r="F17211" t="s">
        <v>288</v>
      </c>
      <c r="H17211" t="s">
        <v>2384</v>
      </c>
      <c r="J17211" t="s">
        <v>140</v>
      </c>
      <c r="K17211">
        <v>159343.99</v>
      </c>
      <c r="L17211">
        <v>383628.83</v>
      </c>
      <c r="N17211" t="s">
        <v>1494</v>
      </c>
      <c r="O17211" t="s">
        <v>448</v>
      </c>
      <c r="P17211" t="s">
        <v>1495</v>
      </c>
      <c r="Q17211" t="s">
        <v>144</v>
      </c>
      <c r="S17211">
        <v>0</v>
      </c>
      <c r="T17211">
        <v>0</v>
      </c>
      <c r="V17211" t="s">
        <v>146</v>
      </c>
      <c r="W17211" t="s">
        <v>184</v>
      </c>
      <c r="X17211" t="s">
        <v>7</v>
      </c>
      <c r="Y17211" t="s">
        <v>1494</v>
      </c>
      <c r="Z17211" t="s">
        <v>448</v>
      </c>
      <c r="AA17211" t="s">
        <v>456</v>
      </c>
      <c r="AB17211">
        <v>0</v>
      </c>
      <c r="AE17211" t="s">
        <v>1496</v>
      </c>
      <c r="AF17211" t="s">
        <v>448</v>
      </c>
      <c r="AG17211" t="s">
        <v>560</v>
      </c>
      <c r="AL17211" t="s">
        <v>2385</v>
      </c>
      <c r="AM17211" t="s">
        <v>2386</v>
      </c>
      <c r="AN17211" t="s">
        <v>2387</v>
      </c>
      <c r="AO17211" t="s">
        <v>1494</v>
      </c>
      <c r="AQ17211">
        <f>IF(ISBLANK(AP17211), IFERROR(IF(VLOOKUP(AO17211, Ellens_additions!$A$2:$B$252, 2, FALSE) = "", "", VLOOKUP(AO17211, Ellens_additions!$A$2:$B$252, 2, FALSE)), 0), AP17211)</f>
        <v>0</v>
      </c>
    </row>
    <row r="17212" spans="1:43" ht="14.4" hidden="1" x14ac:dyDescent="0.3">
      <c r="A17212" t="s">
        <v>2388</v>
      </c>
      <c r="B17212">
        <v>4909024</v>
      </c>
      <c r="C17212" t="s">
        <v>135</v>
      </c>
      <c r="D17212" t="s">
        <v>174</v>
      </c>
      <c r="E17212" t="s">
        <v>316</v>
      </c>
      <c r="F17212" t="s">
        <v>288</v>
      </c>
      <c r="H17212" t="s">
        <v>2389</v>
      </c>
      <c r="J17212" t="s">
        <v>140</v>
      </c>
      <c r="K17212">
        <v>159343.37</v>
      </c>
      <c r="L17212">
        <v>383630.83</v>
      </c>
      <c r="N17212" t="s">
        <v>1494</v>
      </c>
      <c r="O17212" t="s">
        <v>448</v>
      </c>
      <c r="P17212" t="s">
        <v>1495</v>
      </c>
      <c r="Q17212" t="s">
        <v>144</v>
      </c>
      <c r="S17212">
        <v>0</v>
      </c>
      <c r="T17212">
        <v>0</v>
      </c>
      <c r="V17212" t="s">
        <v>146</v>
      </c>
      <c r="W17212" t="s">
        <v>184</v>
      </c>
      <c r="X17212" t="s">
        <v>7</v>
      </c>
      <c r="Y17212" t="s">
        <v>1494</v>
      </c>
      <c r="Z17212" t="s">
        <v>448</v>
      </c>
      <c r="AA17212" t="s">
        <v>456</v>
      </c>
      <c r="AB17212">
        <v>0</v>
      </c>
      <c r="AE17212" t="s">
        <v>1496</v>
      </c>
      <c r="AF17212" t="s">
        <v>448</v>
      </c>
      <c r="AG17212" t="s">
        <v>560</v>
      </c>
      <c r="AL17212" t="s">
        <v>2390</v>
      </c>
      <c r="AM17212" t="s">
        <v>2391</v>
      </c>
      <c r="AN17212" t="s">
        <v>2392</v>
      </c>
      <c r="AO17212" t="s">
        <v>1494</v>
      </c>
      <c r="AQ17212">
        <f>IF(ISBLANK(AP17212), IFERROR(IF(VLOOKUP(AO17212, Ellens_additions!$A$2:$B$252, 2, FALSE) = "", "", VLOOKUP(AO17212, Ellens_additions!$A$2:$B$252, 2, FALSE)), 0), AP17212)</f>
        <v>0</v>
      </c>
    </row>
    <row r="17213" spans="1:43" ht="14.4" hidden="1" x14ac:dyDescent="0.3">
      <c r="A17213" t="s">
        <v>2393</v>
      </c>
      <c r="B17213">
        <v>4909027</v>
      </c>
      <c r="C17213" t="s">
        <v>135</v>
      </c>
      <c r="D17213" t="s">
        <v>174</v>
      </c>
      <c r="E17213" t="s">
        <v>316</v>
      </c>
      <c r="F17213" t="s">
        <v>288</v>
      </c>
      <c r="H17213" t="s">
        <v>2394</v>
      </c>
      <c r="J17213" t="s">
        <v>140</v>
      </c>
      <c r="K17213">
        <v>159342.66</v>
      </c>
      <c r="L17213">
        <v>383633.76</v>
      </c>
      <c r="N17213" t="s">
        <v>1494</v>
      </c>
      <c r="O17213" t="s">
        <v>448</v>
      </c>
      <c r="P17213" t="s">
        <v>1495</v>
      </c>
      <c r="Q17213" t="s">
        <v>144</v>
      </c>
      <c r="S17213">
        <v>0</v>
      </c>
      <c r="T17213">
        <v>0</v>
      </c>
      <c r="V17213" t="s">
        <v>146</v>
      </c>
      <c r="W17213" t="s">
        <v>184</v>
      </c>
      <c r="X17213" t="s">
        <v>7</v>
      </c>
      <c r="Y17213" t="s">
        <v>1494</v>
      </c>
      <c r="Z17213" t="s">
        <v>448</v>
      </c>
      <c r="AA17213" t="s">
        <v>456</v>
      </c>
      <c r="AB17213">
        <v>0</v>
      </c>
      <c r="AE17213" t="s">
        <v>1496</v>
      </c>
      <c r="AF17213" t="s">
        <v>448</v>
      </c>
      <c r="AG17213" t="s">
        <v>560</v>
      </c>
      <c r="AL17213" t="s">
        <v>2395</v>
      </c>
      <c r="AM17213" t="s">
        <v>2396</v>
      </c>
      <c r="AN17213" t="s">
        <v>2397</v>
      </c>
      <c r="AO17213" t="s">
        <v>1494</v>
      </c>
      <c r="AQ17213">
        <f>IF(ISBLANK(AP17213), IFERROR(IF(VLOOKUP(AO17213, Ellens_additions!$A$2:$B$252, 2, FALSE) = "", "", VLOOKUP(AO17213, Ellens_additions!$A$2:$B$252, 2, FALSE)), 0), AP17213)</f>
        <v>0</v>
      </c>
    </row>
    <row r="17214" spans="1:43" ht="14.4" hidden="1" x14ac:dyDescent="0.3">
      <c r="A17214" t="s">
        <v>2398</v>
      </c>
      <c r="B17214">
        <v>4909028</v>
      </c>
      <c r="C17214" t="s">
        <v>135</v>
      </c>
      <c r="D17214" t="s">
        <v>174</v>
      </c>
      <c r="E17214" t="s">
        <v>316</v>
      </c>
      <c r="F17214" t="s">
        <v>288</v>
      </c>
      <c r="H17214" t="s">
        <v>2399</v>
      </c>
      <c r="J17214" t="s">
        <v>140</v>
      </c>
      <c r="K17214">
        <v>159342.45000000001</v>
      </c>
      <c r="L17214">
        <v>383634.45</v>
      </c>
      <c r="N17214" t="s">
        <v>1494</v>
      </c>
      <c r="O17214" t="s">
        <v>448</v>
      </c>
      <c r="P17214" t="s">
        <v>1495</v>
      </c>
      <c r="Q17214" t="s">
        <v>144</v>
      </c>
      <c r="S17214">
        <v>0</v>
      </c>
      <c r="T17214">
        <v>0</v>
      </c>
      <c r="V17214" t="s">
        <v>146</v>
      </c>
      <c r="W17214" t="s">
        <v>184</v>
      </c>
      <c r="X17214" t="s">
        <v>7</v>
      </c>
      <c r="Y17214" t="s">
        <v>1494</v>
      </c>
      <c r="Z17214" t="s">
        <v>448</v>
      </c>
      <c r="AA17214" t="s">
        <v>456</v>
      </c>
      <c r="AB17214">
        <v>0</v>
      </c>
      <c r="AE17214" t="s">
        <v>1496</v>
      </c>
      <c r="AF17214" t="s">
        <v>448</v>
      </c>
      <c r="AG17214" t="s">
        <v>560</v>
      </c>
      <c r="AL17214" t="s">
        <v>2400</v>
      </c>
      <c r="AM17214" t="s">
        <v>2401</v>
      </c>
      <c r="AN17214" t="s">
        <v>2402</v>
      </c>
      <c r="AO17214" t="s">
        <v>1494</v>
      </c>
      <c r="AQ17214">
        <f>IF(ISBLANK(AP17214), IFERROR(IF(VLOOKUP(AO17214, Ellens_additions!$A$2:$B$252, 2, FALSE) = "", "", VLOOKUP(AO17214, Ellens_additions!$A$2:$B$252, 2, FALSE)), 0), AP17214)</f>
        <v>0</v>
      </c>
    </row>
    <row r="17215" spans="1:43" ht="14.4" hidden="1" x14ac:dyDescent="0.3">
      <c r="A17215" t="s">
        <v>2403</v>
      </c>
      <c r="B17215">
        <v>4909032</v>
      </c>
      <c r="C17215" t="s">
        <v>135</v>
      </c>
      <c r="D17215" t="s">
        <v>174</v>
      </c>
      <c r="E17215" t="s">
        <v>316</v>
      </c>
      <c r="F17215" t="s">
        <v>288</v>
      </c>
      <c r="H17215" t="s">
        <v>2404</v>
      </c>
      <c r="J17215" t="s">
        <v>140</v>
      </c>
      <c r="K17215">
        <v>159341.51</v>
      </c>
      <c r="L17215">
        <v>383637.74</v>
      </c>
      <c r="N17215" t="s">
        <v>1494</v>
      </c>
      <c r="O17215" t="s">
        <v>448</v>
      </c>
      <c r="P17215" t="s">
        <v>1495</v>
      </c>
      <c r="Q17215" t="s">
        <v>144</v>
      </c>
      <c r="S17215">
        <v>0</v>
      </c>
      <c r="T17215">
        <v>0</v>
      </c>
      <c r="V17215" t="s">
        <v>146</v>
      </c>
      <c r="W17215" t="s">
        <v>184</v>
      </c>
      <c r="X17215" t="s">
        <v>7</v>
      </c>
      <c r="Y17215" t="s">
        <v>1494</v>
      </c>
      <c r="Z17215" t="s">
        <v>448</v>
      </c>
      <c r="AA17215" t="s">
        <v>456</v>
      </c>
      <c r="AB17215">
        <v>0</v>
      </c>
      <c r="AE17215" t="s">
        <v>1496</v>
      </c>
      <c r="AF17215" t="s">
        <v>448</v>
      </c>
      <c r="AG17215" t="s">
        <v>560</v>
      </c>
      <c r="AL17215" t="s">
        <v>2405</v>
      </c>
      <c r="AM17215" t="s">
        <v>2406</v>
      </c>
      <c r="AN17215" t="s">
        <v>2407</v>
      </c>
      <c r="AO17215" t="s">
        <v>1494</v>
      </c>
      <c r="AQ17215">
        <f>IF(ISBLANK(AP17215), IFERROR(IF(VLOOKUP(AO17215, Ellens_additions!$A$2:$B$252, 2, FALSE) = "", "", VLOOKUP(AO17215, Ellens_additions!$A$2:$B$252, 2, FALSE)), 0), AP17215)</f>
        <v>0</v>
      </c>
    </row>
    <row r="17216" spans="1:43" ht="14.4" hidden="1" x14ac:dyDescent="0.3">
      <c r="A17216" t="s">
        <v>2408</v>
      </c>
      <c r="B17216">
        <v>4909033</v>
      </c>
      <c r="C17216" t="s">
        <v>135</v>
      </c>
      <c r="D17216" t="s">
        <v>174</v>
      </c>
      <c r="E17216" t="s">
        <v>316</v>
      </c>
      <c r="F17216" t="s">
        <v>288</v>
      </c>
      <c r="H17216" t="s">
        <v>2409</v>
      </c>
      <c r="J17216" t="s">
        <v>140</v>
      </c>
      <c r="K17216">
        <v>159341.26</v>
      </c>
      <c r="L17216">
        <v>383638.7</v>
      </c>
      <c r="N17216" t="s">
        <v>1494</v>
      </c>
      <c r="O17216" t="s">
        <v>448</v>
      </c>
      <c r="P17216" t="s">
        <v>1495</v>
      </c>
      <c r="Q17216" t="s">
        <v>144</v>
      </c>
      <c r="S17216">
        <v>0</v>
      </c>
      <c r="T17216">
        <v>0</v>
      </c>
      <c r="V17216" t="s">
        <v>146</v>
      </c>
      <c r="W17216" t="s">
        <v>184</v>
      </c>
      <c r="X17216" t="s">
        <v>7</v>
      </c>
      <c r="Y17216" t="s">
        <v>1494</v>
      </c>
      <c r="Z17216" t="s">
        <v>448</v>
      </c>
      <c r="AA17216" t="s">
        <v>456</v>
      </c>
      <c r="AB17216">
        <v>0</v>
      </c>
      <c r="AE17216" t="s">
        <v>1496</v>
      </c>
      <c r="AF17216" t="s">
        <v>448</v>
      </c>
      <c r="AG17216" t="s">
        <v>560</v>
      </c>
      <c r="AL17216" t="s">
        <v>2410</v>
      </c>
      <c r="AM17216" t="s">
        <v>2411</v>
      </c>
      <c r="AN17216" t="s">
        <v>2412</v>
      </c>
      <c r="AO17216" t="s">
        <v>1494</v>
      </c>
      <c r="AQ17216">
        <f>IF(ISBLANK(AP17216), IFERROR(IF(VLOOKUP(AO17216, Ellens_additions!$A$2:$B$252, 2, FALSE) = "", "", VLOOKUP(AO17216, Ellens_additions!$A$2:$B$252, 2, FALSE)), 0), AP17216)</f>
        <v>0</v>
      </c>
    </row>
    <row r="17217" spans="1:43" ht="14.4" hidden="1" x14ac:dyDescent="0.3">
      <c r="A17217" t="s">
        <v>2413</v>
      </c>
      <c r="B17217">
        <v>4909035</v>
      </c>
      <c r="C17217" t="s">
        <v>135</v>
      </c>
      <c r="D17217" t="s">
        <v>174</v>
      </c>
      <c r="E17217" t="s">
        <v>316</v>
      </c>
      <c r="F17217" t="s">
        <v>288</v>
      </c>
      <c r="H17217" t="s">
        <v>2414</v>
      </c>
      <c r="J17217" t="s">
        <v>140</v>
      </c>
      <c r="K17217">
        <v>159340.84</v>
      </c>
      <c r="L17217">
        <v>383640.35</v>
      </c>
      <c r="N17217" t="s">
        <v>1494</v>
      </c>
      <c r="O17217" t="s">
        <v>448</v>
      </c>
      <c r="P17217" t="s">
        <v>1495</v>
      </c>
      <c r="Q17217" t="s">
        <v>144</v>
      </c>
      <c r="S17217">
        <v>0</v>
      </c>
      <c r="T17217">
        <v>0</v>
      </c>
      <c r="V17217" t="s">
        <v>146</v>
      </c>
      <c r="W17217" t="s">
        <v>184</v>
      </c>
      <c r="X17217" t="s">
        <v>7</v>
      </c>
      <c r="Y17217" t="s">
        <v>1494</v>
      </c>
      <c r="Z17217" t="s">
        <v>448</v>
      </c>
      <c r="AA17217" t="s">
        <v>456</v>
      </c>
      <c r="AB17217">
        <v>0</v>
      </c>
      <c r="AE17217" t="s">
        <v>1496</v>
      </c>
      <c r="AF17217" t="s">
        <v>448</v>
      </c>
      <c r="AG17217" t="s">
        <v>560</v>
      </c>
      <c r="AL17217" t="s">
        <v>2415</v>
      </c>
      <c r="AM17217" t="s">
        <v>2416</v>
      </c>
      <c r="AN17217" t="s">
        <v>2417</v>
      </c>
      <c r="AO17217" t="s">
        <v>1494</v>
      </c>
      <c r="AQ17217">
        <f>IF(ISBLANK(AP17217), IFERROR(IF(VLOOKUP(AO17217, Ellens_additions!$A$2:$B$252, 2, FALSE) = "", "", VLOOKUP(AO17217, Ellens_additions!$A$2:$B$252, 2, FALSE)), 0), AP17217)</f>
        <v>0</v>
      </c>
    </row>
    <row r="17218" spans="1:43" ht="14.4" hidden="1" x14ac:dyDescent="0.3">
      <c r="A17218" t="s">
        <v>2418</v>
      </c>
      <c r="B17218">
        <v>4909038</v>
      </c>
      <c r="C17218" t="s">
        <v>135</v>
      </c>
      <c r="D17218" t="s">
        <v>174</v>
      </c>
      <c r="E17218" t="s">
        <v>316</v>
      </c>
      <c r="F17218" t="s">
        <v>288</v>
      </c>
      <c r="H17218" t="s">
        <v>2419</v>
      </c>
      <c r="J17218" t="s">
        <v>140</v>
      </c>
      <c r="K17218">
        <v>159340.01</v>
      </c>
      <c r="L17218">
        <v>383643.25</v>
      </c>
      <c r="N17218" t="s">
        <v>1494</v>
      </c>
      <c r="O17218" t="s">
        <v>448</v>
      </c>
      <c r="P17218" t="s">
        <v>1495</v>
      </c>
      <c r="Q17218" t="s">
        <v>144</v>
      </c>
      <c r="S17218">
        <v>0</v>
      </c>
      <c r="T17218">
        <v>0</v>
      </c>
      <c r="V17218" t="s">
        <v>146</v>
      </c>
      <c r="W17218" t="s">
        <v>184</v>
      </c>
      <c r="X17218" t="s">
        <v>7</v>
      </c>
      <c r="Y17218" t="s">
        <v>1494</v>
      </c>
      <c r="Z17218" t="s">
        <v>448</v>
      </c>
      <c r="AA17218" t="s">
        <v>456</v>
      </c>
      <c r="AB17218">
        <v>0</v>
      </c>
      <c r="AE17218" t="s">
        <v>1496</v>
      </c>
      <c r="AF17218" t="s">
        <v>448</v>
      </c>
      <c r="AG17218" t="s">
        <v>560</v>
      </c>
      <c r="AL17218" t="s">
        <v>2420</v>
      </c>
      <c r="AM17218" t="s">
        <v>2421</v>
      </c>
      <c r="AN17218" t="s">
        <v>2422</v>
      </c>
      <c r="AO17218" t="s">
        <v>1494</v>
      </c>
      <c r="AQ17218">
        <f>IF(ISBLANK(AP17218), IFERROR(IF(VLOOKUP(AO17218, Ellens_additions!$A$2:$B$252, 2, FALSE) = "", "", VLOOKUP(AO17218, Ellens_additions!$A$2:$B$252, 2, FALSE)), 0), AP17218)</f>
        <v>0</v>
      </c>
    </row>
    <row r="17219" spans="1:43" ht="14.4" hidden="1" x14ac:dyDescent="0.3">
      <c r="A17219" t="s">
        <v>2423</v>
      </c>
      <c r="B17219">
        <v>4909039</v>
      </c>
      <c r="C17219" t="s">
        <v>135</v>
      </c>
      <c r="D17219" t="s">
        <v>174</v>
      </c>
      <c r="E17219" t="s">
        <v>316</v>
      </c>
      <c r="F17219" t="s">
        <v>288</v>
      </c>
      <c r="H17219" t="s">
        <v>2424</v>
      </c>
      <c r="J17219" t="s">
        <v>140</v>
      </c>
      <c r="K17219">
        <v>159339.81</v>
      </c>
      <c r="L17219">
        <v>383644.01</v>
      </c>
      <c r="N17219" t="s">
        <v>1494</v>
      </c>
      <c r="O17219" t="s">
        <v>448</v>
      </c>
      <c r="P17219" t="s">
        <v>1495</v>
      </c>
      <c r="Q17219" t="s">
        <v>144</v>
      </c>
      <c r="S17219">
        <v>0</v>
      </c>
      <c r="T17219">
        <v>0</v>
      </c>
      <c r="V17219" t="s">
        <v>146</v>
      </c>
      <c r="W17219" t="s">
        <v>184</v>
      </c>
      <c r="X17219" t="s">
        <v>7</v>
      </c>
      <c r="Y17219" t="s">
        <v>1494</v>
      </c>
      <c r="Z17219" t="s">
        <v>448</v>
      </c>
      <c r="AA17219" t="s">
        <v>456</v>
      </c>
      <c r="AB17219">
        <v>0</v>
      </c>
      <c r="AE17219" t="s">
        <v>1496</v>
      </c>
      <c r="AF17219" t="s">
        <v>448</v>
      </c>
      <c r="AG17219" t="s">
        <v>560</v>
      </c>
      <c r="AL17219" t="s">
        <v>2425</v>
      </c>
      <c r="AM17219" t="s">
        <v>2426</v>
      </c>
      <c r="AN17219" t="s">
        <v>2427</v>
      </c>
      <c r="AO17219" t="s">
        <v>1494</v>
      </c>
      <c r="AQ17219">
        <f>IF(ISBLANK(AP17219), IFERROR(IF(VLOOKUP(AO17219, Ellens_additions!$A$2:$B$252, 2, FALSE) = "", "", VLOOKUP(AO17219, Ellens_additions!$A$2:$B$252, 2, FALSE)), 0), AP17219)</f>
        <v>0</v>
      </c>
    </row>
    <row r="17220" spans="1:43" ht="14.4" hidden="1" x14ac:dyDescent="0.3">
      <c r="A17220" t="s">
        <v>2428</v>
      </c>
      <c r="B17220">
        <v>4909045</v>
      </c>
      <c r="C17220" t="s">
        <v>135</v>
      </c>
      <c r="D17220" t="s">
        <v>174</v>
      </c>
      <c r="E17220" t="s">
        <v>316</v>
      </c>
      <c r="F17220" t="s">
        <v>288</v>
      </c>
      <c r="H17220" t="s">
        <v>2429</v>
      </c>
      <c r="J17220" t="s">
        <v>140</v>
      </c>
      <c r="K17220">
        <v>159325.26999999999</v>
      </c>
      <c r="L17220">
        <v>383640.32000000001</v>
      </c>
      <c r="N17220" t="s">
        <v>1494</v>
      </c>
      <c r="O17220" t="s">
        <v>448</v>
      </c>
      <c r="P17220" t="s">
        <v>1495</v>
      </c>
      <c r="Q17220" t="s">
        <v>144</v>
      </c>
      <c r="S17220">
        <v>0</v>
      </c>
      <c r="T17220">
        <v>0</v>
      </c>
      <c r="V17220" t="s">
        <v>146</v>
      </c>
      <c r="W17220" t="s">
        <v>184</v>
      </c>
      <c r="X17220" t="s">
        <v>7</v>
      </c>
      <c r="Y17220" t="s">
        <v>1494</v>
      </c>
      <c r="Z17220" t="s">
        <v>448</v>
      </c>
      <c r="AA17220" t="s">
        <v>456</v>
      </c>
      <c r="AB17220">
        <v>0</v>
      </c>
      <c r="AE17220" t="s">
        <v>1496</v>
      </c>
      <c r="AF17220" t="s">
        <v>448</v>
      </c>
      <c r="AG17220" t="s">
        <v>560</v>
      </c>
      <c r="AL17220" t="s">
        <v>2430</v>
      </c>
      <c r="AM17220" t="s">
        <v>2431</v>
      </c>
      <c r="AN17220" t="s">
        <v>2432</v>
      </c>
      <c r="AO17220" t="s">
        <v>1494</v>
      </c>
      <c r="AQ17220">
        <f>IF(ISBLANK(AP17220), IFERROR(IF(VLOOKUP(AO17220, Ellens_additions!$A$2:$B$252, 2, FALSE) = "", "", VLOOKUP(AO17220, Ellens_additions!$A$2:$B$252, 2, FALSE)), 0), AP17220)</f>
        <v>0</v>
      </c>
    </row>
    <row r="17221" spans="1:43" ht="14.4" hidden="1" x14ac:dyDescent="0.3">
      <c r="A17221" t="s">
        <v>2433</v>
      </c>
      <c r="B17221">
        <v>4909046</v>
      </c>
      <c r="C17221" t="s">
        <v>135</v>
      </c>
      <c r="D17221" t="s">
        <v>174</v>
      </c>
      <c r="E17221" t="s">
        <v>316</v>
      </c>
      <c r="F17221" t="s">
        <v>288</v>
      </c>
      <c r="H17221" t="s">
        <v>2434</v>
      </c>
      <c r="J17221" t="s">
        <v>140</v>
      </c>
      <c r="K17221">
        <v>159325.37</v>
      </c>
      <c r="L17221">
        <v>383639.23</v>
      </c>
      <c r="N17221" t="s">
        <v>1494</v>
      </c>
      <c r="O17221" t="s">
        <v>448</v>
      </c>
      <c r="P17221" t="s">
        <v>1495</v>
      </c>
      <c r="Q17221" t="s">
        <v>144</v>
      </c>
      <c r="S17221">
        <v>0</v>
      </c>
      <c r="T17221">
        <v>0</v>
      </c>
      <c r="V17221" t="s">
        <v>146</v>
      </c>
      <c r="W17221" t="s">
        <v>184</v>
      </c>
      <c r="X17221" t="s">
        <v>7</v>
      </c>
      <c r="Y17221" t="s">
        <v>1494</v>
      </c>
      <c r="Z17221" t="s">
        <v>448</v>
      </c>
      <c r="AA17221" t="s">
        <v>456</v>
      </c>
      <c r="AB17221">
        <v>0</v>
      </c>
      <c r="AE17221" t="s">
        <v>1496</v>
      </c>
      <c r="AF17221" t="s">
        <v>448</v>
      </c>
      <c r="AG17221" t="s">
        <v>560</v>
      </c>
      <c r="AL17221" t="s">
        <v>2435</v>
      </c>
      <c r="AM17221" t="s">
        <v>2436</v>
      </c>
      <c r="AN17221" t="s">
        <v>2437</v>
      </c>
      <c r="AO17221" t="s">
        <v>1494</v>
      </c>
      <c r="AQ17221">
        <f>IF(ISBLANK(AP17221), IFERROR(IF(VLOOKUP(AO17221, Ellens_additions!$A$2:$B$252, 2, FALSE) = "", "", VLOOKUP(AO17221, Ellens_additions!$A$2:$B$252, 2, FALSE)), 0), AP17221)</f>
        <v>0</v>
      </c>
    </row>
    <row r="17222" spans="1:43" ht="14.4" hidden="1" x14ac:dyDescent="0.3">
      <c r="A17222" t="s">
        <v>2438</v>
      </c>
      <c r="B17222">
        <v>4909047</v>
      </c>
      <c r="C17222" t="s">
        <v>135</v>
      </c>
      <c r="D17222" t="s">
        <v>174</v>
      </c>
      <c r="E17222" t="s">
        <v>316</v>
      </c>
      <c r="F17222" t="s">
        <v>288</v>
      </c>
      <c r="H17222" t="s">
        <v>2439</v>
      </c>
      <c r="J17222" t="s">
        <v>140</v>
      </c>
      <c r="K17222">
        <v>159325.57</v>
      </c>
      <c r="L17222">
        <v>383638.24</v>
      </c>
      <c r="N17222" t="s">
        <v>1494</v>
      </c>
      <c r="O17222" t="s">
        <v>448</v>
      </c>
      <c r="P17222" t="s">
        <v>1495</v>
      </c>
      <c r="Q17222" t="s">
        <v>144</v>
      </c>
      <c r="S17222">
        <v>0</v>
      </c>
      <c r="T17222">
        <v>0</v>
      </c>
      <c r="V17222" t="s">
        <v>146</v>
      </c>
      <c r="W17222" t="s">
        <v>184</v>
      </c>
      <c r="X17222" t="s">
        <v>7</v>
      </c>
      <c r="Y17222" t="s">
        <v>1494</v>
      </c>
      <c r="Z17222" t="s">
        <v>448</v>
      </c>
      <c r="AA17222" t="s">
        <v>456</v>
      </c>
      <c r="AB17222">
        <v>0</v>
      </c>
      <c r="AE17222" t="s">
        <v>1496</v>
      </c>
      <c r="AF17222" t="s">
        <v>448</v>
      </c>
      <c r="AG17222" t="s">
        <v>560</v>
      </c>
      <c r="AL17222" t="s">
        <v>2440</v>
      </c>
      <c r="AM17222" t="s">
        <v>2441</v>
      </c>
      <c r="AN17222" t="s">
        <v>2442</v>
      </c>
      <c r="AO17222" t="s">
        <v>1494</v>
      </c>
      <c r="AQ17222">
        <f>IF(ISBLANK(AP17222), IFERROR(IF(VLOOKUP(AO17222, Ellens_additions!$A$2:$B$252, 2, FALSE) = "", "", VLOOKUP(AO17222, Ellens_additions!$A$2:$B$252, 2, FALSE)), 0), AP17222)</f>
        <v>0</v>
      </c>
    </row>
    <row r="17223" spans="1:43" ht="14.4" hidden="1" x14ac:dyDescent="0.3">
      <c r="A17223" t="s">
        <v>2443</v>
      </c>
      <c r="B17223">
        <v>4909049</v>
      </c>
      <c r="C17223" t="s">
        <v>135</v>
      </c>
      <c r="D17223" t="s">
        <v>174</v>
      </c>
      <c r="E17223" t="s">
        <v>316</v>
      </c>
      <c r="F17223" t="s">
        <v>288</v>
      </c>
      <c r="H17223" t="s">
        <v>2444</v>
      </c>
      <c r="J17223" t="s">
        <v>140</v>
      </c>
      <c r="K17223">
        <v>159325.76999999999</v>
      </c>
      <c r="L17223">
        <v>383635.86</v>
      </c>
      <c r="N17223" t="s">
        <v>1494</v>
      </c>
      <c r="O17223" t="s">
        <v>448</v>
      </c>
      <c r="P17223" t="s">
        <v>1495</v>
      </c>
      <c r="Q17223" t="s">
        <v>144</v>
      </c>
      <c r="S17223">
        <v>0</v>
      </c>
      <c r="T17223">
        <v>0</v>
      </c>
      <c r="V17223" t="s">
        <v>146</v>
      </c>
      <c r="W17223" t="s">
        <v>184</v>
      </c>
      <c r="X17223" t="s">
        <v>7</v>
      </c>
      <c r="Y17223" t="s">
        <v>1494</v>
      </c>
      <c r="Z17223" t="s">
        <v>448</v>
      </c>
      <c r="AA17223" t="s">
        <v>456</v>
      </c>
      <c r="AB17223">
        <v>0</v>
      </c>
      <c r="AE17223" t="s">
        <v>1496</v>
      </c>
      <c r="AF17223" t="s">
        <v>448</v>
      </c>
      <c r="AG17223" t="s">
        <v>560</v>
      </c>
      <c r="AL17223" t="s">
        <v>2445</v>
      </c>
      <c r="AM17223" t="s">
        <v>2446</v>
      </c>
      <c r="AN17223" t="s">
        <v>2447</v>
      </c>
      <c r="AO17223" t="s">
        <v>1494</v>
      </c>
      <c r="AQ17223">
        <f>IF(ISBLANK(AP17223), IFERROR(IF(VLOOKUP(AO17223, Ellens_additions!$A$2:$B$252, 2, FALSE) = "", "", VLOOKUP(AO17223, Ellens_additions!$A$2:$B$252, 2, FALSE)), 0), AP17223)</f>
        <v>0</v>
      </c>
    </row>
    <row r="17224" spans="1:43" ht="14.4" hidden="1" x14ac:dyDescent="0.3">
      <c r="A17224" t="s">
        <v>2448</v>
      </c>
      <c r="B17224">
        <v>4909051</v>
      </c>
      <c r="C17224" t="s">
        <v>135</v>
      </c>
      <c r="D17224" t="s">
        <v>174</v>
      </c>
      <c r="E17224" t="s">
        <v>316</v>
      </c>
      <c r="F17224" t="s">
        <v>288</v>
      </c>
      <c r="H17224" t="s">
        <v>2449</v>
      </c>
      <c r="J17224" t="s">
        <v>140</v>
      </c>
      <c r="K17224">
        <v>159326.16</v>
      </c>
      <c r="L17224">
        <v>383633.87</v>
      </c>
      <c r="N17224" t="s">
        <v>1494</v>
      </c>
      <c r="O17224" t="s">
        <v>448</v>
      </c>
      <c r="P17224" t="s">
        <v>1495</v>
      </c>
      <c r="Q17224" t="s">
        <v>144</v>
      </c>
      <c r="S17224">
        <v>0</v>
      </c>
      <c r="T17224">
        <v>0</v>
      </c>
      <c r="V17224" t="s">
        <v>146</v>
      </c>
      <c r="W17224" t="s">
        <v>184</v>
      </c>
      <c r="X17224" t="s">
        <v>7</v>
      </c>
      <c r="Y17224" t="s">
        <v>1494</v>
      </c>
      <c r="Z17224" t="s">
        <v>448</v>
      </c>
      <c r="AA17224" t="s">
        <v>456</v>
      </c>
      <c r="AB17224">
        <v>0</v>
      </c>
      <c r="AE17224" t="s">
        <v>1496</v>
      </c>
      <c r="AF17224" t="s">
        <v>448</v>
      </c>
      <c r="AG17224" t="s">
        <v>560</v>
      </c>
      <c r="AL17224" t="s">
        <v>2450</v>
      </c>
      <c r="AM17224" t="s">
        <v>2451</v>
      </c>
      <c r="AN17224" t="s">
        <v>2452</v>
      </c>
      <c r="AO17224" t="s">
        <v>1494</v>
      </c>
      <c r="AQ17224">
        <f>IF(ISBLANK(AP17224), IFERROR(IF(VLOOKUP(AO17224, Ellens_additions!$A$2:$B$252, 2, FALSE) = "", "", VLOOKUP(AO17224, Ellens_additions!$A$2:$B$252, 2, FALSE)), 0), AP17224)</f>
        <v>0</v>
      </c>
    </row>
    <row r="17225" spans="1:43" ht="14.4" hidden="1" x14ac:dyDescent="0.3">
      <c r="A17225" t="s">
        <v>2453</v>
      </c>
      <c r="B17225">
        <v>4909053</v>
      </c>
      <c r="C17225" t="s">
        <v>135</v>
      </c>
      <c r="D17225" t="s">
        <v>174</v>
      </c>
      <c r="E17225" t="s">
        <v>316</v>
      </c>
      <c r="F17225" t="s">
        <v>288</v>
      </c>
      <c r="H17225" t="s">
        <v>2454</v>
      </c>
      <c r="J17225" t="s">
        <v>140</v>
      </c>
      <c r="K17225">
        <v>159326.46</v>
      </c>
      <c r="L17225">
        <v>383631.59</v>
      </c>
      <c r="N17225" t="s">
        <v>1494</v>
      </c>
      <c r="O17225" t="s">
        <v>448</v>
      </c>
      <c r="P17225" t="s">
        <v>1495</v>
      </c>
      <c r="Q17225" t="s">
        <v>144</v>
      </c>
      <c r="S17225">
        <v>0</v>
      </c>
      <c r="T17225">
        <v>0</v>
      </c>
      <c r="V17225" t="s">
        <v>146</v>
      </c>
      <c r="W17225" t="s">
        <v>184</v>
      </c>
      <c r="X17225" t="s">
        <v>7</v>
      </c>
      <c r="Y17225" t="s">
        <v>1494</v>
      </c>
      <c r="Z17225" t="s">
        <v>448</v>
      </c>
      <c r="AA17225" t="s">
        <v>456</v>
      </c>
      <c r="AB17225">
        <v>0</v>
      </c>
      <c r="AE17225" t="s">
        <v>1496</v>
      </c>
      <c r="AF17225" t="s">
        <v>448</v>
      </c>
      <c r="AG17225" t="s">
        <v>560</v>
      </c>
      <c r="AL17225" t="s">
        <v>2455</v>
      </c>
      <c r="AM17225" t="s">
        <v>2456</v>
      </c>
      <c r="AN17225" t="s">
        <v>2457</v>
      </c>
      <c r="AO17225" t="s">
        <v>1494</v>
      </c>
      <c r="AQ17225">
        <f>IF(ISBLANK(AP17225), IFERROR(IF(VLOOKUP(AO17225, Ellens_additions!$A$2:$B$252, 2, FALSE) = "", "", VLOOKUP(AO17225, Ellens_additions!$A$2:$B$252, 2, FALSE)), 0), AP17225)</f>
        <v>0</v>
      </c>
    </row>
    <row r="17226" spans="1:43" ht="14.4" hidden="1" x14ac:dyDescent="0.3">
      <c r="A17226" t="s">
        <v>2458</v>
      </c>
      <c r="B17226">
        <v>4909055</v>
      </c>
      <c r="C17226" t="s">
        <v>135</v>
      </c>
      <c r="D17226" t="s">
        <v>174</v>
      </c>
      <c r="E17226" t="s">
        <v>316</v>
      </c>
      <c r="F17226" t="s">
        <v>288</v>
      </c>
      <c r="H17226" t="s">
        <v>2459</v>
      </c>
      <c r="J17226" t="s">
        <v>140</v>
      </c>
      <c r="K17226">
        <v>159326.76</v>
      </c>
      <c r="L17226">
        <v>383629.31</v>
      </c>
      <c r="N17226" t="s">
        <v>1494</v>
      </c>
      <c r="O17226" t="s">
        <v>448</v>
      </c>
      <c r="P17226" t="s">
        <v>1495</v>
      </c>
      <c r="Q17226" t="s">
        <v>144</v>
      </c>
      <c r="S17226">
        <v>0</v>
      </c>
      <c r="T17226">
        <v>0</v>
      </c>
      <c r="V17226" t="s">
        <v>146</v>
      </c>
      <c r="W17226" t="s">
        <v>184</v>
      </c>
      <c r="X17226" t="s">
        <v>7</v>
      </c>
      <c r="Y17226" t="s">
        <v>1494</v>
      </c>
      <c r="Z17226" t="s">
        <v>448</v>
      </c>
      <c r="AA17226" t="s">
        <v>456</v>
      </c>
      <c r="AB17226">
        <v>0</v>
      </c>
      <c r="AE17226" t="s">
        <v>1496</v>
      </c>
      <c r="AF17226" t="s">
        <v>448</v>
      </c>
      <c r="AG17226" t="s">
        <v>560</v>
      </c>
      <c r="AL17226" t="s">
        <v>2460</v>
      </c>
      <c r="AM17226" t="s">
        <v>2461</v>
      </c>
      <c r="AN17226" t="s">
        <v>2462</v>
      </c>
      <c r="AO17226" t="s">
        <v>1494</v>
      </c>
      <c r="AQ17226">
        <f>IF(ISBLANK(AP17226), IFERROR(IF(VLOOKUP(AO17226, Ellens_additions!$A$2:$B$252, 2, FALSE) = "", "", VLOOKUP(AO17226, Ellens_additions!$A$2:$B$252, 2, FALSE)), 0), AP17226)</f>
        <v>0</v>
      </c>
    </row>
    <row r="17227" spans="1:43" ht="14.4" hidden="1" x14ac:dyDescent="0.3">
      <c r="A17227" t="s">
        <v>2463</v>
      </c>
      <c r="B17227">
        <v>4909056</v>
      </c>
      <c r="C17227" t="s">
        <v>135</v>
      </c>
      <c r="D17227" t="s">
        <v>174</v>
      </c>
      <c r="E17227" t="s">
        <v>316</v>
      </c>
      <c r="F17227" t="s">
        <v>288</v>
      </c>
      <c r="H17227" t="s">
        <v>2464</v>
      </c>
      <c r="J17227" t="s">
        <v>140</v>
      </c>
      <c r="K17227">
        <v>159326.96</v>
      </c>
      <c r="L17227">
        <v>383628.32</v>
      </c>
      <c r="N17227" t="s">
        <v>1494</v>
      </c>
      <c r="O17227" t="s">
        <v>448</v>
      </c>
      <c r="P17227" t="s">
        <v>1495</v>
      </c>
      <c r="Q17227" t="s">
        <v>144</v>
      </c>
      <c r="S17227">
        <v>0</v>
      </c>
      <c r="T17227">
        <v>0</v>
      </c>
      <c r="V17227" t="s">
        <v>146</v>
      </c>
      <c r="W17227" t="s">
        <v>184</v>
      </c>
      <c r="X17227" t="s">
        <v>7</v>
      </c>
      <c r="Y17227" t="s">
        <v>1494</v>
      </c>
      <c r="Z17227" t="s">
        <v>448</v>
      </c>
      <c r="AA17227" t="s">
        <v>456</v>
      </c>
      <c r="AB17227">
        <v>0</v>
      </c>
      <c r="AE17227" t="s">
        <v>1496</v>
      </c>
      <c r="AF17227" t="s">
        <v>448</v>
      </c>
      <c r="AG17227" t="s">
        <v>560</v>
      </c>
      <c r="AL17227" t="s">
        <v>2465</v>
      </c>
      <c r="AM17227" t="s">
        <v>2466</v>
      </c>
      <c r="AN17227" t="s">
        <v>2467</v>
      </c>
      <c r="AO17227" t="s">
        <v>1494</v>
      </c>
      <c r="AQ17227">
        <f>IF(ISBLANK(AP17227), IFERROR(IF(VLOOKUP(AO17227, Ellens_additions!$A$2:$B$252, 2, FALSE) = "", "", VLOOKUP(AO17227, Ellens_additions!$A$2:$B$252, 2, FALSE)), 0), AP17227)</f>
        <v>0</v>
      </c>
    </row>
    <row r="17228" spans="1:43" ht="14.4" hidden="1" x14ac:dyDescent="0.3">
      <c r="A17228" t="s">
        <v>2468</v>
      </c>
      <c r="B17228">
        <v>4909057</v>
      </c>
      <c r="C17228" t="s">
        <v>135</v>
      </c>
      <c r="D17228" t="s">
        <v>174</v>
      </c>
      <c r="E17228" t="s">
        <v>316</v>
      </c>
      <c r="F17228" t="s">
        <v>288</v>
      </c>
      <c r="H17228" t="s">
        <v>2469</v>
      </c>
      <c r="J17228" t="s">
        <v>140</v>
      </c>
      <c r="K17228">
        <v>159327.15</v>
      </c>
      <c r="L17228">
        <v>383627.33</v>
      </c>
      <c r="N17228" t="s">
        <v>1494</v>
      </c>
      <c r="O17228" t="s">
        <v>448</v>
      </c>
      <c r="P17228" t="s">
        <v>1495</v>
      </c>
      <c r="Q17228" t="s">
        <v>144</v>
      </c>
      <c r="S17228">
        <v>0</v>
      </c>
      <c r="T17228">
        <v>0</v>
      </c>
      <c r="V17228" t="s">
        <v>146</v>
      </c>
      <c r="W17228" t="s">
        <v>184</v>
      </c>
      <c r="X17228" t="s">
        <v>7</v>
      </c>
      <c r="Y17228" t="s">
        <v>1494</v>
      </c>
      <c r="Z17228" t="s">
        <v>448</v>
      </c>
      <c r="AA17228" t="s">
        <v>456</v>
      </c>
      <c r="AB17228">
        <v>0</v>
      </c>
      <c r="AE17228" t="s">
        <v>1496</v>
      </c>
      <c r="AF17228" t="s">
        <v>448</v>
      </c>
      <c r="AG17228" t="s">
        <v>560</v>
      </c>
      <c r="AL17228" t="s">
        <v>2470</v>
      </c>
      <c r="AM17228" t="s">
        <v>2471</v>
      </c>
      <c r="AN17228" t="s">
        <v>2472</v>
      </c>
      <c r="AO17228" t="s">
        <v>1494</v>
      </c>
      <c r="AQ17228">
        <f>IF(ISBLANK(AP17228), IFERROR(IF(VLOOKUP(AO17228, Ellens_additions!$A$2:$B$252, 2, FALSE) = "", "", VLOOKUP(AO17228, Ellens_additions!$A$2:$B$252, 2, FALSE)), 0), AP17228)</f>
        <v>0</v>
      </c>
    </row>
    <row r="17229" spans="1:43" ht="14.4" hidden="1" x14ac:dyDescent="0.3">
      <c r="A17229" t="s">
        <v>2473</v>
      </c>
      <c r="B17229">
        <v>4909059</v>
      </c>
      <c r="C17229" t="s">
        <v>135</v>
      </c>
      <c r="D17229" t="s">
        <v>174</v>
      </c>
      <c r="E17229" t="s">
        <v>316</v>
      </c>
      <c r="F17229" t="s">
        <v>288</v>
      </c>
      <c r="H17229" t="s">
        <v>2474</v>
      </c>
      <c r="J17229" t="s">
        <v>140</v>
      </c>
      <c r="K17229">
        <v>159327.54999999999</v>
      </c>
      <c r="L17229">
        <v>383624.95</v>
      </c>
      <c r="N17229" t="s">
        <v>1494</v>
      </c>
      <c r="O17229" t="s">
        <v>448</v>
      </c>
      <c r="P17229" t="s">
        <v>1495</v>
      </c>
      <c r="Q17229" t="s">
        <v>144</v>
      </c>
      <c r="S17229">
        <v>0</v>
      </c>
      <c r="T17229">
        <v>0</v>
      </c>
      <c r="V17229" t="s">
        <v>146</v>
      </c>
      <c r="W17229" t="s">
        <v>184</v>
      </c>
      <c r="X17229" t="s">
        <v>7</v>
      </c>
      <c r="Y17229" t="s">
        <v>1494</v>
      </c>
      <c r="Z17229" t="s">
        <v>448</v>
      </c>
      <c r="AA17229" t="s">
        <v>456</v>
      </c>
      <c r="AB17229">
        <v>0</v>
      </c>
      <c r="AE17229" t="s">
        <v>1496</v>
      </c>
      <c r="AF17229" t="s">
        <v>448</v>
      </c>
      <c r="AG17229" t="s">
        <v>560</v>
      </c>
      <c r="AL17229" t="s">
        <v>2475</v>
      </c>
      <c r="AM17229" t="s">
        <v>2476</v>
      </c>
      <c r="AN17229" t="s">
        <v>2477</v>
      </c>
      <c r="AO17229" t="s">
        <v>1494</v>
      </c>
      <c r="AQ17229">
        <f>IF(ISBLANK(AP17229), IFERROR(IF(VLOOKUP(AO17229, Ellens_additions!$A$2:$B$252, 2, FALSE) = "", "", VLOOKUP(AO17229, Ellens_additions!$A$2:$B$252, 2, FALSE)), 0), AP17229)</f>
        <v>0</v>
      </c>
    </row>
    <row r="17230" spans="1:43" ht="14.4" hidden="1" x14ac:dyDescent="0.3">
      <c r="A17230" t="s">
        <v>2478</v>
      </c>
      <c r="B17230">
        <v>4909060</v>
      </c>
      <c r="C17230" t="s">
        <v>135</v>
      </c>
      <c r="D17230" t="s">
        <v>174</v>
      </c>
      <c r="E17230" t="s">
        <v>316</v>
      </c>
      <c r="F17230" t="s">
        <v>288</v>
      </c>
      <c r="H17230" t="s">
        <v>2479</v>
      </c>
      <c r="J17230" t="s">
        <v>140</v>
      </c>
      <c r="K17230">
        <v>159327.65</v>
      </c>
      <c r="L17230">
        <v>383624.05</v>
      </c>
      <c r="N17230" t="s">
        <v>1494</v>
      </c>
      <c r="O17230" t="s">
        <v>448</v>
      </c>
      <c r="P17230" t="s">
        <v>1495</v>
      </c>
      <c r="Q17230" t="s">
        <v>144</v>
      </c>
      <c r="S17230">
        <v>0</v>
      </c>
      <c r="T17230">
        <v>0</v>
      </c>
      <c r="V17230" t="s">
        <v>146</v>
      </c>
      <c r="W17230" t="s">
        <v>184</v>
      </c>
      <c r="X17230" t="s">
        <v>7</v>
      </c>
      <c r="Y17230" t="s">
        <v>1494</v>
      </c>
      <c r="Z17230" t="s">
        <v>448</v>
      </c>
      <c r="AA17230" t="s">
        <v>456</v>
      </c>
      <c r="AB17230">
        <v>0</v>
      </c>
      <c r="AE17230" t="s">
        <v>1496</v>
      </c>
      <c r="AF17230" t="s">
        <v>448</v>
      </c>
      <c r="AG17230" t="s">
        <v>560</v>
      </c>
      <c r="AL17230" t="s">
        <v>2480</v>
      </c>
      <c r="AM17230" t="s">
        <v>2481</v>
      </c>
      <c r="AN17230" t="s">
        <v>2482</v>
      </c>
      <c r="AO17230" t="s">
        <v>1494</v>
      </c>
      <c r="AQ17230">
        <f>IF(ISBLANK(AP17230), IFERROR(IF(VLOOKUP(AO17230, Ellens_additions!$A$2:$B$252, 2, FALSE) = "", "", VLOOKUP(AO17230, Ellens_additions!$A$2:$B$252, 2, FALSE)), 0), AP17230)</f>
        <v>0</v>
      </c>
    </row>
    <row r="17231" spans="1:43" ht="14.4" hidden="1" x14ac:dyDescent="0.3">
      <c r="A17231" t="s">
        <v>2483</v>
      </c>
      <c r="B17231">
        <v>4909061</v>
      </c>
      <c r="C17231" t="s">
        <v>135</v>
      </c>
      <c r="D17231" t="s">
        <v>174</v>
      </c>
      <c r="E17231" t="s">
        <v>316</v>
      </c>
      <c r="F17231" t="s">
        <v>288</v>
      </c>
      <c r="H17231" t="s">
        <v>2484</v>
      </c>
      <c r="J17231" t="s">
        <v>140</v>
      </c>
      <c r="K17231">
        <v>159327.85</v>
      </c>
      <c r="L17231">
        <v>383622.86</v>
      </c>
      <c r="N17231" t="s">
        <v>1494</v>
      </c>
      <c r="O17231" t="s">
        <v>448</v>
      </c>
      <c r="P17231" t="s">
        <v>1495</v>
      </c>
      <c r="Q17231" t="s">
        <v>144</v>
      </c>
      <c r="S17231">
        <v>0</v>
      </c>
      <c r="T17231">
        <v>0</v>
      </c>
      <c r="V17231" t="s">
        <v>146</v>
      </c>
      <c r="W17231" t="s">
        <v>184</v>
      </c>
      <c r="X17231" t="s">
        <v>7</v>
      </c>
      <c r="Y17231" t="s">
        <v>1494</v>
      </c>
      <c r="Z17231" t="s">
        <v>448</v>
      </c>
      <c r="AA17231" t="s">
        <v>456</v>
      </c>
      <c r="AB17231">
        <v>0</v>
      </c>
      <c r="AE17231" t="s">
        <v>1496</v>
      </c>
      <c r="AF17231" t="s">
        <v>448</v>
      </c>
      <c r="AG17231" t="s">
        <v>560</v>
      </c>
      <c r="AL17231" t="s">
        <v>2485</v>
      </c>
      <c r="AM17231" t="s">
        <v>2486</v>
      </c>
      <c r="AN17231" t="s">
        <v>2487</v>
      </c>
      <c r="AO17231" t="s">
        <v>1494</v>
      </c>
      <c r="AQ17231">
        <f>IF(ISBLANK(AP17231), IFERROR(IF(VLOOKUP(AO17231, Ellens_additions!$A$2:$B$252, 2, FALSE) = "", "", VLOOKUP(AO17231, Ellens_additions!$A$2:$B$252, 2, FALSE)), 0), AP17231)</f>
        <v>0</v>
      </c>
    </row>
    <row r="17232" spans="1:43" ht="14.4" hidden="1" x14ac:dyDescent="0.3">
      <c r="A17232" t="s">
        <v>2488</v>
      </c>
      <c r="B17232">
        <v>4909066</v>
      </c>
      <c r="C17232" t="s">
        <v>135</v>
      </c>
      <c r="D17232" t="s">
        <v>174</v>
      </c>
      <c r="E17232" t="s">
        <v>316</v>
      </c>
      <c r="F17232" t="s">
        <v>288</v>
      </c>
      <c r="H17232" t="s">
        <v>2489</v>
      </c>
      <c r="J17232" t="s">
        <v>140</v>
      </c>
      <c r="K17232">
        <v>159321.1</v>
      </c>
      <c r="L17232">
        <v>383643.1</v>
      </c>
      <c r="N17232" t="s">
        <v>1494</v>
      </c>
      <c r="O17232" t="s">
        <v>448</v>
      </c>
      <c r="P17232" t="s">
        <v>1495</v>
      </c>
      <c r="Q17232" t="s">
        <v>144</v>
      </c>
      <c r="S17232">
        <v>0</v>
      </c>
      <c r="T17232">
        <v>0</v>
      </c>
      <c r="V17232" t="s">
        <v>146</v>
      </c>
      <c r="W17232" t="s">
        <v>184</v>
      </c>
      <c r="X17232" t="s">
        <v>7</v>
      </c>
      <c r="Y17232" t="s">
        <v>1494</v>
      </c>
      <c r="Z17232" t="s">
        <v>448</v>
      </c>
      <c r="AA17232" t="s">
        <v>456</v>
      </c>
      <c r="AB17232">
        <v>0</v>
      </c>
      <c r="AE17232" t="s">
        <v>1496</v>
      </c>
      <c r="AF17232" t="s">
        <v>448</v>
      </c>
      <c r="AG17232" t="s">
        <v>560</v>
      </c>
      <c r="AL17232" t="s">
        <v>2490</v>
      </c>
      <c r="AM17232" t="s">
        <v>2491</v>
      </c>
      <c r="AN17232" t="s">
        <v>2492</v>
      </c>
      <c r="AO17232" t="s">
        <v>1494</v>
      </c>
      <c r="AQ17232">
        <f>IF(ISBLANK(AP17232), IFERROR(IF(VLOOKUP(AO17232, Ellens_additions!$A$2:$B$252, 2, FALSE) = "", "", VLOOKUP(AO17232, Ellens_additions!$A$2:$B$252, 2, FALSE)), 0), AP17232)</f>
        <v>0</v>
      </c>
    </row>
    <row r="17233" spans="1:43" ht="14.4" hidden="1" x14ac:dyDescent="0.3">
      <c r="A17233" t="s">
        <v>2493</v>
      </c>
      <c r="B17233">
        <v>4909073</v>
      </c>
      <c r="C17233" t="s">
        <v>135</v>
      </c>
      <c r="D17233" t="s">
        <v>174</v>
      </c>
      <c r="E17233" t="s">
        <v>316</v>
      </c>
      <c r="F17233" t="s">
        <v>288</v>
      </c>
      <c r="H17233" t="s">
        <v>2494</v>
      </c>
      <c r="J17233" t="s">
        <v>140</v>
      </c>
      <c r="K17233">
        <v>159322.19</v>
      </c>
      <c r="L17233">
        <v>383635.36</v>
      </c>
      <c r="N17233" t="s">
        <v>1494</v>
      </c>
      <c r="O17233" t="s">
        <v>448</v>
      </c>
      <c r="P17233" t="s">
        <v>1495</v>
      </c>
      <c r="Q17233" t="s">
        <v>144</v>
      </c>
      <c r="S17233">
        <v>0</v>
      </c>
      <c r="T17233">
        <v>0</v>
      </c>
      <c r="V17233" t="s">
        <v>146</v>
      </c>
      <c r="W17233" t="s">
        <v>184</v>
      </c>
      <c r="X17233" t="s">
        <v>7</v>
      </c>
      <c r="Y17233" t="s">
        <v>1494</v>
      </c>
      <c r="Z17233" t="s">
        <v>448</v>
      </c>
      <c r="AA17233" t="s">
        <v>456</v>
      </c>
      <c r="AB17233">
        <v>0</v>
      </c>
      <c r="AE17233" t="s">
        <v>1496</v>
      </c>
      <c r="AF17233" t="s">
        <v>448</v>
      </c>
      <c r="AG17233" t="s">
        <v>560</v>
      </c>
      <c r="AL17233" t="s">
        <v>2495</v>
      </c>
      <c r="AM17233" t="s">
        <v>2496</v>
      </c>
      <c r="AN17233" t="s">
        <v>2497</v>
      </c>
      <c r="AO17233" t="s">
        <v>1494</v>
      </c>
      <c r="AQ17233">
        <f>IF(ISBLANK(AP17233), IFERROR(IF(VLOOKUP(AO17233, Ellens_additions!$A$2:$B$252, 2, FALSE) = "", "", VLOOKUP(AO17233, Ellens_additions!$A$2:$B$252, 2, FALSE)), 0), AP17233)</f>
        <v>0</v>
      </c>
    </row>
    <row r="17234" spans="1:43" ht="14.4" hidden="1" x14ac:dyDescent="0.3">
      <c r="A17234" t="s">
        <v>2498</v>
      </c>
      <c r="B17234">
        <v>4909076</v>
      </c>
      <c r="C17234" t="s">
        <v>135</v>
      </c>
      <c r="D17234" t="s">
        <v>174</v>
      </c>
      <c r="E17234" t="s">
        <v>316</v>
      </c>
      <c r="F17234" t="s">
        <v>288</v>
      </c>
      <c r="H17234" t="s">
        <v>2499</v>
      </c>
      <c r="J17234" t="s">
        <v>140</v>
      </c>
      <c r="K17234">
        <v>159322.60999999999</v>
      </c>
      <c r="L17234">
        <v>383632.19</v>
      </c>
      <c r="N17234" t="s">
        <v>1494</v>
      </c>
      <c r="O17234" t="s">
        <v>448</v>
      </c>
      <c r="P17234" t="s">
        <v>1495</v>
      </c>
      <c r="Q17234" t="s">
        <v>144</v>
      </c>
      <c r="S17234">
        <v>0</v>
      </c>
      <c r="T17234">
        <v>0</v>
      </c>
      <c r="V17234" t="s">
        <v>146</v>
      </c>
      <c r="W17234" t="s">
        <v>184</v>
      </c>
      <c r="X17234" t="s">
        <v>7</v>
      </c>
      <c r="Y17234" t="s">
        <v>1494</v>
      </c>
      <c r="Z17234" t="s">
        <v>448</v>
      </c>
      <c r="AA17234" t="s">
        <v>456</v>
      </c>
      <c r="AB17234">
        <v>0</v>
      </c>
      <c r="AE17234" t="s">
        <v>1496</v>
      </c>
      <c r="AF17234" t="s">
        <v>448</v>
      </c>
      <c r="AG17234" t="s">
        <v>560</v>
      </c>
      <c r="AL17234" t="s">
        <v>2500</v>
      </c>
      <c r="AM17234" t="s">
        <v>2501</v>
      </c>
      <c r="AN17234" t="s">
        <v>2502</v>
      </c>
      <c r="AO17234" t="s">
        <v>1494</v>
      </c>
      <c r="AQ17234">
        <f>IF(ISBLANK(AP17234), IFERROR(IF(VLOOKUP(AO17234, Ellens_additions!$A$2:$B$252, 2, FALSE) = "", "", VLOOKUP(AO17234, Ellens_additions!$A$2:$B$252, 2, FALSE)), 0), AP17234)</f>
        <v>0</v>
      </c>
    </row>
    <row r="17235" spans="1:43" ht="14.4" hidden="1" x14ac:dyDescent="0.3">
      <c r="A17235" t="s">
        <v>2503</v>
      </c>
      <c r="B17235">
        <v>4909078</v>
      </c>
      <c r="C17235" t="s">
        <v>135</v>
      </c>
      <c r="D17235" t="s">
        <v>174</v>
      </c>
      <c r="E17235" t="s">
        <v>316</v>
      </c>
      <c r="F17235" t="s">
        <v>288</v>
      </c>
      <c r="H17235" t="s">
        <v>2504</v>
      </c>
      <c r="J17235" t="s">
        <v>140</v>
      </c>
      <c r="K17235">
        <v>159322.99</v>
      </c>
      <c r="L17235">
        <v>383630.1</v>
      </c>
      <c r="N17235" t="s">
        <v>1494</v>
      </c>
      <c r="O17235" t="s">
        <v>448</v>
      </c>
      <c r="P17235" t="s">
        <v>1495</v>
      </c>
      <c r="Q17235" t="s">
        <v>144</v>
      </c>
      <c r="S17235">
        <v>0</v>
      </c>
      <c r="T17235">
        <v>0</v>
      </c>
      <c r="V17235" t="s">
        <v>146</v>
      </c>
      <c r="W17235" t="s">
        <v>184</v>
      </c>
      <c r="X17235" t="s">
        <v>7</v>
      </c>
      <c r="Y17235" t="s">
        <v>1494</v>
      </c>
      <c r="Z17235" t="s">
        <v>448</v>
      </c>
      <c r="AA17235" t="s">
        <v>456</v>
      </c>
      <c r="AB17235">
        <v>0</v>
      </c>
      <c r="AE17235" t="s">
        <v>1496</v>
      </c>
      <c r="AF17235" t="s">
        <v>448</v>
      </c>
      <c r="AG17235" t="s">
        <v>560</v>
      </c>
      <c r="AL17235" t="s">
        <v>2505</v>
      </c>
      <c r="AM17235" t="s">
        <v>2506</v>
      </c>
      <c r="AN17235" t="s">
        <v>2507</v>
      </c>
      <c r="AO17235" t="s">
        <v>1494</v>
      </c>
      <c r="AQ17235">
        <f>IF(ISBLANK(AP17235), IFERROR(IF(VLOOKUP(AO17235, Ellens_additions!$A$2:$B$252, 2, FALSE) = "", "", VLOOKUP(AO17235, Ellens_additions!$A$2:$B$252, 2, FALSE)), 0), AP17235)</f>
        <v>0</v>
      </c>
    </row>
    <row r="17236" spans="1:43" ht="14.4" hidden="1" x14ac:dyDescent="0.3">
      <c r="A17236" t="s">
        <v>2508</v>
      </c>
      <c r="B17236">
        <v>4909083</v>
      </c>
      <c r="C17236" t="s">
        <v>135</v>
      </c>
      <c r="D17236" t="s">
        <v>174</v>
      </c>
      <c r="E17236" t="s">
        <v>316</v>
      </c>
      <c r="F17236" t="s">
        <v>288</v>
      </c>
      <c r="H17236" t="s">
        <v>2509</v>
      </c>
      <c r="J17236" t="s">
        <v>140</v>
      </c>
      <c r="K17236">
        <v>159323.57</v>
      </c>
      <c r="L17236">
        <v>383625.01</v>
      </c>
      <c r="N17236" t="s">
        <v>1494</v>
      </c>
      <c r="O17236" t="s">
        <v>448</v>
      </c>
      <c r="P17236" t="s">
        <v>1495</v>
      </c>
      <c r="Q17236" t="s">
        <v>144</v>
      </c>
      <c r="S17236">
        <v>0</v>
      </c>
      <c r="T17236">
        <v>0</v>
      </c>
      <c r="V17236" t="s">
        <v>146</v>
      </c>
      <c r="W17236" t="s">
        <v>184</v>
      </c>
      <c r="X17236" t="s">
        <v>7</v>
      </c>
      <c r="Y17236" t="s">
        <v>1494</v>
      </c>
      <c r="Z17236" t="s">
        <v>448</v>
      </c>
      <c r="AA17236" t="s">
        <v>456</v>
      </c>
      <c r="AB17236">
        <v>0</v>
      </c>
      <c r="AE17236" t="s">
        <v>1496</v>
      </c>
      <c r="AF17236" t="s">
        <v>448</v>
      </c>
      <c r="AG17236" t="s">
        <v>560</v>
      </c>
      <c r="AL17236" t="s">
        <v>2510</v>
      </c>
      <c r="AM17236" t="s">
        <v>2511</v>
      </c>
      <c r="AN17236" t="s">
        <v>2512</v>
      </c>
      <c r="AO17236" t="s">
        <v>1494</v>
      </c>
      <c r="AQ17236">
        <f>IF(ISBLANK(AP17236), IFERROR(IF(VLOOKUP(AO17236, Ellens_additions!$A$2:$B$252, 2, FALSE) = "", "", VLOOKUP(AO17236, Ellens_additions!$A$2:$B$252, 2, FALSE)), 0), AP17236)</f>
        <v>0</v>
      </c>
    </row>
    <row r="17237" spans="1:43" ht="14.4" hidden="1" x14ac:dyDescent="0.3">
      <c r="A17237" t="s">
        <v>2513</v>
      </c>
      <c r="B17237">
        <v>4909084</v>
      </c>
      <c r="C17237" t="s">
        <v>135</v>
      </c>
      <c r="D17237" t="s">
        <v>174</v>
      </c>
      <c r="E17237" t="s">
        <v>316</v>
      </c>
      <c r="F17237" t="s">
        <v>288</v>
      </c>
      <c r="H17237" t="s">
        <v>2514</v>
      </c>
      <c r="J17237" t="s">
        <v>140</v>
      </c>
      <c r="K17237">
        <v>159323.54999999999</v>
      </c>
      <c r="L17237">
        <v>383624.31</v>
      </c>
      <c r="N17237" t="s">
        <v>1494</v>
      </c>
      <c r="O17237" t="s">
        <v>448</v>
      </c>
      <c r="P17237" t="s">
        <v>1495</v>
      </c>
      <c r="Q17237" t="s">
        <v>144</v>
      </c>
      <c r="S17237">
        <v>0</v>
      </c>
      <c r="T17237">
        <v>0</v>
      </c>
      <c r="V17237" t="s">
        <v>146</v>
      </c>
      <c r="W17237" t="s">
        <v>184</v>
      </c>
      <c r="X17237" t="s">
        <v>7</v>
      </c>
      <c r="Y17237" t="s">
        <v>1494</v>
      </c>
      <c r="Z17237" t="s">
        <v>448</v>
      </c>
      <c r="AA17237" t="s">
        <v>456</v>
      </c>
      <c r="AB17237">
        <v>0</v>
      </c>
      <c r="AE17237" t="s">
        <v>1496</v>
      </c>
      <c r="AF17237" t="s">
        <v>448</v>
      </c>
      <c r="AG17237" t="s">
        <v>560</v>
      </c>
      <c r="AL17237" t="s">
        <v>2515</v>
      </c>
      <c r="AM17237" t="s">
        <v>2516</v>
      </c>
      <c r="AN17237" t="s">
        <v>2517</v>
      </c>
      <c r="AO17237" t="s">
        <v>1494</v>
      </c>
      <c r="AQ17237">
        <f>IF(ISBLANK(AP17237), IFERROR(IF(VLOOKUP(AO17237, Ellens_additions!$A$2:$B$252, 2, FALSE) = "", "", VLOOKUP(AO17237, Ellens_additions!$A$2:$B$252, 2, FALSE)), 0), AP17237)</f>
        <v>0</v>
      </c>
    </row>
    <row r="17238" spans="1:43" ht="14.4" hidden="1" x14ac:dyDescent="0.3">
      <c r="A17238" t="s">
        <v>2518</v>
      </c>
      <c r="B17238">
        <v>4909085</v>
      </c>
      <c r="C17238" t="s">
        <v>135</v>
      </c>
      <c r="D17238" t="s">
        <v>174</v>
      </c>
      <c r="E17238" t="s">
        <v>316</v>
      </c>
      <c r="F17238" t="s">
        <v>288</v>
      </c>
      <c r="H17238" t="s">
        <v>2519</v>
      </c>
      <c r="J17238" t="s">
        <v>140</v>
      </c>
      <c r="K17238">
        <v>159323.4</v>
      </c>
      <c r="L17238">
        <v>383623.55</v>
      </c>
      <c r="N17238" t="s">
        <v>1494</v>
      </c>
      <c r="O17238" t="s">
        <v>448</v>
      </c>
      <c r="P17238" t="s">
        <v>1495</v>
      </c>
      <c r="Q17238" t="s">
        <v>144</v>
      </c>
      <c r="S17238">
        <v>0</v>
      </c>
      <c r="T17238">
        <v>0</v>
      </c>
      <c r="V17238" t="s">
        <v>146</v>
      </c>
      <c r="W17238" t="s">
        <v>184</v>
      </c>
      <c r="X17238" t="s">
        <v>7</v>
      </c>
      <c r="Y17238" t="s">
        <v>1494</v>
      </c>
      <c r="Z17238" t="s">
        <v>448</v>
      </c>
      <c r="AA17238" t="s">
        <v>456</v>
      </c>
      <c r="AB17238">
        <v>0</v>
      </c>
      <c r="AE17238" t="s">
        <v>1496</v>
      </c>
      <c r="AF17238" t="s">
        <v>448</v>
      </c>
      <c r="AG17238" t="s">
        <v>560</v>
      </c>
      <c r="AL17238" t="s">
        <v>2520</v>
      </c>
      <c r="AM17238" t="s">
        <v>2521</v>
      </c>
      <c r="AN17238" t="s">
        <v>2522</v>
      </c>
      <c r="AO17238" t="s">
        <v>1494</v>
      </c>
      <c r="AQ17238">
        <f>IF(ISBLANK(AP17238), IFERROR(IF(VLOOKUP(AO17238, Ellens_additions!$A$2:$B$252, 2, FALSE) = "", "", VLOOKUP(AO17238, Ellens_additions!$A$2:$B$252, 2, FALSE)), 0), AP17238)</f>
        <v>0</v>
      </c>
    </row>
    <row r="17239" spans="1:43" ht="14.4" hidden="1" x14ac:dyDescent="0.3">
      <c r="A17239" t="s">
        <v>2523</v>
      </c>
      <c r="B17239">
        <v>4909086</v>
      </c>
      <c r="C17239" t="s">
        <v>135</v>
      </c>
      <c r="D17239" t="s">
        <v>174</v>
      </c>
      <c r="E17239" t="s">
        <v>316</v>
      </c>
      <c r="F17239" t="s">
        <v>288</v>
      </c>
      <c r="H17239" t="s">
        <v>2524</v>
      </c>
      <c r="J17239" t="s">
        <v>140</v>
      </c>
      <c r="K17239">
        <v>159323.1</v>
      </c>
      <c r="L17239">
        <v>383622.88</v>
      </c>
      <c r="N17239" t="s">
        <v>1494</v>
      </c>
      <c r="O17239" t="s">
        <v>448</v>
      </c>
      <c r="P17239" t="s">
        <v>1495</v>
      </c>
      <c r="Q17239" t="s">
        <v>144</v>
      </c>
      <c r="S17239">
        <v>0</v>
      </c>
      <c r="T17239">
        <v>0</v>
      </c>
      <c r="V17239" t="s">
        <v>146</v>
      </c>
      <c r="W17239" t="s">
        <v>184</v>
      </c>
      <c r="X17239" t="s">
        <v>7</v>
      </c>
      <c r="Y17239" t="s">
        <v>1494</v>
      </c>
      <c r="Z17239" t="s">
        <v>448</v>
      </c>
      <c r="AA17239" t="s">
        <v>456</v>
      </c>
      <c r="AB17239">
        <v>0</v>
      </c>
      <c r="AE17239" t="s">
        <v>1496</v>
      </c>
      <c r="AF17239" t="s">
        <v>448</v>
      </c>
      <c r="AG17239" t="s">
        <v>560</v>
      </c>
      <c r="AL17239" t="s">
        <v>2525</v>
      </c>
      <c r="AM17239" t="s">
        <v>2526</v>
      </c>
      <c r="AN17239" t="s">
        <v>2527</v>
      </c>
      <c r="AO17239" t="s">
        <v>1494</v>
      </c>
      <c r="AQ17239">
        <f>IF(ISBLANK(AP17239), IFERROR(IF(VLOOKUP(AO17239, Ellens_additions!$A$2:$B$252, 2, FALSE) = "", "", VLOOKUP(AO17239, Ellens_additions!$A$2:$B$252, 2, FALSE)), 0), AP17239)</f>
        <v>0</v>
      </c>
    </row>
    <row r="17240" spans="1:43" ht="14.4" hidden="1" x14ac:dyDescent="0.3">
      <c r="A17240" t="s">
        <v>2528</v>
      </c>
      <c r="B17240">
        <v>4909087</v>
      </c>
      <c r="C17240" t="s">
        <v>135</v>
      </c>
      <c r="D17240" t="s">
        <v>174</v>
      </c>
      <c r="E17240" t="s">
        <v>316</v>
      </c>
      <c r="F17240" t="s">
        <v>288</v>
      </c>
      <c r="H17240" t="s">
        <v>2529</v>
      </c>
      <c r="J17240" t="s">
        <v>140</v>
      </c>
      <c r="K17240">
        <v>159322.78</v>
      </c>
      <c r="L17240">
        <v>383622.26</v>
      </c>
      <c r="N17240" t="s">
        <v>1494</v>
      </c>
      <c r="O17240" t="s">
        <v>448</v>
      </c>
      <c r="P17240" t="s">
        <v>1495</v>
      </c>
      <c r="Q17240" t="s">
        <v>144</v>
      </c>
      <c r="S17240">
        <v>0</v>
      </c>
      <c r="T17240">
        <v>0</v>
      </c>
      <c r="V17240" t="s">
        <v>146</v>
      </c>
      <c r="W17240" t="s">
        <v>184</v>
      </c>
      <c r="X17240" t="s">
        <v>7</v>
      </c>
      <c r="Y17240" t="s">
        <v>1494</v>
      </c>
      <c r="Z17240" t="s">
        <v>448</v>
      </c>
      <c r="AA17240" t="s">
        <v>456</v>
      </c>
      <c r="AB17240">
        <v>0</v>
      </c>
      <c r="AE17240" t="s">
        <v>1496</v>
      </c>
      <c r="AF17240" t="s">
        <v>448</v>
      </c>
      <c r="AG17240" t="s">
        <v>560</v>
      </c>
      <c r="AL17240" t="s">
        <v>2530</v>
      </c>
      <c r="AM17240" t="s">
        <v>2531</v>
      </c>
      <c r="AN17240" t="s">
        <v>2532</v>
      </c>
      <c r="AO17240" t="s">
        <v>1494</v>
      </c>
      <c r="AQ17240">
        <f>IF(ISBLANK(AP17240), IFERROR(IF(VLOOKUP(AO17240, Ellens_additions!$A$2:$B$252, 2, FALSE) = "", "", VLOOKUP(AO17240, Ellens_additions!$A$2:$B$252, 2, FALSE)), 0), AP17240)</f>
        <v>0</v>
      </c>
    </row>
    <row r="17241" spans="1:43" ht="14.4" hidden="1" x14ac:dyDescent="0.3">
      <c r="A17241" t="s">
        <v>2533</v>
      </c>
      <c r="B17241">
        <v>4909090</v>
      </c>
      <c r="C17241" t="s">
        <v>135</v>
      </c>
      <c r="D17241" t="s">
        <v>174</v>
      </c>
      <c r="E17241" t="s">
        <v>316</v>
      </c>
      <c r="F17241" t="s">
        <v>288</v>
      </c>
      <c r="H17241" t="s">
        <v>2534</v>
      </c>
      <c r="J17241" t="s">
        <v>140</v>
      </c>
      <c r="K17241">
        <v>159321.17000000001</v>
      </c>
      <c r="L17241">
        <v>383619.26</v>
      </c>
      <c r="N17241" t="s">
        <v>1494</v>
      </c>
      <c r="O17241" t="s">
        <v>448</v>
      </c>
      <c r="P17241" t="s">
        <v>1495</v>
      </c>
      <c r="Q17241" t="s">
        <v>144</v>
      </c>
      <c r="S17241">
        <v>0</v>
      </c>
      <c r="T17241">
        <v>0</v>
      </c>
      <c r="V17241" t="s">
        <v>146</v>
      </c>
      <c r="W17241" t="s">
        <v>184</v>
      </c>
      <c r="X17241" t="s">
        <v>7</v>
      </c>
      <c r="Y17241" t="s">
        <v>1494</v>
      </c>
      <c r="Z17241" t="s">
        <v>448</v>
      </c>
      <c r="AA17241" t="s">
        <v>456</v>
      </c>
      <c r="AB17241">
        <v>0</v>
      </c>
      <c r="AE17241" t="s">
        <v>1496</v>
      </c>
      <c r="AF17241" t="s">
        <v>448</v>
      </c>
      <c r="AG17241" t="s">
        <v>560</v>
      </c>
      <c r="AL17241" t="s">
        <v>2535</v>
      </c>
      <c r="AM17241" t="s">
        <v>2536</v>
      </c>
      <c r="AN17241" t="s">
        <v>2537</v>
      </c>
      <c r="AO17241" t="s">
        <v>1494</v>
      </c>
      <c r="AQ17241">
        <f>IF(ISBLANK(AP17241), IFERROR(IF(VLOOKUP(AO17241, Ellens_additions!$A$2:$B$252, 2, FALSE) = "", "", VLOOKUP(AO17241, Ellens_additions!$A$2:$B$252, 2, FALSE)), 0), AP17241)</f>
        <v>0</v>
      </c>
    </row>
    <row r="17242" spans="1:43" ht="14.4" hidden="1" x14ac:dyDescent="0.3">
      <c r="A17242" t="s">
        <v>2538</v>
      </c>
      <c r="B17242">
        <v>4909092</v>
      </c>
      <c r="C17242" t="s">
        <v>135</v>
      </c>
      <c r="D17242" t="s">
        <v>174</v>
      </c>
      <c r="E17242" t="s">
        <v>316</v>
      </c>
      <c r="F17242" t="s">
        <v>288</v>
      </c>
      <c r="H17242" t="s">
        <v>2539</v>
      </c>
      <c r="J17242" t="s">
        <v>140</v>
      </c>
      <c r="K17242">
        <v>159319.79</v>
      </c>
      <c r="L17242">
        <v>383617.38</v>
      </c>
      <c r="N17242" t="s">
        <v>1494</v>
      </c>
      <c r="O17242" t="s">
        <v>448</v>
      </c>
      <c r="P17242" t="s">
        <v>1495</v>
      </c>
      <c r="Q17242" t="s">
        <v>144</v>
      </c>
      <c r="S17242">
        <v>0</v>
      </c>
      <c r="T17242">
        <v>0</v>
      </c>
      <c r="V17242" t="s">
        <v>146</v>
      </c>
      <c r="W17242" t="s">
        <v>184</v>
      </c>
      <c r="X17242" t="s">
        <v>7</v>
      </c>
      <c r="Y17242" t="s">
        <v>1494</v>
      </c>
      <c r="Z17242" t="s">
        <v>448</v>
      </c>
      <c r="AA17242" t="s">
        <v>456</v>
      </c>
      <c r="AB17242">
        <v>0</v>
      </c>
      <c r="AE17242" t="s">
        <v>1496</v>
      </c>
      <c r="AF17242" t="s">
        <v>448</v>
      </c>
      <c r="AG17242" t="s">
        <v>560</v>
      </c>
      <c r="AL17242" t="s">
        <v>2540</v>
      </c>
      <c r="AM17242" t="s">
        <v>2541</v>
      </c>
      <c r="AN17242" t="s">
        <v>2542</v>
      </c>
      <c r="AO17242" t="s">
        <v>1494</v>
      </c>
      <c r="AQ17242">
        <f>IF(ISBLANK(AP17242), IFERROR(IF(VLOOKUP(AO17242, Ellens_additions!$A$2:$B$252, 2, FALSE) = "", "", VLOOKUP(AO17242, Ellens_additions!$A$2:$B$252, 2, FALSE)), 0), AP17242)</f>
        <v>0</v>
      </c>
    </row>
    <row r="17243" spans="1:43" ht="14.4" hidden="1" x14ac:dyDescent="0.3">
      <c r="A17243" t="s">
        <v>2543</v>
      </c>
      <c r="B17243">
        <v>4909094</v>
      </c>
      <c r="C17243" t="s">
        <v>135</v>
      </c>
      <c r="D17243" t="s">
        <v>174</v>
      </c>
      <c r="E17243" t="s">
        <v>316</v>
      </c>
      <c r="F17243" t="s">
        <v>288</v>
      </c>
      <c r="H17243" t="s">
        <v>2544</v>
      </c>
      <c r="J17243" t="s">
        <v>140</v>
      </c>
      <c r="K17243">
        <v>159318.35999999999</v>
      </c>
      <c r="L17243">
        <v>383615.8</v>
      </c>
      <c r="N17243" t="s">
        <v>1494</v>
      </c>
      <c r="O17243" t="s">
        <v>448</v>
      </c>
      <c r="P17243" t="s">
        <v>1495</v>
      </c>
      <c r="Q17243" t="s">
        <v>144</v>
      </c>
      <c r="S17243">
        <v>0</v>
      </c>
      <c r="T17243">
        <v>0</v>
      </c>
      <c r="V17243" t="s">
        <v>146</v>
      </c>
      <c r="W17243" t="s">
        <v>184</v>
      </c>
      <c r="X17243" t="s">
        <v>7</v>
      </c>
      <c r="Y17243" t="s">
        <v>1494</v>
      </c>
      <c r="Z17243" t="s">
        <v>448</v>
      </c>
      <c r="AA17243" t="s">
        <v>456</v>
      </c>
      <c r="AB17243">
        <v>0</v>
      </c>
      <c r="AE17243" t="s">
        <v>1496</v>
      </c>
      <c r="AF17243" t="s">
        <v>448</v>
      </c>
      <c r="AG17243" t="s">
        <v>560</v>
      </c>
      <c r="AL17243" t="s">
        <v>2545</v>
      </c>
      <c r="AM17243" t="s">
        <v>2546</v>
      </c>
      <c r="AN17243" t="s">
        <v>2547</v>
      </c>
      <c r="AO17243" t="s">
        <v>1494</v>
      </c>
      <c r="AQ17243">
        <f>IF(ISBLANK(AP17243), IFERROR(IF(VLOOKUP(AO17243, Ellens_additions!$A$2:$B$252, 2, FALSE) = "", "", VLOOKUP(AO17243, Ellens_additions!$A$2:$B$252, 2, FALSE)), 0), AP17243)</f>
        <v>0</v>
      </c>
    </row>
    <row r="17244" spans="1:43" ht="14.4" hidden="1" x14ac:dyDescent="0.3">
      <c r="A17244" t="s">
        <v>2548</v>
      </c>
      <c r="B17244">
        <v>4909099</v>
      </c>
      <c r="C17244" t="s">
        <v>135</v>
      </c>
      <c r="D17244" t="s">
        <v>174</v>
      </c>
      <c r="E17244" t="s">
        <v>316</v>
      </c>
      <c r="F17244" t="s">
        <v>288</v>
      </c>
      <c r="H17244" t="s">
        <v>2549</v>
      </c>
      <c r="J17244" t="s">
        <v>140</v>
      </c>
      <c r="K17244">
        <v>159313.57</v>
      </c>
      <c r="L17244">
        <v>383611.14</v>
      </c>
      <c r="N17244" t="s">
        <v>1494</v>
      </c>
      <c r="O17244" t="s">
        <v>448</v>
      </c>
      <c r="P17244" t="s">
        <v>1495</v>
      </c>
      <c r="Q17244" t="s">
        <v>144</v>
      </c>
      <c r="S17244">
        <v>0</v>
      </c>
      <c r="T17244">
        <v>0</v>
      </c>
      <c r="V17244" t="s">
        <v>146</v>
      </c>
      <c r="W17244" t="s">
        <v>184</v>
      </c>
      <c r="X17244" t="s">
        <v>7</v>
      </c>
      <c r="Y17244" t="s">
        <v>1494</v>
      </c>
      <c r="Z17244" t="s">
        <v>448</v>
      </c>
      <c r="AA17244" t="s">
        <v>456</v>
      </c>
      <c r="AB17244">
        <v>0</v>
      </c>
      <c r="AE17244" t="s">
        <v>1496</v>
      </c>
      <c r="AF17244" t="s">
        <v>448</v>
      </c>
      <c r="AG17244" t="s">
        <v>560</v>
      </c>
      <c r="AL17244" t="s">
        <v>2550</v>
      </c>
      <c r="AM17244" t="s">
        <v>2551</v>
      </c>
      <c r="AN17244" t="s">
        <v>2552</v>
      </c>
      <c r="AO17244" t="s">
        <v>1494</v>
      </c>
      <c r="AQ17244">
        <f>IF(ISBLANK(AP17244), IFERROR(IF(VLOOKUP(AO17244, Ellens_additions!$A$2:$B$252, 2, FALSE) = "", "", VLOOKUP(AO17244, Ellens_additions!$A$2:$B$252, 2, FALSE)), 0), AP17244)</f>
        <v>0</v>
      </c>
    </row>
    <row r="17245" spans="1:43" ht="14.4" hidden="1" x14ac:dyDescent="0.3">
      <c r="A17245" t="s">
        <v>2553</v>
      </c>
      <c r="B17245">
        <v>4909100</v>
      </c>
      <c r="C17245" t="s">
        <v>135</v>
      </c>
      <c r="D17245" t="s">
        <v>174</v>
      </c>
      <c r="E17245" t="s">
        <v>316</v>
      </c>
      <c r="F17245" t="s">
        <v>288</v>
      </c>
      <c r="H17245" t="s">
        <v>2554</v>
      </c>
      <c r="J17245" t="s">
        <v>140</v>
      </c>
      <c r="K17245">
        <v>159313.07</v>
      </c>
      <c r="L17245">
        <v>383610.65</v>
      </c>
      <c r="N17245" t="s">
        <v>1494</v>
      </c>
      <c r="O17245" t="s">
        <v>448</v>
      </c>
      <c r="P17245" t="s">
        <v>1495</v>
      </c>
      <c r="Q17245" t="s">
        <v>144</v>
      </c>
      <c r="S17245">
        <v>0</v>
      </c>
      <c r="T17245">
        <v>0</v>
      </c>
      <c r="V17245" t="s">
        <v>146</v>
      </c>
      <c r="W17245" t="s">
        <v>184</v>
      </c>
      <c r="X17245" t="s">
        <v>7</v>
      </c>
      <c r="Y17245" t="s">
        <v>1494</v>
      </c>
      <c r="Z17245" t="s">
        <v>448</v>
      </c>
      <c r="AA17245" t="s">
        <v>456</v>
      </c>
      <c r="AB17245">
        <v>0</v>
      </c>
      <c r="AE17245" t="s">
        <v>1496</v>
      </c>
      <c r="AF17245" t="s">
        <v>448</v>
      </c>
      <c r="AG17245" t="s">
        <v>560</v>
      </c>
      <c r="AL17245" t="s">
        <v>2555</v>
      </c>
      <c r="AM17245" t="s">
        <v>2556</v>
      </c>
      <c r="AN17245" t="s">
        <v>2557</v>
      </c>
      <c r="AO17245" t="s">
        <v>1494</v>
      </c>
      <c r="AQ17245">
        <f>IF(ISBLANK(AP17245), IFERROR(IF(VLOOKUP(AO17245, Ellens_additions!$A$2:$B$252, 2, FALSE) = "", "", VLOOKUP(AO17245, Ellens_additions!$A$2:$B$252, 2, FALSE)), 0), AP17245)</f>
        <v>0</v>
      </c>
    </row>
    <row r="17246" spans="1:43" ht="14.4" hidden="1" x14ac:dyDescent="0.3">
      <c r="A17246" t="s">
        <v>2558</v>
      </c>
      <c r="B17246">
        <v>4909101</v>
      </c>
      <c r="C17246" t="s">
        <v>135</v>
      </c>
      <c r="D17246" t="s">
        <v>174</v>
      </c>
      <c r="E17246" t="s">
        <v>316</v>
      </c>
      <c r="F17246" t="s">
        <v>288</v>
      </c>
      <c r="H17246" t="s">
        <v>2559</v>
      </c>
      <c r="J17246" t="s">
        <v>140</v>
      </c>
      <c r="K17246">
        <v>159311.98000000001</v>
      </c>
      <c r="L17246">
        <v>383609.75</v>
      </c>
      <c r="N17246" t="s">
        <v>1494</v>
      </c>
      <c r="O17246" t="s">
        <v>448</v>
      </c>
      <c r="P17246" t="s">
        <v>1495</v>
      </c>
      <c r="Q17246" t="s">
        <v>144</v>
      </c>
      <c r="S17246">
        <v>0</v>
      </c>
      <c r="T17246">
        <v>0</v>
      </c>
      <c r="V17246" t="s">
        <v>146</v>
      </c>
      <c r="W17246" t="s">
        <v>184</v>
      </c>
      <c r="X17246" t="s">
        <v>7</v>
      </c>
      <c r="Y17246" t="s">
        <v>1494</v>
      </c>
      <c r="Z17246" t="s">
        <v>448</v>
      </c>
      <c r="AA17246" t="s">
        <v>456</v>
      </c>
      <c r="AB17246">
        <v>0</v>
      </c>
      <c r="AE17246" t="s">
        <v>1496</v>
      </c>
      <c r="AF17246" t="s">
        <v>448</v>
      </c>
      <c r="AG17246" t="s">
        <v>560</v>
      </c>
      <c r="AL17246" t="s">
        <v>2560</v>
      </c>
      <c r="AM17246" t="s">
        <v>2561</v>
      </c>
      <c r="AN17246" t="s">
        <v>2562</v>
      </c>
      <c r="AO17246" t="s">
        <v>1494</v>
      </c>
      <c r="AQ17246">
        <f>IF(ISBLANK(AP17246), IFERROR(IF(VLOOKUP(AO17246, Ellens_additions!$A$2:$B$252, 2, FALSE) = "", "", VLOOKUP(AO17246, Ellens_additions!$A$2:$B$252, 2, FALSE)), 0), AP17246)</f>
        <v>0</v>
      </c>
    </row>
    <row r="17247" spans="1:43" ht="14.4" hidden="1" x14ac:dyDescent="0.3">
      <c r="A17247" t="s">
        <v>2563</v>
      </c>
      <c r="B17247">
        <v>4909103</v>
      </c>
      <c r="C17247" t="s">
        <v>135</v>
      </c>
      <c r="D17247" t="s">
        <v>174</v>
      </c>
      <c r="E17247" t="s">
        <v>316</v>
      </c>
      <c r="F17247" t="s">
        <v>288</v>
      </c>
      <c r="H17247" t="s">
        <v>2564</v>
      </c>
      <c r="J17247" t="s">
        <v>140</v>
      </c>
      <c r="K17247">
        <v>159310.39000000001</v>
      </c>
      <c r="L17247">
        <v>383608.46</v>
      </c>
      <c r="N17247" t="s">
        <v>1494</v>
      </c>
      <c r="O17247" t="s">
        <v>448</v>
      </c>
      <c r="P17247" t="s">
        <v>1495</v>
      </c>
      <c r="Q17247" t="s">
        <v>144</v>
      </c>
      <c r="S17247">
        <v>0</v>
      </c>
      <c r="T17247">
        <v>0</v>
      </c>
      <c r="V17247" t="s">
        <v>146</v>
      </c>
      <c r="W17247" t="s">
        <v>184</v>
      </c>
      <c r="X17247" t="s">
        <v>7</v>
      </c>
      <c r="Y17247" t="s">
        <v>1494</v>
      </c>
      <c r="Z17247" t="s">
        <v>448</v>
      </c>
      <c r="AA17247" t="s">
        <v>456</v>
      </c>
      <c r="AB17247">
        <v>0</v>
      </c>
      <c r="AE17247" t="s">
        <v>1496</v>
      </c>
      <c r="AF17247" t="s">
        <v>448</v>
      </c>
      <c r="AG17247" t="s">
        <v>560</v>
      </c>
      <c r="AL17247" t="s">
        <v>2565</v>
      </c>
      <c r="AM17247" t="s">
        <v>2566</v>
      </c>
      <c r="AN17247" t="s">
        <v>2567</v>
      </c>
      <c r="AO17247" t="s">
        <v>1494</v>
      </c>
      <c r="AQ17247">
        <f>IF(ISBLANK(AP17247), IFERROR(IF(VLOOKUP(AO17247, Ellens_additions!$A$2:$B$252, 2, FALSE) = "", "", VLOOKUP(AO17247, Ellens_additions!$A$2:$B$252, 2, FALSE)), 0), AP17247)</f>
        <v>0</v>
      </c>
    </row>
    <row r="17248" spans="1:43" ht="14.4" hidden="1" x14ac:dyDescent="0.3">
      <c r="A17248" t="s">
        <v>2568</v>
      </c>
      <c r="B17248">
        <v>4909107</v>
      </c>
      <c r="C17248" t="s">
        <v>135</v>
      </c>
      <c r="D17248" t="s">
        <v>174</v>
      </c>
      <c r="E17248" t="s">
        <v>316</v>
      </c>
      <c r="F17248" t="s">
        <v>288</v>
      </c>
      <c r="H17248" t="s">
        <v>2569</v>
      </c>
      <c r="J17248" t="s">
        <v>140</v>
      </c>
      <c r="K17248">
        <v>159307.12</v>
      </c>
      <c r="L17248">
        <v>383605.09</v>
      </c>
      <c r="N17248" t="s">
        <v>1494</v>
      </c>
      <c r="O17248" t="s">
        <v>448</v>
      </c>
      <c r="P17248" t="s">
        <v>1495</v>
      </c>
      <c r="Q17248" t="s">
        <v>144</v>
      </c>
      <c r="S17248">
        <v>0</v>
      </c>
      <c r="T17248">
        <v>0</v>
      </c>
      <c r="V17248" t="s">
        <v>146</v>
      </c>
      <c r="W17248" t="s">
        <v>184</v>
      </c>
      <c r="X17248" t="s">
        <v>7</v>
      </c>
      <c r="Y17248" t="s">
        <v>1494</v>
      </c>
      <c r="Z17248" t="s">
        <v>448</v>
      </c>
      <c r="AA17248" t="s">
        <v>456</v>
      </c>
      <c r="AB17248">
        <v>0</v>
      </c>
      <c r="AE17248" t="s">
        <v>1496</v>
      </c>
      <c r="AF17248" t="s">
        <v>448</v>
      </c>
      <c r="AG17248" t="s">
        <v>560</v>
      </c>
      <c r="AL17248" t="s">
        <v>2570</v>
      </c>
      <c r="AM17248" t="s">
        <v>2571</v>
      </c>
      <c r="AN17248" t="s">
        <v>2572</v>
      </c>
      <c r="AO17248" t="s">
        <v>1494</v>
      </c>
      <c r="AQ17248">
        <f>IF(ISBLANK(AP17248), IFERROR(IF(VLOOKUP(AO17248, Ellens_additions!$A$2:$B$252, 2, FALSE) = "", "", VLOOKUP(AO17248, Ellens_additions!$A$2:$B$252, 2, FALSE)), 0), AP17248)</f>
        <v>0</v>
      </c>
    </row>
    <row r="17249" spans="1:43" ht="14.4" hidden="1" x14ac:dyDescent="0.3">
      <c r="A17249" t="s">
        <v>2573</v>
      </c>
      <c r="B17249">
        <v>4909109</v>
      </c>
      <c r="C17249" t="s">
        <v>135</v>
      </c>
      <c r="D17249" t="s">
        <v>174</v>
      </c>
      <c r="E17249" t="s">
        <v>316</v>
      </c>
      <c r="F17249" t="s">
        <v>288</v>
      </c>
      <c r="H17249" t="s">
        <v>2574</v>
      </c>
      <c r="J17249" t="s">
        <v>140</v>
      </c>
      <c r="K17249">
        <v>159305.93</v>
      </c>
      <c r="L17249">
        <v>383603.6</v>
      </c>
      <c r="N17249" t="s">
        <v>1494</v>
      </c>
      <c r="O17249" t="s">
        <v>448</v>
      </c>
      <c r="P17249" t="s">
        <v>1495</v>
      </c>
      <c r="Q17249" t="s">
        <v>144</v>
      </c>
      <c r="S17249">
        <v>0</v>
      </c>
      <c r="T17249">
        <v>0</v>
      </c>
      <c r="V17249" t="s">
        <v>146</v>
      </c>
      <c r="W17249" t="s">
        <v>184</v>
      </c>
      <c r="X17249" t="s">
        <v>7</v>
      </c>
      <c r="Y17249" t="s">
        <v>1494</v>
      </c>
      <c r="Z17249" t="s">
        <v>448</v>
      </c>
      <c r="AA17249" t="s">
        <v>456</v>
      </c>
      <c r="AB17249">
        <v>0</v>
      </c>
      <c r="AE17249" t="s">
        <v>1496</v>
      </c>
      <c r="AF17249" t="s">
        <v>448</v>
      </c>
      <c r="AG17249" t="s">
        <v>560</v>
      </c>
      <c r="AL17249" t="s">
        <v>2575</v>
      </c>
      <c r="AM17249" t="s">
        <v>2576</v>
      </c>
      <c r="AN17249" t="s">
        <v>2577</v>
      </c>
      <c r="AO17249" t="s">
        <v>1494</v>
      </c>
      <c r="AQ17249">
        <f>IF(ISBLANK(AP17249), IFERROR(IF(VLOOKUP(AO17249, Ellens_additions!$A$2:$B$252, 2, FALSE) = "", "", VLOOKUP(AO17249, Ellens_additions!$A$2:$B$252, 2, FALSE)), 0), AP17249)</f>
        <v>0</v>
      </c>
    </row>
    <row r="17250" spans="1:43" ht="14.4" hidden="1" x14ac:dyDescent="0.3">
      <c r="A17250" t="s">
        <v>2578</v>
      </c>
      <c r="B17250">
        <v>4909110</v>
      </c>
      <c r="C17250" t="s">
        <v>135</v>
      </c>
      <c r="D17250" t="s">
        <v>174</v>
      </c>
      <c r="E17250" t="s">
        <v>316</v>
      </c>
      <c r="F17250" t="s">
        <v>288</v>
      </c>
      <c r="H17250" t="s">
        <v>2579</v>
      </c>
      <c r="J17250" t="s">
        <v>140</v>
      </c>
      <c r="K17250">
        <v>159305.43</v>
      </c>
      <c r="L17250">
        <v>383602.71</v>
      </c>
      <c r="N17250" t="s">
        <v>1494</v>
      </c>
      <c r="O17250" t="s">
        <v>448</v>
      </c>
      <c r="P17250" t="s">
        <v>1495</v>
      </c>
      <c r="Q17250" t="s">
        <v>144</v>
      </c>
      <c r="S17250">
        <v>0</v>
      </c>
      <c r="T17250">
        <v>0</v>
      </c>
      <c r="V17250" t="s">
        <v>146</v>
      </c>
      <c r="W17250" t="s">
        <v>184</v>
      </c>
      <c r="X17250" t="s">
        <v>7</v>
      </c>
      <c r="Y17250" t="s">
        <v>1494</v>
      </c>
      <c r="Z17250" t="s">
        <v>448</v>
      </c>
      <c r="AA17250" t="s">
        <v>456</v>
      </c>
      <c r="AB17250">
        <v>0</v>
      </c>
      <c r="AE17250" t="s">
        <v>1496</v>
      </c>
      <c r="AF17250" t="s">
        <v>448</v>
      </c>
      <c r="AG17250" t="s">
        <v>560</v>
      </c>
      <c r="AL17250" t="s">
        <v>2580</v>
      </c>
      <c r="AM17250" t="s">
        <v>2581</v>
      </c>
      <c r="AN17250" t="s">
        <v>2582</v>
      </c>
      <c r="AO17250" t="s">
        <v>1494</v>
      </c>
      <c r="AQ17250">
        <f>IF(ISBLANK(AP17250), IFERROR(IF(VLOOKUP(AO17250, Ellens_additions!$A$2:$B$252, 2, FALSE) = "", "", VLOOKUP(AO17250, Ellens_additions!$A$2:$B$252, 2, FALSE)), 0), AP17250)</f>
        <v>0</v>
      </c>
    </row>
    <row r="17251" spans="1:43" ht="14.4" hidden="1" x14ac:dyDescent="0.3">
      <c r="A17251" t="s">
        <v>2583</v>
      </c>
      <c r="B17251">
        <v>4909113</v>
      </c>
      <c r="C17251" t="s">
        <v>135</v>
      </c>
      <c r="D17251" t="s">
        <v>174</v>
      </c>
      <c r="E17251" t="s">
        <v>316</v>
      </c>
      <c r="F17251" t="s">
        <v>288</v>
      </c>
      <c r="H17251" t="s">
        <v>2584</v>
      </c>
      <c r="J17251" t="s">
        <v>140</v>
      </c>
      <c r="K17251">
        <v>159303.35</v>
      </c>
      <c r="L17251">
        <v>383600.13</v>
      </c>
      <c r="N17251" t="s">
        <v>1494</v>
      </c>
      <c r="O17251" t="s">
        <v>448</v>
      </c>
      <c r="P17251" t="s">
        <v>1495</v>
      </c>
      <c r="Q17251" t="s">
        <v>144</v>
      </c>
      <c r="S17251">
        <v>0</v>
      </c>
      <c r="T17251">
        <v>0</v>
      </c>
      <c r="V17251" t="s">
        <v>146</v>
      </c>
      <c r="W17251" t="s">
        <v>184</v>
      </c>
      <c r="X17251" t="s">
        <v>7</v>
      </c>
      <c r="Y17251" t="s">
        <v>1494</v>
      </c>
      <c r="Z17251" t="s">
        <v>448</v>
      </c>
      <c r="AA17251" t="s">
        <v>456</v>
      </c>
      <c r="AB17251">
        <v>0</v>
      </c>
      <c r="AE17251" t="s">
        <v>1496</v>
      </c>
      <c r="AF17251" t="s">
        <v>448</v>
      </c>
      <c r="AG17251" t="s">
        <v>560</v>
      </c>
      <c r="AL17251" t="s">
        <v>2585</v>
      </c>
      <c r="AM17251" t="s">
        <v>2586</v>
      </c>
      <c r="AN17251" t="s">
        <v>2587</v>
      </c>
      <c r="AO17251" t="s">
        <v>1494</v>
      </c>
      <c r="AQ17251">
        <f>IF(ISBLANK(AP17251), IFERROR(IF(VLOOKUP(AO17251, Ellens_additions!$A$2:$B$252, 2, FALSE) = "", "", VLOOKUP(AO17251, Ellens_additions!$A$2:$B$252, 2, FALSE)), 0), AP17251)</f>
        <v>0</v>
      </c>
    </row>
    <row r="17252" spans="1:43" ht="14.4" hidden="1" x14ac:dyDescent="0.3">
      <c r="A17252" t="s">
        <v>2588</v>
      </c>
      <c r="B17252">
        <v>4909114</v>
      </c>
      <c r="C17252" t="s">
        <v>135</v>
      </c>
      <c r="D17252" t="s">
        <v>174</v>
      </c>
      <c r="E17252" t="s">
        <v>316</v>
      </c>
      <c r="F17252" t="s">
        <v>288</v>
      </c>
      <c r="H17252" t="s">
        <v>2589</v>
      </c>
      <c r="J17252" t="s">
        <v>140</v>
      </c>
      <c r="K17252">
        <v>159302.54999999999</v>
      </c>
      <c r="L17252">
        <v>383599.04</v>
      </c>
      <c r="N17252" t="s">
        <v>1494</v>
      </c>
      <c r="O17252" t="s">
        <v>448</v>
      </c>
      <c r="P17252" t="s">
        <v>1495</v>
      </c>
      <c r="Q17252" t="s">
        <v>144</v>
      </c>
      <c r="S17252">
        <v>0</v>
      </c>
      <c r="T17252">
        <v>0</v>
      </c>
      <c r="V17252" t="s">
        <v>146</v>
      </c>
      <c r="W17252" t="s">
        <v>184</v>
      </c>
      <c r="X17252" t="s">
        <v>7</v>
      </c>
      <c r="Y17252" t="s">
        <v>1494</v>
      </c>
      <c r="Z17252" t="s">
        <v>448</v>
      </c>
      <c r="AA17252" t="s">
        <v>456</v>
      </c>
      <c r="AB17252">
        <v>0</v>
      </c>
      <c r="AE17252" t="s">
        <v>1496</v>
      </c>
      <c r="AF17252" t="s">
        <v>448</v>
      </c>
      <c r="AG17252" t="s">
        <v>560</v>
      </c>
      <c r="AL17252" t="s">
        <v>2590</v>
      </c>
      <c r="AM17252" t="s">
        <v>2591</v>
      </c>
      <c r="AN17252" t="s">
        <v>2592</v>
      </c>
      <c r="AO17252" t="s">
        <v>1494</v>
      </c>
      <c r="AQ17252">
        <f>IF(ISBLANK(AP17252), IFERROR(IF(VLOOKUP(AO17252, Ellens_additions!$A$2:$B$252, 2, FALSE) = "", "", VLOOKUP(AO17252, Ellens_additions!$A$2:$B$252, 2, FALSE)), 0), AP17252)</f>
        <v>0</v>
      </c>
    </row>
    <row r="17253" spans="1:43" ht="14.4" hidden="1" x14ac:dyDescent="0.3">
      <c r="A17253" t="s">
        <v>2593</v>
      </c>
      <c r="B17253">
        <v>4909115</v>
      </c>
      <c r="C17253" t="s">
        <v>135</v>
      </c>
      <c r="D17253" t="s">
        <v>174</v>
      </c>
      <c r="E17253" t="s">
        <v>316</v>
      </c>
      <c r="F17253" t="s">
        <v>288</v>
      </c>
      <c r="H17253" t="s">
        <v>2594</v>
      </c>
      <c r="J17253" t="s">
        <v>140</v>
      </c>
      <c r="K17253">
        <v>159301.46</v>
      </c>
      <c r="L17253">
        <v>383597.45</v>
      </c>
      <c r="N17253" t="s">
        <v>1494</v>
      </c>
      <c r="O17253" t="s">
        <v>448</v>
      </c>
      <c r="P17253" t="s">
        <v>1495</v>
      </c>
      <c r="Q17253" t="s">
        <v>144</v>
      </c>
      <c r="S17253">
        <v>0</v>
      </c>
      <c r="T17253">
        <v>0</v>
      </c>
      <c r="V17253" t="s">
        <v>146</v>
      </c>
      <c r="W17253" t="s">
        <v>184</v>
      </c>
      <c r="X17253" t="s">
        <v>7</v>
      </c>
      <c r="Y17253" t="s">
        <v>1494</v>
      </c>
      <c r="Z17253" t="s">
        <v>448</v>
      </c>
      <c r="AA17253" t="s">
        <v>456</v>
      </c>
      <c r="AB17253">
        <v>0</v>
      </c>
      <c r="AE17253" t="s">
        <v>1496</v>
      </c>
      <c r="AF17253" t="s">
        <v>448</v>
      </c>
      <c r="AG17253" t="s">
        <v>560</v>
      </c>
      <c r="AL17253" t="s">
        <v>2595</v>
      </c>
      <c r="AM17253" t="s">
        <v>2596</v>
      </c>
      <c r="AN17253" t="s">
        <v>2597</v>
      </c>
      <c r="AO17253" t="s">
        <v>1494</v>
      </c>
      <c r="AQ17253">
        <f>IF(ISBLANK(AP17253), IFERROR(IF(VLOOKUP(AO17253, Ellens_additions!$A$2:$B$252, 2, FALSE) = "", "", VLOOKUP(AO17253, Ellens_additions!$A$2:$B$252, 2, FALSE)), 0), AP17253)</f>
        <v>0</v>
      </c>
    </row>
    <row r="17254" spans="1:43" ht="14.4" hidden="1" x14ac:dyDescent="0.3">
      <c r="A17254" t="s">
        <v>2598</v>
      </c>
      <c r="B17254">
        <v>4909119</v>
      </c>
      <c r="C17254" t="s">
        <v>135</v>
      </c>
      <c r="D17254" t="s">
        <v>174</v>
      </c>
      <c r="E17254" t="s">
        <v>316</v>
      </c>
      <c r="F17254" t="s">
        <v>288</v>
      </c>
      <c r="H17254" t="s">
        <v>2599</v>
      </c>
      <c r="J17254" t="s">
        <v>140</v>
      </c>
      <c r="K17254">
        <v>159298.49</v>
      </c>
      <c r="L17254">
        <v>383594.27</v>
      </c>
      <c r="N17254" t="s">
        <v>1494</v>
      </c>
      <c r="O17254" t="s">
        <v>448</v>
      </c>
      <c r="P17254" t="s">
        <v>1495</v>
      </c>
      <c r="Q17254" t="s">
        <v>144</v>
      </c>
      <c r="S17254">
        <v>0</v>
      </c>
      <c r="T17254">
        <v>0</v>
      </c>
      <c r="V17254" t="s">
        <v>146</v>
      </c>
      <c r="W17254" t="s">
        <v>184</v>
      </c>
      <c r="X17254" t="s">
        <v>7</v>
      </c>
      <c r="Y17254" t="s">
        <v>1494</v>
      </c>
      <c r="Z17254" t="s">
        <v>448</v>
      </c>
      <c r="AA17254" t="s">
        <v>456</v>
      </c>
      <c r="AB17254">
        <v>0</v>
      </c>
      <c r="AE17254" t="s">
        <v>1496</v>
      </c>
      <c r="AF17254" t="s">
        <v>448</v>
      </c>
      <c r="AG17254" t="s">
        <v>560</v>
      </c>
      <c r="AL17254" t="s">
        <v>2600</v>
      </c>
      <c r="AM17254" t="s">
        <v>2601</v>
      </c>
      <c r="AN17254" t="s">
        <v>2602</v>
      </c>
      <c r="AO17254" t="s">
        <v>1494</v>
      </c>
      <c r="AQ17254">
        <f>IF(ISBLANK(AP17254), IFERROR(IF(VLOOKUP(AO17254, Ellens_additions!$A$2:$B$252, 2, FALSE) = "", "", VLOOKUP(AO17254, Ellens_additions!$A$2:$B$252, 2, FALSE)), 0), AP17254)</f>
        <v>0</v>
      </c>
    </row>
    <row r="17255" spans="1:43" ht="14.4" hidden="1" x14ac:dyDescent="0.3">
      <c r="A17255" t="s">
        <v>2603</v>
      </c>
      <c r="B17255">
        <v>4909123</v>
      </c>
      <c r="C17255" t="s">
        <v>135</v>
      </c>
      <c r="D17255" t="s">
        <v>174</v>
      </c>
      <c r="E17255" t="s">
        <v>316</v>
      </c>
      <c r="F17255" t="s">
        <v>288</v>
      </c>
      <c r="H17255" t="s">
        <v>2604</v>
      </c>
      <c r="J17255" t="s">
        <v>140</v>
      </c>
      <c r="K17255">
        <v>159294.72</v>
      </c>
      <c r="L17255">
        <v>383591.89</v>
      </c>
      <c r="N17255" t="s">
        <v>1494</v>
      </c>
      <c r="O17255" t="s">
        <v>448</v>
      </c>
      <c r="P17255" t="s">
        <v>1495</v>
      </c>
      <c r="Q17255" t="s">
        <v>144</v>
      </c>
      <c r="S17255">
        <v>0</v>
      </c>
      <c r="T17255">
        <v>0</v>
      </c>
      <c r="V17255" t="s">
        <v>146</v>
      </c>
      <c r="W17255" t="s">
        <v>184</v>
      </c>
      <c r="X17255" t="s">
        <v>7</v>
      </c>
      <c r="Y17255" t="s">
        <v>1494</v>
      </c>
      <c r="Z17255" t="s">
        <v>448</v>
      </c>
      <c r="AA17255" t="s">
        <v>456</v>
      </c>
      <c r="AB17255">
        <v>0</v>
      </c>
      <c r="AE17255" t="s">
        <v>1496</v>
      </c>
      <c r="AF17255" t="s">
        <v>448</v>
      </c>
      <c r="AG17255" t="s">
        <v>560</v>
      </c>
      <c r="AL17255" t="s">
        <v>2605</v>
      </c>
      <c r="AM17255" t="s">
        <v>2606</v>
      </c>
      <c r="AN17255" t="s">
        <v>2607</v>
      </c>
      <c r="AO17255" t="s">
        <v>1494</v>
      </c>
      <c r="AQ17255">
        <f>IF(ISBLANK(AP17255), IFERROR(IF(VLOOKUP(AO17255, Ellens_additions!$A$2:$B$252, 2, FALSE) = "", "", VLOOKUP(AO17255, Ellens_additions!$A$2:$B$252, 2, FALSE)), 0), AP17255)</f>
        <v>0</v>
      </c>
    </row>
    <row r="17256" spans="1:43" ht="14.4" hidden="1" x14ac:dyDescent="0.3">
      <c r="A17256" t="s">
        <v>2608</v>
      </c>
      <c r="B17256">
        <v>4909124</v>
      </c>
      <c r="C17256" t="s">
        <v>135</v>
      </c>
      <c r="D17256" t="s">
        <v>174</v>
      </c>
      <c r="E17256" t="s">
        <v>316</v>
      </c>
      <c r="F17256" t="s">
        <v>288</v>
      </c>
      <c r="H17256" t="s">
        <v>2609</v>
      </c>
      <c r="J17256" t="s">
        <v>140</v>
      </c>
      <c r="K17256">
        <v>159293.51999999999</v>
      </c>
      <c r="L17256">
        <v>383591.4</v>
      </c>
      <c r="N17256" t="s">
        <v>1494</v>
      </c>
      <c r="O17256" t="s">
        <v>448</v>
      </c>
      <c r="P17256" t="s">
        <v>1495</v>
      </c>
      <c r="Q17256" t="s">
        <v>144</v>
      </c>
      <c r="S17256">
        <v>0</v>
      </c>
      <c r="T17256">
        <v>0</v>
      </c>
      <c r="V17256" t="s">
        <v>146</v>
      </c>
      <c r="W17256" t="s">
        <v>184</v>
      </c>
      <c r="X17256" t="s">
        <v>7</v>
      </c>
      <c r="Y17256" t="s">
        <v>1494</v>
      </c>
      <c r="Z17256" t="s">
        <v>448</v>
      </c>
      <c r="AA17256" t="s">
        <v>456</v>
      </c>
      <c r="AB17256">
        <v>0</v>
      </c>
      <c r="AE17256" t="s">
        <v>1496</v>
      </c>
      <c r="AF17256" t="s">
        <v>448</v>
      </c>
      <c r="AG17256" t="s">
        <v>560</v>
      </c>
      <c r="AL17256" t="s">
        <v>2610</v>
      </c>
      <c r="AM17256" t="s">
        <v>2611</v>
      </c>
      <c r="AN17256" t="s">
        <v>2612</v>
      </c>
      <c r="AO17256" t="s">
        <v>1494</v>
      </c>
      <c r="AQ17256">
        <f>IF(ISBLANK(AP17256), IFERROR(IF(VLOOKUP(AO17256, Ellens_additions!$A$2:$B$252, 2, FALSE) = "", "", VLOOKUP(AO17256, Ellens_additions!$A$2:$B$252, 2, FALSE)), 0), AP17256)</f>
        <v>0</v>
      </c>
    </row>
    <row r="17257" spans="1:43" ht="14.4" hidden="1" x14ac:dyDescent="0.3">
      <c r="A17257" t="s">
        <v>2613</v>
      </c>
      <c r="B17257">
        <v>4909128</v>
      </c>
      <c r="C17257" t="s">
        <v>135</v>
      </c>
      <c r="D17257" t="s">
        <v>174</v>
      </c>
      <c r="E17257" t="s">
        <v>316</v>
      </c>
      <c r="F17257" t="s">
        <v>288</v>
      </c>
      <c r="H17257" t="s">
        <v>2614</v>
      </c>
      <c r="J17257" t="s">
        <v>140</v>
      </c>
      <c r="K17257">
        <v>159289.35</v>
      </c>
      <c r="L17257">
        <v>383590.40000000002</v>
      </c>
      <c r="N17257" t="s">
        <v>1494</v>
      </c>
      <c r="O17257" t="s">
        <v>448</v>
      </c>
      <c r="P17257" t="s">
        <v>1495</v>
      </c>
      <c r="Q17257" t="s">
        <v>144</v>
      </c>
      <c r="S17257">
        <v>0</v>
      </c>
      <c r="T17257">
        <v>0</v>
      </c>
      <c r="V17257" t="s">
        <v>146</v>
      </c>
      <c r="W17257" t="s">
        <v>184</v>
      </c>
      <c r="X17257" t="s">
        <v>7</v>
      </c>
      <c r="Y17257" t="s">
        <v>1494</v>
      </c>
      <c r="Z17257" t="s">
        <v>448</v>
      </c>
      <c r="AA17257" t="s">
        <v>456</v>
      </c>
      <c r="AB17257">
        <v>0</v>
      </c>
      <c r="AE17257" t="s">
        <v>1496</v>
      </c>
      <c r="AF17257" t="s">
        <v>448</v>
      </c>
      <c r="AG17257" t="s">
        <v>560</v>
      </c>
      <c r="AL17257" t="s">
        <v>2615</v>
      </c>
      <c r="AM17257" t="s">
        <v>2616</v>
      </c>
      <c r="AN17257" t="s">
        <v>2617</v>
      </c>
      <c r="AO17257" t="s">
        <v>1494</v>
      </c>
      <c r="AQ17257">
        <f>IF(ISBLANK(AP17257), IFERROR(IF(VLOOKUP(AO17257, Ellens_additions!$A$2:$B$252, 2, FALSE) = "", "", VLOOKUP(AO17257, Ellens_additions!$A$2:$B$252, 2, FALSE)), 0), AP17257)</f>
        <v>0</v>
      </c>
    </row>
    <row r="17258" spans="1:43" ht="14.4" hidden="1" x14ac:dyDescent="0.3">
      <c r="A17258" t="s">
        <v>2618</v>
      </c>
      <c r="B17258">
        <v>4909131</v>
      </c>
      <c r="C17258" t="s">
        <v>135</v>
      </c>
      <c r="D17258" t="s">
        <v>174</v>
      </c>
      <c r="E17258" t="s">
        <v>316</v>
      </c>
      <c r="F17258" t="s">
        <v>288</v>
      </c>
      <c r="H17258" t="s">
        <v>2619</v>
      </c>
      <c r="J17258" t="s">
        <v>140</v>
      </c>
      <c r="K17258">
        <v>159286.18</v>
      </c>
      <c r="L17258">
        <v>383589.91</v>
      </c>
      <c r="N17258" t="s">
        <v>1494</v>
      </c>
      <c r="O17258" t="s">
        <v>448</v>
      </c>
      <c r="P17258" t="s">
        <v>1495</v>
      </c>
      <c r="Q17258" t="s">
        <v>144</v>
      </c>
      <c r="S17258">
        <v>0</v>
      </c>
      <c r="T17258">
        <v>0</v>
      </c>
      <c r="V17258" t="s">
        <v>146</v>
      </c>
      <c r="W17258" t="s">
        <v>184</v>
      </c>
      <c r="X17258" t="s">
        <v>7</v>
      </c>
      <c r="Y17258" t="s">
        <v>1494</v>
      </c>
      <c r="Z17258" t="s">
        <v>448</v>
      </c>
      <c r="AA17258" t="s">
        <v>456</v>
      </c>
      <c r="AB17258">
        <v>0</v>
      </c>
      <c r="AE17258" t="s">
        <v>1496</v>
      </c>
      <c r="AF17258" t="s">
        <v>448</v>
      </c>
      <c r="AG17258" t="s">
        <v>560</v>
      </c>
      <c r="AL17258" t="s">
        <v>2620</v>
      </c>
      <c r="AM17258" t="s">
        <v>2621</v>
      </c>
      <c r="AN17258" t="s">
        <v>2622</v>
      </c>
      <c r="AO17258" t="s">
        <v>1494</v>
      </c>
      <c r="AQ17258">
        <f>IF(ISBLANK(AP17258), IFERROR(IF(VLOOKUP(AO17258, Ellens_additions!$A$2:$B$252, 2, FALSE) = "", "", VLOOKUP(AO17258, Ellens_additions!$A$2:$B$252, 2, FALSE)), 0), AP17258)</f>
        <v>0</v>
      </c>
    </row>
    <row r="17259" spans="1:43" ht="14.4" hidden="1" x14ac:dyDescent="0.3">
      <c r="A17259" t="s">
        <v>2623</v>
      </c>
      <c r="B17259">
        <v>4909132</v>
      </c>
      <c r="C17259" t="s">
        <v>135</v>
      </c>
      <c r="D17259" t="s">
        <v>174</v>
      </c>
      <c r="E17259" t="s">
        <v>316</v>
      </c>
      <c r="F17259" t="s">
        <v>288</v>
      </c>
      <c r="H17259" t="s">
        <v>2624</v>
      </c>
      <c r="J17259" t="s">
        <v>140</v>
      </c>
      <c r="K17259">
        <v>159285.19</v>
      </c>
      <c r="L17259">
        <v>383589.91</v>
      </c>
      <c r="N17259" t="s">
        <v>1494</v>
      </c>
      <c r="O17259" t="s">
        <v>448</v>
      </c>
      <c r="P17259" t="s">
        <v>1495</v>
      </c>
      <c r="Q17259" t="s">
        <v>144</v>
      </c>
      <c r="S17259">
        <v>0</v>
      </c>
      <c r="T17259">
        <v>0</v>
      </c>
      <c r="V17259" t="s">
        <v>146</v>
      </c>
      <c r="W17259" t="s">
        <v>184</v>
      </c>
      <c r="X17259" t="s">
        <v>7</v>
      </c>
      <c r="Y17259" t="s">
        <v>1494</v>
      </c>
      <c r="Z17259" t="s">
        <v>448</v>
      </c>
      <c r="AA17259" t="s">
        <v>456</v>
      </c>
      <c r="AB17259">
        <v>0</v>
      </c>
      <c r="AE17259" t="s">
        <v>1496</v>
      </c>
      <c r="AF17259" t="s">
        <v>448</v>
      </c>
      <c r="AG17259" t="s">
        <v>560</v>
      </c>
      <c r="AL17259" t="s">
        <v>2625</v>
      </c>
      <c r="AM17259" t="s">
        <v>2626</v>
      </c>
      <c r="AN17259" t="s">
        <v>2627</v>
      </c>
      <c r="AO17259" t="s">
        <v>1494</v>
      </c>
      <c r="AQ17259">
        <f>IF(ISBLANK(AP17259), IFERROR(IF(VLOOKUP(AO17259, Ellens_additions!$A$2:$B$252, 2, FALSE) = "", "", VLOOKUP(AO17259, Ellens_additions!$A$2:$B$252, 2, FALSE)), 0), AP17259)</f>
        <v>0</v>
      </c>
    </row>
    <row r="17260" spans="1:43" ht="14.4" hidden="1" x14ac:dyDescent="0.3">
      <c r="A17260" t="s">
        <v>2628</v>
      </c>
      <c r="B17260">
        <v>4909138</v>
      </c>
      <c r="C17260" t="s">
        <v>135</v>
      </c>
      <c r="D17260" t="s">
        <v>174</v>
      </c>
      <c r="E17260" t="s">
        <v>316</v>
      </c>
      <c r="F17260" t="s">
        <v>288</v>
      </c>
      <c r="H17260" t="s">
        <v>2629</v>
      </c>
      <c r="J17260" t="s">
        <v>140</v>
      </c>
      <c r="K17260">
        <v>159278.87</v>
      </c>
      <c r="L17260">
        <v>383589.95</v>
      </c>
      <c r="N17260" t="s">
        <v>1494</v>
      </c>
      <c r="O17260" t="s">
        <v>448</v>
      </c>
      <c r="P17260" t="s">
        <v>1495</v>
      </c>
      <c r="Q17260" t="s">
        <v>144</v>
      </c>
      <c r="S17260">
        <v>0</v>
      </c>
      <c r="T17260">
        <v>0</v>
      </c>
      <c r="V17260" t="s">
        <v>146</v>
      </c>
      <c r="W17260" t="s">
        <v>184</v>
      </c>
      <c r="X17260" t="s">
        <v>7</v>
      </c>
      <c r="Y17260" t="s">
        <v>1494</v>
      </c>
      <c r="Z17260" t="s">
        <v>448</v>
      </c>
      <c r="AA17260" t="s">
        <v>456</v>
      </c>
      <c r="AB17260">
        <v>0</v>
      </c>
      <c r="AE17260" t="s">
        <v>1496</v>
      </c>
      <c r="AF17260" t="s">
        <v>448</v>
      </c>
      <c r="AG17260" t="s">
        <v>560</v>
      </c>
      <c r="AL17260" t="s">
        <v>2630</v>
      </c>
      <c r="AM17260" t="s">
        <v>2631</v>
      </c>
      <c r="AN17260" t="s">
        <v>2632</v>
      </c>
      <c r="AO17260" t="s">
        <v>1494</v>
      </c>
      <c r="AQ17260">
        <f>IF(ISBLANK(AP17260), IFERROR(IF(VLOOKUP(AO17260, Ellens_additions!$A$2:$B$252, 2, FALSE) = "", "", VLOOKUP(AO17260, Ellens_additions!$A$2:$B$252, 2, FALSE)), 0), AP17260)</f>
        <v>0</v>
      </c>
    </row>
    <row r="17261" spans="1:43" ht="14.4" hidden="1" x14ac:dyDescent="0.3">
      <c r="A17261" t="s">
        <v>2633</v>
      </c>
      <c r="B17261">
        <v>4909143</v>
      </c>
      <c r="C17261" t="s">
        <v>135</v>
      </c>
      <c r="D17261" t="s">
        <v>174</v>
      </c>
      <c r="E17261" t="s">
        <v>316</v>
      </c>
      <c r="F17261" t="s">
        <v>288</v>
      </c>
      <c r="H17261" t="s">
        <v>2634</v>
      </c>
      <c r="J17261" t="s">
        <v>140</v>
      </c>
      <c r="K17261">
        <v>159319.51999999999</v>
      </c>
      <c r="L17261">
        <v>383608.46</v>
      </c>
      <c r="N17261" t="s">
        <v>1494</v>
      </c>
      <c r="O17261" t="s">
        <v>448</v>
      </c>
      <c r="P17261" t="s">
        <v>1495</v>
      </c>
      <c r="Q17261" t="s">
        <v>144</v>
      </c>
      <c r="S17261">
        <v>0</v>
      </c>
      <c r="T17261">
        <v>0</v>
      </c>
      <c r="V17261" t="s">
        <v>146</v>
      </c>
      <c r="W17261" t="s">
        <v>184</v>
      </c>
      <c r="X17261" t="s">
        <v>7</v>
      </c>
      <c r="Y17261" t="s">
        <v>1494</v>
      </c>
      <c r="Z17261" t="s">
        <v>448</v>
      </c>
      <c r="AA17261" t="s">
        <v>456</v>
      </c>
      <c r="AB17261">
        <v>0</v>
      </c>
      <c r="AE17261" t="s">
        <v>1496</v>
      </c>
      <c r="AF17261" t="s">
        <v>448</v>
      </c>
      <c r="AG17261" t="s">
        <v>560</v>
      </c>
      <c r="AL17261" t="s">
        <v>2635</v>
      </c>
      <c r="AM17261" t="s">
        <v>2636</v>
      </c>
      <c r="AN17261" t="s">
        <v>2637</v>
      </c>
      <c r="AO17261" t="s">
        <v>1494</v>
      </c>
      <c r="AQ17261">
        <f>IF(ISBLANK(AP17261), IFERROR(IF(VLOOKUP(AO17261, Ellens_additions!$A$2:$B$252, 2, FALSE) = "", "", VLOOKUP(AO17261, Ellens_additions!$A$2:$B$252, 2, FALSE)), 0), AP17261)</f>
        <v>0</v>
      </c>
    </row>
    <row r="17262" spans="1:43" ht="14.4" hidden="1" x14ac:dyDescent="0.3">
      <c r="A17262" t="s">
        <v>2638</v>
      </c>
      <c r="B17262">
        <v>4909144</v>
      </c>
      <c r="C17262" t="s">
        <v>135</v>
      </c>
      <c r="D17262" t="s">
        <v>174</v>
      </c>
      <c r="E17262" t="s">
        <v>316</v>
      </c>
      <c r="F17262" t="s">
        <v>288</v>
      </c>
      <c r="H17262" t="s">
        <v>2639</v>
      </c>
      <c r="J17262" t="s">
        <v>140</v>
      </c>
      <c r="K17262">
        <v>159318.73000000001</v>
      </c>
      <c r="L17262">
        <v>383608.07</v>
      </c>
      <c r="N17262" t="s">
        <v>1494</v>
      </c>
      <c r="O17262" t="s">
        <v>448</v>
      </c>
      <c r="P17262" t="s">
        <v>1495</v>
      </c>
      <c r="Q17262" t="s">
        <v>144</v>
      </c>
      <c r="S17262">
        <v>0</v>
      </c>
      <c r="T17262">
        <v>0</v>
      </c>
      <c r="V17262" t="s">
        <v>146</v>
      </c>
      <c r="W17262" t="s">
        <v>184</v>
      </c>
      <c r="X17262" t="s">
        <v>7</v>
      </c>
      <c r="Y17262" t="s">
        <v>1494</v>
      </c>
      <c r="Z17262" t="s">
        <v>448</v>
      </c>
      <c r="AA17262" t="s">
        <v>456</v>
      </c>
      <c r="AB17262">
        <v>0</v>
      </c>
      <c r="AE17262" t="s">
        <v>1496</v>
      </c>
      <c r="AF17262" t="s">
        <v>448</v>
      </c>
      <c r="AG17262" t="s">
        <v>560</v>
      </c>
      <c r="AL17262" t="s">
        <v>2640</v>
      </c>
      <c r="AM17262" t="s">
        <v>2641</v>
      </c>
      <c r="AN17262" t="s">
        <v>2642</v>
      </c>
      <c r="AO17262" t="s">
        <v>1494</v>
      </c>
      <c r="AQ17262">
        <f>IF(ISBLANK(AP17262), IFERROR(IF(VLOOKUP(AO17262, Ellens_additions!$A$2:$B$252, 2, FALSE) = "", "", VLOOKUP(AO17262, Ellens_additions!$A$2:$B$252, 2, FALSE)), 0), AP17262)</f>
        <v>0</v>
      </c>
    </row>
    <row r="17263" spans="1:43" ht="14.4" hidden="1" x14ac:dyDescent="0.3">
      <c r="A17263" t="s">
        <v>2643</v>
      </c>
      <c r="B17263">
        <v>4909145</v>
      </c>
      <c r="C17263" t="s">
        <v>135</v>
      </c>
      <c r="D17263" t="s">
        <v>174</v>
      </c>
      <c r="E17263" t="s">
        <v>316</v>
      </c>
      <c r="F17263" t="s">
        <v>288</v>
      </c>
      <c r="H17263" t="s">
        <v>2644</v>
      </c>
      <c r="J17263" t="s">
        <v>140</v>
      </c>
      <c r="K17263">
        <v>159317.63</v>
      </c>
      <c r="L17263">
        <v>383607.47</v>
      </c>
      <c r="N17263" t="s">
        <v>1494</v>
      </c>
      <c r="O17263" t="s">
        <v>448</v>
      </c>
      <c r="P17263" t="s">
        <v>1495</v>
      </c>
      <c r="Q17263" t="s">
        <v>144</v>
      </c>
      <c r="S17263">
        <v>0</v>
      </c>
      <c r="T17263">
        <v>0</v>
      </c>
      <c r="V17263" t="s">
        <v>146</v>
      </c>
      <c r="W17263" t="s">
        <v>184</v>
      </c>
      <c r="X17263" t="s">
        <v>7</v>
      </c>
      <c r="Y17263" t="s">
        <v>1494</v>
      </c>
      <c r="Z17263" t="s">
        <v>448</v>
      </c>
      <c r="AA17263" t="s">
        <v>456</v>
      </c>
      <c r="AB17263">
        <v>0</v>
      </c>
      <c r="AE17263" t="s">
        <v>1496</v>
      </c>
      <c r="AF17263" t="s">
        <v>448</v>
      </c>
      <c r="AG17263" t="s">
        <v>560</v>
      </c>
      <c r="AL17263" t="s">
        <v>2645</v>
      </c>
      <c r="AM17263" t="s">
        <v>2646</v>
      </c>
      <c r="AN17263" t="s">
        <v>2647</v>
      </c>
      <c r="AO17263" t="s">
        <v>1494</v>
      </c>
      <c r="AQ17263">
        <f>IF(ISBLANK(AP17263), IFERROR(IF(VLOOKUP(AO17263, Ellens_additions!$A$2:$B$252, 2, FALSE) = "", "", VLOOKUP(AO17263, Ellens_additions!$A$2:$B$252, 2, FALSE)), 0), AP17263)</f>
        <v>0</v>
      </c>
    </row>
    <row r="17264" spans="1:43" ht="14.4" hidden="1" x14ac:dyDescent="0.3">
      <c r="A17264" t="s">
        <v>2648</v>
      </c>
      <c r="B17264">
        <v>4909146</v>
      </c>
      <c r="C17264" t="s">
        <v>135</v>
      </c>
      <c r="D17264" t="s">
        <v>174</v>
      </c>
      <c r="E17264" t="s">
        <v>316</v>
      </c>
      <c r="F17264" t="s">
        <v>288</v>
      </c>
      <c r="H17264" t="s">
        <v>2649</v>
      </c>
      <c r="J17264" t="s">
        <v>140</v>
      </c>
      <c r="K17264">
        <v>159316.94</v>
      </c>
      <c r="L17264">
        <v>383606.97</v>
      </c>
      <c r="N17264" t="s">
        <v>1494</v>
      </c>
      <c r="O17264" t="s">
        <v>448</v>
      </c>
      <c r="P17264" t="s">
        <v>1495</v>
      </c>
      <c r="Q17264" t="s">
        <v>144</v>
      </c>
      <c r="S17264">
        <v>0</v>
      </c>
      <c r="T17264">
        <v>0</v>
      </c>
      <c r="V17264" t="s">
        <v>146</v>
      </c>
      <c r="W17264" t="s">
        <v>184</v>
      </c>
      <c r="X17264" t="s">
        <v>7</v>
      </c>
      <c r="Y17264" t="s">
        <v>1494</v>
      </c>
      <c r="Z17264" t="s">
        <v>448</v>
      </c>
      <c r="AA17264" t="s">
        <v>456</v>
      </c>
      <c r="AB17264">
        <v>0</v>
      </c>
      <c r="AE17264" t="s">
        <v>1496</v>
      </c>
      <c r="AF17264" t="s">
        <v>448</v>
      </c>
      <c r="AG17264" t="s">
        <v>560</v>
      </c>
      <c r="AL17264" t="s">
        <v>2650</v>
      </c>
      <c r="AM17264" t="s">
        <v>2651</v>
      </c>
      <c r="AN17264" t="s">
        <v>2652</v>
      </c>
      <c r="AO17264" t="s">
        <v>1494</v>
      </c>
      <c r="AQ17264">
        <f>IF(ISBLANK(AP17264), IFERROR(IF(VLOOKUP(AO17264, Ellens_additions!$A$2:$B$252, 2, FALSE) = "", "", VLOOKUP(AO17264, Ellens_additions!$A$2:$B$252, 2, FALSE)), 0), AP17264)</f>
        <v>0</v>
      </c>
    </row>
    <row r="17265" spans="1:43" ht="14.4" hidden="1" x14ac:dyDescent="0.3">
      <c r="A17265" t="s">
        <v>2653</v>
      </c>
      <c r="B17265">
        <v>4909148</v>
      </c>
      <c r="C17265" t="s">
        <v>135</v>
      </c>
      <c r="D17265" t="s">
        <v>174</v>
      </c>
      <c r="E17265" t="s">
        <v>316</v>
      </c>
      <c r="F17265" t="s">
        <v>288</v>
      </c>
      <c r="H17265" t="s">
        <v>2654</v>
      </c>
      <c r="J17265" t="s">
        <v>140</v>
      </c>
      <c r="K17265">
        <v>159315.06</v>
      </c>
      <c r="L17265">
        <v>383605.29</v>
      </c>
      <c r="N17265" t="s">
        <v>1494</v>
      </c>
      <c r="O17265" t="s">
        <v>448</v>
      </c>
      <c r="P17265" t="s">
        <v>1495</v>
      </c>
      <c r="Q17265" t="s">
        <v>144</v>
      </c>
      <c r="S17265">
        <v>0</v>
      </c>
      <c r="T17265">
        <v>0</v>
      </c>
      <c r="V17265" t="s">
        <v>146</v>
      </c>
      <c r="W17265" t="s">
        <v>184</v>
      </c>
      <c r="X17265" t="s">
        <v>7</v>
      </c>
      <c r="Y17265" t="s">
        <v>1494</v>
      </c>
      <c r="Z17265" t="s">
        <v>448</v>
      </c>
      <c r="AA17265" t="s">
        <v>456</v>
      </c>
      <c r="AB17265">
        <v>0</v>
      </c>
      <c r="AE17265" t="s">
        <v>1496</v>
      </c>
      <c r="AF17265" t="s">
        <v>448</v>
      </c>
      <c r="AG17265" t="s">
        <v>560</v>
      </c>
      <c r="AL17265" t="s">
        <v>2655</v>
      </c>
      <c r="AM17265" t="s">
        <v>2656</v>
      </c>
      <c r="AN17265" t="s">
        <v>2657</v>
      </c>
      <c r="AO17265" t="s">
        <v>1494</v>
      </c>
      <c r="AQ17265">
        <f>IF(ISBLANK(AP17265), IFERROR(IF(VLOOKUP(AO17265, Ellens_additions!$A$2:$B$252, 2, FALSE) = "", "", VLOOKUP(AO17265, Ellens_additions!$A$2:$B$252, 2, FALSE)), 0), AP17265)</f>
        <v>0</v>
      </c>
    </row>
    <row r="17266" spans="1:43" ht="14.4" hidden="1" x14ac:dyDescent="0.3">
      <c r="A17266" t="s">
        <v>2658</v>
      </c>
      <c r="B17266">
        <v>4909154</v>
      </c>
      <c r="C17266" t="s">
        <v>135</v>
      </c>
      <c r="D17266" t="s">
        <v>174</v>
      </c>
      <c r="E17266" t="s">
        <v>316</v>
      </c>
      <c r="F17266" t="s">
        <v>288</v>
      </c>
      <c r="H17266" t="s">
        <v>2659</v>
      </c>
      <c r="J17266" t="s">
        <v>140</v>
      </c>
      <c r="K17266">
        <v>159310.43</v>
      </c>
      <c r="L17266">
        <v>383600.43</v>
      </c>
      <c r="N17266" t="s">
        <v>1494</v>
      </c>
      <c r="O17266" t="s">
        <v>448</v>
      </c>
      <c r="P17266" t="s">
        <v>1495</v>
      </c>
      <c r="Q17266" t="s">
        <v>144</v>
      </c>
      <c r="S17266">
        <v>0</v>
      </c>
      <c r="T17266">
        <v>0</v>
      </c>
      <c r="V17266" t="s">
        <v>146</v>
      </c>
      <c r="W17266" t="s">
        <v>184</v>
      </c>
      <c r="X17266" t="s">
        <v>7</v>
      </c>
      <c r="Y17266" t="s">
        <v>1494</v>
      </c>
      <c r="Z17266" t="s">
        <v>448</v>
      </c>
      <c r="AA17266" t="s">
        <v>456</v>
      </c>
      <c r="AB17266">
        <v>0</v>
      </c>
      <c r="AE17266" t="s">
        <v>1496</v>
      </c>
      <c r="AF17266" t="s">
        <v>448</v>
      </c>
      <c r="AG17266" t="s">
        <v>560</v>
      </c>
      <c r="AL17266" t="s">
        <v>2660</v>
      </c>
      <c r="AM17266" t="s">
        <v>2661</v>
      </c>
      <c r="AN17266" t="s">
        <v>2662</v>
      </c>
      <c r="AO17266" t="s">
        <v>1494</v>
      </c>
      <c r="AQ17266">
        <f>IF(ISBLANK(AP17266), IFERROR(IF(VLOOKUP(AO17266, Ellens_additions!$A$2:$B$252, 2, FALSE) = "", "", VLOOKUP(AO17266, Ellens_additions!$A$2:$B$252, 2, FALSE)), 0), AP17266)</f>
        <v>0</v>
      </c>
    </row>
    <row r="17267" spans="1:43" ht="14.4" hidden="1" x14ac:dyDescent="0.3">
      <c r="A17267" t="s">
        <v>2663</v>
      </c>
      <c r="B17267">
        <v>4909155</v>
      </c>
      <c r="C17267" t="s">
        <v>135</v>
      </c>
      <c r="D17267" t="s">
        <v>174</v>
      </c>
      <c r="E17267" t="s">
        <v>316</v>
      </c>
      <c r="F17267" t="s">
        <v>288</v>
      </c>
      <c r="H17267" t="s">
        <v>2664</v>
      </c>
      <c r="J17267" t="s">
        <v>140</v>
      </c>
      <c r="K17267">
        <v>159309.70000000001</v>
      </c>
      <c r="L17267">
        <v>383599.63</v>
      </c>
      <c r="N17267" t="s">
        <v>1494</v>
      </c>
      <c r="O17267" t="s">
        <v>448</v>
      </c>
      <c r="P17267" t="s">
        <v>1495</v>
      </c>
      <c r="Q17267" t="s">
        <v>144</v>
      </c>
      <c r="S17267">
        <v>0</v>
      </c>
      <c r="T17267">
        <v>0</v>
      </c>
      <c r="V17267" t="s">
        <v>146</v>
      </c>
      <c r="W17267" t="s">
        <v>184</v>
      </c>
      <c r="X17267" t="s">
        <v>7</v>
      </c>
      <c r="Y17267" t="s">
        <v>1494</v>
      </c>
      <c r="Z17267" t="s">
        <v>448</v>
      </c>
      <c r="AA17267" t="s">
        <v>456</v>
      </c>
      <c r="AB17267">
        <v>0</v>
      </c>
      <c r="AE17267" t="s">
        <v>1496</v>
      </c>
      <c r="AF17267" t="s">
        <v>448</v>
      </c>
      <c r="AG17267" t="s">
        <v>560</v>
      </c>
      <c r="AL17267" t="s">
        <v>2665</v>
      </c>
      <c r="AM17267" t="s">
        <v>2666</v>
      </c>
      <c r="AN17267" t="s">
        <v>2667</v>
      </c>
      <c r="AO17267" t="s">
        <v>1494</v>
      </c>
      <c r="AQ17267">
        <f>IF(ISBLANK(AP17267), IFERROR(IF(VLOOKUP(AO17267, Ellens_additions!$A$2:$B$252, 2, FALSE) = "", "", VLOOKUP(AO17267, Ellens_additions!$A$2:$B$252, 2, FALSE)), 0), AP17267)</f>
        <v>0</v>
      </c>
    </row>
    <row r="17268" spans="1:43" ht="14.4" hidden="1" x14ac:dyDescent="0.3">
      <c r="A17268" t="s">
        <v>2668</v>
      </c>
      <c r="B17268">
        <v>4909156</v>
      </c>
      <c r="C17268" t="s">
        <v>135</v>
      </c>
      <c r="D17268" t="s">
        <v>174</v>
      </c>
      <c r="E17268" t="s">
        <v>316</v>
      </c>
      <c r="F17268" t="s">
        <v>288</v>
      </c>
      <c r="H17268" t="s">
        <v>2669</v>
      </c>
      <c r="J17268" t="s">
        <v>140</v>
      </c>
      <c r="K17268">
        <v>159309</v>
      </c>
      <c r="L17268">
        <v>383598.74</v>
      </c>
      <c r="N17268" t="s">
        <v>1494</v>
      </c>
      <c r="O17268" t="s">
        <v>448</v>
      </c>
      <c r="P17268" t="s">
        <v>1495</v>
      </c>
      <c r="Q17268" t="s">
        <v>144</v>
      </c>
      <c r="S17268">
        <v>0</v>
      </c>
      <c r="T17268">
        <v>0</v>
      </c>
      <c r="V17268" t="s">
        <v>146</v>
      </c>
      <c r="W17268" t="s">
        <v>184</v>
      </c>
      <c r="X17268" t="s">
        <v>7</v>
      </c>
      <c r="Y17268" t="s">
        <v>1494</v>
      </c>
      <c r="Z17268" t="s">
        <v>448</v>
      </c>
      <c r="AA17268" t="s">
        <v>456</v>
      </c>
      <c r="AB17268">
        <v>0</v>
      </c>
      <c r="AE17268" t="s">
        <v>1496</v>
      </c>
      <c r="AF17268" t="s">
        <v>448</v>
      </c>
      <c r="AG17268" t="s">
        <v>560</v>
      </c>
      <c r="AL17268" t="s">
        <v>2670</v>
      </c>
      <c r="AM17268" t="s">
        <v>2671</v>
      </c>
      <c r="AN17268" t="s">
        <v>2672</v>
      </c>
      <c r="AO17268" t="s">
        <v>1494</v>
      </c>
      <c r="AQ17268">
        <f>IF(ISBLANK(AP17268), IFERROR(IF(VLOOKUP(AO17268, Ellens_additions!$A$2:$B$252, 2, FALSE) = "", "", VLOOKUP(AO17268, Ellens_additions!$A$2:$B$252, 2, FALSE)), 0), AP17268)</f>
        <v>0</v>
      </c>
    </row>
    <row r="17269" spans="1:43" ht="14.4" hidden="1" x14ac:dyDescent="0.3">
      <c r="A17269" t="s">
        <v>2673</v>
      </c>
      <c r="B17269">
        <v>4909157</v>
      </c>
      <c r="C17269" t="s">
        <v>135</v>
      </c>
      <c r="D17269" t="s">
        <v>174</v>
      </c>
      <c r="E17269" t="s">
        <v>316</v>
      </c>
      <c r="F17269" t="s">
        <v>288</v>
      </c>
      <c r="H17269" t="s">
        <v>2674</v>
      </c>
      <c r="J17269" t="s">
        <v>140</v>
      </c>
      <c r="K17269">
        <v>159308.31</v>
      </c>
      <c r="L17269">
        <v>383598.05</v>
      </c>
      <c r="N17269" t="s">
        <v>1494</v>
      </c>
      <c r="O17269" t="s">
        <v>448</v>
      </c>
      <c r="P17269" t="s">
        <v>1495</v>
      </c>
      <c r="Q17269" t="s">
        <v>144</v>
      </c>
      <c r="S17269">
        <v>0</v>
      </c>
      <c r="T17269">
        <v>0</v>
      </c>
      <c r="V17269" t="s">
        <v>146</v>
      </c>
      <c r="W17269" t="s">
        <v>184</v>
      </c>
      <c r="X17269" t="s">
        <v>7</v>
      </c>
      <c r="Y17269" t="s">
        <v>1494</v>
      </c>
      <c r="Z17269" t="s">
        <v>448</v>
      </c>
      <c r="AA17269" t="s">
        <v>456</v>
      </c>
      <c r="AB17269">
        <v>0</v>
      </c>
      <c r="AE17269" t="s">
        <v>1496</v>
      </c>
      <c r="AF17269" t="s">
        <v>448</v>
      </c>
      <c r="AG17269" t="s">
        <v>560</v>
      </c>
      <c r="AL17269" t="s">
        <v>2675</v>
      </c>
      <c r="AM17269" t="s">
        <v>2676</v>
      </c>
      <c r="AN17269" t="s">
        <v>2677</v>
      </c>
      <c r="AO17269" t="s">
        <v>1494</v>
      </c>
      <c r="AQ17269">
        <f>IF(ISBLANK(AP17269), IFERROR(IF(VLOOKUP(AO17269, Ellens_additions!$A$2:$B$252, 2, FALSE) = "", "", VLOOKUP(AO17269, Ellens_additions!$A$2:$B$252, 2, FALSE)), 0), AP17269)</f>
        <v>0</v>
      </c>
    </row>
    <row r="17270" spans="1:43" ht="14.4" hidden="1" x14ac:dyDescent="0.3">
      <c r="A17270" t="s">
        <v>2678</v>
      </c>
      <c r="B17270">
        <v>4909160</v>
      </c>
      <c r="C17270" t="s">
        <v>135</v>
      </c>
      <c r="D17270" t="s">
        <v>174</v>
      </c>
      <c r="E17270" t="s">
        <v>316</v>
      </c>
      <c r="F17270" t="s">
        <v>288</v>
      </c>
      <c r="H17270" t="s">
        <v>2679</v>
      </c>
      <c r="J17270" t="s">
        <v>140</v>
      </c>
      <c r="K17270">
        <v>159306.72</v>
      </c>
      <c r="L17270">
        <v>383595.56</v>
      </c>
      <c r="N17270" t="s">
        <v>1494</v>
      </c>
      <c r="O17270" t="s">
        <v>448</v>
      </c>
      <c r="P17270" t="s">
        <v>1495</v>
      </c>
      <c r="Q17270" t="s">
        <v>144</v>
      </c>
      <c r="S17270">
        <v>0</v>
      </c>
      <c r="T17270">
        <v>0</v>
      </c>
      <c r="V17270" t="s">
        <v>146</v>
      </c>
      <c r="W17270" t="s">
        <v>184</v>
      </c>
      <c r="X17270" t="s">
        <v>7</v>
      </c>
      <c r="Y17270" t="s">
        <v>1494</v>
      </c>
      <c r="Z17270" t="s">
        <v>448</v>
      </c>
      <c r="AA17270" t="s">
        <v>456</v>
      </c>
      <c r="AB17270">
        <v>0</v>
      </c>
      <c r="AE17270" t="s">
        <v>1496</v>
      </c>
      <c r="AF17270" t="s">
        <v>448</v>
      </c>
      <c r="AG17270" t="s">
        <v>560</v>
      </c>
      <c r="AL17270" t="s">
        <v>2680</v>
      </c>
      <c r="AM17270" t="s">
        <v>2681</v>
      </c>
      <c r="AN17270" t="s">
        <v>2682</v>
      </c>
      <c r="AO17270" t="s">
        <v>1494</v>
      </c>
      <c r="AQ17270">
        <f>IF(ISBLANK(AP17270), IFERROR(IF(VLOOKUP(AO17270, Ellens_additions!$A$2:$B$252, 2, FALSE) = "", "", VLOOKUP(AO17270, Ellens_additions!$A$2:$B$252, 2, FALSE)), 0), AP17270)</f>
        <v>0</v>
      </c>
    </row>
    <row r="17271" spans="1:43" ht="14.4" hidden="1" x14ac:dyDescent="0.3">
      <c r="A17271" t="s">
        <v>2683</v>
      </c>
      <c r="B17271">
        <v>4909161</v>
      </c>
      <c r="C17271" t="s">
        <v>135</v>
      </c>
      <c r="D17271" t="s">
        <v>174</v>
      </c>
      <c r="E17271" t="s">
        <v>316</v>
      </c>
      <c r="F17271" t="s">
        <v>288</v>
      </c>
      <c r="H17271" t="s">
        <v>2684</v>
      </c>
      <c r="J17271" t="s">
        <v>140</v>
      </c>
      <c r="K17271">
        <v>159306.03</v>
      </c>
      <c r="L17271">
        <v>383594.27</v>
      </c>
      <c r="N17271" t="s">
        <v>1494</v>
      </c>
      <c r="O17271" t="s">
        <v>448</v>
      </c>
      <c r="P17271" t="s">
        <v>1495</v>
      </c>
      <c r="Q17271" t="s">
        <v>144</v>
      </c>
      <c r="S17271">
        <v>0</v>
      </c>
      <c r="T17271">
        <v>0</v>
      </c>
      <c r="V17271" t="s">
        <v>146</v>
      </c>
      <c r="W17271" t="s">
        <v>184</v>
      </c>
      <c r="X17271" t="s">
        <v>7</v>
      </c>
      <c r="Y17271" t="s">
        <v>1494</v>
      </c>
      <c r="Z17271" t="s">
        <v>448</v>
      </c>
      <c r="AA17271" t="s">
        <v>456</v>
      </c>
      <c r="AB17271">
        <v>0</v>
      </c>
      <c r="AE17271" t="s">
        <v>1496</v>
      </c>
      <c r="AF17271" t="s">
        <v>448</v>
      </c>
      <c r="AG17271" t="s">
        <v>560</v>
      </c>
      <c r="AL17271" t="s">
        <v>2685</v>
      </c>
      <c r="AM17271" t="s">
        <v>2686</v>
      </c>
      <c r="AN17271" t="s">
        <v>2687</v>
      </c>
      <c r="AO17271" t="s">
        <v>1494</v>
      </c>
      <c r="AQ17271">
        <f>IF(ISBLANK(AP17271), IFERROR(IF(VLOOKUP(AO17271, Ellens_additions!$A$2:$B$252, 2, FALSE) = "", "", VLOOKUP(AO17271, Ellens_additions!$A$2:$B$252, 2, FALSE)), 0), AP17271)</f>
        <v>0</v>
      </c>
    </row>
    <row r="17272" spans="1:43" ht="14.4" hidden="1" x14ac:dyDescent="0.3">
      <c r="A17272" t="s">
        <v>2688</v>
      </c>
      <c r="B17272">
        <v>4909169</v>
      </c>
      <c r="C17272" t="s">
        <v>135</v>
      </c>
      <c r="D17272" t="s">
        <v>174</v>
      </c>
      <c r="E17272" t="s">
        <v>316</v>
      </c>
      <c r="F17272" t="s">
        <v>288</v>
      </c>
      <c r="H17272" t="s">
        <v>2689</v>
      </c>
      <c r="J17272" t="s">
        <v>140</v>
      </c>
      <c r="K17272">
        <v>159302.45000000001</v>
      </c>
      <c r="L17272">
        <v>383585.74</v>
      </c>
      <c r="N17272" t="s">
        <v>1494</v>
      </c>
      <c r="O17272" t="s">
        <v>448</v>
      </c>
      <c r="P17272" t="s">
        <v>1495</v>
      </c>
      <c r="Q17272" t="s">
        <v>144</v>
      </c>
      <c r="S17272">
        <v>0</v>
      </c>
      <c r="T17272">
        <v>0</v>
      </c>
      <c r="V17272" t="s">
        <v>146</v>
      </c>
      <c r="W17272" t="s">
        <v>184</v>
      </c>
      <c r="X17272" t="s">
        <v>7</v>
      </c>
      <c r="Y17272" t="s">
        <v>1494</v>
      </c>
      <c r="Z17272" t="s">
        <v>448</v>
      </c>
      <c r="AA17272" t="s">
        <v>456</v>
      </c>
      <c r="AB17272">
        <v>0</v>
      </c>
      <c r="AE17272" t="s">
        <v>1496</v>
      </c>
      <c r="AF17272" t="s">
        <v>448</v>
      </c>
      <c r="AG17272" t="s">
        <v>560</v>
      </c>
      <c r="AL17272" t="s">
        <v>2690</v>
      </c>
      <c r="AM17272" t="s">
        <v>2691</v>
      </c>
      <c r="AN17272" t="s">
        <v>2692</v>
      </c>
      <c r="AO17272" t="s">
        <v>1494</v>
      </c>
      <c r="AQ17272">
        <f>IF(ISBLANK(AP17272), IFERROR(IF(VLOOKUP(AO17272, Ellens_additions!$A$2:$B$252, 2, FALSE) = "", "", VLOOKUP(AO17272, Ellens_additions!$A$2:$B$252, 2, FALSE)), 0), AP17272)</f>
        <v>0</v>
      </c>
    </row>
    <row r="17273" spans="1:43" ht="14.4" hidden="1" x14ac:dyDescent="0.3">
      <c r="A17273" t="s">
        <v>2693</v>
      </c>
      <c r="B17273">
        <v>4909173</v>
      </c>
      <c r="C17273" t="s">
        <v>135</v>
      </c>
      <c r="D17273" t="s">
        <v>174</v>
      </c>
      <c r="E17273" t="s">
        <v>316</v>
      </c>
      <c r="F17273" t="s">
        <v>288</v>
      </c>
      <c r="H17273" t="s">
        <v>2694</v>
      </c>
      <c r="J17273" t="s">
        <v>140</v>
      </c>
      <c r="K17273">
        <v>159301.35999999999</v>
      </c>
      <c r="L17273">
        <v>383581.87</v>
      </c>
      <c r="N17273" t="s">
        <v>1494</v>
      </c>
      <c r="O17273" t="s">
        <v>448</v>
      </c>
      <c r="P17273" t="s">
        <v>1495</v>
      </c>
      <c r="Q17273" t="s">
        <v>144</v>
      </c>
      <c r="S17273">
        <v>0</v>
      </c>
      <c r="T17273">
        <v>0</v>
      </c>
      <c r="V17273" t="s">
        <v>146</v>
      </c>
      <c r="W17273" t="s">
        <v>184</v>
      </c>
      <c r="X17273" t="s">
        <v>7</v>
      </c>
      <c r="Y17273" t="s">
        <v>1494</v>
      </c>
      <c r="Z17273" t="s">
        <v>448</v>
      </c>
      <c r="AA17273" t="s">
        <v>456</v>
      </c>
      <c r="AB17273">
        <v>0</v>
      </c>
      <c r="AE17273" t="s">
        <v>1496</v>
      </c>
      <c r="AF17273" t="s">
        <v>448</v>
      </c>
      <c r="AG17273" t="s">
        <v>560</v>
      </c>
      <c r="AL17273" t="s">
        <v>2695</v>
      </c>
      <c r="AM17273" t="s">
        <v>2696</v>
      </c>
      <c r="AN17273" t="s">
        <v>2697</v>
      </c>
      <c r="AO17273" t="s">
        <v>1494</v>
      </c>
      <c r="AQ17273">
        <f>IF(ISBLANK(AP17273), IFERROR(IF(VLOOKUP(AO17273, Ellens_additions!$A$2:$B$252, 2, FALSE) = "", "", VLOOKUP(AO17273, Ellens_additions!$A$2:$B$252, 2, FALSE)), 0), AP17273)</f>
        <v>0</v>
      </c>
    </row>
    <row r="17274" spans="1:43" ht="14.4" hidden="1" x14ac:dyDescent="0.3">
      <c r="A17274" t="s">
        <v>2698</v>
      </c>
      <c r="B17274">
        <v>4909183</v>
      </c>
      <c r="C17274" t="s">
        <v>135</v>
      </c>
      <c r="D17274" t="s">
        <v>174</v>
      </c>
      <c r="E17274" t="s">
        <v>316</v>
      </c>
      <c r="F17274" t="s">
        <v>288</v>
      </c>
      <c r="H17274" t="s">
        <v>2699</v>
      </c>
      <c r="J17274" t="s">
        <v>140</v>
      </c>
      <c r="K17274">
        <v>159273.29999999999</v>
      </c>
      <c r="L17274">
        <v>383575.34</v>
      </c>
      <c r="N17274" t="s">
        <v>1494</v>
      </c>
      <c r="O17274" t="s">
        <v>448</v>
      </c>
      <c r="P17274" t="s">
        <v>1495</v>
      </c>
      <c r="Q17274" t="s">
        <v>144</v>
      </c>
      <c r="S17274">
        <v>0</v>
      </c>
      <c r="T17274">
        <v>0</v>
      </c>
      <c r="V17274" t="s">
        <v>146</v>
      </c>
      <c r="W17274" t="s">
        <v>184</v>
      </c>
      <c r="X17274" t="s">
        <v>7</v>
      </c>
      <c r="Y17274" t="s">
        <v>1494</v>
      </c>
      <c r="Z17274" t="s">
        <v>448</v>
      </c>
      <c r="AA17274" t="s">
        <v>456</v>
      </c>
      <c r="AB17274">
        <v>0</v>
      </c>
      <c r="AE17274" t="s">
        <v>1496</v>
      </c>
      <c r="AF17274" t="s">
        <v>448</v>
      </c>
      <c r="AG17274" t="s">
        <v>560</v>
      </c>
      <c r="AL17274" t="s">
        <v>2700</v>
      </c>
      <c r="AM17274" t="s">
        <v>2701</v>
      </c>
      <c r="AN17274" t="s">
        <v>2702</v>
      </c>
      <c r="AO17274" t="s">
        <v>1494</v>
      </c>
      <c r="AQ17274">
        <f>IF(ISBLANK(AP17274), IFERROR(IF(VLOOKUP(AO17274, Ellens_additions!$A$2:$B$252, 2, FALSE) = "", "", VLOOKUP(AO17274, Ellens_additions!$A$2:$B$252, 2, FALSE)), 0), AP17274)</f>
        <v>0</v>
      </c>
    </row>
    <row r="17275" spans="1:43" ht="14.4" hidden="1" x14ac:dyDescent="0.3">
      <c r="A17275" t="s">
        <v>2703</v>
      </c>
      <c r="B17275">
        <v>4909190</v>
      </c>
      <c r="C17275" t="s">
        <v>135</v>
      </c>
      <c r="D17275" t="s">
        <v>174</v>
      </c>
      <c r="E17275" t="s">
        <v>316</v>
      </c>
      <c r="F17275" t="s">
        <v>288</v>
      </c>
      <c r="H17275" t="s">
        <v>2704</v>
      </c>
      <c r="J17275" t="s">
        <v>140</v>
      </c>
      <c r="K17275">
        <v>159281.23000000001</v>
      </c>
      <c r="L17275">
        <v>383573.67</v>
      </c>
      <c r="N17275" t="s">
        <v>1494</v>
      </c>
      <c r="O17275" t="s">
        <v>448</v>
      </c>
      <c r="P17275" t="s">
        <v>1495</v>
      </c>
      <c r="Q17275" t="s">
        <v>144</v>
      </c>
      <c r="S17275">
        <v>0</v>
      </c>
      <c r="T17275">
        <v>0</v>
      </c>
      <c r="V17275" t="s">
        <v>146</v>
      </c>
      <c r="W17275" t="s">
        <v>184</v>
      </c>
      <c r="X17275" t="s">
        <v>7</v>
      </c>
      <c r="Y17275" t="s">
        <v>1494</v>
      </c>
      <c r="Z17275" t="s">
        <v>448</v>
      </c>
      <c r="AA17275" t="s">
        <v>456</v>
      </c>
      <c r="AB17275">
        <v>0</v>
      </c>
      <c r="AE17275" t="s">
        <v>1496</v>
      </c>
      <c r="AF17275" t="s">
        <v>448</v>
      </c>
      <c r="AG17275" t="s">
        <v>560</v>
      </c>
      <c r="AL17275" t="s">
        <v>2705</v>
      </c>
      <c r="AM17275" t="s">
        <v>2706</v>
      </c>
      <c r="AN17275" t="s">
        <v>2707</v>
      </c>
      <c r="AO17275" t="s">
        <v>1494</v>
      </c>
      <c r="AQ17275">
        <f>IF(ISBLANK(AP17275), IFERROR(IF(VLOOKUP(AO17275, Ellens_additions!$A$2:$B$252, 2, FALSE) = "", "", VLOOKUP(AO17275, Ellens_additions!$A$2:$B$252, 2, FALSE)), 0), AP17275)</f>
        <v>0</v>
      </c>
    </row>
    <row r="17276" spans="1:43" ht="14.4" hidden="1" x14ac:dyDescent="0.3">
      <c r="A17276" t="s">
        <v>2708</v>
      </c>
      <c r="B17276">
        <v>4909195</v>
      </c>
      <c r="C17276" t="s">
        <v>135</v>
      </c>
      <c r="D17276" t="s">
        <v>174</v>
      </c>
      <c r="E17276" t="s">
        <v>316</v>
      </c>
      <c r="F17276" t="s">
        <v>288</v>
      </c>
      <c r="H17276" t="s">
        <v>2709</v>
      </c>
      <c r="J17276" t="s">
        <v>140</v>
      </c>
      <c r="K17276">
        <v>159286.26999999999</v>
      </c>
      <c r="L17276">
        <v>383573.12</v>
      </c>
      <c r="N17276" t="s">
        <v>1494</v>
      </c>
      <c r="O17276" t="s">
        <v>448</v>
      </c>
      <c r="P17276" t="s">
        <v>1495</v>
      </c>
      <c r="Q17276" t="s">
        <v>144</v>
      </c>
      <c r="S17276">
        <v>0</v>
      </c>
      <c r="T17276">
        <v>0</v>
      </c>
      <c r="V17276" t="s">
        <v>146</v>
      </c>
      <c r="W17276" t="s">
        <v>184</v>
      </c>
      <c r="X17276" t="s">
        <v>7</v>
      </c>
      <c r="Y17276" t="s">
        <v>1494</v>
      </c>
      <c r="Z17276" t="s">
        <v>448</v>
      </c>
      <c r="AA17276" t="s">
        <v>456</v>
      </c>
      <c r="AB17276">
        <v>0</v>
      </c>
      <c r="AE17276" t="s">
        <v>1496</v>
      </c>
      <c r="AF17276" t="s">
        <v>448</v>
      </c>
      <c r="AG17276" t="s">
        <v>560</v>
      </c>
      <c r="AL17276" t="s">
        <v>2710</v>
      </c>
      <c r="AM17276" t="s">
        <v>2711</v>
      </c>
      <c r="AN17276" t="s">
        <v>2712</v>
      </c>
      <c r="AO17276" t="s">
        <v>1494</v>
      </c>
      <c r="AQ17276">
        <f>IF(ISBLANK(AP17276), IFERROR(IF(VLOOKUP(AO17276, Ellens_additions!$A$2:$B$252, 2, FALSE) = "", "", VLOOKUP(AO17276, Ellens_additions!$A$2:$B$252, 2, FALSE)), 0), AP17276)</f>
        <v>0</v>
      </c>
    </row>
    <row r="17277" spans="1:43" ht="14.4" hidden="1" x14ac:dyDescent="0.3">
      <c r="A17277" t="s">
        <v>2713</v>
      </c>
      <c r="B17277">
        <v>4909196</v>
      </c>
      <c r="C17277" t="s">
        <v>135</v>
      </c>
      <c r="D17277" t="s">
        <v>174</v>
      </c>
      <c r="E17277" t="s">
        <v>316</v>
      </c>
      <c r="F17277" t="s">
        <v>288</v>
      </c>
      <c r="H17277" t="s">
        <v>2714</v>
      </c>
      <c r="J17277" t="s">
        <v>140</v>
      </c>
      <c r="K17277">
        <v>159287.1</v>
      </c>
      <c r="L17277">
        <v>383573.02</v>
      </c>
      <c r="N17277" t="s">
        <v>1494</v>
      </c>
      <c r="O17277" t="s">
        <v>448</v>
      </c>
      <c r="P17277" t="s">
        <v>1495</v>
      </c>
      <c r="Q17277" t="s">
        <v>144</v>
      </c>
      <c r="S17277">
        <v>0</v>
      </c>
      <c r="T17277">
        <v>0</v>
      </c>
      <c r="V17277" t="s">
        <v>146</v>
      </c>
      <c r="W17277" t="s">
        <v>184</v>
      </c>
      <c r="X17277" t="s">
        <v>7</v>
      </c>
      <c r="Y17277" t="s">
        <v>1494</v>
      </c>
      <c r="Z17277" t="s">
        <v>448</v>
      </c>
      <c r="AA17277" t="s">
        <v>456</v>
      </c>
      <c r="AB17277">
        <v>0</v>
      </c>
      <c r="AE17277" t="s">
        <v>1496</v>
      </c>
      <c r="AF17277" t="s">
        <v>448</v>
      </c>
      <c r="AG17277" t="s">
        <v>560</v>
      </c>
      <c r="AL17277" t="s">
        <v>2715</v>
      </c>
      <c r="AM17277" t="s">
        <v>2716</v>
      </c>
      <c r="AN17277" t="s">
        <v>2717</v>
      </c>
      <c r="AO17277" t="s">
        <v>1494</v>
      </c>
      <c r="AQ17277">
        <f>IF(ISBLANK(AP17277), IFERROR(IF(VLOOKUP(AO17277, Ellens_additions!$A$2:$B$252, 2, FALSE) = "", "", VLOOKUP(AO17277, Ellens_additions!$A$2:$B$252, 2, FALSE)), 0), AP17277)</f>
        <v>0</v>
      </c>
    </row>
    <row r="17278" spans="1:43" ht="14.4" hidden="1" x14ac:dyDescent="0.3">
      <c r="A17278" t="s">
        <v>2718</v>
      </c>
      <c r="B17278">
        <v>4909197</v>
      </c>
      <c r="C17278" t="s">
        <v>135</v>
      </c>
      <c r="D17278" t="s">
        <v>174</v>
      </c>
      <c r="E17278" t="s">
        <v>316</v>
      </c>
      <c r="F17278" t="s">
        <v>288</v>
      </c>
      <c r="H17278" t="s">
        <v>2719</v>
      </c>
      <c r="J17278" t="s">
        <v>140</v>
      </c>
      <c r="K17278">
        <v>159287.94</v>
      </c>
      <c r="L17278">
        <v>383572.9</v>
      </c>
      <c r="N17278" t="s">
        <v>1494</v>
      </c>
      <c r="O17278" t="s">
        <v>448</v>
      </c>
      <c r="P17278" t="s">
        <v>1495</v>
      </c>
      <c r="Q17278" t="s">
        <v>144</v>
      </c>
      <c r="S17278">
        <v>0</v>
      </c>
      <c r="T17278">
        <v>0</v>
      </c>
      <c r="V17278" t="s">
        <v>146</v>
      </c>
      <c r="W17278" t="s">
        <v>184</v>
      </c>
      <c r="X17278" t="s">
        <v>7</v>
      </c>
      <c r="Y17278" t="s">
        <v>1494</v>
      </c>
      <c r="Z17278" t="s">
        <v>448</v>
      </c>
      <c r="AA17278" t="s">
        <v>456</v>
      </c>
      <c r="AB17278">
        <v>0</v>
      </c>
      <c r="AE17278" t="s">
        <v>1496</v>
      </c>
      <c r="AF17278" t="s">
        <v>448</v>
      </c>
      <c r="AG17278" t="s">
        <v>560</v>
      </c>
      <c r="AL17278" t="s">
        <v>2720</v>
      </c>
      <c r="AM17278" t="s">
        <v>2721</v>
      </c>
      <c r="AN17278" t="s">
        <v>2722</v>
      </c>
      <c r="AO17278" t="s">
        <v>1494</v>
      </c>
      <c r="AQ17278">
        <f>IF(ISBLANK(AP17278), IFERROR(IF(VLOOKUP(AO17278, Ellens_additions!$A$2:$B$252, 2, FALSE) = "", "", VLOOKUP(AO17278, Ellens_additions!$A$2:$B$252, 2, FALSE)), 0), AP17278)</f>
        <v>0</v>
      </c>
    </row>
    <row r="17279" spans="1:43" ht="14.4" hidden="1" x14ac:dyDescent="0.3">
      <c r="A17279" t="s">
        <v>2723</v>
      </c>
      <c r="B17279">
        <v>4909207</v>
      </c>
      <c r="C17279" t="s">
        <v>135</v>
      </c>
      <c r="D17279" t="s">
        <v>174</v>
      </c>
      <c r="E17279" t="s">
        <v>316</v>
      </c>
      <c r="F17279" t="s">
        <v>288</v>
      </c>
      <c r="H17279" t="s">
        <v>2724</v>
      </c>
      <c r="J17279" t="s">
        <v>140</v>
      </c>
      <c r="K17279">
        <v>159302.12</v>
      </c>
      <c r="L17279">
        <v>383557.55</v>
      </c>
      <c r="N17279" t="s">
        <v>1494</v>
      </c>
      <c r="O17279" t="s">
        <v>448</v>
      </c>
      <c r="P17279" t="s">
        <v>1495</v>
      </c>
      <c r="Q17279" t="s">
        <v>144</v>
      </c>
      <c r="S17279">
        <v>0</v>
      </c>
      <c r="T17279">
        <v>0</v>
      </c>
      <c r="V17279" t="s">
        <v>146</v>
      </c>
      <c r="W17279" t="s">
        <v>184</v>
      </c>
      <c r="X17279" t="s">
        <v>7</v>
      </c>
      <c r="Y17279" t="s">
        <v>1494</v>
      </c>
      <c r="Z17279" t="s">
        <v>448</v>
      </c>
      <c r="AA17279" t="s">
        <v>456</v>
      </c>
      <c r="AB17279">
        <v>0</v>
      </c>
      <c r="AE17279" t="s">
        <v>1496</v>
      </c>
      <c r="AF17279" t="s">
        <v>448</v>
      </c>
      <c r="AG17279" t="s">
        <v>560</v>
      </c>
      <c r="AL17279" t="s">
        <v>2725</v>
      </c>
      <c r="AM17279" t="s">
        <v>2726</v>
      </c>
      <c r="AN17279" t="s">
        <v>2727</v>
      </c>
      <c r="AO17279" t="s">
        <v>1494</v>
      </c>
      <c r="AQ17279">
        <f>IF(ISBLANK(AP17279), IFERROR(IF(VLOOKUP(AO17279, Ellens_additions!$A$2:$B$252, 2, FALSE) = "", "", VLOOKUP(AO17279, Ellens_additions!$A$2:$B$252, 2, FALSE)), 0), AP17279)</f>
        <v>0</v>
      </c>
    </row>
    <row r="17280" spans="1:43" ht="14.4" hidden="1" x14ac:dyDescent="0.3">
      <c r="A17280" t="s">
        <v>2728</v>
      </c>
      <c r="B17280">
        <v>4909208</v>
      </c>
      <c r="C17280" t="s">
        <v>135</v>
      </c>
      <c r="D17280" t="s">
        <v>174</v>
      </c>
      <c r="E17280" t="s">
        <v>316</v>
      </c>
      <c r="F17280" t="s">
        <v>288</v>
      </c>
      <c r="H17280" t="s">
        <v>2729</v>
      </c>
      <c r="J17280" t="s">
        <v>140</v>
      </c>
      <c r="K17280">
        <v>159302.57</v>
      </c>
      <c r="L17280">
        <v>383556.39</v>
      </c>
      <c r="N17280" t="s">
        <v>1494</v>
      </c>
      <c r="O17280" t="s">
        <v>448</v>
      </c>
      <c r="P17280" t="s">
        <v>1495</v>
      </c>
      <c r="Q17280" t="s">
        <v>144</v>
      </c>
      <c r="S17280">
        <v>0</v>
      </c>
      <c r="T17280">
        <v>0</v>
      </c>
      <c r="V17280" t="s">
        <v>146</v>
      </c>
      <c r="W17280" t="s">
        <v>184</v>
      </c>
      <c r="X17280" t="s">
        <v>7</v>
      </c>
      <c r="Y17280" t="s">
        <v>1494</v>
      </c>
      <c r="Z17280" t="s">
        <v>448</v>
      </c>
      <c r="AA17280" t="s">
        <v>456</v>
      </c>
      <c r="AB17280">
        <v>0</v>
      </c>
      <c r="AE17280" t="s">
        <v>1496</v>
      </c>
      <c r="AF17280" t="s">
        <v>448</v>
      </c>
      <c r="AG17280" t="s">
        <v>560</v>
      </c>
      <c r="AL17280" t="s">
        <v>2730</v>
      </c>
      <c r="AM17280" t="s">
        <v>2731</v>
      </c>
      <c r="AN17280" t="s">
        <v>2732</v>
      </c>
      <c r="AO17280" t="s">
        <v>1494</v>
      </c>
      <c r="AQ17280">
        <f>IF(ISBLANK(AP17280), IFERROR(IF(VLOOKUP(AO17280, Ellens_additions!$A$2:$B$252, 2, FALSE) = "", "", VLOOKUP(AO17280, Ellens_additions!$A$2:$B$252, 2, FALSE)), 0), AP17280)</f>
        <v>0</v>
      </c>
    </row>
    <row r="17281" spans="1:43" ht="14.4" hidden="1" x14ac:dyDescent="0.3">
      <c r="A17281" t="s">
        <v>2733</v>
      </c>
      <c r="B17281">
        <v>4909209</v>
      </c>
      <c r="C17281" t="s">
        <v>135</v>
      </c>
      <c r="D17281" t="s">
        <v>174</v>
      </c>
      <c r="E17281" t="s">
        <v>316</v>
      </c>
      <c r="F17281" t="s">
        <v>288</v>
      </c>
      <c r="H17281" t="s">
        <v>2734</v>
      </c>
      <c r="J17281" t="s">
        <v>140</v>
      </c>
      <c r="K17281">
        <v>159302.97</v>
      </c>
      <c r="L17281">
        <v>383555.4</v>
      </c>
      <c r="N17281" t="s">
        <v>1494</v>
      </c>
      <c r="O17281" t="s">
        <v>448</v>
      </c>
      <c r="P17281" t="s">
        <v>1495</v>
      </c>
      <c r="Q17281" t="s">
        <v>144</v>
      </c>
      <c r="S17281">
        <v>0</v>
      </c>
      <c r="T17281">
        <v>0</v>
      </c>
      <c r="V17281" t="s">
        <v>146</v>
      </c>
      <c r="W17281" t="s">
        <v>184</v>
      </c>
      <c r="X17281" t="s">
        <v>7</v>
      </c>
      <c r="Y17281" t="s">
        <v>1494</v>
      </c>
      <c r="Z17281" t="s">
        <v>448</v>
      </c>
      <c r="AA17281" t="s">
        <v>456</v>
      </c>
      <c r="AB17281">
        <v>0</v>
      </c>
      <c r="AE17281" t="s">
        <v>1496</v>
      </c>
      <c r="AF17281" t="s">
        <v>448</v>
      </c>
      <c r="AG17281" t="s">
        <v>560</v>
      </c>
      <c r="AL17281" t="s">
        <v>2735</v>
      </c>
      <c r="AM17281" t="s">
        <v>2736</v>
      </c>
      <c r="AN17281" t="s">
        <v>2737</v>
      </c>
      <c r="AO17281" t="s">
        <v>1494</v>
      </c>
      <c r="AQ17281">
        <f>IF(ISBLANK(AP17281), IFERROR(IF(VLOOKUP(AO17281, Ellens_additions!$A$2:$B$252, 2, FALSE) = "", "", VLOOKUP(AO17281, Ellens_additions!$A$2:$B$252, 2, FALSE)), 0), AP17281)</f>
        <v>0</v>
      </c>
    </row>
    <row r="17282" spans="1:43" ht="14.4" hidden="1" x14ac:dyDescent="0.3">
      <c r="A17282" t="s">
        <v>2738</v>
      </c>
      <c r="B17282">
        <v>4909211</v>
      </c>
      <c r="C17282" t="s">
        <v>135</v>
      </c>
      <c r="D17282" t="s">
        <v>174</v>
      </c>
      <c r="E17282" t="s">
        <v>316</v>
      </c>
      <c r="F17282" t="s">
        <v>288</v>
      </c>
      <c r="H17282" t="s">
        <v>2739</v>
      </c>
      <c r="J17282" t="s">
        <v>140</v>
      </c>
      <c r="K17282">
        <v>159303.84</v>
      </c>
      <c r="L17282">
        <v>383553.35</v>
      </c>
      <c r="N17282" t="s">
        <v>1494</v>
      </c>
      <c r="O17282" t="s">
        <v>448</v>
      </c>
      <c r="P17282" t="s">
        <v>1495</v>
      </c>
      <c r="Q17282" t="s">
        <v>144</v>
      </c>
      <c r="S17282">
        <v>0</v>
      </c>
      <c r="T17282">
        <v>0</v>
      </c>
      <c r="V17282" t="s">
        <v>146</v>
      </c>
      <c r="W17282" t="s">
        <v>184</v>
      </c>
      <c r="X17282" t="s">
        <v>7</v>
      </c>
      <c r="Y17282" t="s">
        <v>1494</v>
      </c>
      <c r="Z17282" t="s">
        <v>448</v>
      </c>
      <c r="AA17282" t="s">
        <v>456</v>
      </c>
      <c r="AB17282">
        <v>0</v>
      </c>
      <c r="AE17282" t="s">
        <v>1496</v>
      </c>
      <c r="AF17282" t="s">
        <v>448</v>
      </c>
      <c r="AG17282" t="s">
        <v>560</v>
      </c>
      <c r="AL17282" t="s">
        <v>2740</v>
      </c>
      <c r="AM17282" t="s">
        <v>2741</v>
      </c>
      <c r="AN17282" t="s">
        <v>2742</v>
      </c>
      <c r="AO17282" t="s">
        <v>1494</v>
      </c>
      <c r="AQ17282">
        <f>IF(ISBLANK(AP17282), IFERROR(IF(VLOOKUP(AO17282, Ellens_additions!$A$2:$B$252, 2, FALSE) = "", "", VLOOKUP(AO17282, Ellens_additions!$A$2:$B$252, 2, FALSE)), 0), AP17282)</f>
        <v>0</v>
      </c>
    </row>
    <row r="17283" spans="1:43" ht="14.4" hidden="1" x14ac:dyDescent="0.3">
      <c r="A17283" t="s">
        <v>2743</v>
      </c>
      <c r="B17283">
        <v>4909231</v>
      </c>
      <c r="C17283" t="s">
        <v>135</v>
      </c>
      <c r="D17283" t="s">
        <v>174</v>
      </c>
      <c r="E17283" t="s">
        <v>316</v>
      </c>
      <c r="F17283" t="s">
        <v>288</v>
      </c>
      <c r="H17283" t="s">
        <v>2744</v>
      </c>
      <c r="J17283" t="s">
        <v>140</v>
      </c>
      <c r="K17283">
        <v>159317.15</v>
      </c>
      <c r="L17283">
        <v>383535.96</v>
      </c>
      <c r="N17283" t="s">
        <v>1494</v>
      </c>
      <c r="O17283" t="s">
        <v>448</v>
      </c>
      <c r="P17283" t="s">
        <v>1495</v>
      </c>
      <c r="Q17283" t="s">
        <v>144</v>
      </c>
      <c r="S17283">
        <v>0</v>
      </c>
      <c r="T17283">
        <v>0</v>
      </c>
      <c r="V17283" t="s">
        <v>146</v>
      </c>
      <c r="W17283" t="s">
        <v>184</v>
      </c>
      <c r="X17283" t="s">
        <v>7</v>
      </c>
      <c r="Y17283" t="s">
        <v>1494</v>
      </c>
      <c r="Z17283" t="s">
        <v>448</v>
      </c>
      <c r="AA17283" t="s">
        <v>456</v>
      </c>
      <c r="AB17283">
        <v>0</v>
      </c>
      <c r="AE17283" t="s">
        <v>1496</v>
      </c>
      <c r="AF17283" t="s">
        <v>448</v>
      </c>
      <c r="AG17283" t="s">
        <v>560</v>
      </c>
      <c r="AL17283" t="s">
        <v>2745</v>
      </c>
      <c r="AM17283" t="s">
        <v>2746</v>
      </c>
      <c r="AN17283" t="s">
        <v>2747</v>
      </c>
      <c r="AO17283" t="s">
        <v>1494</v>
      </c>
      <c r="AQ17283">
        <f>IF(ISBLANK(AP17283), IFERROR(IF(VLOOKUP(AO17283, Ellens_additions!$A$2:$B$252, 2, FALSE) = "", "", VLOOKUP(AO17283, Ellens_additions!$A$2:$B$252, 2, FALSE)), 0), AP17283)</f>
        <v>0</v>
      </c>
    </row>
    <row r="17284" spans="1:43" ht="14.4" hidden="1" x14ac:dyDescent="0.3">
      <c r="A17284" t="s">
        <v>2748</v>
      </c>
      <c r="B17284">
        <v>4909232</v>
      </c>
      <c r="C17284" t="s">
        <v>135</v>
      </c>
      <c r="D17284" t="s">
        <v>174</v>
      </c>
      <c r="E17284" t="s">
        <v>316</v>
      </c>
      <c r="F17284" t="s">
        <v>288</v>
      </c>
      <c r="H17284" t="s">
        <v>2749</v>
      </c>
      <c r="J17284" t="s">
        <v>140</v>
      </c>
      <c r="K17284">
        <v>159318.04999999999</v>
      </c>
      <c r="L17284">
        <v>383535.26</v>
      </c>
      <c r="N17284" t="s">
        <v>1494</v>
      </c>
      <c r="O17284" t="s">
        <v>448</v>
      </c>
      <c r="P17284" t="s">
        <v>1495</v>
      </c>
      <c r="Q17284" t="s">
        <v>144</v>
      </c>
      <c r="S17284">
        <v>0</v>
      </c>
      <c r="T17284">
        <v>0</v>
      </c>
      <c r="V17284" t="s">
        <v>146</v>
      </c>
      <c r="W17284" t="s">
        <v>184</v>
      </c>
      <c r="X17284" t="s">
        <v>7</v>
      </c>
      <c r="Y17284" t="s">
        <v>1494</v>
      </c>
      <c r="Z17284" t="s">
        <v>448</v>
      </c>
      <c r="AA17284" t="s">
        <v>456</v>
      </c>
      <c r="AB17284">
        <v>0</v>
      </c>
      <c r="AE17284" t="s">
        <v>1496</v>
      </c>
      <c r="AF17284" t="s">
        <v>448</v>
      </c>
      <c r="AG17284" t="s">
        <v>560</v>
      </c>
      <c r="AL17284" t="s">
        <v>2750</v>
      </c>
      <c r="AM17284" t="s">
        <v>2751</v>
      </c>
      <c r="AN17284" t="s">
        <v>2752</v>
      </c>
      <c r="AO17284" t="s">
        <v>1494</v>
      </c>
      <c r="AQ17284">
        <f>IF(ISBLANK(AP17284), IFERROR(IF(VLOOKUP(AO17284, Ellens_additions!$A$2:$B$252, 2, FALSE) = "", "", VLOOKUP(AO17284, Ellens_additions!$A$2:$B$252, 2, FALSE)), 0), AP17284)</f>
        <v>0</v>
      </c>
    </row>
    <row r="17285" spans="1:43" ht="14.4" hidden="1" x14ac:dyDescent="0.3">
      <c r="A17285" t="s">
        <v>2753</v>
      </c>
      <c r="B17285">
        <v>4909240</v>
      </c>
      <c r="C17285" t="s">
        <v>135</v>
      </c>
      <c r="D17285" t="s">
        <v>174</v>
      </c>
      <c r="E17285" t="s">
        <v>316</v>
      </c>
      <c r="F17285" t="s">
        <v>288</v>
      </c>
      <c r="H17285" t="s">
        <v>2754</v>
      </c>
      <c r="J17285" t="s">
        <v>140</v>
      </c>
      <c r="K17285">
        <v>159325.49</v>
      </c>
      <c r="L17285">
        <v>383530.9</v>
      </c>
      <c r="N17285" t="s">
        <v>1494</v>
      </c>
      <c r="O17285" t="s">
        <v>448</v>
      </c>
      <c r="P17285" t="s">
        <v>1495</v>
      </c>
      <c r="Q17285" t="s">
        <v>144</v>
      </c>
      <c r="S17285">
        <v>0</v>
      </c>
      <c r="T17285">
        <v>0</v>
      </c>
      <c r="V17285" t="s">
        <v>146</v>
      </c>
      <c r="W17285" t="s">
        <v>184</v>
      </c>
      <c r="X17285" t="s">
        <v>7</v>
      </c>
      <c r="Y17285" t="s">
        <v>1494</v>
      </c>
      <c r="Z17285" t="s">
        <v>448</v>
      </c>
      <c r="AA17285" t="s">
        <v>456</v>
      </c>
      <c r="AB17285">
        <v>0</v>
      </c>
      <c r="AE17285" t="s">
        <v>1496</v>
      </c>
      <c r="AF17285" t="s">
        <v>448</v>
      </c>
      <c r="AG17285" t="s">
        <v>560</v>
      </c>
      <c r="AL17285" t="s">
        <v>2755</v>
      </c>
      <c r="AM17285" t="s">
        <v>2756</v>
      </c>
      <c r="AN17285" t="s">
        <v>2757</v>
      </c>
      <c r="AO17285" t="s">
        <v>1494</v>
      </c>
      <c r="AQ17285">
        <f>IF(ISBLANK(AP17285), IFERROR(IF(VLOOKUP(AO17285, Ellens_additions!$A$2:$B$252, 2, FALSE) = "", "", VLOOKUP(AO17285, Ellens_additions!$A$2:$B$252, 2, FALSE)), 0), AP17285)</f>
        <v>0</v>
      </c>
    </row>
    <row r="17286" spans="1:43" ht="14.4" hidden="1" x14ac:dyDescent="0.3">
      <c r="A17286" t="s">
        <v>2758</v>
      </c>
      <c r="B17286">
        <v>4909243</v>
      </c>
      <c r="C17286" t="s">
        <v>135</v>
      </c>
      <c r="D17286" t="s">
        <v>174</v>
      </c>
      <c r="E17286" t="s">
        <v>316</v>
      </c>
      <c r="F17286" t="s">
        <v>288</v>
      </c>
      <c r="H17286" t="s">
        <v>2759</v>
      </c>
      <c r="J17286" t="s">
        <v>140</v>
      </c>
      <c r="K17286">
        <v>159328.66</v>
      </c>
      <c r="L17286">
        <v>383529.51</v>
      </c>
      <c r="N17286" t="s">
        <v>1494</v>
      </c>
      <c r="O17286" t="s">
        <v>448</v>
      </c>
      <c r="P17286" t="s">
        <v>1495</v>
      </c>
      <c r="Q17286" t="s">
        <v>144</v>
      </c>
      <c r="S17286">
        <v>0</v>
      </c>
      <c r="T17286">
        <v>0</v>
      </c>
      <c r="V17286" t="s">
        <v>146</v>
      </c>
      <c r="W17286" t="s">
        <v>184</v>
      </c>
      <c r="X17286" t="s">
        <v>7</v>
      </c>
      <c r="Y17286" t="s">
        <v>1494</v>
      </c>
      <c r="Z17286" t="s">
        <v>448</v>
      </c>
      <c r="AA17286" t="s">
        <v>456</v>
      </c>
      <c r="AB17286">
        <v>0</v>
      </c>
      <c r="AE17286" t="s">
        <v>1496</v>
      </c>
      <c r="AF17286" t="s">
        <v>448</v>
      </c>
      <c r="AG17286" t="s">
        <v>560</v>
      </c>
      <c r="AL17286" t="s">
        <v>2760</v>
      </c>
      <c r="AM17286" t="s">
        <v>2761</v>
      </c>
      <c r="AN17286" t="s">
        <v>2762</v>
      </c>
      <c r="AO17286" t="s">
        <v>1494</v>
      </c>
      <c r="AQ17286">
        <f>IF(ISBLANK(AP17286), IFERROR(IF(VLOOKUP(AO17286, Ellens_additions!$A$2:$B$252, 2, FALSE) = "", "", VLOOKUP(AO17286, Ellens_additions!$A$2:$B$252, 2, FALSE)), 0), AP17286)</f>
        <v>0</v>
      </c>
    </row>
    <row r="17287" spans="1:43" ht="14.4" hidden="1" x14ac:dyDescent="0.3">
      <c r="A17287" t="s">
        <v>2763</v>
      </c>
      <c r="B17287">
        <v>4909245</v>
      </c>
      <c r="C17287" t="s">
        <v>135</v>
      </c>
      <c r="D17287" t="s">
        <v>174</v>
      </c>
      <c r="E17287" t="s">
        <v>316</v>
      </c>
      <c r="F17287" t="s">
        <v>288</v>
      </c>
      <c r="H17287" t="s">
        <v>2764</v>
      </c>
      <c r="J17287" t="s">
        <v>140</v>
      </c>
      <c r="K17287">
        <v>159330.51999999999</v>
      </c>
      <c r="L17287">
        <v>383528.47</v>
      </c>
      <c r="N17287" t="s">
        <v>1494</v>
      </c>
      <c r="O17287" t="s">
        <v>448</v>
      </c>
      <c r="P17287" t="s">
        <v>1495</v>
      </c>
      <c r="Q17287" t="s">
        <v>144</v>
      </c>
      <c r="S17287">
        <v>0</v>
      </c>
      <c r="T17287">
        <v>0</v>
      </c>
      <c r="V17287" t="s">
        <v>146</v>
      </c>
      <c r="W17287" t="s">
        <v>184</v>
      </c>
      <c r="X17287" t="s">
        <v>7</v>
      </c>
      <c r="Y17287" t="s">
        <v>1494</v>
      </c>
      <c r="Z17287" t="s">
        <v>448</v>
      </c>
      <c r="AA17287" t="s">
        <v>456</v>
      </c>
      <c r="AB17287">
        <v>0</v>
      </c>
      <c r="AE17287" t="s">
        <v>1496</v>
      </c>
      <c r="AF17287" t="s">
        <v>448</v>
      </c>
      <c r="AG17287" t="s">
        <v>560</v>
      </c>
      <c r="AL17287" t="s">
        <v>2765</v>
      </c>
      <c r="AM17287" t="s">
        <v>2766</v>
      </c>
      <c r="AN17287" t="s">
        <v>2767</v>
      </c>
      <c r="AO17287" t="s">
        <v>1494</v>
      </c>
      <c r="AQ17287">
        <f>IF(ISBLANK(AP17287), IFERROR(IF(VLOOKUP(AO17287, Ellens_additions!$A$2:$B$252, 2, FALSE) = "", "", VLOOKUP(AO17287, Ellens_additions!$A$2:$B$252, 2, FALSE)), 0), AP17287)</f>
        <v>0</v>
      </c>
    </row>
    <row r="17288" spans="1:43" ht="14.4" hidden="1" x14ac:dyDescent="0.3">
      <c r="A17288" t="s">
        <v>2768</v>
      </c>
      <c r="B17288">
        <v>4909246</v>
      </c>
      <c r="C17288" t="s">
        <v>135</v>
      </c>
      <c r="D17288" t="s">
        <v>174</v>
      </c>
      <c r="E17288" t="s">
        <v>316</v>
      </c>
      <c r="F17288" t="s">
        <v>288</v>
      </c>
      <c r="H17288" t="s">
        <v>2769</v>
      </c>
      <c r="J17288" t="s">
        <v>140</v>
      </c>
      <c r="K17288">
        <v>159331.44</v>
      </c>
      <c r="L17288">
        <v>383527.92</v>
      </c>
      <c r="N17288" t="s">
        <v>1494</v>
      </c>
      <c r="O17288" t="s">
        <v>448</v>
      </c>
      <c r="P17288" t="s">
        <v>1495</v>
      </c>
      <c r="Q17288" t="s">
        <v>144</v>
      </c>
      <c r="S17288">
        <v>0</v>
      </c>
      <c r="T17288">
        <v>0</v>
      </c>
      <c r="V17288" t="s">
        <v>146</v>
      </c>
      <c r="W17288" t="s">
        <v>184</v>
      </c>
      <c r="X17288" t="s">
        <v>7</v>
      </c>
      <c r="Y17288" t="s">
        <v>1494</v>
      </c>
      <c r="Z17288" t="s">
        <v>448</v>
      </c>
      <c r="AA17288" t="s">
        <v>456</v>
      </c>
      <c r="AB17288">
        <v>0</v>
      </c>
      <c r="AE17288" t="s">
        <v>1496</v>
      </c>
      <c r="AF17288" t="s">
        <v>448</v>
      </c>
      <c r="AG17288" t="s">
        <v>560</v>
      </c>
      <c r="AL17288" t="s">
        <v>2770</v>
      </c>
      <c r="AM17288" t="s">
        <v>2771</v>
      </c>
      <c r="AN17288" t="s">
        <v>2772</v>
      </c>
      <c r="AO17288" t="s">
        <v>1494</v>
      </c>
      <c r="AQ17288">
        <f>IF(ISBLANK(AP17288), IFERROR(IF(VLOOKUP(AO17288, Ellens_additions!$A$2:$B$252, 2, FALSE) = "", "", VLOOKUP(AO17288, Ellens_additions!$A$2:$B$252, 2, FALSE)), 0), AP17288)</f>
        <v>0</v>
      </c>
    </row>
    <row r="17289" spans="1:43" ht="14.4" hidden="1" x14ac:dyDescent="0.3">
      <c r="A17289" t="s">
        <v>2773</v>
      </c>
      <c r="B17289">
        <v>4909247</v>
      </c>
      <c r="C17289" t="s">
        <v>135</v>
      </c>
      <c r="D17289" t="s">
        <v>174</v>
      </c>
      <c r="E17289" t="s">
        <v>316</v>
      </c>
      <c r="F17289" t="s">
        <v>288</v>
      </c>
      <c r="H17289" t="s">
        <v>2774</v>
      </c>
      <c r="J17289" t="s">
        <v>140</v>
      </c>
      <c r="K17289">
        <v>159332.43</v>
      </c>
      <c r="L17289">
        <v>383527.03</v>
      </c>
      <c r="N17289" t="s">
        <v>1494</v>
      </c>
      <c r="O17289" t="s">
        <v>448</v>
      </c>
      <c r="P17289" t="s">
        <v>1495</v>
      </c>
      <c r="Q17289" t="s">
        <v>144</v>
      </c>
      <c r="S17289">
        <v>0</v>
      </c>
      <c r="T17289">
        <v>0</v>
      </c>
      <c r="V17289" t="s">
        <v>146</v>
      </c>
      <c r="W17289" t="s">
        <v>184</v>
      </c>
      <c r="X17289" t="s">
        <v>7</v>
      </c>
      <c r="Y17289" t="s">
        <v>1494</v>
      </c>
      <c r="Z17289" t="s">
        <v>448</v>
      </c>
      <c r="AA17289" t="s">
        <v>456</v>
      </c>
      <c r="AB17289">
        <v>0</v>
      </c>
      <c r="AE17289" t="s">
        <v>1496</v>
      </c>
      <c r="AF17289" t="s">
        <v>448</v>
      </c>
      <c r="AG17289" t="s">
        <v>560</v>
      </c>
      <c r="AL17289" t="s">
        <v>2775</v>
      </c>
      <c r="AM17289" t="s">
        <v>2776</v>
      </c>
      <c r="AN17289" t="s">
        <v>2777</v>
      </c>
      <c r="AO17289" t="s">
        <v>1494</v>
      </c>
      <c r="AQ17289">
        <f>IF(ISBLANK(AP17289), IFERROR(IF(VLOOKUP(AO17289, Ellens_additions!$A$2:$B$252, 2, FALSE) = "", "", VLOOKUP(AO17289, Ellens_additions!$A$2:$B$252, 2, FALSE)), 0), AP17289)</f>
        <v>0</v>
      </c>
    </row>
    <row r="17290" spans="1:43" ht="14.4" hidden="1" x14ac:dyDescent="0.3">
      <c r="A17290" t="s">
        <v>2778</v>
      </c>
      <c r="B17290">
        <v>4909252</v>
      </c>
      <c r="C17290" t="s">
        <v>135</v>
      </c>
      <c r="D17290" t="s">
        <v>174</v>
      </c>
      <c r="E17290" t="s">
        <v>316</v>
      </c>
      <c r="F17290" t="s">
        <v>288</v>
      </c>
      <c r="H17290" t="s">
        <v>2779</v>
      </c>
      <c r="J17290" t="s">
        <v>140</v>
      </c>
      <c r="K17290">
        <v>159336.14000000001</v>
      </c>
      <c r="L17290">
        <v>383522.76</v>
      </c>
      <c r="N17290" t="s">
        <v>1494</v>
      </c>
      <c r="O17290" t="s">
        <v>448</v>
      </c>
      <c r="P17290" t="s">
        <v>1495</v>
      </c>
      <c r="Q17290" t="s">
        <v>144</v>
      </c>
      <c r="S17290">
        <v>0</v>
      </c>
      <c r="T17290">
        <v>0</v>
      </c>
      <c r="V17290" t="s">
        <v>146</v>
      </c>
      <c r="W17290" t="s">
        <v>184</v>
      </c>
      <c r="X17290" t="s">
        <v>7</v>
      </c>
      <c r="Y17290" t="s">
        <v>1494</v>
      </c>
      <c r="Z17290" t="s">
        <v>448</v>
      </c>
      <c r="AA17290" t="s">
        <v>456</v>
      </c>
      <c r="AB17290">
        <v>0</v>
      </c>
      <c r="AE17290" t="s">
        <v>1496</v>
      </c>
      <c r="AF17290" t="s">
        <v>448</v>
      </c>
      <c r="AG17290" t="s">
        <v>560</v>
      </c>
      <c r="AL17290" t="s">
        <v>2780</v>
      </c>
      <c r="AM17290" t="s">
        <v>2781</v>
      </c>
      <c r="AN17290" t="s">
        <v>2782</v>
      </c>
      <c r="AO17290" t="s">
        <v>1494</v>
      </c>
      <c r="AQ17290">
        <f>IF(ISBLANK(AP17290), IFERROR(IF(VLOOKUP(AO17290, Ellens_additions!$A$2:$B$252, 2, FALSE) = "", "", VLOOKUP(AO17290, Ellens_additions!$A$2:$B$252, 2, FALSE)), 0), AP17290)</f>
        <v>0</v>
      </c>
    </row>
    <row r="17291" spans="1:43" ht="14.4" hidden="1" x14ac:dyDescent="0.3">
      <c r="A17291" t="s">
        <v>2783</v>
      </c>
      <c r="B17291">
        <v>4909255</v>
      </c>
      <c r="C17291" t="s">
        <v>135</v>
      </c>
      <c r="D17291" t="s">
        <v>174</v>
      </c>
      <c r="E17291" t="s">
        <v>316</v>
      </c>
      <c r="F17291" t="s">
        <v>288</v>
      </c>
      <c r="H17291" t="s">
        <v>2784</v>
      </c>
      <c r="J17291" t="s">
        <v>140</v>
      </c>
      <c r="K17291">
        <v>159375.82999999999</v>
      </c>
      <c r="L17291">
        <v>383543.71</v>
      </c>
      <c r="N17291" t="s">
        <v>1494</v>
      </c>
      <c r="O17291" t="s">
        <v>448</v>
      </c>
      <c r="P17291" t="s">
        <v>1495</v>
      </c>
      <c r="Q17291" t="s">
        <v>144</v>
      </c>
      <c r="S17291">
        <v>0</v>
      </c>
      <c r="T17291">
        <v>0</v>
      </c>
      <c r="V17291" t="s">
        <v>146</v>
      </c>
      <c r="W17291" t="s">
        <v>184</v>
      </c>
      <c r="X17291" t="s">
        <v>7</v>
      </c>
      <c r="Y17291" t="s">
        <v>1494</v>
      </c>
      <c r="Z17291" t="s">
        <v>448</v>
      </c>
      <c r="AA17291" t="s">
        <v>456</v>
      </c>
      <c r="AB17291">
        <v>0</v>
      </c>
      <c r="AE17291" t="s">
        <v>1496</v>
      </c>
      <c r="AF17291" t="s">
        <v>448</v>
      </c>
      <c r="AG17291" t="s">
        <v>560</v>
      </c>
      <c r="AL17291" t="s">
        <v>2785</v>
      </c>
      <c r="AM17291" t="s">
        <v>2786</v>
      </c>
      <c r="AN17291" t="s">
        <v>2787</v>
      </c>
      <c r="AO17291" t="s">
        <v>1494</v>
      </c>
      <c r="AQ17291">
        <f>IF(ISBLANK(AP17291), IFERROR(IF(VLOOKUP(AO17291, Ellens_additions!$A$2:$B$252, 2, FALSE) = "", "", VLOOKUP(AO17291, Ellens_additions!$A$2:$B$252, 2, FALSE)), 0), AP17291)</f>
        <v>0</v>
      </c>
    </row>
    <row r="17292" spans="1:43" ht="14.4" hidden="1" x14ac:dyDescent="0.3">
      <c r="A17292" t="s">
        <v>2788</v>
      </c>
      <c r="B17292">
        <v>4909262</v>
      </c>
      <c r="C17292" t="s">
        <v>135</v>
      </c>
      <c r="D17292" t="s">
        <v>174</v>
      </c>
      <c r="E17292" t="s">
        <v>316</v>
      </c>
      <c r="F17292" t="s">
        <v>288</v>
      </c>
      <c r="H17292" t="s">
        <v>2789</v>
      </c>
      <c r="J17292" t="s">
        <v>140</v>
      </c>
      <c r="K17292">
        <v>159370.20000000001</v>
      </c>
      <c r="L17292">
        <v>383537.77</v>
      </c>
      <c r="N17292" t="s">
        <v>1494</v>
      </c>
      <c r="O17292" t="s">
        <v>448</v>
      </c>
      <c r="P17292" t="s">
        <v>1495</v>
      </c>
      <c r="Q17292" t="s">
        <v>144</v>
      </c>
      <c r="S17292">
        <v>0</v>
      </c>
      <c r="T17292">
        <v>0</v>
      </c>
      <c r="V17292" t="s">
        <v>146</v>
      </c>
      <c r="W17292" t="s">
        <v>184</v>
      </c>
      <c r="X17292" t="s">
        <v>7</v>
      </c>
      <c r="Y17292" t="s">
        <v>1494</v>
      </c>
      <c r="Z17292" t="s">
        <v>448</v>
      </c>
      <c r="AA17292" t="s">
        <v>456</v>
      </c>
      <c r="AB17292">
        <v>0</v>
      </c>
      <c r="AE17292" t="s">
        <v>1496</v>
      </c>
      <c r="AF17292" t="s">
        <v>448</v>
      </c>
      <c r="AG17292" t="s">
        <v>560</v>
      </c>
      <c r="AL17292" t="s">
        <v>2790</v>
      </c>
      <c r="AM17292" t="s">
        <v>2791</v>
      </c>
      <c r="AN17292" t="s">
        <v>2792</v>
      </c>
      <c r="AO17292" t="s">
        <v>1494</v>
      </c>
      <c r="AQ17292">
        <f>IF(ISBLANK(AP17292), IFERROR(IF(VLOOKUP(AO17292, Ellens_additions!$A$2:$B$252, 2, FALSE) = "", "", VLOOKUP(AO17292, Ellens_additions!$A$2:$B$252, 2, FALSE)), 0), AP17292)</f>
        <v>0</v>
      </c>
    </row>
    <row r="17293" spans="1:43" ht="14.4" hidden="1" x14ac:dyDescent="0.3">
      <c r="A17293" t="s">
        <v>2793</v>
      </c>
      <c r="B17293">
        <v>4909264</v>
      </c>
      <c r="C17293" t="s">
        <v>135</v>
      </c>
      <c r="D17293" t="s">
        <v>174</v>
      </c>
      <c r="E17293" t="s">
        <v>316</v>
      </c>
      <c r="F17293" t="s">
        <v>288</v>
      </c>
      <c r="H17293" t="s">
        <v>2794</v>
      </c>
      <c r="J17293" t="s">
        <v>140</v>
      </c>
      <c r="K17293">
        <v>159368.99</v>
      </c>
      <c r="L17293">
        <v>383536.14</v>
      </c>
      <c r="N17293" t="s">
        <v>1494</v>
      </c>
      <c r="O17293" t="s">
        <v>448</v>
      </c>
      <c r="P17293" t="s">
        <v>1495</v>
      </c>
      <c r="Q17293" t="s">
        <v>144</v>
      </c>
      <c r="S17293">
        <v>0</v>
      </c>
      <c r="T17293">
        <v>0</v>
      </c>
      <c r="V17293" t="s">
        <v>146</v>
      </c>
      <c r="W17293" t="s">
        <v>184</v>
      </c>
      <c r="X17293" t="s">
        <v>7</v>
      </c>
      <c r="Y17293" t="s">
        <v>1494</v>
      </c>
      <c r="Z17293" t="s">
        <v>448</v>
      </c>
      <c r="AA17293" t="s">
        <v>456</v>
      </c>
      <c r="AB17293">
        <v>0</v>
      </c>
      <c r="AE17293" t="s">
        <v>1496</v>
      </c>
      <c r="AF17293" t="s">
        <v>448</v>
      </c>
      <c r="AG17293" t="s">
        <v>560</v>
      </c>
      <c r="AL17293" t="s">
        <v>2795</v>
      </c>
      <c r="AM17293" t="s">
        <v>2796</v>
      </c>
      <c r="AN17293" t="s">
        <v>2797</v>
      </c>
      <c r="AO17293" t="s">
        <v>1494</v>
      </c>
      <c r="AQ17293">
        <f>IF(ISBLANK(AP17293), IFERROR(IF(VLOOKUP(AO17293, Ellens_additions!$A$2:$B$252, 2, FALSE) = "", "", VLOOKUP(AO17293, Ellens_additions!$A$2:$B$252, 2, FALSE)), 0), AP17293)</f>
        <v>0</v>
      </c>
    </row>
    <row r="17294" spans="1:43" ht="14.4" hidden="1" x14ac:dyDescent="0.3">
      <c r="A17294" t="s">
        <v>2798</v>
      </c>
      <c r="B17294">
        <v>4909266</v>
      </c>
      <c r="C17294" t="s">
        <v>135</v>
      </c>
      <c r="D17294" t="s">
        <v>174</v>
      </c>
      <c r="E17294" t="s">
        <v>316</v>
      </c>
      <c r="F17294" t="s">
        <v>288</v>
      </c>
      <c r="H17294" t="s">
        <v>2799</v>
      </c>
      <c r="J17294" t="s">
        <v>140</v>
      </c>
      <c r="K17294">
        <v>159367.91</v>
      </c>
      <c r="L17294">
        <v>383533.81</v>
      </c>
      <c r="N17294" t="s">
        <v>1494</v>
      </c>
      <c r="O17294" t="s">
        <v>448</v>
      </c>
      <c r="P17294" t="s">
        <v>1495</v>
      </c>
      <c r="Q17294" t="s">
        <v>144</v>
      </c>
      <c r="S17294">
        <v>0</v>
      </c>
      <c r="T17294">
        <v>0</v>
      </c>
      <c r="V17294" t="s">
        <v>146</v>
      </c>
      <c r="W17294" t="s">
        <v>184</v>
      </c>
      <c r="X17294" t="s">
        <v>7</v>
      </c>
      <c r="Y17294" t="s">
        <v>1494</v>
      </c>
      <c r="Z17294" t="s">
        <v>448</v>
      </c>
      <c r="AA17294" t="s">
        <v>456</v>
      </c>
      <c r="AB17294">
        <v>0</v>
      </c>
      <c r="AE17294" t="s">
        <v>1496</v>
      </c>
      <c r="AF17294" t="s">
        <v>448</v>
      </c>
      <c r="AG17294" t="s">
        <v>560</v>
      </c>
      <c r="AL17294" t="s">
        <v>2800</v>
      </c>
      <c r="AM17294" t="s">
        <v>2801</v>
      </c>
      <c r="AN17294" t="s">
        <v>2802</v>
      </c>
      <c r="AO17294" t="s">
        <v>1494</v>
      </c>
      <c r="AQ17294">
        <f>IF(ISBLANK(AP17294), IFERROR(IF(VLOOKUP(AO17294, Ellens_additions!$A$2:$B$252, 2, FALSE) = "", "", VLOOKUP(AO17294, Ellens_additions!$A$2:$B$252, 2, FALSE)), 0), AP17294)</f>
        <v>0</v>
      </c>
    </row>
    <row r="17295" spans="1:43" ht="14.4" hidden="1" x14ac:dyDescent="0.3">
      <c r="A17295" t="s">
        <v>2803</v>
      </c>
      <c r="B17295">
        <v>4909267</v>
      </c>
      <c r="C17295" t="s">
        <v>135</v>
      </c>
      <c r="D17295" t="s">
        <v>174</v>
      </c>
      <c r="E17295" t="s">
        <v>316</v>
      </c>
      <c r="F17295" t="s">
        <v>288</v>
      </c>
      <c r="H17295" t="s">
        <v>2804</v>
      </c>
      <c r="J17295" t="s">
        <v>140</v>
      </c>
      <c r="K17295">
        <v>159367.48000000001</v>
      </c>
      <c r="L17295">
        <v>383532.48</v>
      </c>
      <c r="N17295" t="s">
        <v>1494</v>
      </c>
      <c r="O17295" t="s">
        <v>448</v>
      </c>
      <c r="P17295" t="s">
        <v>1495</v>
      </c>
      <c r="Q17295" t="s">
        <v>144</v>
      </c>
      <c r="S17295">
        <v>0</v>
      </c>
      <c r="T17295">
        <v>0</v>
      </c>
      <c r="V17295" t="s">
        <v>146</v>
      </c>
      <c r="W17295" t="s">
        <v>184</v>
      </c>
      <c r="X17295" t="s">
        <v>7</v>
      </c>
      <c r="Y17295" t="s">
        <v>1494</v>
      </c>
      <c r="Z17295" t="s">
        <v>448</v>
      </c>
      <c r="AA17295" t="s">
        <v>456</v>
      </c>
      <c r="AB17295">
        <v>0</v>
      </c>
      <c r="AE17295" t="s">
        <v>1496</v>
      </c>
      <c r="AF17295" t="s">
        <v>448</v>
      </c>
      <c r="AG17295" t="s">
        <v>560</v>
      </c>
      <c r="AL17295" t="s">
        <v>2805</v>
      </c>
      <c r="AM17295" t="s">
        <v>2806</v>
      </c>
      <c r="AN17295" t="s">
        <v>2807</v>
      </c>
      <c r="AO17295" t="s">
        <v>1494</v>
      </c>
      <c r="AQ17295">
        <f>IF(ISBLANK(AP17295), IFERROR(IF(VLOOKUP(AO17295, Ellens_additions!$A$2:$B$252, 2, FALSE) = "", "", VLOOKUP(AO17295, Ellens_additions!$A$2:$B$252, 2, FALSE)), 0), AP17295)</f>
        <v>0</v>
      </c>
    </row>
    <row r="17296" spans="1:43" ht="14.4" hidden="1" x14ac:dyDescent="0.3">
      <c r="A17296" t="s">
        <v>2808</v>
      </c>
      <c r="B17296">
        <v>4909274</v>
      </c>
      <c r="C17296" t="s">
        <v>135</v>
      </c>
      <c r="D17296" t="s">
        <v>174</v>
      </c>
      <c r="E17296" t="s">
        <v>316</v>
      </c>
      <c r="F17296" t="s">
        <v>288</v>
      </c>
      <c r="H17296" t="s">
        <v>2809</v>
      </c>
      <c r="J17296" t="s">
        <v>140</v>
      </c>
      <c r="K17296">
        <v>159368.59</v>
      </c>
      <c r="L17296">
        <v>383524.42</v>
      </c>
      <c r="N17296" t="s">
        <v>1494</v>
      </c>
      <c r="O17296" t="s">
        <v>448</v>
      </c>
      <c r="P17296" t="s">
        <v>1495</v>
      </c>
      <c r="Q17296" t="s">
        <v>144</v>
      </c>
      <c r="S17296">
        <v>0</v>
      </c>
      <c r="T17296">
        <v>0</v>
      </c>
      <c r="V17296" t="s">
        <v>146</v>
      </c>
      <c r="W17296" t="s">
        <v>184</v>
      </c>
      <c r="X17296" t="s">
        <v>7</v>
      </c>
      <c r="Y17296" t="s">
        <v>1494</v>
      </c>
      <c r="Z17296" t="s">
        <v>448</v>
      </c>
      <c r="AA17296" t="s">
        <v>456</v>
      </c>
      <c r="AB17296">
        <v>0</v>
      </c>
      <c r="AE17296" t="s">
        <v>1496</v>
      </c>
      <c r="AF17296" t="s">
        <v>448</v>
      </c>
      <c r="AG17296" t="s">
        <v>560</v>
      </c>
      <c r="AL17296" t="s">
        <v>2810</v>
      </c>
      <c r="AM17296" t="s">
        <v>2811</v>
      </c>
      <c r="AN17296" t="s">
        <v>2812</v>
      </c>
      <c r="AO17296" t="s">
        <v>1494</v>
      </c>
      <c r="AQ17296">
        <f>IF(ISBLANK(AP17296), IFERROR(IF(VLOOKUP(AO17296, Ellens_additions!$A$2:$B$252, 2, FALSE) = "", "", VLOOKUP(AO17296, Ellens_additions!$A$2:$B$252, 2, FALSE)), 0), AP17296)</f>
        <v>0</v>
      </c>
    </row>
    <row r="17297" spans="1:43" ht="14.4" hidden="1" x14ac:dyDescent="0.3">
      <c r="A17297" t="s">
        <v>2813</v>
      </c>
      <c r="B17297">
        <v>4909277</v>
      </c>
      <c r="C17297" t="s">
        <v>135</v>
      </c>
      <c r="D17297" t="s">
        <v>174</v>
      </c>
      <c r="E17297" t="s">
        <v>316</v>
      </c>
      <c r="F17297" t="s">
        <v>288</v>
      </c>
      <c r="H17297" t="s">
        <v>2814</v>
      </c>
      <c r="J17297" t="s">
        <v>140</v>
      </c>
      <c r="K17297">
        <v>159340.37</v>
      </c>
      <c r="L17297">
        <v>383512.91</v>
      </c>
      <c r="N17297" t="s">
        <v>1494</v>
      </c>
      <c r="O17297" t="s">
        <v>448</v>
      </c>
      <c r="P17297" t="s">
        <v>1495</v>
      </c>
      <c r="Q17297" t="s">
        <v>144</v>
      </c>
      <c r="S17297">
        <v>0</v>
      </c>
      <c r="T17297">
        <v>0</v>
      </c>
      <c r="V17297" t="s">
        <v>146</v>
      </c>
      <c r="W17297" t="s">
        <v>184</v>
      </c>
      <c r="X17297" t="s">
        <v>7</v>
      </c>
      <c r="Y17297" t="s">
        <v>1494</v>
      </c>
      <c r="Z17297" t="s">
        <v>448</v>
      </c>
      <c r="AA17297" t="s">
        <v>456</v>
      </c>
      <c r="AB17297">
        <v>0</v>
      </c>
      <c r="AE17297" t="s">
        <v>1496</v>
      </c>
      <c r="AF17297" t="s">
        <v>448</v>
      </c>
      <c r="AG17297" t="s">
        <v>560</v>
      </c>
      <c r="AL17297" t="s">
        <v>2815</v>
      </c>
      <c r="AM17297" t="s">
        <v>2816</v>
      </c>
      <c r="AN17297" t="s">
        <v>2817</v>
      </c>
      <c r="AO17297" t="s">
        <v>1494</v>
      </c>
      <c r="AQ17297">
        <f>IF(ISBLANK(AP17297), IFERROR(IF(VLOOKUP(AO17297, Ellens_additions!$A$2:$B$252, 2, FALSE) = "", "", VLOOKUP(AO17297, Ellens_additions!$A$2:$B$252, 2, FALSE)), 0), AP17297)</f>
        <v>0</v>
      </c>
    </row>
    <row r="17298" spans="1:43" ht="14.4" hidden="1" x14ac:dyDescent="0.3">
      <c r="A17298" t="s">
        <v>2818</v>
      </c>
      <c r="B17298">
        <v>4909279</v>
      </c>
      <c r="C17298" t="s">
        <v>135</v>
      </c>
      <c r="D17298" t="s">
        <v>174</v>
      </c>
      <c r="E17298" t="s">
        <v>316</v>
      </c>
      <c r="F17298" t="s">
        <v>288</v>
      </c>
      <c r="H17298" t="s">
        <v>2819</v>
      </c>
      <c r="J17298" t="s">
        <v>140</v>
      </c>
      <c r="K17298">
        <v>159339.60999999999</v>
      </c>
      <c r="L17298">
        <v>383515.19</v>
      </c>
      <c r="N17298" t="s">
        <v>1494</v>
      </c>
      <c r="O17298" t="s">
        <v>448</v>
      </c>
      <c r="P17298" t="s">
        <v>1495</v>
      </c>
      <c r="Q17298" t="s">
        <v>144</v>
      </c>
      <c r="S17298">
        <v>0</v>
      </c>
      <c r="T17298">
        <v>0</v>
      </c>
      <c r="V17298" t="s">
        <v>146</v>
      </c>
      <c r="W17298" t="s">
        <v>184</v>
      </c>
      <c r="X17298" t="s">
        <v>7</v>
      </c>
      <c r="Y17298" t="s">
        <v>1494</v>
      </c>
      <c r="Z17298" t="s">
        <v>448</v>
      </c>
      <c r="AA17298" t="s">
        <v>456</v>
      </c>
      <c r="AB17298">
        <v>0</v>
      </c>
      <c r="AE17298" t="s">
        <v>1496</v>
      </c>
      <c r="AF17298" t="s">
        <v>448</v>
      </c>
      <c r="AG17298" t="s">
        <v>560</v>
      </c>
      <c r="AL17298" t="s">
        <v>2820</v>
      </c>
      <c r="AM17298" t="s">
        <v>2821</v>
      </c>
      <c r="AN17298" t="s">
        <v>2822</v>
      </c>
      <c r="AO17298" t="s">
        <v>1494</v>
      </c>
      <c r="AQ17298">
        <f>IF(ISBLANK(AP17298), IFERROR(IF(VLOOKUP(AO17298, Ellens_additions!$A$2:$B$252, 2, FALSE) = "", "", VLOOKUP(AO17298, Ellens_additions!$A$2:$B$252, 2, FALSE)), 0), AP17298)</f>
        <v>0</v>
      </c>
    </row>
    <row r="17299" spans="1:43" ht="14.4" hidden="1" x14ac:dyDescent="0.3">
      <c r="A17299" t="s">
        <v>2823</v>
      </c>
      <c r="B17299">
        <v>4909282</v>
      </c>
      <c r="C17299" t="s">
        <v>135</v>
      </c>
      <c r="D17299" t="s">
        <v>174</v>
      </c>
      <c r="E17299" t="s">
        <v>316</v>
      </c>
      <c r="F17299" t="s">
        <v>288</v>
      </c>
      <c r="H17299" t="s">
        <v>2824</v>
      </c>
      <c r="J17299" t="s">
        <v>140</v>
      </c>
      <c r="K17299">
        <v>159338.37</v>
      </c>
      <c r="L17299">
        <v>383518.41</v>
      </c>
      <c r="N17299" t="s">
        <v>1494</v>
      </c>
      <c r="O17299" t="s">
        <v>448</v>
      </c>
      <c r="P17299" t="s">
        <v>1495</v>
      </c>
      <c r="Q17299" t="s">
        <v>144</v>
      </c>
      <c r="S17299">
        <v>0</v>
      </c>
      <c r="T17299">
        <v>0</v>
      </c>
      <c r="V17299" t="s">
        <v>146</v>
      </c>
      <c r="W17299" t="s">
        <v>184</v>
      </c>
      <c r="X17299" t="s">
        <v>7</v>
      </c>
      <c r="Y17299" t="s">
        <v>1494</v>
      </c>
      <c r="Z17299" t="s">
        <v>448</v>
      </c>
      <c r="AA17299" t="s">
        <v>456</v>
      </c>
      <c r="AB17299">
        <v>0</v>
      </c>
      <c r="AE17299" t="s">
        <v>1496</v>
      </c>
      <c r="AF17299" t="s">
        <v>448</v>
      </c>
      <c r="AG17299" t="s">
        <v>560</v>
      </c>
      <c r="AL17299" t="s">
        <v>2825</v>
      </c>
      <c r="AM17299" t="s">
        <v>2826</v>
      </c>
      <c r="AN17299" t="s">
        <v>2827</v>
      </c>
      <c r="AO17299" t="s">
        <v>1494</v>
      </c>
      <c r="AQ17299">
        <f>IF(ISBLANK(AP17299), IFERROR(IF(VLOOKUP(AO17299, Ellens_additions!$A$2:$B$252, 2, FALSE) = "", "", VLOOKUP(AO17299, Ellens_additions!$A$2:$B$252, 2, FALSE)), 0), AP17299)</f>
        <v>0</v>
      </c>
    </row>
    <row r="17300" spans="1:43" ht="14.4" hidden="1" x14ac:dyDescent="0.3">
      <c r="A17300" t="s">
        <v>2828</v>
      </c>
      <c r="B17300">
        <v>4909283</v>
      </c>
      <c r="C17300" t="s">
        <v>135</v>
      </c>
      <c r="D17300" t="s">
        <v>174</v>
      </c>
      <c r="E17300" t="s">
        <v>316</v>
      </c>
      <c r="F17300" t="s">
        <v>288</v>
      </c>
      <c r="H17300" t="s">
        <v>2829</v>
      </c>
      <c r="J17300" t="s">
        <v>140</v>
      </c>
      <c r="K17300">
        <v>159337.89000000001</v>
      </c>
      <c r="L17300">
        <v>383519.41</v>
      </c>
      <c r="N17300" t="s">
        <v>1494</v>
      </c>
      <c r="O17300" t="s">
        <v>448</v>
      </c>
      <c r="P17300" t="s">
        <v>1495</v>
      </c>
      <c r="Q17300" t="s">
        <v>144</v>
      </c>
      <c r="S17300">
        <v>0</v>
      </c>
      <c r="T17300">
        <v>0</v>
      </c>
      <c r="V17300" t="s">
        <v>146</v>
      </c>
      <c r="W17300" t="s">
        <v>184</v>
      </c>
      <c r="X17300" t="s">
        <v>7</v>
      </c>
      <c r="Y17300" t="s">
        <v>1494</v>
      </c>
      <c r="Z17300" t="s">
        <v>448</v>
      </c>
      <c r="AA17300" t="s">
        <v>456</v>
      </c>
      <c r="AB17300">
        <v>0</v>
      </c>
      <c r="AE17300" t="s">
        <v>1496</v>
      </c>
      <c r="AF17300" t="s">
        <v>448</v>
      </c>
      <c r="AG17300" t="s">
        <v>560</v>
      </c>
      <c r="AL17300" t="s">
        <v>2830</v>
      </c>
      <c r="AM17300" t="s">
        <v>2831</v>
      </c>
      <c r="AN17300" t="s">
        <v>2832</v>
      </c>
      <c r="AO17300" t="s">
        <v>1494</v>
      </c>
      <c r="AQ17300">
        <f>IF(ISBLANK(AP17300), IFERROR(IF(VLOOKUP(AO17300, Ellens_additions!$A$2:$B$252, 2, FALSE) = "", "", VLOOKUP(AO17300, Ellens_additions!$A$2:$B$252, 2, FALSE)), 0), AP17300)</f>
        <v>0</v>
      </c>
    </row>
    <row r="17301" spans="1:43" ht="14.4" x14ac:dyDescent="0.3"/>
    <row r="17302" spans="1:43" ht="14.4" x14ac:dyDescent="0.3"/>
    <row r="17303" spans="1:43" ht="14.4" x14ac:dyDescent="0.3"/>
    <row r="17304" spans="1:43" ht="14.4" x14ac:dyDescent="0.3"/>
    <row r="17305" spans="1:43" ht="14.4" x14ac:dyDescent="0.3"/>
    <row r="17306" spans="1:43" ht="14.4" x14ac:dyDescent="0.3"/>
    <row r="17307" spans="1:43" ht="14.4" x14ac:dyDescent="0.3"/>
    <row r="17308" spans="1:43" ht="14.4" x14ac:dyDescent="0.3"/>
    <row r="17309" spans="1:43" ht="14.4" x14ac:dyDescent="0.3"/>
    <row r="17310" spans="1:43" ht="14.4" x14ac:dyDescent="0.3"/>
    <row r="17311" spans="1:43" ht="14.4" x14ac:dyDescent="0.3"/>
    <row r="17312" spans="1:43" ht="14.4" x14ac:dyDescent="0.3"/>
    <row r="17313" ht="14.4" x14ac:dyDescent="0.3"/>
    <row r="17314" ht="14.4" x14ac:dyDescent="0.3"/>
    <row r="17315" ht="14.4" x14ac:dyDescent="0.3"/>
    <row r="17316" ht="14.4" x14ac:dyDescent="0.3"/>
    <row r="17317" ht="14.4" x14ac:dyDescent="0.3"/>
    <row r="17318" ht="14.4" x14ac:dyDescent="0.3"/>
    <row r="17319" ht="14.4" x14ac:dyDescent="0.3"/>
    <row r="17320" ht="14.4" x14ac:dyDescent="0.3"/>
    <row r="17321" ht="14.4" x14ac:dyDescent="0.3"/>
    <row r="17322" ht="14.4" x14ac:dyDescent="0.3"/>
    <row r="17323" ht="14.4" x14ac:dyDescent="0.3"/>
    <row r="17324" ht="14.4" x14ac:dyDescent="0.3"/>
    <row r="17325" ht="14.4" x14ac:dyDescent="0.3"/>
    <row r="17326" ht="14.4" x14ac:dyDescent="0.3"/>
    <row r="17327" ht="14.4" x14ac:dyDescent="0.3"/>
    <row r="17328" ht="14.4" x14ac:dyDescent="0.3"/>
    <row r="17329" ht="14.4" x14ac:dyDescent="0.3"/>
    <row r="17330" ht="14.4" x14ac:dyDescent="0.3"/>
    <row r="17331" ht="14.4" x14ac:dyDescent="0.3"/>
    <row r="17332" ht="14.4" x14ac:dyDescent="0.3"/>
    <row r="17333" ht="14.4" x14ac:dyDescent="0.3"/>
    <row r="17334" ht="14.4" x14ac:dyDescent="0.3"/>
    <row r="17335" ht="14.4" x14ac:dyDescent="0.3"/>
    <row r="17336" ht="14.4" x14ac:dyDescent="0.3"/>
    <row r="17337" ht="14.4" x14ac:dyDescent="0.3"/>
    <row r="17338" ht="14.4" x14ac:dyDescent="0.3"/>
    <row r="17339" ht="14.4" x14ac:dyDescent="0.3"/>
    <row r="17340" ht="14.4" x14ac:dyDescent="0.3"/>
    <row r="17341" ht="14.4" x14ac:dyDescent="0.3"/>
    <row r="17342" ht="14.4" x14ac:dyDescent="0.3"/>
    <row r="17343" ht="14.4" x14ac:dyDescent="0.3"/>
    <row r="17344" ht="14.4" x14ac:dyDescent="0.3"/>
    <row r="17345" ht="14.4" x14ac:dyDescent="0.3"/>
    <row r="17346" ht="14.4" x14ac:dyDescent="0.3"/>
    <row r="17347" ht="14.4" x14ac:dyDescent="0.3"/>
    <row r="17348" ht="14.4" x14ac:dyDescent="0.3"/>
    <row r="17349" ht="14.4" x14ac:dyDescent="0.3"/>
    <row r="17350" ht="14.4" x14ac:dyDescent="0.3"/>
    <row r="17351" ht="14.4" x14ac:dyDescent="0.3"/>
    <row r="17352" ht="14.4" x14ac:dyDescent="0.3"/>
    <row r="17353" ht="14.4" x14ac:dyDescent="0.3"/>
    <row r="17354" ht="14.4" x14ac:dyDescent="0.3"/>
    <row r="17355" ht="14.4" x14ac:dyDescent="0.3"/>
    <row r="17356" ht="14.4" x14ac:dyDescent="0.3"/>
    <row r="17357" ht="14.4" x14ac:dyDescent="0.3"/>
    <row r="17358" ht="14.4" x14ac:dyDescent="0.3"/>
    <row r="17359" ht="14.4" x14ac:dyDescent="0.3"/>
    <row r="17360" ht="14.4" x14ac:dyDescent="0.3"/>
    <row r="17361" ht="14.4" x14ac:dyDescent="0.3"/>
    <row r="17362" ht="14.4" x14ac:dyDescent="0.3"/>
    <row r="17363" ht="14.4" x14ac:dyDescent="0.3"/>
    <row r="17364" ht="14.4" x14ac:dyDescent="0.3"/>
    <row r="17365" ht="14.4" x14ac:dyDescent="0.3"/>
    <row r="17366" ht="14.4" x14ac:dyDescent="0.3"/>
    <row r="17367" ht="14.4" x14ac:dyDescent="0.3"/>
    <row r="17368" ht="14.4" x14ac:dyDescent="0.3"/>
    <row r="17369" ht="14.4" x14ac:dyDescent="0.3"/>
    <row r="17370" ht="14.4" x14ac:dyDescent="0.3"/>
    <row r="17371" ht="14.4" x14ac:dyDescent="0.3"/>
    <row r="17372" ht="14.4" x14ac:dyDescent="0.3"/>
    <row r="17373" ht="14.4" x14ac:dyDescent="0.3"/>
    <row r="17374" ht="14.4" x14ac:dyDescent="0.3"/>
    <row r="17375" ht="14.4" x14ac:dyDescent="0.3"/>
    <row r="17376" ht="14.4" x14ac:dyDescent="0.3"/>
    <row r="17377" ht="14.4" x14ac:dyDescent="0.3"/>
    <row r="17378" ht="14.4" x14ac:dyDescent="0.3"/>
    <row r="17379" ht="14.4" x14ac:dyDescent="0.3"/>
    <row r="17380" ht="14.4" x14ac:dyDescent="0.3"/>
    <row r="17381" ht="14.4" x14ac:dyDescent="0.3"/>
    <row r="17382" ht="14.4" x14ac:dyDescent="0.3"/>
    <row r="17383" ht="14.4" x14ac:dyDescent="0.3"/>
    <row r="17384" ht="14.4" x14ac:dyDescent="0.3"/>
    <row r="17385" ht="14.4" x14ac:dyDescent="0.3"/>
    <row r="17386" ht="14.4" x14ac:dyDescent="0.3"/>
    <row r="17387" ht="14.4" x14ac:dyDescent="0.3"/>
    <row r="17388" ht="14.4" x14ac:dyDescent="0.3"/>
    <row r="17389" ht="14.4" x14ac:dyDescent="0.3"/>
    <row r="17390" ht="14.4" x14ac:dyDescent="0.3"/>
    <row r="17391" ht="14.4" x14ac:dyDescent="0.3"/>
    <row r="17392" ht="14.4" x14ac:dyDescent="0.3"/>
    <row r="17393" spans="1:43" ht="14.4" hidden="1" x14ac:dyDescent="0.3">
      <c r="A17393" t="s">
        <v>2834</v>
      </c>
      <c r="B17393">
        <v>4917057</v>
      </c>
      <c r="C17393" t="s">
        <v>424</v>
      </c>
      <c r="D17393" t="s">
        <v>433</v>
      </c>
      <c r="E17393" t="s">
        <v>803</v>
      </c>
      <c r="F17393" t="s">
        <v>1350</v>
      </c>
      <c r="H17393" t="s">
        <v>310</v>
      </c>
      <c r="J17393" t="s">
        <v>140</v>
      </c>
      <c r="K17393">
        <v>160190.147</v>
      </c>
      <c r="L17393">
        <v>388293.07400000002</v>
      </c>
      <c r="M17393">
        <v>1</v>
      </c>
      <c r="N17393" t="s">
        <v>814</v>
      </c>
      <c r="O17393" t="s">
        <v>463</v>
      </c>
      <c r="P17393" t="s">
        <v>1887</v>
      </c>
      <c r="Q17393" t="s">
        <v>144</v>
      </c>
      <c r="S17393">
        <v>22</v>
      </c>
      <c r="T17393">
        <v>3000</v>
      </c>
      <c r="V17393" t="s">
        <v>146</v>
      </c>
      <c r="W17393" t="s">
        <v>147</v>
      </c>
      <c r="Y17393" t="s">
        <v>815</v>
      </c>
      <c r="Z17393" t="s">
        <v>463</v>
      </c>
      <c r="AA17393" t="s">
        <v>1091</v>
      </c>
      <c r="AB17393">
        <v>0</v>
      </c>
      <c r="AE17393" t="s">
        <v>816</v>
      </c>
      <c r="AF17393" t="s">
        <v>463</v>
      </c>
      <c r="AG17393" t="s">
        <v>1379</v>
      </c>
      <c r="AL17393" t="s">
        <v>2835</v>
      </c>
      <c r="AM17393" t="s">
        <v>2836</v>
      </c>
      <c r="AN17393" t="s">
        <v>2837</v>
      </c>
      <c r="AO17393" t="s">
        <v>814</v>
      </c>
      <c r="AQ17393" t="str">
        <f>IF(ISBLANK(AP17393), IFERROR(IF(VLOOKUP(AO17393, Ellens_additions!$A$2:$B$252, 2, FALSE) = "", "", VLOOKUP(AO17393, Ellens_additions!$A$2:$B$252, 2, FALSE)), 0), AP17393)</f>
        <v/>
      </c>
    </row>
    <row r="17394" spans="1:43" ht="14.4" x14ac:dyDescent="0.3"/>
    <row r="17395" spans="1:43" ht="14.4" x14ac:dyDescent="0.3"/>
    <row r="17396" spans="1:43" ht="14.4" x14ac:dyDescent="0.3"/>
    <row r="17397" spans="1:43" ht="14.4" x14ac:dyDescent="0.3"/>
    <row r="17398" spans="1:43" ht="14.4" x14ac:dyDescent="0.3"/>
    <row r="17399" spans="1:43" ht="14.4" x14ac:dyDescent="0.3"/>
    <row r="17400" spans="1:43" ht="14.4" x14ac:dyDescent="0.3"/>
    <row r="17401" spans="1:43" ht="14.4" x14ac:dyDescent="0.3"/>
    <row r="17402" spans="1:43" ht="14.4" x14ac:dyDescent="0.3"/>
    <row r="17403" spans="1:43" ht="14.4" x14ac:dyDescent="0.3"/>
    <row r="17404" spans="1:43" ht="14.4" x14ac:dyDescent="0.3"/>
    <row r="17405" spans="1:43" ht="14.4" x14ac:dyDescent="0.3"/>
    <row r="17406" spans="1:43" ht="14.4" x14ac:dyDescent="0.3"/>
    <row r="17407" spans="1:43" ht="14.4" x14ac:dyDescent="0.3"/>
    <row r="17408" spans="1:43" ht="14.4" x14ac:dyDescent="0.3"/>
    <row r="17409" ht="14.4" x14ac:dyDescent="0.3"/>
    <row r="17410" ht="14.4" x14ac:dyDescent="0.3"/>
    <row r="17411" ht="14.4" x14ac:dyDescent="0.3"/>
    <row r="17412" ht="14.4" x14ac:dyDescent="0.3"/>
    <row r="17413" ht="14.4" x14ac:dyDescent="0.3"/>
    <row r="17414" ht="14.4" x14ac:dyDescent="0.3"/>
    <row r="17415" ht="14.4" x14ac:dyDescent="0.3"/>
    <row r="17416" ht="14.4" x14ac:dyDescent="0.3"/>
    <row r="17417" ht="14.4" x14ac:dyDescent="0.3"/>
    <row r="17418" ht="14.4" x14ac:dyDescent="0.3"/>
    <row r="17419" ht="14.4" x14ac:dyDescent="0.3"/>
    <row r="17420" ht="14.4" x14ac:dyDescent="0.3"/>
    <row r="17421" ht="14.4" x14ac:dyDescent="0.3"/>
    <row r="17422" ht="14.4" x14ac:dyDescent="0.3"/>
    <row r="17423" ht="14.4" x14ac:dyDescent="0.3"/>
    <row r="17424" ht="14.4" x14ac:dyDescent="0.3"/>
    <row r="17425" ht="14.4" x14ac:dyDescent="0.3"/>
    <row r="17426" ht="14.4" x14ac:dyDescent="0.3"/>
    <row r="17427" ht="14.4" x14ac:dyDescent="0.3"/>
    <row r="17428" ht="14.4" x14ac:dyDescent="0.3"/>
    <row r="17429" ht="14.4" x14ac:dyDescent="0.3"/>
    <row r="17430" ht="14.4" x14ac:dyDescent="0.3"/>
    <row r="17431" ht="14.4" x14ac:dyDescent="0.3"/>
    <row r="17432" ht="14.4" x14ac:dyDescent="0.3"/>
    <row r="17433" ht="14.4" x14ac:dyDescent="0.3"/>
    <row r="17434" ht="14.4" x14ac:dyDescent="0.3"/>
    <row r="17435" ht="14.4" x14ac:dyDescent="0.3"/>
    <row r="17436" ht="14.4" x14ac:dyDescent="0.3"/>
    <row r="17437" ht="14.4" x14ac:dyDescent="0.3"/>
    <row r="17438" ht="14.4" x14ac:dyDescent="0.3"/>
    <row r="17439" ht="14.4" x14ac:dyDescent="0.3"/>
    <row r="17440" ht="14.4" x14ac:dyDescent="0.3"/>
    <row r="17441" ht="14.4" x14ac:dyDescent="0.3"/>
    <row r="17442" ht="14.4" x14ac:dyDescent="0.3"/>
    <row r="17443" ht="14.4" x14ac:dyDescent="0.3"/>
    <row r="17444" ht="14.4" x14ac:dyDescent="0.3"/>
    <row r="17445" ht="14.4" x14ac:dyDescent="0.3"/>
    <row r="17446" ht="14.4" x14ac:dyDescent="0.3"/>
    <row r="17447" ht="14.4" x14ac:dyDescent="0.3"/>
    <row r="17448" ht="14.4" x14ac:dyDescent="0.3"/>
    <row r="17449" ht="14.4" x14ac:dyDescent="0.3"/>
    <row r="17450" ht="14.4" x14ac:dyDescent="0.3"/>
    <row r="17451" ht="14.4" x14ac:dyDescent="0.3"/>
    <row r="17452" ht="14.4" x14ac:dyDescent="0.3"/>
    <row r="17453" ht="14.4" x14ac:dyDescent="0.3"/>
    <row r="17454" ht="14.4" x14ac:dyDescent="0.3"/>
    <row r="17455" ht="14.4" x14ac:dyDescent="0.3"/>
    <row r="17456" ht="14.4" x14ac:dyDescent="0.3"/>
    <row r="17457" ht="14.4" x14ac:dyDescent="0.3"/>
    <row r="17458" ht="14.4" x14ac:dyDescent="0.3"/>
    <row r="17459" ht="14.4" x14ac:dyDescent="0.3"/>
    <row r="17460" ht="14.4" x14ac:dyDescent="0.3"/>
    <row r="17461" ht="14.4" x14ac:dyDescent="0.3"/>
    <row r="17462" ht="14.4" x14ac:dyDescent="0.3"/>
    <row r="17463" ht="14.4" x14ac:dyDescent="0.3"/>
    <row r="17464" ht="14.4" x14ac:dyDescent="0.3"/>
    <row r="17465" ht="14.4" x14ac:dyDescent="0.3"/>
    <row r="17466" ht="14.4" x14ac:dyDescent="0.3"/>
    <row r="17467" ht="14.4" x14ac:dyDescent="0.3"/>
    <row r="17468" ht="14.4" x14ac:dyDescent="0.3"/>
    <row r="17469" ht="14.4" x14ac:dyDescent="0.3"/>
    <row r="17470" ht="14.4" x14ac:dyDescent="0.3"/>
    <row r="17471" ht="14.4" x14ac:dyDescent="0.3"/>
    <row r="17472" ht="14.4" x14ac:dyDescent="0.3"/>
    <row r="17473" ht="14.4" x14ac:dyDescent="0.3"/>
    <row r="17474" ht="14.4" x14ac:dyDescent="0.3"/>
    <row r="17475" ht="14.4" x14ac:dyDescent="0.3"/>
    <row r="17476" ht="14.4" x14ac:dyDescent="0.3"/>
    <row r="17477" ht="14.4" x14ac:dyDescent="0.3"/>
    <row r="17478" ht="14.4" x14ac:dyDescent="0.3"/>
    <row r="17479" ht="14.4" x14ac:dyDescent="0.3"/>
    <row r="17480" ht="14.4" x14ac:dyDescent="0.3"/>
    <row r="17481" ht="14.4" x14ac:dyDescent="0.3"/>
    <row r="17482" ht="14.4" x14ac:dyDescent="0.3"/>
    <row r="17483" ht="14.4" x14ac:dyDescent="0.3"/>
    <row r="17484" ht="14.4" x14ac:dyDescent="0.3"/>
    <row r="17485" ht="14.4" x14ac:dyDescent="0.3"/>
    <row r="17486" ht="14.4" x14ac:dyDescent="0.3"/>
    <row r="17487" ht="14.4" x14ac:dyDescent="0.3"/>
    <row r="17488" ht="14.4" x14ac:dyDescent="0.3"/>
    <row r="17489" ht="14.4" x14ac:dyDescent="0.3"/>
    <row r="17490" ht="14.4" x14ac:dyDescent="0.3"/>
    <row r="17491" ht="14.4" x14ac:dyDescent="0.3"/>
    <row r="17492" ht="14.4" x14ac:dyDescent="0.3"/>
    <row r="17493" ht="14.4" x14ac:dyDescent="0.3"/>
    <row r="17494" ht="14.4" x14ac:dyDescent="0.3"/>
    <row r="17495" ht="14.4" x14ac:dyDescent="0.3"/>
    <row r="17496" ht="14.4" x14ac:dyDescent="0.3"/>
    <row r="17497" ht="14.4" x14ac:dyDescent="0.3"/>
    <row r="17498" ht="14.4" x14ac:dyDescent="0.3"/>
    <row r="17499" ht="14.4" x14ac:dyDescent="0.3"/>
    <row r="17500" ht="14.4" x14ac:dyDescent="0.3"/>
    <row r="17501" ht="14.4" x14ac:dyDescent="0.3"/>
    <row r="17502" ht="14.4" x14ac:dyDescent="0.3"/>
    <row r="17503" ht="14.4" x14ac:dyDescent="0.3"/>
    <row r="17504" ht="14.4" x14ac:dyDescent="0.3"/>
    <row r="17505" ht="14.4" x14ac:dyDescent="0.3"/>
    <row r="17506" ht="14.4" x14ac:dyDescent="0.3"/>
    <row r="17507" ht="14.4" x14ac:dyDescent="0.3"/>
    <row r="17508" ht="14.4" x14ac:dyDescent="0.3"/>
    <row r="17509" ht="14.4" x14ac:dyDescent="0.3"/>
    <row r="17510" ht="14.4" x14ac:dyDescent="0.3"/>
    <row r="17511" ht="14.4" x14ac:dyDescent="0.3"/>
    <row r="17512" ht="14.4" x14ac:dyDescent="0.3"/>
    <row r="17513" ht="14.4" x14ac:dyDescent="0.3"/>
    <row r="17514" ht="14.4" x14ac:dyDescent="0.3"/>
    <row r="17515" ht="14.4" x14ac:dyDescent="0.3"/>
    <row r="17516" ht="14.4" x14ac:dyDescent="0.3"/>
    <row r="17517" ht="14.4" x14ac:dyDescent="0.3"/>
    <row r="17518" ht="14.4" x14ac:dyDescent="0.3"/>
    <row r="17519" ht="14.4" x14ac:dyDescent="0.3"/>
    <row r="17520" ht="14.4" x14ac:dyDescent="0.3"/>
    <row r="17521" ht="14.4" x14ac:dyDescent="0.3"/>
    <row r="17522" ht="14.4" x14ac:dyDescent="0.3"/>
    <row r="17523" ht="14.4" x14ac:dyDescent="0.3"/>
    <row r="17524" ht="14.4" x14ac:dyDescent="0.3"/>
    <row r="17525" ht="14.4" x14ac:dyDescent="0.3"/>
    <row r="17526" ht="14.4" x14ac:dyDescent="0.3"/>
    <row r="17527" ht="14.4" x14ac:dyDescent="0.3"/>
    <row r="17528" ht="14.4" x14ac:dyDescent="0.3"/>
    <row r="17529" ht="14.4" x14ac:dyDescent="0.3"/>
    <row r="17530" ht="14.4" x14ac:dyDescent="0.3"/>
    <row r="17531" ht="14.4" x14ac:dyDescent="0.3"/>
    <row r="17532" ht="14.4" x14ac:dyDescent="0.3"/>
    <row r="17533" ht="14.4" x14ac:dyDescent="0.3"/>
    <row r="17534" ht="14.4" x14ac:dyDescent="0.3"/>
    <row r="17535" ht="14.4" x14ac:dyDescent="0.3"/>
    <row r="17536" ht="14.4" x14ac:dyDescent="0.3"/>
    <row r="17537" ht="14.4" x14ac:dyDescent="0.3"/>
    <row r="17538" ht="14.4" x14ac:dyDescent="0.3"/>
    <row r="17539" ht="14.4" x14ac:dyDescent="0.3"/>
    <row r="17540" ht="14.4" x14ac:dyDescent="0.3"/>
    <row r="17541" ht="14.4" x14ac:dyDescent="0.3"/>
    <row r="17542" ht="14.4" x14ac:dyDescent="0.3"/>
    <row r="17543" ht="14.4" x14ac:dyDescent="0.3"/>
    <row r="17544" ht="14.4" x14ac:dyDescent="0.3"/>
    <row r="17545" ht="14.4" x14ac:dyDescent="0.3"/>
    <row r="17546" ht="14.4" x14ac:dyDescent="0.3"/>
    <row r="17547" ht="14.4" x14ac:dyDescent="0.3"/>
    <row r="17548" ht="14.4" x14ac:dyDescent="0.3"/>
    <row r="17549" ht="14.4" x14ac:dyDescent="0.3"/>
    <row r="17550" ht="14.4" x14ac:dyDescent="0.3"/>
    <row r="17551" ht="14.4" x14ac:dyDescent="0.3"/>
    <row r="17552" ht="14.4" x14ac:dyDescent="0.3"/>
    <row r="17553" ht="14.4" x14ac:dyDescent="0.3"/>
    <row r="17554" ht="14.4" x14ac:dyDescent="0.3"/>
    <row r="17555" ht="14.4" x14ac:dyDescent="0.3"/>
    <row r="17556" ht="14.4" x14ac:dyDescent="0.3"/>
    <row r="17557" ht="14.4" x14ac:dyDescent="0.3"/>
    <row r="17558" ht="14.4" x14ac:dyDescent="0.3"/>
    <row r="17559" ht="14.4" x14ac:dyDescent="0.3"/>
    <row r="17560" ht="14.4" x14ac:dyDescent="0.3"/>
    <row r="17561" ht="14.4" x14ac:dyDescent="0.3"/>
    <row r="17562" ht="14.4" x14ac:dyDescent="0.3"/>
    <row r="17563" ht="14.4" x14ac:dyDescent="0.3"/>
    <row r="17564" ht="14.4" x14ac:dyDescent="0.3"/>
    <row r="17565" ht="14.4" x14ac:dyDescent="0.3"/>
    <row r="17566" ht="14.4" x14ac:dyDescent="0.3"/>
    <row r="17567" ht="14.4" x14ac:dyDescent="0.3"/>
    <row r="17568" ht="14.4" x14ac:dyDescent="0.3"/>
    <row r="17569" ht="14.4" x14ac:dyDescent="0.3"/>
    <row r="17570" ht="14.4" x14ac:dyDescent="0.3"/>
    <row r="17571" ht="14.4" x14ac:dyDescent="0.3"/>
    <row r="17572" ht="14.4" x14ac:dyDescent="0.3"/>
    <row r="17573" ht="14.4" x14ac:dyDescent="0.3"/>
    <row r="17574" ht="14.4" x14ac:dyDescent="0.3"/>
    <row r="17575" ht="14.4" x14ac:dyDescent="0.3"/>
    <row r="17576" ht="14.4" x14ac:dyDescent="0.3"/>
    <row r="17577" ht="14.4" x14ac:dyDescent="0.3"/>
    <row r="17578" ht="14.4" x14ac:dyDescent="0.3"/>
    <row r="17579" ht="14.4" x14ac:dyDescent="0.3"/>
    <row r="17580" ht="14.4" x14ac:dyDescent="0.3"/>
    <row r="17581" ht="14.4" x14ac:dyDescent="0.3"/>
    <row r="17582" ht="14.4" x14ac:dyDescent="0.3"/>
    <row r="17583" ht="14.4" x14ac:dyDescent="0.3"/>
    <row r="17584" ht="14.4" x14ac:dyDescent="0.3"/>
    <row r="17585" ht="14.4" x14ac:dyDescent="0.3"/>
    <row r="17586" ht="14.4" x14ac:dyDescent="0.3"/>
    <row r="17587" ht="14.4" x14ac:dyDescent="0.3"/>
    <row r="17588" ht="14.4" x14ac:dyDescent="0.3"/>
    <row r="17589" ht="14.4" x14ac:dyDescent="0.3"/>
    <row r="17590" ht="14.4" x14ac:dyDescent="0.3"/>
    <row r="17591" ht="14.4" x14ac:dyDescent="0.3"/>
    <row r="17592" ht="14.4" x14ac:dyDescent="0.3"/>
    <row r="17593" ht="14.4" x14ac:dyDescent="0.3"/>
    <row r="17594" ht="14.4" x14ac:dyDescent="0.3"/>
    <row r="17595" ht="14.4" x14ac:dyDescent="0.3"/>
    <row r="17596" ht="14.4" x14ac:dyDescent="0.3"/>
    <row r="17597" ht="14.4" x14ac:dyDescent="0.3"/>
    <row r="17598" ht="14.4" x14ac:dyDescent="0.3"/>
    <row r="17599" ht="14.4" x14ac:dyDescent="0.3"/>
    <row r="17600" ht="14.4" x14ac:dyDescent="0.3"/>
    <row r="17601" ht="14.4" x14ac:dyDescent="0.3"/>
    <row r="17602" ht="14.4" x14ac:dyDescent="0.3"/>
    <row r="17603" ht="14.4" x14ac:dyDescent="0.3"/>
    <row r="17604" ht="14.4" x14ac:dyDescent="0.3"/>
    <row r="17605" ht="14.4" x14ac:dyDescent="0.3"/>
    <row r="17606" ht="14.4" x14ac:dyDescent="0.3"/>
    <row r="17607" ht="14.4" x14ac:dyDescent="0.3"/>
    <row r="17608" ht="14.4" x14ac:dyDescent="0.3"/>
    <row r="17609" ht="14.4" x14ac:dyDescent="0.3"/>
    <row r="17610" ht="14.4" x14ac:dyDescent="0.3"/>
    <row r="17611" ht="14.4" x14ac:dyDescent="0.3"/>
    <row r="17612" ht="14.4" x14ac:dyDescent="0.3"/>
    <row r="17613" ht="14.4" x14ac:dyDescent="0.3"/>
    <row r="17614" ht="14.4" x14ac:dyDescent="0.3"/>
    <row r="17615" ht="14.4" x14ac:dyDescent="0.3"/>
    <row r="17616" ht="14.4" x14ac:dyDescent="0.3"/>
    <row r="17617" ht="14.4" x14ac:dyDescent="0.3"/>
    <row r="17618" ht="14.4" x14ac:dyDescent="0.3"/>
    <row r="17619" ht="14.4" x14ac:dyDescent="0.3"/>
    <row r="17620" ht="14.4" x14ac:dyDescent="0.3"/>
    <row r="17621" ht="14.4" x14ac:dyDescent="0.3"/>
    <row r="17622" ht="14.4" x14ac:dyDescent="0.3"/>
    <row r="17623" ht="14.4" x14ac:dyDescent="0.3"/>
    <row r="17624" ht="14.4" x14ac:dyDescent="0.3"/>
    <row r="17625" ht="14.4" x14ac:dyDescent="0.3"/>
    <row r="17626" ht="14.4" x14ac:dyDescent="0.3"/>
    <row r="17627" ht="14.4" x14ac:dyDescent="0.3"/>
    <row r="17628" ht="14.4" x14ac:dyDescent="0.3"/>
    <row r="17629" ht="14.4" x14ac:dyDescent="0.3"/>
    <row r="17630" ht="14.4" x14ac:dyDescent="0.3"/>
    <row r="17631" ht="14.4" x14ac:dyDescent="0.3"/>
    <row r="17632" ht="14.4" x14ac:dyDescent="0.3"/>
    <row r="17633" ht="14.4" x14ac:dyDescent="0.3"/>
    <row r="17634" ht="14.4" x14ac:dyDescent="0.3"/>
    <row r="17635" ht="14.4" x14ac:dyDescent="0.3"/>
    <row r="17636" ht="14.4" x14ac:dyDescent="0.3"/>
    <row r="17637" ht="14.4" x14ac:dyDescent="0.3"/>
    <row r="17638" ht="14.4" x14ac:dyDescent="0.3"/>
    <row r="17639" ht="14.4" x14ac:dyDescent="0.3"/>
    <row r="17640" ht="14.4" x14ac:dyDescent="0.3"/>
    <row r="17641" ht="14.4" x14ac:dyDescent="0.3"/>
    <row r="17642" ht="14.4" x14ac:dyDescent="0.3"/>
    <row r="17643" ht="14.4" x14ac:dyDescent="0.3"/>
    <row r="17644" ht="14.4" x14ac:dyDescent="0.3"/>
    <row r="17645" ht="14.4" x14ac:dyDescent="0.3"/>
    <row r="17646" ht="14.4" x14ac:dyDescent="0.3"/>
    <row r="17647" ht="14.4" x14ac:dyDescent="0.3"/>
    <row r="17648" ht="14.4" x14ac:dyDescent="0.3"/>
    <row r="17649" ht="14.4" x14ac:dyDescent="0.3"/>
    <row r="17650" ht="14.4" x14ac:dyDescent="0.3"/>
    <row r="17651" ht="14.4" x14ac:dyDescent="0.3"/>
    <row r="17652" ht="14.4" x14ac:dyDescent="0.3"/>
    <row r="17653" ht="14.4" x14ac:dyDescent="0.3"/>
    <row r="17654" ht="14.4" x14ac:dyDescent="0.3"/>
    <row r="17655" ht="14.4" x14ac:dyDescent="0.3"/>
    <row r="17656" ht="14.4" x14ac:dyDescent="0.3"/>
    <row r="17657" ht="14.4" x14ac:dyDescent="0.3"/>
    <row r="17658" ht="14.4" x14ac:dyDescent="0.3"/>
    <row r="17659" ht="14.4" x14ac:dyDescent="0.3"/>
    <row r="17660" ht="14.4" x14ac:dyDescent="0.3"/>
    <row r="17661" ht="14.4" x14ac:dyDescent="0.3"/>
    <row r="17662" ht="14.4" x14ac:dyDescent="0.3"/>
    <row r="17663" ht="14.4" x14ac:dyDescent="0.3"/>
    <row r="17664" ht="14.4" x14ac:dyDescent="0.3"/>
    <row r="17665" ht="14.4" x14ac:dyDescent="0.3"/>
    <row r="17666" ht="14.4" x14ac:dyDescent="0.3"/>
    <row r="17667" ht="14.4" x14ac:dyDescent="0.3"/>
    <row r="17668" ht="14.4" x14ac:dyDescent="0.3"/>
    <row r="17669" ht="14.4" x14ac:dyDescent="0.3"/>
    <row r="17670" ht="14.4" x14ac:dyDescent="0.3"/>
    <row r="17671" ht="14.4" x14ac:dyDescent="0.3"/>
    <row r="17672" ht="14.4" x14ac:dyDescent="0.3"/>
    <row r="17673" ht="14.4" x14ac:dyDescent="0.3"/>
    <row r="17674" ht="14.4" x14ac:dyDescent="0.3"/>
    <row r="17675" ht="14.4" x14ac:dyDescent="0.3"/>
    <row r="17676" ht="14.4" x14ac:dyDescent="0.3"/>
    <row r="17677" ht="14.4" x14ac:dyDescent="0.3"/>
    <row r="17678" ht="14.4" x14ac:dyDescent="0.3"/>
    <row r="17679" ht="14.4" x14ac:dyDescent="0.3"/>
    <row r="17680" ht="14.4" x14ac:dyDescent="0.3"/>
    <row r="17681" ht="14.4" x14ac:dyDescent="0.3"/>
    <row r="17682" ht="14.4" x14ac:dyDescent="0.3"/>
    <row r="17683" ht="14.4" x14ac:dyDescent="0.3"/>
    <row r="17684" ht="14.4" x14ac:dyDescent="0.3"/>
    <row r="17685" ht="14.4" x14ac:dyDescent="0.3"/>
    <row r="17686" ht="14.4" x14ac:dyDescent="0.3"/>
    <row r="17687" ht="14.4" x14ac:dyDescent="0.3"/>
    <row r="17688" ht="14.4" x14ac:dyDescent="0.3"/>
    <row r="17689" ht="14.4" x14ac:dyDescent="0.3"/>
    <row r="17690" ht="14.4" x14ac:dyDescent="0.3"/>
    <row r="17691" ht="14.4" x14ac:dyDescent="0.3"/>
    <row r="17692" ht="14.4" x14ac:dyDescent="0.3"/>
    <row r="17693" ht="14.4" x14ac:dyDescent="0.3"/>
    <row r="17694" ht="14.4" x14ac:dyDescent="0.3"/>
    <row r="17695" ht="14.4" x14ac:dyDescent="0.3"/>
    <row r="17696" ht="14.4" x14ac:dyDescent="0.3"/>
    <row r="17697" ht="14.4" x14ac:dyDescent="0.3"/>
    <row r="17698" ht="14.4" x14ac:dyDescent="0.3"/>
    <row r="17699" ht="14.4" x14ac:dyDescent="0.3"/>
    <row r="17700" ht="14.4" x14ac:dyDescent="0.3"/>
    <row r="17701" ht="14.4" x14ac:dyDescent="0.3"/>
    <row r="17702" ht="14.4" x14ac:dyDescent="0.3"/>
    <row r="17703" ht="14.4" x14ac:dyDescent="0.3"/>
    <row r="17704" ht="14.4" x14ac:dyDescent="0.3"/>
    <row r="17705" ht="14.4" x14ac:dyDescent="0.3"/>
    <row r="17706" ht="14.4" x14ac:dyDescent="0.3"/>
    <row r="17707" ht="14.4" x14ac:dyDescent="0.3"/>
    <row r="17708" ht="14.4" x14ac:dyDescent="0.3"/>
    <row r="17709" ht="14.4" x14ac:dyDescent="0.3"/>
    <row r="17710" ht="14.4" x14ac:dyDescent="0.3"/>
    <row r="17711" ht="14.4" x14ac:dyDescent="0.3"/>
    <row r="17712" ht="14.4" x14ac:dyDescent="0.3"/>
    <row r="17713" ht="14.4" x14ac:dyDescent="0.3"/>
    <row r="17714" ht="14.4" x14ac:dyDescent="0.3"/>
    <row r="17715" ht="14.4" x14ac:dyDescent="0.3"/>
    <row r="17716" ht="14.4" x14ac:dyDescent="0.3"/>
    <row r="17717" ht="14.4" x14ac:dyDescent="0.3"/>
    <row r="17718" ht="14.4" x14ac:dyDescent="0.3"/>
    <row r="17719" ht="14.4" x14ac:dyDescent="0.3"/>
    <row r="17720" ht="14.4" x14ac:dyDescent="0.3"/>
    <row r="17721" ht="14.4" x14ac:dyDescent="0.3"/>
    <row r="17722" ht="14.4" x14ac:dyDescent="0.3"/>
    <row r="17723" ht="14.4" x14ac:dyDescent="0.3"/>
    <row r="17724" ht="14.4" x14ac:dyDescent="0.3"/>
    <row r="17725" ht="14.4" x14ac:dyDescent="0.3"/>
    <row r="17726" ht="14.4" x14ac:dyDescent="0.3"/>
    <row r="17727" ht="14.4" x14ac:dyDescent="0.3"/>
    <row r="17728" ht="14.4" x14ac:dyDescent="0.3"/>
    <row r="17729" ht="14.4" x14ac:dyDescent="0.3"/>
    <row r="17730" ht="14.4" x14ac:dyDescent="0.3"/>
    <row r="17731" ht="14.4" x14ac:dyDescent="0.3"/>
    <row r="17732" ht="14.4" x14ac:dyDescent="0.3"/>
    <row r="17733" ht="14.4" x14ac:dyDescent="0.3"/>
    <row r="17734" ht="14.4" x14ac:dyDescent="0.3"/>
    <row r="17735" ht="14.4" x14ac:dyDescent="0.3"/>
    <row r="17736" ht="14.4" x14ac:dyDescent="0.3"/>
    <row r="17737" ht="14.4" x14ac:dyDescent="0.3"/>
    <row r="17738" ht="14.4" x14ac:dyDescent="0.3"/>
    <row r="17739" ht="14.4" x14ac:dyDescent="0.3"/>
    <row r="17740" ht="14.4" x14ac:dyDescent="0.3"/>
    <row r="17741" ht="14.4" x14ac:dyDescent="0.3"/>
    <row r="17742" ht="14.4" x14ac:dyDescent="0.3"/>
    <row r="17743" ht="14.4" x14ac:dyDescent="0.3"/>
    <row r="17744" ht="14.4" x14ac:dyDescent="0.3"/>
    <row r="17745" ht="14.4" x14ac:dyDescent="0.3"/>
    <row r="17746" ht="14.4" x14ac:dyDescent="0.3"/>
    <row r="17747" ht="14.4" x14ac:dyDescent="0.3"/>
    <row r="17748" ht="14.4" x14ac:dyDescent="0.3"/>
    <row r="17749" ht="14.4" x14ac:dyDescent="0.3"/>
    <row r="17750" ht="14.4" x14ac:dyDescent="0.3"/>
    <row r="17751" ht="14.4" x14ac:dyDescent="0.3"/>
    <row r="17752" ht="14.4" x14ac:dyDescent="0.3"/>
    <row r="17753" ht="14.4" x14ac:dyDescent="0.3"/>
    <row r="17754" ht="14.4" x14ac:dyDescent="0.3"/>
    <row r="17755" ht="14.4" x14ac:dyDescent="0.3"/>
    <row r="17756" ht="14.4" x14ac:dyDescent="0.3"/>
    <row r="17757" ht="14.4" x14ac:dyDescent="0.3"/>
    <row r="17758" ht="14.4" x14ac:dyDescent="0.3"/>
    <row r="17759" ht="14.4" x14ac:dyDescent="0.3"/>
    <row r="17760" ht="14.4" x14ac:dyDescent="0.3"/>
    <row r="17761" ht="14.4" x14ac:dyDescent="0.3"/>
    <row r="17762" ht="14.4" x14ac:dyDescent="0.3"/>
    <row r="17763" ht="14.4" x14ac:dyDescent="0.3"/>
    <row r="17764" ht="14.4" x14ac:dyDescent="0.3"/>
    <row r="17765" ht="14.4" x14ac:dyDescent="0.3"/>
    <row r="17766" ht="14.4" x14ac:dyDescent="0.3"/>
    <row r="17767" ht="14.4" x14ac:dyDescent="0.3"/>
    <row r="17768" ht="14.4" x14ac:dyDescent="0.3"/>
    <row r="17769" ht="14.4" x14ac:dyDescent="0.3"/>
    <row r="17770" ht="14.4" x14ac:dyDescent="0.3"/>
    <row r="17771" ht="14.4" x14ac:dyDescent="0.3"/>
    <row r="17772" ht="14.4" x14ac:dyDescent="0.3"/>
    <row r="17773" ht="14.4" x14ac:dyDescent="0.3"/>
    <row r="17774" ht="14.4" x14ac:dyDescent="0.3"/>
    <row r="17775" ht="14.4" x14ac:dyDescent="0.3"/>
    <row r="17776" ht="14.4" x14ac:dyDescent="0.3"/>
    <row r="17777" ht="14.4" x14ac:dyDescent="0.3"/>
    <row r="17778" ht="14.4" x14ac:dyDescent="0.3"/>
    <row r="17779" ht="14.4" x14ac:dyDescent="0.3"/>
    <row r="17780" ht="14.4" x14ac:dyDescent="0.3"/>
    <row r="17781" ht="14.4" x14ac:dyDescent="0.3"/>
    <row r="17782" ht="14.4" x14ac:dyDescent="0.3"/>
    <row r="17783" ht="14.4" x14ac:dyDescent="0.3"/>
    <row r="17784" ht="14.4" x14ac:dyDescent="0.3"/>
    <row r="17785" ht="14.4" x14ac:dyDescent="0.3"/>
    <row r="17786" ht="14.4" x14ac:dyDescent="0.3"/>
    <row r="17787" ht="14.4" x14ac:dyDescent="0.3"/>
    <row r="17788" ht="14.4" x14ac:dyDescent="0.3"/>
    <row r="17789" ht="14.4" x14ac:dyDescent="0.3"/>
    <row r="17790" ht="14.4" x14ac:dyDescent="0.3"/>
    <row r="17791" ht="14.4" x14ac:dyDescent="0.3"/>
    <row r="17792" ht="14.4" x14ac:dyDescent="0.3"/>
    <row r="17793" ht="14.4" x14ac:dyDescent="0.3"/>
    <row r="17794" ht="14.4" x14ac:dyDescent="0.3"/>
    <row r="17795" ht="14.4" x14ac:dyDescent="0.3"/>
    <row r="17796" ht="14.4" x14ac:dyDescent="0.3"/>
    <row r="17797" ht="14.4" x14ac:dyDescent="0.3"/>
    <row r="17798" ht="14.4" x14ac:dyDescent="0.3"/>
    <row r="17799" ht="14.4" x14ac:dyDescent="0.3"/>
    <row r="17800" ht="14.4" x14ac:dyDescent="0.3"/>
    <row r="17801" ht="14.4" x14ac:dyDescent="0.3"/>
    <row r="17802" ht="14.4" x14ac:dyDescent="0.3"/>
    <row r="17803" ht="14.4" x14ac:dyDescent="0.3"/>
    <row r="17804" ht="14.4" x14ac:dyDescent="0.3"/>
    <row r="17805" ht="14.4" x14ac:dyDescent="0.3"/>
    <row r="17806" ht="14.4" x14ac:dyDescent="0.3"/>
    <row r="17807" ht="14.4" x14ac:dyDescent="0.3"/>
    <row r="17808" ht="14.4" x14ac:dyDescent="0.3"/>
    <row r="17809" spans="1:43" ht="14.4" x14ac:dyDescent="0.3"/>
    <row r="17810" spans="1:43" ht="14.4" x14ac:dyDescent="0.3"/>
    <row r="17811" spans="1:43" ht="14.4" x14ac:dyDescent="0.3"/>
    <row r="17812" spans="1:43" ht="14.4" x14ac:dyDescent="0.3"/>
    <row r="17813" spans="1:43" ht="14.4" x14ac:dyDescent="0.3"/>
    <row r="17814" spans="1:43" ht="14.4" x14ac:dyDescent="0.3"/>
    <row r="17815" spans="1:43" ht="14.4" x14ac:dyDescent="0.3"/>
    <row r="17816" spans="1:43" ht="14.4" x14ac:dyDescent="0.3"/>
    <row r="17817" spans="1:43" ht="14.4" x14ac:dyDescent="0.3"/>
    <row r="17818" spans="1:43" ht="14.4" x14ac:dyDescent="0.3"/>
    <row r="17819" spans="1:43" ht="14.4" hidden="1" x14ac:dyDescent="0.3">
      <c r="A17819" t="s">
        <v>2839</v>
      </c>
      <c r="B17819">
        <v>4909391</v>
      </c>
      <c r="C17819" t="s">
        <v>135</v>
      </c>
      <c r="D17819" t="s">
        <v>136</v>
      </c>
      <c r="E17819" t="s">
        <v>369</v>
      </c>
      <c r="F17819" t="s">
        <v>370</v>
      </c>
      <c r="H17819" t="s">
        <v>2840</v>
      </c>
      <c r="J17819" t="s">
        <v>140</v>
      </c>
      <c r="K17819">
        <v>157041.5</v>
      </c>
      <c r="L17819">
        <v>382862.7</v>
      </c>
      <c r="N17819" t="s">
        <v>1867</v>
      </c>
      <c r="O17819" t="s">
        <v>1424</v>
      </c>
      <c r="P17819" t="s">
        <v>791</v>
      </c>
      <c r="Q17819" t="s">
        <v>144</v>
      </c>
      <c r="S17819">
        <v>9</v>
      </c>
      <c r="T17819">
        <v>1400</v>
      </c>
      <c r="V17819" t="s">
        <v>848</v>
      </c>
      <c r="W17819" t="s">
        <v>390</v>
      </c>
      <c r="X17819" t="s">
        <v>7</v>
      </c>
      <c r="Y17819" t="s">
        <v>2841</v>
      </c>
      <c r="Z17819" t="s">
        <v>435</v>
      </c>
      <c r="AA17819" t="s">
        <v>404</v>
      </c>
      <c r="AB17819">
        <v>180</v>
      </c>
      <c r="AE17819" t="s">
        <v>2842</v>
      </c>
      <c r="AF17819" t="s">
        <v>435</v>
      </c>
      <c r="AG17819" t="s">
        <v>404</v>
      </c>
      <c r="AL17819" t="s">
        <v>2843</v>
      </c>
      <c r="AM17819" t="s">
        <v>2844</v>
      </c>
      <c r="AN17819" t="s">
        <v>2845</v>
      </c>
      <c r="AO17819" t="s">
        <v>1867</v>
      </c>
      <c r="AQ17819" t="str">
        <f>IF(ISBLANK(AP17819), IFERROR(IF(VLOOKUP(AO17819, Ellens_additions!$A$2:$B$252, 2, FALSE) = "", "", VLOOKUP(AO17819, Ellens_additions!$A$2:$B$252, 2, FALSE)), 0), AP17819)</f>
        <v/>
      </c>
    </row>
    <row r="17820" spans="1:43" ht="14.4" hidden="1" x14ac:dyDescent="0.3">
      <c r="A17820" t="s">
        <v>2846</v>
      </c>
      <c r="B17820">
        <v>4909395</v>
      </c>
      <c r="C17820" t="s">
        <v>135</v>
      </c>
      <c r="D17820" t="s">
        <v>136</v>
      </c>
      <c r="E17820" t="s">
        <v>369</v>
      </c>
      <c r="F17820" t="s">
        <v>370</v>
      </c>
      <c r="H17820" t="s">
        <v>2847</v>
      </c>
      <c r="J17820" t="s">
        <v>140</v>
      </c>
      <c r="K17820">
        <v>157045.67000000001</v>
      </c>
      <c r="L17820">
        <v>382859.15</v>
      </c>
      <c r="N17820" t="s">
        <v>1867</v>
      </c>
      <c r="O17820" t="s">
        <v>1424</v>
      </c>
      <c r="P17820" t="s">
        <v>791</v>
      </c>
      <c r="Q17820" t="s">
        <v>144</v>
      </c>
      <c r="S17820">
        <v>9</v>
      </c>
      <c r="T17820">
        <v>1400</v>
      </c>
      <c r="V17820" t="s">
        <v>848</v>
      </c>
      <c r="W17820" t="s">
        <v>390</v>
      </c>
      <c r="X17820" t="s">
        <v>7</v>
      </c>
      <c r="Y17820" t="s">
        <v>1891</v>
      </c>
      <c r="Z17820" t="s">
        <v>1534</v>
      </c>
      <c r="AA17820" t="s">
        <v>2848</v>
      </c>
      <c r="AB17820">
        <v>180</v>
      </c>
      <c r="AE17820" t="s">
        <v>2842</v>
      </c>
      <c r="AF17820" t="s">
        <v>435</v>
      </c>
      <c r="AG17820" t="s">
        <v>404</v>
      </c>
      <c r="AL17820" t="s">
        <v>2849</v>
      </c>
      <c r="AM17820" t="s">
        <v>2850</v>
      </c>
      <c r="AN17820" t="s">
        <v>2851</v>
      </c>
      <c r="AO17820" t="s">
        <v>1867</v>
      </c>
      <c r="AQ17820" t="str">
        <f>IF(ISBLANK(AP17820), IFERROR(IF(VLOOKUP(AO17820, Ellens_additions!$A$2:$B$252, 2, FALSE) = "", "", VLOOKUP(AO17820, Ellens_additions!$A$2:$B$252, 2, FALSE)), 0), AP17820)</f>
        <v/>
      </c>
    </row>
    <row r="17821" spans="1:43" ht="14.4" hidden="1" x14ac:dyDescent="0.3">
      <c r="A17821" t="s">
        <v>2852</v>
      </c>
      <c r="B17821">
        <v>4909398</v>
      </c>
      <c r="C17821" t="s">
        <v>135</v>
      </c>
      <c r="D17821" t="s">
        <v>136</v>
      </c>
      <c r="E17821" t="s">
        <v>369</v>
      </c>
      <c r="F17821" t="s">
        <v>370</v>
      </c>
      <c r="H17821" t="s">
        <v>2853</v>
      </c>
      <c r="J17821" t="s">
        <v>140</v>
      </c>
      <c r="K17821">
        <v>157048.74</v>
      </c>
      <c r="L17821">
        <v>382856.51</v>
      </c>
      <c r="N17821" t="s">
        <v>1867</v>
      </c>
      <c r="O17821" t="s">
        <v>1424</v>
      </c>
      <c r="P17821" t="s">
        <v>791</v>
      </c>
      <c r="Q17821" t="s">
        <v>144</v>
      </c>
      <c r="S17821">
        <v>9</v>
      </c>
      <c r="T17821">
        <v>1400</v>
      </c>
      <c r="V17821" t="s">
        <v>848</v>
      </c>
      <c r="W17821" t="s">
        <v>390</v>
      </c>
      <c r="X17821" t="s">
        <v>7</v>
      </c>
      <c r="Y17821" t="s">
        <v>2841</v>
      </c>
      <c r="Z17821" t="s">
        <v>435</v>
      </c>
      <c r="AA17821" t="s">
        <v>404</v>
      </c>
      <c r="AB17821">
        <v>180</v>
      </c>
      <c r="AE17821" t="s">
        <v>2842</v>
      </c>
      <c r="AF17821" t="s">
        <v>435</v>
      </c>
      <c r="AG17821" t="s">
        <v>404</v>
      </c>
      <c r="AL17821" t="s">
        <v>2854</v>
      </c>
      <c r="AM17821" t="s">
        <v>2855</v>
      </c>
      <c r="AN17821" t="s">
        <v>2856</v>
      </c>
      <c r="AO17821" t="s">
        <v>1867</v>
      </c>
      <c r="AQ17821" t="str">
        <f>IF(ISBLANK(AP17821), IFERROR(IF(VLOOKUP(AO17821, Ellens_additions!$A$2:$B$252, 2, FALSE) = "", "", VLOOKUP(AO17821, Ellens_additions!$A$2:$B$252, 2, FALSE)), 0), AP17821)</f>
        <v/>
      </c>
    </row>
    <row r="17822" spans="1:43" ht="14.4" hidden="1" x14ac:dyDescent="0.3">
      <c r="A17822" t="s">
        <v>2857</v>
      </c>
      <c r="B17822">
        <v>4909399</v>
      </c>
      <c r="C17822" t="s">
        <v>135</v>
      </c>
      <c r="D17822" t="s">
        <v>136</v>
      </c>
      <c r="E17822" t="s">
        <v>369</v>
      </c>
      <c r="F17822" t="s">
        <v>370</v>
      </c>
      <c r="H17822" t="s">
        <v>2858</v>
      </c>
      <c r="J17822" t="s">
        <v>140</v>
      </c>
      <c r="K17822">
        <v>157049.74</v>
      </c>
      <c r="L17822">
        <v>382855.65</v>
      </c>
      <c r="N17822" t="s">
        <v>1867</v>
      </c>
      <c r="O17822" t="s">
        <v>1424</v>
      </c>
      <c r="P17822" t="s">
        <v>791</v>
      </c>
      <c r="Q17822" t="s">
        <v>144</v>
      </c>
      <c r="S17822">
        <v>9</v>
      </c>
      <c r="T17822">
        <v>1400</v>
      </c>
      <c r="V17822" t="s">
        <v>848</v>
      </c>
      <c r="W17822" t="s">
        <v>390</v>
      </c>
      <c r="X17822" t="s">
        <v>7</v>
      </c>
      <c r="Y17822" t="s">
        <v>2841</v>
      </c>
      <c r="Z17822" t="s">
        <v>435</v>
      </c>
      <c r="AA17822" t="s">
        <v>404</v>
      </c>
      <c r="AB17822">
        <v>180</v>
      </c>
      <c r="AE17822" t="s">
        <v>2842</v>
      </c>
      <c r="AF17822" t="s">
        <v>435</v>
      </c>
      <c r="AG17822" t="s">
        <v>404</v>
      </c>
      <c r="AL17822" t="s">
        <v>2859</v>
      </c>
      <c r="AM17822" t="s">
        <v>2860</v>
      </c>
      <c r="AN17822" t="s">
        <v>2861</v>
      </c>
      <c r="AO17822" t="s">
        <v>1867</v>
      </c>
      <c r="AQ17822" t="str">
        <f>IF(ISBLANK(AP17822), IFERROR(IF(VLOOKUP(AO17822, Ellens_additions!$A$2:$B$252, 2, FALSE) = "", "", VLOOKUP(AO17822, Ellens_additions!$A$2:$B$252, 2, FALSE)), 0), AP17822)</f>
        <v/>
      </c>
    </row>
    <row r="17823" spans="1:43" ht="14.4" x14ac:dyDescent="0.3"/>
    <row r="17824" spans="1:43" ht="14.4" x14ac:dyDescent="0.3"/>
    <row r="17825" ht="14.4" x14ac:dyDescent="0.3"/>
    <row r="17826" ht="14.4" x14ac:dyDescent="0.3"/>
    <row r="17827" ht="14.4" x14ac:dyDescent="0.3"/>
    <row r="17828" ht="14.4" x14ac:dyDescent="0.3"/>
    <row r="17829" ht="14.4" x14ac:dyDescent="0.3"/>
    <row r="17830" ht="14.4" x14ac:dyDescent="0.3"/>
    <row r="17831" ht="14.4" x14ac:dyDescent="0.3"/>
    <row r="17832" ht="14.4" x14ac:dyDescent="0.3"/>
    <row r="17833" ht="14.4" x14ac:dyDescent="0.3"/>
    <row r="17834" ht="14.4" x14ac:dyDescent="0.3"/>
    <row r="17835" ht="14.4" x14ac:dyDescent="0.3"/>
    <row r="17836" ht="14.4" x14ac:dyDescent="0.3"/>
    <row r="17837" ht="14.4" x14ac:dyDescent="0.3"/>
    <row r="17838" ht="14.4" x14ac:dyDescent="0.3"/>
    <row r="17839" ht="14.4" x14ac:dyDescent="0.3"/>
    <row r="17840" ht="14.4" x14ac:dyDescent="0.3"/>
    <row r="17841" ht="14.4" x14ac:dyDescent="0.3"/>
    <row r="17842" ht="14.4" x14ac:dyDescent="0.3"/>
    <row r="17843" ht="14.4" x14ac:dyDescent="0.3"/>
    <row r="17844" ht="14.4" x14ac:dyDescent="0.3"/>
    <row r="17845" ht="14.4" x14ac:dyDescent="0.3"/>
    <row r="17846" ht="14.4" x14ac:dyDescent="0.3"/>
    <row r="17847" ht="14.4" x14ac:dyDescent="0.3"/>
    <row r="17848" ht="14.4" x14ac:dyDescent="0.3"/>
    <row r="17849" ht="14.4" x14ac:dyDescent="0.3"/>
    <row r="17850" ht="14.4" x14ac:dyDescent="0.3"/>
    <row r="17851" ht="14.4" x14ac:dyDescent="0.3"/>
    <row r="17852" ht="14.4" x14ac:dyDescent="0.3"/>
    <row r="17853" ht="14.4" x14ac:dyDescent="0.3"/>
    <row r="17854" ht="14.4" x14ac:dyDescent="0.3"/>
    <row r="17855" ht="14.4" x14ac:dyDescent="0.3"/>
    <row r="17856" ht="14.4" x14ac:dyDescent="0.3"/>
    <row r="17857" ht="14.4" x14ac:dyDescent="0.3"/>
    <row r="17858" ht="14.4" x14ac:dyDescent="0.3"/>
    <row r="17859" ht="14.4" x14ac:dyDescent="0.3"/>
    <row r="17860" ht="14.4" x14ac:dyDescent="0.3"/>
    <row r="17861" ht="14.4" x14ac:dyDescent="0.3"/>
    <row r="17862" ht="14.4" x14ac:dyDescent="0.3"/>
    <row r="17863" ht="14.4" x14ac:dyDescent="0.3"/>
    <row r="17864" ht="14.4" x14ac:dyDescent="0.3"/>
    <row r="17865" ht="14.4" x14ac:dyDescent="0.3"/>
    <row r="17866" ht="14.4" x14ac:dyDescent="0.3"/>
    <row r="17867" ht="14.4" x14ac:dyDescent="0.3"/>
    <row r="17868" ht="14.4" x14ac:dyDescent="0.3"/>
    <row r="17869" ht="14.4" x14ac:dyDescent="0.3"/>
    <row r="17870" ht="14.4" x14ac:dyDescent="0.3"/>
    <row r="17871" ht="14.4" x14ac:dyDescent="0.3"/>
    <row r="17872" ht="14.4" x14ac:dyDescent="0.3"/>
    <row r="17873" ht="14.4" x14ac:dyDescent="0.3"/>
    <row r="17874" ht="14.4" x14ac:dyDescent="0.3"/>
    <row r="17875" ht="14.4" x14ac:dyDescent="0.3"/>
    <row r="17876" ht="14.4" x14ac:dyDescent="0.3"/>
    <row r="17877" ht="14.4" x14ac:dyDescent="0.3"/>
    <row r="17878" ht="14.4" x14ac:dyDescent="0.3"/>
    <row r="17879" ht="14.4" x14ac:dyDescent="0.3"/>
    <row r="17880" ht="14.4" x14ac:dyDescent="0.3"/>
    <row r="17881" ht="14.4" x14ac:dyDescent="0.3"/>
    <row r="17882" ht="14.4" x14ac:dyDescent="0.3"/>
    <row r="17883" ht="14.4" x14ac:dyDescent="0.3"/>
    <row r="17884" ht="14.4" x14ac:dyDescent="0.3"/>
    <row r="17885" ht="14.4" x14ac:dyDescent="0.3"/>
    <row r="17886" ht="14.4" x14ac:dyDescent="0.3"/>
    <row r="17887" ht="14.4" x14ac:dyDescent="0.3"/>
    <row r="17888" ht="14.4" x14ac:dyDescent="0.3"/>
    <row r="17889" ht="14.4" x14ac:dyDescent="0.3"/>
    <row r="17890" ht="14.4" x14ac:dyDescent="0.3"/>
    <row r="17891" ht="14.4" x14ac:dyDescent="0.3"/>
    <row r="17892" ht="14.4" x14ac:dyDescent="0.3"/>
    <row r="17893" ht="14.4" x14ac:dyDescent="0.3"/>
    <row r="17894" ht="14.4" x14ac:dyDescent="0.3"/>
    <row r="17895" ht="14.4" x14ac:dyDescent="0.3"/>
    <row r="17896" ht="14.4" x14ac:dyDescent="0.3"/>
    <row r="17897" ht="14.4" x14ac:dyDescent="0.3"/>
    <row r="17898" ht="14.4" x14ac:dyDescent="0.3"/>
    <row r="17899" ht="14.4" x14ac:dyDescent="0.3"/>
    <row r="17900" ht="14.4" x14ac:dyDescent="0.3"/>
    <row r="17901" ht="14.4" x14ac:dyDescent="0.3"/>
    <row r="17902" ht="14.4" x14ac:dyDescent="0.3"/>
    <row r="17903" ht="14.4" x14ac:dyDescent="0.3"/>
    <row r="17904" ht="14.4" x14ac:dyDescent="0.3"/>
    <row r="17905" ht="14.4" x14ac:dyDescent="0.3"/>
    <row r="17906" ht="14.4" x14ac:dyDescent="0.3"/>
    <row r="17907" ht="14.4" x14ac:dyDescent="0.3"/>
    <row r="17908" ht="14.4" x14ac:dyDescent="0.3"/>
    <row r="17909" ht="14.4" x14ac:dyDescent="0.3"/>
    <row r="17910" ht="14.4" x14ac:dyDescent="0.3"/>
    <row r="17911" ht="14.4" x14ac:dyDescent="0.3"/>
    <row r="17912" ht="14.4" x14ac:dyDescent="0.3"/>
    <row r="17913" ht="14.4" x14ac:dyDescent="0.3"/>
    <row r="17914" ht="14.4" x14ac:dyDescent="0.3"/>
    <row r="17915" ht="14.4" x14ac:dyDescent="0.3"/>
    <row r="17916" ht="14.4" x14ac:dyDescent="0.3"/>
    <row r="17917" ht="14.4" x14ac:dyDescent="0.3"/>
    <row r="17918" ht="14.4" x14ac:dyDescent="0.3"/>
    <row r="17919" ht="14.4" x14ac:dyDescent="0.3"/>
    <row r="17920" ht="14.4" x14ac:dyDescent="0.3"/>
    <row r="17921" ht="14.4" x14ac:dyDescent="0.3"/>
    <row r="17922" ht="14.4" x14ac:dyDescent="0.3"/>
    <row r="17923" ht="14.4" x14ac:dyDescent="0.3"/>
    <row r="17924" ht="14.4" x14ac:dyDescent="0.3"/>
    <row r="17925" ht="14.4" x14ac:dyDescent="0.3"/>
    <row r="17926" ht="14.4" x14ac:dyDescent="0.3"/>
    <row r="17927" ht="14.4" x14ac:dyDescent="0.3"/>
    <row r="17928" ht="14.4" x14ac:dyDescent="0.3"/>
    <row r="17929" ht="14.4" x14ac:dyDescent="0.3"/>
    <row r="17930" ht="14.4" x14ac:dyDescent="0.3"/>
    <row r="17931" ht="14.4" x14ac:dyDescent="0.3"/>
    <row r="17932" ht="14.4" x14ac:dyDescent="0.3"/>
    <row r="17933" ht="14.4" x14ac:dyDescent="0.3"/>
    <row r="17934" ht="14.4" x14ac:dyDescent="0.3"/>
    <row r="17935" ht="14.4" x14ac:dyDescent="0.3"/>
    <row r="17936" ht="14.4" x14ac:dyDescent="0.3"/>
    <row r="17937" ht="14.4" x14ac:dyDescent="0.3"/>
    <row r="17938" ht="14.4" x14ac:dyDescent="0.3"/>
    <row r="17939" ht="14.4" x14ac:dyDescent="0.3"/>
    <row r="17940" ht="14.4" x14ac:dyDescent="0.3"/>
    <row r="17941" ht="14.4" x14ac:dyDescent="0.3"/>
    <row r="17942" ht="14.4" x14ac:dyDescent="0.3"/>
    <row r="17943" ht="14.4" x14ac:dyDescent="0.3"/>
    <row r="17944" ht="14.4" x14ac:dyDescent="0.3"/>
    <row r="17945" ht="14.4" x14ac:dyDescent="0.3"/>
    <row r="17946" ht="14.4" x14ac:dyDescent="0.3"/>
    <row r="17947" ht="14.4" x14ac:dyDescent="0.3"/>
    <row r="17948" ht="14.4" x14ac:dyDescent="0.3"/>
    <row r="17949" ht="14.4" x14ac:dyDescent="0.3"/>
    <row r="17950" ht="14.4" x14ac:dyDescent="0.3"/>
    <row r="17951" ht="14.4" x14ac:dyDescent="0.3"/>
    <row r="17952" ht="14.4" x14ac:dyDescent="0.3"/>
    <row r="17953" ht="14.4" x14ac:dyDescent="0.3"/>
    <row r="17954" ht="14.4" x14ac:dyDescent="0.3"/>
    <row r="17955" ht="14.4" x14ac:dyDescent="0.3"/>
    <row r="17956" ht="14.4" x14ac:dyDescent="0.3"/>
    <row r="17957" ht="14.4" x14ac:dyDescent="0.3"/>
    <row r="17958" ht="14.4" x14ac:dyDescent="0.3"/>
    <row r="17959" ht="14.4" x14ac:dyDescent="0.3"/>
    <row r="17960" ht="14.4" x14ac:dyDescent="0.3"/>
    <row r="17961" ht="14.4" x14ac:dyDescent="0.3"/>
    <row r="17962" ht="14.4" x14ac:dyDescent="0.3"/>
    <row r="17963" ht="14.4" x14ac:dyDescent="0.3"/>
    <row r="17964" ht="14.4" x14ac:dyDescent="0.3"/>
    <row r="17965" ht="14.4" x14ac:dyDescent="0.3"/>
    <row r="17966" ht="14.4" x14ac:dyDescent="0.3"/>
    <row r="17967" ht="14.4" x14ac:dyDescent="0.3"/>
    <row r="17968" ht="14.4" x14ac:dyDescent="0.3"/>
    <row r="17969" ht="14.4" x14ac:dyDescent="0.3"/>
    <row r="17970" ht="14.4" x14ac:dyDescent="0.3"/>
    <row r="17971" ht="14.4" x14ac:dyDescent="0.3"/>
    <row r="17972" ht="14.4" x14ac:dyDescent="0.3"/>
    <row r="17973" ht="14.4" x14ac:dyDescent="0.3"/>
    <row r="17974" ht="14.4" x14ac:dyDescent="0.3"/>
    <row r="17975" ht="14.4" x14ac:dyDescent="0.3"/>
    <row r="17976" ht="14.4" x14ac:dyDescent="0.3"/>
    <row r="17977" ht="14.4" x14ac:dyDescent="0.3"/>
    <row r="17978" ht="14.4" x14ac:dyDescent="0.3"/>
    <row r="17979" ht="14.4" x14ac:dyDescent="0.3"/>
    <row r="17980" ht="14.4" x14ac:dyDescent="0.3"/>
    <row r="17981" ht="14.4" x14ac:dyDescent="0.3"/>
    <row r="17982" ht="14.4" x14ac:dyDescent="0.3"/>
    <row r="17983" ht="14.4" x14ac:dyDescent="0.3"/>
    <row r="17984" ht="14.4" x14ac:dyDescent="0.3"/>
    <row r="17985" ht="14.4" x14ac:dyDescent="0.3"/>
    <row r="17986" ht="14.4" x14ac:dyDescent="0.3"/>
    <row r="17987" ht="14.4" x14ac:dyDescent="0.3"/>
    <row r="17988" ht="14.4" x14ac:dyDescent="0.3"/>
    <row r="17989" ht="14.4" x14ac:dyDescent="0.3"/>
    <row r="17990" ht="14.4" x14ac:dyDescent="0.3"/>
    <row r="17991" ht="14.4" x14ac:dyDescent="0.3"/>
    <row r="17992" ht="14.4" x14ac:dyDescent="0.3"/>
    <row r="17993" ht="14.4" x14ac:dyDescent="0.3"/>
    <row r="17994" ht="14.4" x14ac:dyDescent="0.3"/>
    <row r="17995" ht="14.4" x14ac:dyDescent="0.3"/>
    <row r="17996" ht="14.4" x14ac:dyDescent="0.3"/>
    <row r="17997" ht="14.4" x14ac:dyDescent="0.3"/>
    <row r="17998" ht="14.4" x14ac:dyDescent="0.3"/>
    <row r="17999" ht="14.4" x14ac:dyDescent="0.3"/>
    <row r="18000" ht="14.4" x14ac:dyDescent="0.3"/>
    <row r="18001" ht="14.4" x14ac:dyDescent="0.3"/>
    <row r="18002" ht="14.4" x14ac:dyDescent="0.3"/>
    <row r="18003" ht="14.4" x14ac:dyDescent="0.3"/>
    <row r="18004" ht="14.4" x14ac:dyDescent="0.3"/>
    <row r="18005" ht="14.4" x14ac:dyDescent="0.3"/>
    <row r="18006" ht="14.4" x14ac:dyDescent="0.3"/>
    <row r="18007" ht="14.4" x14ac:dyDescent="0.3"/>
    <row r="18008" ht="14.4" x14ac:dyDescent="0.3"/>
    <row r="18009" ht="14.4" x14ac:dyDescent="0.3"/>
    <row r="18010" ht="14.4" x14ac:dyDescent="0.3"/>
    <row r="18011" ht="14.4" x14ac:dyDescent="0.3"/>
    <row r="18012" ht="14.4" x14ac:dyDescent="0.3"/>
    <row r="18013" ht="14.4" x14ac:dyDescent="0.3"/>
    <row r="18014" ht="14.4" x14ac:dyDescent="0.3"/>
    <row r="18015" ht="14.4" x14ac:dyDescent="0.3"/>
    <row r="18016" ht="14.4" x14ac:dyDescent="0.3"/>
    <row r="18017" ht="14.4" x14ac:dyDescent="0.3"/>
    <row r="18018" ht="14.4" x14ac:dyDescent="0.3"/>
    <row r="18019" ht="14.4" x14ac:dyDescent="0.3"/>
    <row r="18020" ht="14.4" x14ac:dyDescent="0.3"/>
    <row r="18021" ht="14.4" x14ac:dyDescent="0.3"/>
    <row r="18022" ht="14.4" x14ac:dyDescent="0.3"/>
    <row r="18023" ht="14.4" x14ac:dyDescent="0.3"/>
    <row r="18024" ht="14.4" x14ac:dyDescent="0.3"/>
    <row r="18025" ht="14.4" x14ac:dyDescent="0.3"/>
    <row r="18026" ht="14.4" x14ac:dyDescent="0.3"/>
    <row r="18027" ht="14.4" x14ac:dyDescent="0.3"/>
    <row r="18028" ht="14.4" x14ac:dyDescent="0.3"/>
    <row r="18029" ht="14.4" x14ac:dyDescent="0.3"/>
    <row r="18030" ht="14.4" x14ac:dyDescent="0.3"/>
    <row r="18031" ht="14.4" x14ac:dyDescent="0.3"/>
    <row r="18032" ht="14.4" x14ac:dyDescent="0.3"/>
    <row r="18033" spans="1:43" ht="14.4" x14ac:dyDescent="0.3"/>
    <row r="18034" spans="1:43" ht="14.4" x14ac:dyDescent="0.3"/>
    <row r="18035" spans="1:43" ht="14.4" x14ac:dyDescent="0.3"/>
    <row r="18036" spans="1:43" ht="14.4" x14ac:dyDescent="0.3"/>
    <row r="18037" spans="1:43" ht="14.4" x14ac:dyDescent="0.3"/>
    <row r="18038" spans="1:43" ht="14.4" x14ac:dyDescent="0.3"/>
    <row r="18039" spans="1:43" ht="14.4" x14ac:dyDescent="0.3"/>
    <row r="18040" spans="1:43" ht="14.4" hidden="1" x14ac:dyDescent="0.3">
      <c r="A18040" t="s">
        <v>2863</v>
      </c>
      <c r="B18040">
        <v>4921521</v>
      </c>
      <c r="C18040" t="s">
        <v>424</v>
      </c>
      <c r="D18040" t="s">
        <v>428</v>
      </c>
      <c r="E18040" t="s">
        <v>429</v>
      </c>
      <c r="F18040" t="s">
        <v>766</v>
      </c>
      <c r="H18040" t="s">
        <v>275</v>
      </c>
      <c r="J18040" t="s">
        <v>140</v>
      </c>
      <c r="K18040">
        <v>162316.24799999999</v>
      </c>
      <c r="L18040">
        <v>387595.53499999997</v>
      </c>
      <c r="M18040">
        <v>1</v>
      </c>
      <c r="N18040" t="s">
        <v>382</v>
      </c>
      <c r="O18040" t="s">
        <v>532</v>
      </c>
      <c r="P18040" t="s">
        <v>772</v>
      </c>
      <c r="Q18040" t="s">
        <v>358</v>
      </c>
      <c r="R18040" t="s">
        <v>145</v>
      </c>
      <c r="S18040">
        <v>35</v>
      </c>
      <c r="T18040">
        <v>3300</v>
      </c>
      <c r="V18040" t="s">
        <v>359</v>
      </c>
      <c r="W18040" t="s">
        <v>184</v>
      </c>
      <c r="X18040" t="s">
        <v>7</v>
      </c>
      <c r="Y18040" t="s">
        <v>2864</v>
      </c>
      <c r="Z18040" t="s">
        <v>767</v>
      </c>
      <c r="AA18040" t="s">
        <v>768</v>
      </c>
      <c r="AB18040">
        <v>0</v>
      </c>
      <c r="AC18040" t="s">
        <v>150</v>
      </c>
      <c r="AE18040" t="s">
        <v>1496</v>
      </c>
      <c r="AF18040" t="s">
        <v>767</v>
      </c>
      <c r="AG18040" t="s">
        <v>768</v>
      </c>
      <c r="AL18040" t="s">
        <v>2865</v>
      </c>
      <c r="AM18040" t="s">
        <v>2866</v>
      </c>
      <c r="AN18040" t="s">
        <v>2867</v>
      </c>
      <c r="AO18040" t="s">
        <v>382</v>
      </c>
      <c r="AQ18040" t="str">
        <f>IF(ISBLANK(AP18040), IFERROR(IF(VLOOKUP(AO18040, Ellens_additions!$A$2:$B$252, 2, FALSE) = "", "", VLOOKUP(AO18040, Ellens_additions!$A$2:$B$252, 2, FALSE)), 0), AP18040)</f>
        <v/>
      </c>
    </row>
    <row r="18041" spans="1:43" ht="14.4" hidden="1" x14ac:dyDescent="0.3">
      <c r="A18041" t="s">
        <v>2868</v>
      </c>
      <c r="B18041">
        <v>4921522</v>
      </c>
      <c r="C18041" t="s">
        <v>424</v>
      </c>
      <c r="D18041" t="s">
        <v>428</v>
      </c>
      <c r="E18041" t="s">
        <v>429</v>
      </c>
      <c r="F18041" t="s">
        <v>766</v>
      </c>
      <c r="H18041" t="s">
        <v>251</v>
      </c>
      <c r="J18041" t="s">
        <v>140</v>
      </c>
      <c r="K18041">
        <v>162315.03</v>
      </c>
      <c r="L18041">
        <v>387586.125</v>
      </c>
      <c r="M18041">
        <v>1</v>
      </c>
      <c r="N18041" t="s">
        <v>382</v>
      </c>
      <c r="O18041" t="s">
        <v>723</v>
      </c>
      <c r="P18041" t="s">
        <v>1089</v>
      </c>
      <c r="Q18041" t="s">
        <v>358</v>
      </c>
      <c r="R18041" t="s">
        <v>145</v>
      </c>
      <c r="S18041">
        <v>35</v>
      </c>
      <c r="T18041">
        <v>3300</v>
      </c>
      <c r="V18041" t="s">
        <v>359</v>
      </c>
      <c r="W18041" t="s">
        <v>184</v>
      </c>
      <c r="X18041" t="s">
        <v>7</v>
      </c>
      <c r="Y18041" t="s">
        <v>2864</v>
      </c>
      <c r="Z18041" t="s">
        <v>767</v>
      </c>
      <c r="AA18041" t="s">
        <v>768</v>
      </c>
      <c r="AB18041">
        <v>0</v>
      </c>
      <c r="AC18041" t="s">
        <v>150</v>
      </c>
      <c r="AE18041" t="s">
        <v>1496</v>
      </c>
      <c r="AF18041" t="s">
        <v>767</v>
      </c>
      <c r="AG18041" t="s">
        <v>768</v>
      </c>
      <c r="AL18041" t="s">
        <v>2869</v>
      </c>
      <c r="AM18041" t="s">
        <v>2870</v>
      </c>
      <c r="AN18041" t="s">
        <v>2871</v>
      </c>
      <c r="AO18041" t="s">
        <v>382</v>
      </c>
      <c r="AQ18041" t="str">
        <f>IF(ISBLANK(AP18041), IFERROR(IF(VLOOKUP(AO18041, Ellens_additions!$A$2:$B$252, 2, FALSE) = "", "", VLOOKUP(AO18041, Ellens_additions!$A$2:$B$252, 2, FALSE)), 0), AP18041)</f>
        <v/>
      </c>
    </row>
    <row r="18042" spans="1:43" ht="14.4" x14ac:dyDescent="0.3"/>
    <row r="18043" spans="1:43" ht="14.4" x14ac:dyDescent="0.3"/>
    <row r="18044" spans="1:43" ht="14.4" x14ac:dyDescent="0.3"/>
    <row r="18045" spans="1:43" ht="14.4" x14ac:dyDescent="0.3"/>
    <row r="18046" spans="1:43" ht="14.4" x14ac:dyDescent="0.3"/>
    <row r="18047" spans="1:43" ht="14.4" x14ac:dyDescent="0.3"/>
    <row r="18048" spans="1:43" ht="14.4" x14ac:dyDescent="0.3"/>
    <row r="18049" ht="14.4" x14ac:dyDescent="0.3"/>
    <row r="18050" ht="14.4" x14ac:dyDescent="0.3"/>
    <row r="18051" ht="14.4" x14ac:dyDescent="0.3"/>
    <row r="18052" ht="14.4" x14ac:dyDescent="0.3"/>
    <row r="18053" ht="14.4" x14ac:dyDescent="0.3"/>
    <row r="18054" ht="14.4" x14ac:dyDescent="0.3"/>
    <row r="18055" ht="14.4" x14ac:dyDescent="0.3"/>
    <row r="18056" ht="14.4" x14ac:dyDescent="0.3"/>
    <row r="18057" ht="14.4" x14ac:dyDescent="0.3"/>
    <row r="18058" ht="14.4" x14ac:dyDescent="0.3"/>
    <row r="18059" ht="14.4" x14ac:dyDescent="0.3"/>
    <row r="18060" ht="14.4" x14ac:dyDescent="0.3"/>
    <row r="18061" ht="14.4" x14ac:dyDescent="0.3"/>
    <row r="18062" ht="14.4" x14ac:dyDescent="0.3"/>
    <row r="18063" ht="14.4" x14ac:dyDescent="0.3"/>
    <row r="18064" ht="14.4" x14ac:dyDescent="0.3"/>
    <row r="18065" ht="14.4" x14ac:dyDescent="0.3"/>
    <row r="18066" ht="14.4" x14ac:dyDescent="0.3"/>
    <row r="18067" ht="14.4" x14ac:dyDescent="0.3"/>
    <row r="18068" ht="14.4" x14ac:dyDescent="0.3"/>
    <row r="18069" ht="14.4" x14ac:dyDescent="0.3"/>
    <row r="18070" ht="14.4" x14ac:dyDescent="0.3"/>
    <row r="18071" ht="14.4" x14ac:dyDescent="0.3"/>
    <row r="18072" ht="14.4" x14ac:dyDescent="0.3"/>
    <row r="18073" ht="14.4" x14ac:dyDescent="0.3"/>
    <row r="18074" ht="14.4" x14ac:dyDescent="0.3"/>
    <row r="18075" ht="14.4" x14ac:dyDescent="0.3"/>
    <row r="18076" ht="14.4" x14ac:dyDescent="0.3"/>
    <row r="18077" ht="14.4" x14ac:dyDescent="0.3"/>
    <row r="18078" ht="14.4" x14ac:dyDescent="0.3"/>
    <row r="18079" ht="14.4" x14ac:dyDescent="0.3"/>
    <row r="18080" ht="14.4" x14ac:dyDescent="0.3"/>
    <row r="18081" spans="1:43" ht="14.4" x14ac:dyDescent="0.3"/>
    <row r="18082" spans="1:43" ht="14.4" x14ac:dyDescent="0.3"/>
    <row r="18083" spans="1:43" ht="14.4" x14ac:dyDescent="0.3"/>
    <row r="18084" spans="1:43" ht="14.4" x14ac:dyDescent="0.3"/>
    <row r="18085" spans="1:43" ht="14.4" x14ac:dyDescent="0.3"/>
    <row r="18086" spans="1:43" ht="14.4" x14ac:dyDescent="0.3"/>
    <row r="18087" spans="1:43" ht="14.4" x14ac:dyDescent="0.3"/>
    <row r="18088" spans="1:43" ht="14.4" x14ac:dyDescent="0.3"/>
    <row r="18089" spans="1:43" ht="14.4" x14ac:dyDescent="0.3"/>
    <row r="18090" spans="1:43" ht="14.4" x14ac:dyDescent="0.3"/>
    <row r="18091" spans="1:43" ht="14.4" hidden="1" x14ac:dyDescent="0.3">
      <c r="A18091" t="s">
        <v>2872</v>
      </c>
      <c r="B18091">
        <v>4921699</v>
      </c>
      <c r="C18091" t="s">
        <v>424</v>
      </c>
      <c r="D18091" t="s">
        <v>439</v>
      </c>
      <c r="E18091" t="s">
        <v>440</v>
      </c>
      <c r="F18091" t="s">
        <v>769</v>
      </c>
      <c r="H18091" t="s">
        <v>2122</v>
      </c>
      <c r="J18091" t="s">
        <v>140</v>
      </c>
      <c r="K18091">
        <v>158504.99799999999</v>
      </c>
      <c r="L18091">
        <v>387220.75300000003</v>
      </c>
      <c r="M18091">
        <v>1</v>
      </c>
      <c r="N18091" t="s">
        <v>382</v>
      </c>
      <c r="O18091" t="s">
        <v>756</v>
      </c>
      <c r="P18091" t="s">
        <v>556</v>
      </c>
      <c r="Q18091" t="s">
        <v>358</v>
      </c>
      <c r="R18091" t="s">
        <v>145</v>
      </c>
      <c r="S18091">
        <v>35</v>
      </c>
      <c r="T18091">
        <v>3300</v>
      </c>
      <c r="V18091" t="s">
        <v>359</v>
      </c>
      <c r="W18091" t="s">
        <v>184</v>
      </c>
      <c r="X18091" t="s">
        <v>7</v>
      </c>
      <c r="Y18091" t="s">
        <v>2873</v>
      </c>
      <c r="Z18091" t="s">
        <v>807</v>
      </c>
      <c r="AA18091" t="s">
        <v>808</v>
      </c>
      <c r="AB18091">
        <v>0</v>
      </c>
      <c r="AC18091" t="s">
        <v>150</v>
      </c>
      <c r="AE18091" t="s">
        <v>1496</v>
      </c>
      <c r="AF18091" t="s">
        <v>807</v>
      </c>
      <c r="AG18091" t="s">
        <v>808</v>
      </c>
      <c r="AL18091" t="s">
        <v>2874</v>
      </c>
      <c r="AM18091" t="s">
        <v>2875</v>
      </c>
      <c r="AN18091" t="s">
        <v>2876</v>
      </c>
      <c r="AO18091" t="s">
        <v>382</v>
      </c>
      <c r="AQ18091" t="str">
        <f>IF(ISBLANK(AP18091), IFERROR(IF(VLOOKUP(AO18091, Ellens_additions!$A$2:$B$252, 2, FALSE) = "", "", VLOOKUP(AO18091, Ellens_additions!$A$2:$B$252, 2, FALSE)), 0), AP18091)</f>
        <v/>
      </c>
    </row>
    <row r="18092" spans="1:43" ht="14.4" x14ac:dyDescent="0.3"/>
    <row r="18093" spans="1:43" ht="14.4" x14ac:dyDescent="0.3"/>
    <row r="18094" spans="1:43" ht="14.4" x14ac:dyDescent="0.3"/>
    <row r="18095" spans="1:43" ht="14.4" x14ac:dyDescent="0.3"/>
    <row r="18096" spans="1:43" ht="14.4" x14ac:dyDescent="0.3"/>
    <row r="18097" ht="14.4" x14ac:dyDescent="0.3"/>
    <row r="18098" ht="14.4" x14ac:dyDescent="0.3"/>
    <row r="18099" ht="14.4" x14ac:dyDescent="0.3"/>
    <row r="18100" ht="14.4" x14ac:dyDescent="0.3"/>
    <row r="18101" ht="14.4" x14ac:dyDescent="0.3"/>
    <row r="18102" ht="14.4" x14ac:dyDescent="0.3"/>
    <row r="18103" ht="14.4" x14ac:dyDescent="0.3"/>
    <row r="18104" ht="14.4" x14ac:dyDescent="0.3"/>
    <row r="18105" ht="14.4" x14ac:dyDescent="0.3"/>
    <row r="18106" ht="14.4" x14ac:dyDescent="0.3"/>
    <row r="18107" ht="14.4" x14ac:dyDescent="0.3"/>
    <row r="18108" ht="14.4" x14ac:dyDescent="0.3"/>
    <row r="18109" ht="14.4" x14ac:dyDescent="0.3"/>
    <row r="18110" ht="14.4" x14ac:dyDescent="0.3"/>
    <row r="18111" ht="14.4" x14ac:dyDescent="0.3"/>
    <row r="18112" ht="14.4" x14ac:dyDescent="0.3"/>
    <row r="18113" ht="14.4" x14ac:dyDescent="0.3"/>
    <row r="18114" ht="14.4" x14ac:dyDescent="0.3"/>
    <row r="18115" ht="14.4" x14ac:dyDescent="0.3"/>
    <row r="18116" ht="14.4" x14ac:dyDescent="0.3"/>
    <row r="18117" ht="14.4" x14ac:dyDescent="0.3"/>
    <row r="18118" ht="14.4" x14ac:dyDescent="0.3"/>
    <row r="18119" ht="14.4" x14ac:dyDescent="0.3"/>
    <row r="18120" ht="14.4" x14ac:dyDescent="0.3"/>
    <row r="18121" ht="14.4" x14ac:dyDescent="0.3"/>
    <row r="18122" ht="14.4" x14ac:dyDescent="0.3"/>
    <row r="18123" ht="14.4" x14ac:dyDescent="0.3"/>
    <row r="18124" ht="14.4" x14ac:dyDescent="0.3"/>
    <row r="18125" ht="14.4" x14ac:dyDescent="0.3"/>
    <row r="18126" ht="14.4" x14ac:dyDescent="0.3"/>
    <row r="18127" ht="14.4" x14ac:dyDescent="0.3"/>
    <row r="18128" ht="14.4" x14ac:dyDescent="0.3"/>
    <row r="18129" ht="14.4" x14ac:dyDescent="0.3"/>
    <row r="18130" ht="14.4" x14ac:dyDescent="0.3"/>
    <row r="18131" ht="14.4" x14ac:dyDescent="0.3"/>
    <row r="18132" ht="14.4" x14ac:dyDescent="0.3"/>
    <row r="18133" ht="14.4" x14ac:dyDescent="0.3"/>
    <row r="18134" ht="14.4" x14ac:dyDescent="0.3"/>
    <row r="18135" ht="14.4" x14ac:dyDescent="0.3"/>
    <row r="18136" ht="14.4" x14ac:dyDescent="0.3"/>
    <row r="18137" ht="14.4" x14ac:dyDescent="0.3"/>
    <row r="18138" ht="14.4" x14ac:dyDescent="0.3"/>
    <row r="18139" ht="14.4" x14ac:dyDescent="0.3"/>
    <row r="18140" ht="14.4" x14ac:dyDescent="0.3"/>
    <row r="18141" ht="14.4" x14ac:dyDescent="0.3"/>
    <row r="18142" ht="14.4" x14ac:dyDescent="0.3"/>
    <row r="18143" ht="14.4" x14ac:dyDescent="0.3"/>
    <row r="18144" ht="14.4" x14ac:dyDescent="0.3"/>
    <row r="18145" ht="14.4" x14ac:dyDescent="0.3"/>
    <row r="18146" ht="14.4" x14ac:dyDescent="0.3"/>
    <row r="18147" ht="14.4" x14ac:dyDescent="0.3"/>
    <row r="18148" ht="14.4" x14ac:dyDescent="0.3"/>
    <row r="18149" ht="14.4" x14ac:dyDescent="0.3"/>
    <row r="18150" ht="14.4" x14ac:dyDescent="0.3"/>
    <row r="18151" ht="14.4" x14ac:dyDescent="0.3"/>
    <row r="18152" ht="14.4" x14ac:dyDescent="0.3"/>
    <row r="18153" ht="14.4" x14ac:dyDescent="0.3"/>
    <row r="18154" ht="14.4" x14ac:dyDescent="0.3"/>
    <row r="18155" ht="14.4" x14ac:dyDescent="0.3"/>
    <row r="18156" ht="14.4" x14ac:dyDescent="0.3"/>
    <row r="18157" ht="14.4" x14ac:dyDescent="0.3"/>
    <row r="18158" ht="14.4" x14ac:dyDescent="0.3"/>
    <row r="18159" ht="14.4" x14ac:dyDescent="0.3"/>
    <row r="18160" ht="14.4" x14ac:dyDescent="0.3"/>
    <row r="18161" ht="14.4" x14ac:dyDescent="0.3"/>
    <row r="18162" ht="14.4" x14ac:dyDescent="0.3"/>
    <row r="18163" ht="14.4" x14ac:dyDescent="0.3"/>
    <row r="18164" ht="14.4" x14ac:dyDescent="0.3"/>
    <row r="18165" ht="14.4" x14ac:dyDescent="0.3"/>
    <row r="18166" ht="14.4" x14ac:dyDescent="0.3"/>
    <row r="18167" ht="14.4" x14ac:dyDescent="0.3"/>
    <row r="18168" ht="14.4" x14ac:dyDescent="0.3"/>
    <row r="18169" ht="14.4" x14ac:dyDescent="0.3"/>
    <row r="18170" ht="14.4" x14ac:dyDescent="0.3"/>
    <row r="18171" ht="14.4" x14ac:dyDescent="0.3"/>
    <row r="18172" ht="14.4" x14ac:dyDescent="0.3"/>
    <row r="18173" ht="14.4" x14ac:dyDescent="0.3"/>
    <row r="18174" ht="14.4" x14ac:dyDescent="0.3"/>
    <row r="18175" ht="14.4" x14ac:dyDescent="0.3"/>
    <row r="18176" ht="14.4" x14ac:dyDescent="0.3"/>
    <row r="18177" ht="14.4" x14ac:dyDescent="0.3"/>
    <row r="18178" ht="14.4" x14ac:dyDescent="0.3"/>
    <row r="18179" ht="14.4" x14ac:dyDescent="0.3"/>
    <row r="18180" ht="14.4" x14ac:dyDescent="0.3"/>
    <row r="18181" ht="14.4" x14ac:dyDescent="0.3"/>
    <row r="18182" ht="14.4" x14ac:dyDescent="0.3"/>
    <row r="18183" ht="14.4" x14ac:dyDescent="0.3"/>
    <row r="18184" ht="14.4" x14ac:dyDescent="0.3"/>
    <row r="18185" ht="14.4" x14ac:dyDescent="0.3"/>
    <row r="18186" ht="14.4" x14ac:dyDescent="0.3"/>
    <row r="18187" ht="14.4" x14ac:dyDescent="0.3"/>
    <row r="18188" ht="14.4" x14ac:dyDescent="0.3"/>
    <row r="18189" ht="14.4" x14ac:dyDescent="0.3"/>
    <row r="18190" ht="14.4" x14ac:dyDescent="0.3"/>
    <row r="18191" ht="14.4" x14ac:dyDescent="0.3"/>
    <row r="18192" ht="14.4" x14ac:dyDescent="0.3"/>
    <row r="18193" ht="14.4" x14ac:dyDescent="0.3"/>
    <row r="18194" ht="14.4" x14ac:dyDescent="0.3"/>
    <row r="18195" ht="14.4" x14ac:dyDescent="0.3"/>
    <row r="18196" ht="14.4" x14ac:dyDescent="0.3"/>
    <row r="18197" ht="14.4" x14ac:dyDescent="0.3"/>
    <row r="18198" ht="14.4" x14ac:dyDescent="0.3"/>
    <row r="18199" ht="14.4" x14ac:dyDescent="0.3"/>
    <row r="18200" ht="14.4" x14ac:dyDescent="0.3"/>
    <row r="18201" ht="14.4" x14ac:dyDescent="0.3"/>
    <row r="18202" ht="14.4" x14ac:dyDescent="0.3"/>
    <row r="18203" ht="14.4" x14ac:dyDescent="0.3"/>
    <row r="18204" ht="14.4" x14ac:dyDescent="0.3"/>
    <row r="18205" ht="14.4" x14ac:dyDescent="0.3"/>
    <row r="18206" ht="14.4" x14ac:dyDescent="0.3"/>
    <row r="18207" ht="14.4" x14ac:dyDescent="0.3"/>
    <row r="18208" ht="14.4" x14ac:dyDescent="0.3"/>
    <row r="18209" ht="14.4" x14ac:dyDescent="0.3"/>
    <row r="18210" ht="14.4" x14ac:dyDescent="0.3"/>
    <row r="18211" ht="14.4" x14ac:dyDescent="0.3"/>
    <row r="18212" ht="14.4" x14ac:dyDescent="0.3"/>
    <row r="18213" ht="14.4" x14ac:dyDescent="0.3"/>
    <row r="18214" ht="14.4" x14ac:dyDescent="0.3"/>
    <row r="18215" ht="14.4" x14ac:dyDescent="0.3"/>
    <row r="18216" ht="14.4" x14ac:dyDescent="0.3"/>
    <row r="18217" ht="14.4" x14ac:dyDescent="0.3"/>
    <row r="18218" ht="14.4" x14ac:dyDescent="0.3"/>
    <row r="18219" ht="14.4" x14ac:dyDescent="0.3"/>
    <row r="18220" ht="14.4" x14ac:dyDescent="0.3"/>
    <row r="18221" ht="14.4" x14ac:dyDescent="0.3"/>
    <row r="18222" ht="14.4" x14ac:dyDescent="0.3"/>
    <row r="18223" ht="14.4" x14ac:dyDescent="0.3"/>
    <row r="18224" ht="14.4" x14ac:dyDescent="0.3"/>
    <row r="18225" ht="14.4" x14ac:dyDescent="0.3"/>
    <row r="18226" ht="14.4" x14ac:dyDescent="0.3"/>
    <row r="18227" ht="14.4" x14ac:dyDescent="0.3"/>
    <row r="18228" ht="14.4" x14ac:dyDescent="0.3"/>
    <row r="18229" ht="14.4" x14ac:dyDescent="0.3"/>
    <row r="18230" ht="14.4" x14ac:dyDescent="0.3"/>
    <row r="18231" ht="14.4" x14ac:dyDescent="0.3"/>
    <row r="18232" ht="14.4" x14ac:dyDescent="0.3"/>
    <row r="18233" ht="14.4" x14ac:dyDescent="0.3"/>
    <row r="18234" ht="14.4" x14ac:dyDescent="0.3"/>
    <row r="18235" ht="14.4" x14ac:dyDescent="0.3"/>
    <row r="18236" ht="14.4" x14ac:dyDescent="0.3"/>
    <row r="18237" ht="14.4" x14ac:dyDescent="0.3"/>
    <row r="18238" ht="14.4" x14ac:dyDescent="0.3"/>
    <row r="18239" ht="14.4" x14ac:dyDescent="0.3"/>
    <row r="18240" ht="14.4" x14ac:dyDescent="0.3"/>
    <row r="18241" ht="14.4" x14ac:dyDescent="0.3"/>
    <row r="18242" ht="14.4" x14ac:dyDescent="0.3"/>
    <row r="18243" ht="14.4" x14ac:dyDescent="0.3"/>
    <row r="18244" ht="14.4" x14ac:dyDescent="0.3"/>
    <row r="18245" ht="14.4" x14ac:dyDescent="0.3"/>
    <row r="18246" ht="14.4" x14ac:dyDescent="0.3"/>
    <row r="18247" ht="14.4" x14ac:dyDescent="0.3"/>
    <row r="18248" ht="14.4" x14ac:dyDescent="0.3"/>
    <row r="18249" ht="14.4" x14ac:dyDescent="0.3"/>
    <row r="18250" ht="14.4" x14ac:dyDescent="0.3"/>
    <row r="18251" ht="14.4" x14ac:dyDescent="0.3"/>
    <row r="18252" ht="14.4" x14ac:dyDescent="0.3"/>
    <row r="18253" ht="14.4" x14ac:dyDescent="0.3"/>
    <row r="18254" ht="14.4" x14ac:dyDescent="0.3"/>
    <row r="18255" ht="14.4" x14ac:dyDescent="0.3"/>
    <row r="18256" ht="14.4" x14ac:dyDescent="0.3"/>
    <row r="18257" ht="14.4" x14ac:dyDescent="0.3"/>
    <row r="18258" ht="14.4" x14ac:dyDescent="0.3"/>
    <row r="18259" ht="14.4" x14ac:dyDescent="0.3"/>
    <row r="18260" ht="14.4" x14ac:dyDescent="0.3"/>
    <row r="18261" ht="14.4" x14ac:dyDescent="0.3"/>
    <row r="18262" ht="14.4" x14ac:dyDescent="0.3"/>
    <row r="18263" ht="14.4" x14ac:dyDescent="0.3"/>
    <row r="18264" ht="14.4" x14ac:dyDescent="0.3"/>
    <row r="18265" ht="14.4" x14ac:dyDescent="0.3"/>
    <row r="18266" ht="14.4" x14ac:dyDescent="0.3"/>
    <row r="18267" ht="14.4" x14ac:dyDescent="0.3"/>
    <row r="18268" ht="14.4" x14ac:dyDescent="0.3"/>
    <row r="18269" ht="14.4" x14ac:dyDescent="0.3"/>
    <row r="18270" ht="14.4" x14ac:dyDescent="0.3"/>
    <row r="18271" ht="14.4" x14ac:dyDescent="0.3"/>
    <row r="18272" ht="14.4" x14ac:dyDescent="0.3"/>
    <row r="18273" ht="14.4" x14ac:dyDescent="0.3"/>
    <row r="18274" ht="14.4" x14ac:dyDescent="0.3"/>
    <row r="18275" ht="14.4" x14ac:dyDescent="0.3"/>
    <row r="18276" ht="14.4" x14ac:dyDescent="0.3"/>
    <row r="18277" ht="14.4" x14ac:dyDescent="0.3"/>
    <row r="18278" ht="14.4" x14ac:dyDescent="0.3"/>
    <row r="18279" ht="14.4" x14ac:dyDescent="0.3"/>
    <row r="18280" ht="14.4" x14ac:dyDescent="0.3"/>
    <row r="18281" ht="14.4" x14ac:dyDescent="0.3"/>
    <row r="18282" ht="14.4" x14ac:dyDescent="0.3"/>
    <row r="18283" ht="14.4" x14ac:dyDescent="0.3"/>
    <row r="18284" ht="14.4" x14ac:dyDescent="0.3"/>
    <row r="18285" ht="14.4" x14ac:dyDescent="0.3"/>
    <row r="18286" ht="14.4" x14ac:dyDescent="0.3"/>
    <row r="18287" ht="14.4" x14ac:dyDescent="0.3"/>
    <row r="18288" ht="14.4" x14ac:dyDescent="0.3"/>
    <row r="18289" ht="14.4" x14ac:dyDescent="0.3"/>
    <row r="18290" ht="14.4" x14ac:dyDescent="0.3"/>
    <row r="18291" ht="14.4" x14ac:dyDescent="0.3"/>
    <row r="18292" ht="14.4" x14ac:dyDescent="0.3"/>
    <row r="18293" ht="14.4" x14ac:dyDescent="0.3"/>
    <row r="18294" ht="14.4" x14ac:dyDescent="0.3"/>
    <row r="18295" ht="14.4" x14ac:dyDescent="0.3"/>
    <row r="18296" ht="14.4" x14ac:dyDescent="0.3"/>
    <row r="18297" ht="14.4" x14ac:dyDescent="0.3"/>
    <row r="18298" ht="14.4" x14ac:dyDescent="0.3"/>
    <row r="18299" ht="14.4" x14ac:dyDescent="0.3"/>
    <row r="18300" ht="14.4" x14ac:dyDescent="0.3"/>
    <row r="18301" ht="14.4" x14ac:dyDescent="0.3"/>
    <row r="18302" ht="14.4" x14ac:dyDescent="0.3"/>
    <row r="18303" ht="14.4" x14ac:dyDescent="0.3"/>
    <row r="18304" ht="14.4" x14ac:dyDescent="0.3"/>
    <row r="18305" ht="14.4" x14ac:dyDescent="0.3"/>
    <row r="18306" ht="14.4" x14ac:dyDescent="0.3"/>
    <row r="18307" ht="14.4" x14ac:dyDescent="0.3"/>
    <row r="18308" ht="14.4" x14ac:dyDescent="0.3"/>
    <row r="18309" ht="14.4" x14ac:dyDescent="0.3"/>
    <row r="18310" ht="14.4" x14ac:dyDescent="0.3"/>
    <row r="18311" ht="14.4" x14ac:dyDescent="0.3"/>
    <row r="18312" ht="14.4" x14ac:dyDescent="0.3"/>
    <row r="18313" ht="14.4" x14ac:dyDescent="0.3"/>
    <row r="18314" ht="14.4" x14ac:dyDescent="0.3"/>
    <row r="18315" ht="14.4" x14ac:dyDescent="0.3"/>
    <row r="18316" ht="14.4" x14ac:dyDescent="0.3"/>
    <row r="18317" ht="14.4" x14ac:dyDescent="0.3"/>
    <row r="18318" ht="14.4" x14ac:dyDescent="0.3"/>
    <row r="18319" ht="14.4" x14ac:dyDescent="0.3"/>
    <row r="18320" ht="14.4" x14ac:dyDescent="0.3"/>
    <row r="18321" ht="14.4" x14ac:dyDescent="0.3"/>
    <row r="18322" ht="14.4" x14ac:dyDescent="0.3"/>
    <row r="18323" ht="14.4" x14ac:dyDescent="0.3"/>
    <row r="18324" ht="14.4" x14ac:dyDescent="0.3"/>
    <row r="18325" ht="14.4" x14ac:dyDescent="0.3"/>
    <row r="18326" ht="14.4" x14ac:dyDescent="0.3"/>
    <row r="18327" ht="14.4" x14ac:dyDescent="0.3"/>
    <row r="18328" ht="14.4" x14ac:dyDescent="0.3"/>
    <row r="18329" ht="14.4" x14ac:dyDescent="0.3"/>
    <row r="18330" ht="14.4" x14ac:dyDescent="0.3"/>
    <row r="18331" ht="14.4" x14ac:dyDescent="0.3"/>
    <row r="18332" ht="14.4" x14ac:dyDescent="0.3"/>
    <row r="18333" ht="14.4" x14ac:dyDescent="0.3"/>
    <row r="18334" ht="14.4" x14ac:dyDescent="0.3"/>
    <row r="18335" ht="14.4" x14ac:dyDescent="0.3"/>
    <row r="18336" ht="14.4" x14ac:dyDescent="0.3"/>
    <row r="18337" ht="14.4" x14ac:dyDescent="0.3"/>
    <row r="18338" ht="14.4" x14ac:dyDescent="0.3"/>
    <row r="18339" ht="14.4" x14ac:dyDescent="0.3"/>
    <row r="18340" ht="14.4" x14ac:dyDescent="0.3"/>
    <row r="18341" ht="14.4" x14ac:dyDescent="0.3"/>
    <row r="18342" ht="14.4" x14ac:dyDescent="0.3"/>
    <row r="18343" ht="14.4" x14ac:dyDescent="0.3"/>
    <row r="18344" ht="14.4" x14ac:dyDescent="0.3"/>
    <row r="18345" ht="14.4" x14ac:dyDescent="0.3"/>
    <row r="18346" ht="14.4" x14ac:dyDescent="0.3"/>
    <row r="18347" ht="14.4" x14ac:dyDescent="0.3"/>
    <row r="18348" ht="14.4" x14ac:dyDescent="0.3"/>
    <row r="18349" ht="14.4" x14ac:dyDescent="0.3"/>
    <row r="18350" ht="14.4" x14ac:dyDescent="0.3"/>
    <row r="18351" ht="14.4" x14ac:dyDescent="0.3"/>
    <row r="18352" ht="14.4" x14ac:dyDescent="0.3"/>
    <row r="18353" ht="14.4" x14ac:dyDescent="0.3"/>
    <row r="18354" ht="14.4" x14ac:dyDescent="0.3"/>
    <row r="18355" ht="14.4" x14ac:dyDescent="0.3"/>
    <row r="18356" ht="14.4" x14ac:dyDescent="0.3"/>
    <row r="18357" ht="14.4" x14ac:dyDescent="0.3"/>
    <row r="18358" ht="14.4" x14ac:dyDescent="0.3"/>
    <row r="18359" ht="14.4" x14ac:dyDescent="0.3"/>
    <row r="18360" ht="14.4" x14ac:dyDescent="0.3"/>
    <row r="18361" ht="14.4" x14ac:dyDescent="0.3"/>
    <row r="18362" ht="14.4" x14ac:dyDescent="0.3"/>
    <row r="18363" ht="14.4" x14ac:dyDescent="0.3"/>
    <row r="18364" ht="14.4" x14ac:dyDescent="0.3"/>
    <row r="18365" ht="14.4" x14ac:dyDescent="0.3"/>
    <row r="18366" ht="14.4" x14ac:dyDescent="0.3"/>
    <row r="18367" ht="14.4" x14ac:dyDescent="0.3"/>
    <row r="18368" ht="14.4" x14ac:dyDescent="0.3"/>
    <row r="18369" ht="14.4" x14ac:dyDescent="0.3"/>
    <row r="18370" ht="14.4" x14ac:dyDescent="0.3"/>
    <row r="18371" ht="14.4" x14ac:dyDescent="0.3"/>
    <row r="18372" ht="14.4" x14ac:dyDescent="0.3"/>
    <row r="18373" ht="14.4" x14ac:dyDescent="0.3"/>
    <row r="18374" ht="14.4" x14ac:dyDescent="0.3"/>
    <row r="18375" ht="14.4" x14ac:dyDescent="0.3"/>
    <row r="18376" ht="14.4" x14ac:dyDescent="0.3"/>
    <row r="18377" ht="14.4" x14ac:dyDescent="0.3"/>
    <row r="18378" ht="14.4" x14ac:dyDescent="0.3"/>
    <row r="18379" ht="14.4" x14ac:dyDescent="0.3"/>
    <row r="18380" ht="14.4" x14ac:dyDescent="0.3"/>
    <row r="18381" ht="14.4" x14ac:dyDescent="0.3"/>
    <row r="18382" ht="14.4" x14ac:dyDescent="0.3"/>
    <row r="18383" ht="14.4" x14ac:dyDescent="0.3"/>
    <row r="18384" ht="14.4" x14ac:dyDescent="0.3"/>
    <row r="18385" ht="14.4" x14ac:dyDescent="0.3"/>
    <row r="18386" ht="14.4" x14ac:dyDescent="0.3"/>
    <row r="18387" ht="14.4" x14ac:dyDescent="0.3"/>
    <row r="18388" ht="14.4" x14ac:dyDescent="0.3"/>
    <row r="18389" ht="14.4" x14ac:dyDescent="0.3"/>
    <row r="18390" ht="14.4" x14ac:dyDescent="0.3"/>
    <row r="18391" ht="14.4" x14ac:dyDescent="0.3"/>
    <row r="18392" ht="14.4" x14ac:dyDescent="0.3"/>
    <row r="18393" ht="14.4" x14ac:dyDescent="0.3"/>
    <row r="18394" ht="14.4" x14ac:dyDescent="0.3"/>
    <row r="18395" ht="14.4" x14ac:dyDescent="0.3"/>
    <row r="18396" ht="14.4" x14ac:dyDescent="0.3"/>
    <row r="18397" ht="14.4" x14ac:dyDescent="0.3"/>
    <row r="18398" ht="14.4" x14ac:dyDescent="0.3"/>
    <row r="18399" ht="14.4" x14ac:dyDescent="0.3"/>
    <row r="18400" ht="14.4" x14ac:dyDescent="0.3"/>
    <row r="18401" ht="14.4" x14ac:dyDescent="0.3"/>
    <row r="18402" ht="14.4" x14ac:dyDescent="0.3"/>
    <row r="18403" ht="14.4" x14ac:dyDescent="0.3"/>
    <row r="18404" ht="14.4" x14ac:dyDescent="0.3"/>
    <row r="18405" ht="14.4" x14ac:dyDescent="0.3"/>
    <row r="18406" ht="14.4" x14ac:dyDescent="0.3"/>
    <row r="18407" ht="14.4" x14ac:dyDescent="0.3"/>
    <row r="18408" ht="14.4" x14ac:dyDescent="0.3"/>
    <row r="18409" ht="14.4" x14ac:dyDescent="0.3"/>
    <row r="18410" ht="14.4" x14ac:dyDescent="0.3"/>
    <row r="18411" ht="14.4" x14ac:dyDescent="0.3"/>
    <row r="18412" ht="14.4" x14ac:dyDescent="0.3"/>
    <row r="18413" ht="14.4" x14ac:dyDescent="0.3"/>
    <row r="18414" ht="14.4" x14ac:dyDescent="0.3"/>
    <row r="18415" ht="14.4" x14ac:dyDescent="0.3"/>
    <row r="18416" ht="14.4" x14ac:dyDescent="0.3"/>
    <row r="18417" ht="14.4" x14ac:dyDescent="0.3"/>
    <row r="18418" ht="14.4" x14ac:dyDescent="0.3"/>
    <row r="18419" ht="14.4" x14ac:dyDescent="0.3"/>
    <row r="18420" ht="14.4" x14ac:dyDescent="0.3"/>
    <row r="18421" ht="14.4" x14ac:dyDescent="0.3"/>
    <row r="18422" ht="14.4" x14ac:dyDescent="0.3"/>
    <row r="18423" ht="14.4" x14ac:dyDescent="0.3"/>
    <row r="18424" ht="14.4" x14ac:dyDescent="0.3"/>
    <row r="18425" ht="14.4" x14ac:dyDescent="0.3"/>
    <row r="18426" ht="14.4" x14ac:dyDescent="0.3"/>
    <row r="18427" ht="14.4" x14ac:dyDescent="0.3"/>
    <row r="18428" ht="14.4" x14ac:dyDescent="0.3"/>
    <row r="18429" ht="14.4" x14ac:dyDescent="0.3"/>
    <row r="18430" ht="14.4" x14ac:dyDescent="0.3"/>
    <row r="18431" ht="14.4" x14ac:dyDescent="0.3"/>
    <row r="18432" ht="14.4" x14ac:dyDescent="0.3"/>
    <row r="18433" ht="14.4" x14ac:dyDescent="0.3"/>
    <row r="18434" ht="14.4" x14ac:dyDescent="0.3"/>
    <row r="18435" ht="14.4" x14ac:dyDescent="0.3"/>
    <row r="18436" ht="14.4" x14ac:dyDescent="0.3"/>
    <row r="18437" ht="14.4" x14ac:dyDescent="0.3"/>
    <row r="18438" ht="14.4" x14ac:dyDescent="0.3"/>
    <row r="18439" ht="14.4" x14ac:dyDescent="0.3"/>
    <row r="18440" ht="14.4" x14ac:dyDescent="0.3"/>
    <row r="18441" ht="14.4" x14ac:dyDescent="0.3"/>
    <row r="18442" ht="14.4" x14ac:dyDescent="0.3"/>
    <row r="18443" ht="14.4" x14ac:dyDescent="0.3"/>
    <row r="18444" ht="14.4" x14ac:dyDescent="0.3"/>
    <row r="18445" ht="14.4" x14ac:dyDescent="0.3"/>
    <row r="18446" ht="14.4" x14ac:dyDescent="0.3"/>
    <row r="18447" ht="14.4" x14ac:dyDescent="0.3"/>
    <row r="18448" ht="14.4" x14ac:dyDescent="0.3"/>
    <row r="18449" ht="14.4" x14ac:dyDescent="0.3"/>
    <row r="18450" ht="14.4" x14ac:dyDescent="0.3"/>
    <row r="18451" ht="14.4" x14ac:dyDescent="0.3"/>
    <row r="18452" ht="14.4" x14ac:dyDescent="0.3"/>
    <row r="18453" ht="14.4" x14ac:dyDescent="0.3"/>
    <row r="18454" ht="14.4" x14ac:dyDescent="0.3"/>
    <row r="18455" ht="14.4" x14ac:dyDescent="0.3"/>
    <row r="18456" ht="14.4" x14ac:dyDescent="0.3"/>
    <row r="18457" ht="14.4" x14ac:dyDescent="0.3"/>
    <row r="18458" ht="14.4" x14ac:dyDescent="0.3"/>
    <row r="18459" ht="14.4" x14ac:dyDescent="0.3"/>
    <row r="18460" ht="14.4" x14ac:dyDescent="0.3"/>
    <row r="18461" ht="14.4" x14ac:dyDescent="0.3"/>
    <row r="18462" ht="14.4" x14ac:dyDescent="0.3"/>
    <row r="18463" ht="14.4" x14ac:dyDescent="0.3"/>
    <row r="18464" ht="14.4" x14ac:dyDescent="0.3"/>
    <row r="18465" ht="14.4" x14ac:dyDescent="0.3"/>
    <row r="18466" ht="14.4" x14ac:dyDescent="0.3"/>
    <row r="18467" ht="14.4" x14ac:dyDescent="0.3"/>
    <row r="18468" ht="14.4" x14ac:dyDescent="0.3"/>
    <row r="18469" ht="14.4" x14ac:dyDescent="0.3"/>
    <row r="18470" ht="14.4" x14ac:dyDescent="0.3"/>
    <row r="18471" ht="14.4" x14ac:dyDescent="0.3"/>
    <row r="18472" ht="14.4" x14ac:dyDescent="0.3"/>
    <row r="18473" ht="14.4" x14ac:dyDescent="0.3"/>
    <row r="18474" ht="14.4" x14ac:dyDescent="0.3"/>
    <row r="18475" ht="14.4" x14ac:dyDescent="0.3"/>
    <row r="18476" ht="14.4" x14ac:dyDescent="0.3"/>
    <row r="18477" ht="14.4" x14ac:dyDescent="0.3"/>
    <row r="18478" ht="14.4" x14ac:dyDescent="0.3"/>
    <row r="18479" ht="14.4" x14ac:dyDescent="0.3"/>
    <row r="18480" ht="14.4" x14ac:dyDescent="0.3"/>
    <row r="18481" ht="14.4" x14ac:dyDescent="0.3"/>
    <row r="18482" ht="14.4" x14ac:dyDescent="0.3"/>
    <row r="18483" ht="14.4" x14ac:dyDescent="0.3"/>
    <row r="18484" ht="14.4" x14ac:dyDescent="0.3"/>
    <row r="18485" ht="14.4" x14ac:dyDescent="0.3"/>
    <row r="18486" ht="14.4" x14ac:dyDescent="0.3"/>
    <row r="18487" ht="14.4" x14ac:dyDescent="0.3"/>
    <row r="18488" ht="14.4" x14ac:dyDescent="0.3"/>
    <row r="18489" ht="14.4" x14ac:dyDescent="0.3"/>
    <row r="18490" ht="14.4" x14ac:dyDescent="0.3"/>
    <row r="18491" ht="14.4" x14ac:dyDescent="0.3"/>
    <row r="18492" ht="14.4" x14ac:dyDescent="0.3"/>
    <row r="18493" ht="14.4" x14ac:dyDescent="0.3"/>
    <row r="18494" ht="14.4" x14ac:dyDescent="0.3"/>
    <row r="18495" ht="14.4" x14ac:dyDescent="0.3"/>
    <row r="18496" ht="14.4" x14ac:dyDescent="0.3"/>
    <row r="18497" ht="14.4" x14ac:dyDescent="0.3"/>
    <row r="18498" ht="14.4" x14ac:dyDescent="0.3"/>
    <row r="18499" ht="14.4" x14ac:dyDescent="0.3"/>
    <row r="18500" ht="14.4" x14ac:dyDescent="0.3"/>
    <row r="18501" ht="14.4" x14ac:dyDescent="0.3"/>
    <row r="18502" ht="14.4" x14ac:dyDescent="0.3"/>
    <row r="18503" ht="14.4" x14ac:dyDescent="0.3"/>
    <row r="18504" ht="14.4" x14ac:dyDescent="0.3"/>
    <row r="18505" ht="14.4" x14ac:dyDescent="0.3"/>
    <row r="18506" ht="14.4" x14ac:dyDescent="0.3"/>
    <row r="18507" ht="14.4" x14ac:dyDescent="0.3"/>
    <row r="18508" ht="14.4" x14ac:dyDescent="0.3"/>
    <row r="18509" ht="14.4" x14ac:dyDescent="0.3"/>
    <row r="18510" ht="14.4" x14ac:dyDescent="0.3"/>
    <row r="18511" ht="14.4" x14ac:dyDescent="0.3"/>
    <row r="18512" ht="14.4" x14ac:dyDescent="0.3"/>
    <row r="18513" ht="14.4" x14ac:dyDescent="0.3"/>
    <row r="18514" ht="14.4" x14ac:dyDescent="0.3"/>
    <row r="18515" ht="14.4" x14ac:dyDescent="0.3"/>
    <row r="18516" ht="14.4" x14ac:dyDescent="0.3"/>
    <row r="18517" ht="14.4" x14ac:dyDescent="0.3"/>
    <row r="18518" ht="14.4" x14ac:dyDescent="0.3"/>
    <row r="18519" ht="14.4" x14ac:dyDescent="0.3"/>
    <row r="18520" ht="14.4" x14ac:dyDescent="0.3"/>
    <row r="18521" ht="14.4" x14ac:dyDescent="0.3"/>
    <row r="18522" ht="14.4" x14ac:dyDescent="0.3"/>
    <row r="18523" ht="14.4" x14ac:dyDescent="0.3"/>
    <row r="18524" ht="14.4" x14ac:dyDescent="0.3"/>
    <row r="18525" ht="14.4" x14ac:dyDescent="0.3"/>
    <row r="18526" ht="14.4" x14ac:dyDescent="0.3"/>
    <row r="18527" ht="14.4" x14ac:dyDescent="0.3"/>
    <row r="18528" ht="14.4" x14ac:dyDescent="0.3"/>
    <row r="18529" ht="14.4" x14ac:dyDescent="0.3"/>
    <row r="18530" ht="14.4" x14ac:dyDescent="0.3"/>
    <row r="18531" ht="14.4" x14ac:dyDescent="0.3"/>
    <row r="18532" ht="14.4" x14ac:dyDescent="0.3"/>
    <row r="18533" ht="14.4" x14ac:dyDescent="0.3"/>
    <row r="18534" ht="14.4" x14ac:dyDescent="0.3"/>
    <row r="18535" ht="14.4" x14ac:dyDescent="0.3"/>
    <row r="18536" ht="14.4" x14ac:dyDescent="0.3"/>
    <row r="18537" ht="14.4" x14ac:dyDescent="0.3"/>
    <row r="18538" ht="14.4" x14ac:dyDescent="0.3"/>
    <row r="18539" ht="14.4" x14ac:dyDescent="0.3"/>
    <row r="18540" ht="14.4" x14ac:dyDescent="0.3"/>
    <row r="18541" ht="14.4" x14ac:dyDescent="0.3"/>
    <row r="18542" ht="14.4" x14ac:dyDescent="0.3"/>
    <row r="18543" ht="14.4" x14ac:dyDescent="0.3"/>
    <row r="18544" ht="14.4" x14ac:dyDescent="0.3"/>
    <row r="18545" ht="14.4" x14ac:dyDescent="0.3"/>
    <row r="18546" ht="14.4" x14ac:dyDescent="0.3"/>
    <row r="18547" ht="14.4" x14ac:dyDescent="0.3"/>
    <row r="18548" ht="14.4" x14ac:dyDescent="0.3"/>
    <row r="18549" ht="14.4" x14ac:dyDescent="0.3"/>
    <row r="18550" ht="14.4" x14ac:dyDescent="0.3"/>
    <row r="18551" ht="14.4" x14ac:dyDescent="0.3"/>
    <row r="18552" ht="14.4" x14ac:dyDescent="0.3"/>
    <row r="18553" ht="14.4" x14ac:dyDescent="0.3"/>
    <row r="18554" ht="14.4" x14ac:dyDescent="0.3"/>
    <row r="18555" ht="14.4" x14ac:dyDescent="0.3"/>
    <row r="18556" ht="14.4" x14ac:dyDescent="0.3"/>
    <row r="18557" ht="14.4" x14ac:dyDescent="0.3"/>
    <row r="18558" ht="14.4" x14ac:dyDescent="0.3"/>
    <row r="18559" ht="14.4" x14ac:dyDescent="0.3"/>
    <row r="18560" ht="14.4" x14ac:dyDescent="0.3"/>
    <row r="18561" ht="14.4" x14ac:dyDescent="0.3"/>
    <row r="18562" ht="14.4" x14ac:dyDescent="0.3"/>
    <row r="18563" ht="14.4" x14ac:dyDescent="0.3"/>
    <row r="18564" ht="14.4" x14ac:dyDescent="0.3"/>
    <row r="18565" ht="14.4" x14ac:dyDescent="0.3"/>
    <row r="18566" ht="14.4" x14ac:dyDescent="0.3"/>
    <row r="18567" ht="14.4" x14ac:dyDescent="0.3"/>
    <row r="18568" ht="14.4" x14ac:dyDescent="0.3"/>
    <row r="18569" ht="14.4" x14ac:dyDescent="0.3"/>
    <row r="18570" ht="14.4" x14ac:dyDescent="0.3"/>
    <row r="18571" ht="14.4" x14ac:dyDescent="0.3"/>
    <row r="18572" ht="14.4" x14ac:dyDescent="0.3"/>
    <row r="18573" ht="14.4" x14ac:dyDescent="0.3"/>
    <row r="18574" ht="14.4" x14ac:dyDescent="0.3"/>
    <row r="18575" ht="14.4" x14ac:dyDescent="0.3"/>
    <row r="18576" ht="14.4" x14ac:dyDescent="0.3"/>
    <row r="18577" ht="14.4" x14ac:dyDescent="0.3"/>
    <row r="18578" ht="14.4" x14ac:dyDescent="0.3"/>
    <row r="18579" ht="14.4" x14ac:dyDescent="0.3"/>
    <row r="18580" ht="14.4" x14ac:dyDescent="0.3"/>
    <row r="18581" ht="14.4" x14ac:dyDescent="0.3"/>
    <row r="18582" ht="14.4" x14ac:dyDescent="0.3"/>
    <row r="18583" ht="14.4" x14ac:dyDescent="0.3"/>
    <row r="18584" ht="14.4" x14ac:dyDescent="0.3"/>
    <row r="18585" ht="14.4" x14ac:dyDescent="0.3"/>
    <row r="18586" ht="14.4" x14ac:dyDescent="0.3"/>
    <row r="18587" ht="14.4" x14ac:dyDescent="0.3"/>
    <row r="18588" ht="14.4" x14ac:dyDescent="0.3"/>
    <row r="18589" ht="14.4" x14ac:dyDescent="0.3"/>
    <row r="18590" ht="14.4" x14ac:dyDescent="0.3"/>
    <row r="18591" ht="14.4" x14ac:dyDescent="0.3"/>
    <row r="18592" ht="14.4" x14ac:dyDescent="0.3"/>
    <row r="18593" ht="14.4" x14ac:dyDescent="0.3"/>
    <row r="18594" ht="14.4" x14ac:dyDescent="0.3"/>
    <row r="18595" ht="14.4" x14ac:dyDescent="0.3"/>
    <row r="18596" ht="14.4" x14ac:dyDescent="0.3"/>
    <row r="18597" ht="14.4" x14ac:dyDescent="0.3"/>
    <row r="18598" ht="14.4" x14ac:dyDescent="0.3"/>
    <row r="18599" ht="14.4" x14ac:dyDescent="0.3"/>
    <row r="18600" ht="14.4" x14ac:dyDescent="0.3"/>
    <row r="18601" ht="14.4" x14ac:dyDescent="0.3"/>
    <row r="18602" ht="14.4" x14ac:dyDescent="0.3"/>
    <row r="18603" ht="14.4" x14ac:dyDescent="0.3"/>
    <row r="18604" ht="14.4" x14ac:dyDescent="0.3"/>
    <row r="18605" ht="14.4" x14ac:dyDescent="0.3"/>
    <row r="18606" ht="14.4" x14ac:dyDescent="0.3"/>
    <row r="18607" ht="14.4" x14ac:dyDescent="0.3"/>
    <row r="18608" ht="14.4" x14ac:dyDescent="0.3"/>
    <row r="18609" ht="14.4" x14ac:dyDescent="0.3"/>
    <row r="18610" ht="14.4" x14ac:dyDescent="0.3"/>
    <row r="18611" ht="14.4" x14ac:dyDescent="0.3"/>
    <row r="18612" ht="14.4" x14ac:dyDescent="0.3"/>
    <row r="18613" ht="14.4" x14ac:dyDescent="0.3"/>
    <row r="18614" ht="14.4" x14ac:dyDescent="0.3"/>
    <row r="18615" ht="14.4" x14ac:dyDescent="0.3"/>
    <row r="18616" ht="14.4" x14ac:dyDescent="0.3"/>
    <row r="18617" ht="14.4" x14ac:dyDescent="0.3"/>
    <row r="18618" ht="14.4" x14ac:dyDescent="0.3"/>
    <row r="18619" ht="14.4" x14ac:dyDescent="0.3"/>
    <row r="18620" ht="14.4" x14ac:dyDescent="0.3"/>
    <row r="18621" ht="14.4" x14ac:dyDescent="0.3"/>
    <row r="18622" ht="14.4" x14ac:dyDescent="0.3"/>
    <row r="18623" ht="14.4" x14ac:dyDescent="0.3"/>
    <row r="18624" ht="14.4" x14ac:dyDescent="0.3"/>
    <row r="18625" spans="1:43" ht="14.4" x14ac:dyDescent="0.3"/>
    <row r="18626" spans="1:43" ht="14.4" x14ac:dyDescent="0.3"/>
    <row r="18627" spans="1:43" ht="14.4" x14ac:dyDescent="0.3"/>
    <row r="18628" spans="1:43" ht="14.4" x14ac:dyDescent="0.3"/>
    <row r="18629" spans="1:43" ht="14.4" x14ac:dyDescent="0.3"/>
    <row r="18630" spans="1:43" ht="14.4" x14ac:dyDescent="0.3"/>
    <row r="18631" spans="1:43" ht="14.4" x14ac:dyDescent="0.3"/>
    <row r="18632" spans="1:43" ht="14.4" hidden="1" x14ac:dyDescent="0.3">
      <c r="A18632" t="s">
        <v>2879</v>
      </c>
      <c r="B18632">
        <v>4910332</v>
      </c>
      <c r="C18632" t="s">
        <v>135</v>
      </c>
      <c r="D18632" t="s">
        <v>136</v>
      </c>
      <c r="E18632" t="s">
        <v>2880</v>
      </c>
      <c r="F18632" t="s">
        <v>411</v>
      </c>
      <c r="H18632" t="s">
        <v>339</v>
      </c>
      <c r="I18632" t="s">
        <v>2881</v>
      </c>
      <c r="J18632" t="s">
        <v>140</v>
      </c>
      <c r="K18632">
        <v>156156.94</v>
      </c>
      <c r="L18632">
        <v>383952.13</v>
      </c>
      <c r="M18632">
        <v>1</v>
      </c>
      <c r="N18632" t="s">
        <v>2882</v>
      </c>
      <c r="O18632" t="s">
        <v>448</v>
      </c>
      <c r="P18632" t="s">
        <v>2883</v>
      </c>
      <c r="Q18632" t="s">
        <v>144</v>
      </c>
      <c r="S18632">
        <v>5</v>
      </c>
      <c r="T18632">
        <v>220</v>
      </c>
      <c r="V18632" t="s">
        <v>146</v>
      </c>
      <c r="W18632" t="s">
        <v>184</v>
      </c>
      <c r="X18632" t="s">
        <v>7</v>
      </c>
      <c r="Y18632" t="s">
        <v>2884</v>
      </c>
      <c r="Z18632" t="s">
        <v>448</v>
      </c>
      <c r="AA18632" t="s">
        <v>456</v>
      </c>
      <c r="AB18632">
        <v>100</v>
      </c>
      <c r="AE18632" t="s">
        <v>2885</v>
      </c>
      <c r="AF18632" t="s">
        <v>448</v>
      </c>
      <c r="AG18632" t="s">
        <v>665</v>
      </c>
      <c r="AL18632" t="s">
        <v>2886</v>
      </c>
      <c r="AM18632" t="s">
        <v>2887</v>
      </c>
      <c r="AN18632" t="s">
        <v>2888</v>
      </c>
      <c r="AO18632" t="s">
        <v>2882</v>
      </c>
      <c r="AQ18632">
        <f>IF(ISBLANK(AP18632), IFERROR(IF(VLOOKUP(AO18632, Ellens_additions!$A$2:$B$252, 2, FALSE) = "", "", VLOOKUP(AO18632, Ellens_additions!$A$2:$B$252, 2, FALSE)), 0), AP18632)</f>
        <v>0</v>
      </c>
    </row>
    <row r="18633" spans="1:43" ht="14.4" hidden="1" x14ac:dyDescent="0.3">
      <c r="A18633" t="s">
        <v>2889</v>
      </c>
      <c r="B18633">
        <v>4910333</v>
      </c>
      <c r="C18633" t="s">
        <v>135</v>
      </c>
      <c r="D18633" t="s">
        <v>136</v>
      </c>
      <c r="E18633" t="s">
        <v>2880</v>
      </c>
      <c r="F18633" t="s">
        <v>411</v>
      </c>
      <c r="H18633" t="s">
        <v>334</v>
      </c>
      <c r="I18633" t="s">
        <v>2881</v>
      </c>
      <c r="J18633" t="s">
        <v>140</v>
      </c>
      <c r="K18633">
        <v>156156.31</v>
      </c>
      <c r="L18633">
        <v>383948.87</v>
      </c>
      <c r="M18633">
        <v>1</v>
      </c>
      <c r="N18633" t="s">
        <v>2882</v>
      </c>
      <c r="O18633" t="s">
        <v>448</v>
      </c>
      <c r="P18633" t="s">
        <v>2883</v>
      </c>
      <c r="Q18633" t="s">
        <v>144</v>
      </c>
      <c r="S18633">
        <v>5</v>
      </c>
      <c r="T18633">
        <v>220</v>
      </c>
      <c r="V18633" t="s">
        <v>146</v>
      </c>
      <c r="W18633" t="s">
        <v>184</v>
      </c>
      <c r="X18633" t="s">
        <v>7</v>
      </c>
      <c r="Y18633" t="s">
        <v>2884</v>
      </c>
      <c r="Z18633" t="s">
        <v>448</v>
      </c>
      <c r="AA18633" t="s">
        <v>456</v>
      </c>
      <c r="AB18633">
        <v>100</v>
      </c>
      <c r="AE18633" t="s">
        <v>2885</v>
      </c>
      <c r="AF18633" t="s">
        <v>448</v>
      </c>
      <c r="AG18633" t="s">
        <v>665</v>
      </c>
      <c r="AL18633" t="s">
        <v>2890</v>
      </c>
      <c r="AM18633" t="s">
        <v>2891</v>
      </c>
      <c r="AN18633" t="s">
        <v>2892</v>
      </c>
      <c r="AO18633" t="s">
        <v>2882</v>
      </c>
      <c r="AQ18633">
        <f>IF(ISBLANK(AP18633), IFERROR(IF(VLOOKUP(AO18633, Ellens_additions!$A$2:$B$252, 2, FALSE) = "", "", VLOOKUP(AO18633, Ellens_additions!$A$2:$B$252, 2, FALSE)), 0), AP18633)</f>
        <v>0</v>
      </c>
    </row>
    <row r="18634" spans="1:43" ht="14.4" hidden="1" x14ac:dyDescent="0.3">
      <c r="A18634" t="s">
        <v>2893</v>
      </c>
      <c r="B18634">
        <v>4910335</v>
      </c>
      <c r="C18634" t="s">
        <v>135</v>
      </c>
      <c r="D18634" t="s">
        <v>136</v>
      </c>
      <c r="E18634" t="s">
        <v>2880</v>
      </c>
      <c r="F18634" t="s">
        <v>411</v>
      </c>
      <c r="H18634" t="s">
        <v>1790</v>
      </c>
      <c r="I18634" t="s">
        <v>2881</v>
      </c>
      <c r="J18634" t="s">
        <v>140</v>
      </c>
      <c r="K18634">
        <v>156155.39000000001</v>
      </c>
      <c r="L18634">
        <v>383942.43</v>
      </c>
      <c r="M18634">
        <v>1</v>
      </c>
      <c r="N18634" t="s">
        <v>2882</v>
      </c>
      <c r="O18634" t="s">
        <v>448</v>
      </c>
      <c r="P18634" t="s">
        <v>2883</v>
      </c>
      <c r="Q18634" t="s">
        <v>144</v>
      </c>
      <c r="S18634">
        <v>5</v>
      </c>
      <c r="T18634">
        <v>220</v>
      </c>
      <c r="V18634" t="s">
        <v>146</v>
      </c>
      <c r="W18634" t="s">
        <v>184</v>
      </c>
      <c r="X18634" t="s">
        <v>7</v>
      </c>
      <c r="Y18634" t="s">
        <v>2884</v>
      </c>
      <c r="Z18634" t="s">
        <v>448</v>
      </c>
      <c r="AA18634" t="s">
        <v>456</v>
      </c>
      <c r="AB18634">
        <v>100</v>
      </c>
      <c r="AE18634" t="s">
        <v>2885</v>
      </c>
      <c r="AF18634" t="s">
        <v>448</v>
      </c>
      <c r="AG18634" t="s">
        <v>665</v>
      </c>
      <c r="AL18634" t="s">
        <v>2894</v>
      </c>
      <c r="AM18634" t="s">
        <v>2895</v>
      </c>
      <c r="AN18634" t="s">
        <v>2896</v>
      </c>
      <c r="AO18634" t="s">
        <v>2882</v>
      </c>
      <c r="AQ18634">
        <f>IF(ISBLANK(AP18634), IFERROR(IF(VLOOKUP(AO18634, Ellens_additions!$A$2:$B$252, 2, FALSE) = "", "", VLOOKUP(AO18634, Ellens_additions!$A$2:$B$252, 2, FALSE)), 0), AP18634)</f>
        <v>0</v>
      </c>
    </row>
    <row r="18635" spans="1:43" ht="14.4" hidden="1" x14ac:dyDescent="0.3">
      <c r="A18635" t="s">
        <v>2897</v>
      </c>
      <c r="B18635">
        <v>4910338</v>
      </c>
      <c r="C18635" t="s">
        <v>135</v>
      </c>
      <c r="D18635" t="s">
        <v>136</v>
      </c>
      <c r="E18635" t="s">
        <v>2880</v>
      </c>
      <c r="F18635" t="s">
        <v>411</v>
      </c>
      <c r="H18635" t="s">
        <v>2898</v>
      </c>
      <c r="I18635" t="s">
        <v>2881</v>
      </c>
      <c r="J18635" t="s">
        <v>140</v>
      </c>
      <c r="K18635">
        <v>156159.56</v>
      </c>
      <c r="L18635">
        <v>383948.01</v>
      </c>
      <c r="M18635">
        <v>1</v>
      </c>
      <c r="N18635" t="s">
        <v>2882</v>
      </c>
      <c r="O18635" t="s">
        <v>448</v>
      </c>
      <c r="P18635" t="s">
        <v>2883</v>
      </c>
      <c r="Q18635" t="s">
        <v>144</v>
      </c>
      <c r="S18635">
        <v>5</v>
      </c>
      <c r="T18635">
        <v>220</v>
      </c>
      <c r="V18635" t="s">
        <v>146</v>
      </c>
      <c r="W18635" t="s">
        <v>184</v>
      </c>
      <c r="X18635" t="s">
        <v>7</v>
      </c>
      <c r="Y18635" t="s">
        <v>2884</v>
      </c>
      <c r="Z18635" t="s">
        <v>448</v>
      </c>
      <c r="AA18635" t="s">
        <v>456</v>
      </c>
      <c r="AB18635">
        <v>100</v>
      </c>
      <c r="AE18635" t="s">
        <v>2885</v>
      </c>
      <c r="AF18635" t="s">
        <v>448</v>
      </c>
      <c r="AG18635" t="s">
        <v>665</v>
      </c>
      <c r="AL18635" t="s">
        <v>2899</v>
      </c>
      <c r="AM18635" t="s">
        <v>2900</v>
      </c>
      <c r="AN18635" t="s">
        <v>2901</v>
      </c>
      <c r="AO18635" t="s">
        <v>2882</v>
      </c>
      <c r="AQ18635">
        <f>IF(ISBLANK(AP18635), IFERROR(IF(VLOOKUP(AO18635, Ellens_additions!$A$2:$B$252, 2, FALSE) = "", "", VLOOKUP(AO18635, Ellens_additions!$A$2:$B$252, 2, FALSE)), 0), AP18635)</f>
        <v>0</v>
      </c>
    </row>
    <row r="18636" spans="1:43" ht="14.4" hidden="1" x14ac:dyDescent="0.3">
      <c r="A18636" t="s">
        <v>2902</v>
      </c>
      <c r="B18636">
        <v>4910340</v>
      </c>
      <c r="C18636" t="s">
        <v>135</v>
      </c>
      <c r="D18636" t="s">
        <v>136</v>
      </c>
      <c r="E18636" t="s">
        <v>2880</v>
      </c>
      <c r="F18636" t="s">
        <v>411</v>
      </c>
      <c r="H18636" t="s">
        <v>340</v>
      </c>
      <c r="I18636" t="s">
        <v>2881</v>
      </c>
      <c r="J18636" t="s">
        <v>140</v>
      </c>
      <c r="K18636">
        <v>156162.29999999999</v>
      </c>
      <c r="L18636">
        <v>383950.92</v>
      </c>
      <c r="M18636">
        <v>1</v>
      </c>
      <c r="N18636" t="s">
        <v>2882</v>
      </c>
      <c r="O18636" t="s">
        <v>448</v>
      </c>
      <c r="P18636" t="s">
        <v>2883</v>
      </c>
      <c r="Q18636" t="s">
        <v>144</v>
      </c>
      <c r="S18636">
        <v>5</v>
      </c>
      <c r="T18636">
        <v>220</v>
      </c>
      <c r="V18636" t="s">
        <v>146</v>
      </c>
      <c r="W18636" t="s">
        <v>184</v>
      </c>
      <c r="X18636" t="s">
        <v>7</v>
      </c>
      <c r="Y18636" t="s">
        <v>2884</v>
      </c>
      <c r="Z18636" t="s">
        <v>448</v>
      </c>
      <c r="AA18636" t="s">
        <v>456</v>
      </c>
      <c r="AB18636">
        <v>100</v>
      </c>
      <c r="AE18636" t="s">
        <v>2885</v>
      </c>
      <c r="AF18636" t="s">
        <v>448</v>
      </c>
      <c r="AG18636" t="s">
        <v>665</v>
      </c>
      <c r="AL18636" t="s">
        <v>2903</v>
      </c>
      <c r="AM18636" t="s">
        <v>2904</v>
      </c>
      <c r="AN18636" t="s">
        <v>2905</v>
      </c>
      <c r="AO18636" t="s">
        <v>2882</v>
      </c>
      <c r="AQ18636">
        <f>IF(ISBLANK(AP18636), IFERROR(IF(VLOOKUP(AO18636, Ellens_additions!$A$2:$B$252, 2, FALSE) = "", "", VLOOKUP(AO18636, Ellens_additions!$A$2:$B$252, 2, FALSE)), 0), AP18636)</f>
        <v>0</v>
      </c>
    </row>
    <row r="18637" spans="1:43" ht="14.4" hidden="1" x14ac:dyDescent="0.3">
      <c r="A18637" t="s">
        <v>2906</v>
      </c>
      <c r="B18637">
        <v>4910341</v>
      </c>
      <c r="C18637" t="s">
        <v>135</v>
      </c>
      <c r="D18637" t="s">
        <v>136</v>
      </c>
      <c r="E18637" t="s">
        <v>2880</v>
      </c>
      <c r="F18637" t="s">
        <v>411</v>
      </c>
      <c r="H18637" t="s">
        <v>2907</v>
      </c>
      <c r="I18637" t="s">
        <v>2881</v>
      </c>
      <c r="J18637" t="s">
        <v>140</v>
      </c>
      <c r="K18637">
        <v>156161.75</v>
      </c>
      <c r="L18637">
        <v>383947.73</v>
      </c>
      <c r="M18637">
        <v>1</v>
      </c>
      <c r="N18637" t="s">
        <v>2882</v>
      </c>
      <c r="O18637" t="s">
        <v>448</v>
      </c>
      <c r="P18637" t="s">
        <v>2908</v>
      </c>
      <c r="Q18637" t="s">
        <v>144</v>
      </c>
      <c r="S18637">
        <v>5</v>
      </c>
      <c r="T18637">
        <v>220</v>
      </c>
      <c r="V18637" t="s">
        <v>146</v>
      </c>
      <c r="W18637" t="s">
        <v>1034</v>
      </c>
      <c r="X18637" t="s">
        <v>7</v>
      </c>
      <c r="Y18637" t="s">
        <v>2884</v>
      </c>
      <c r="Z18637" t="s">
        <v>448</v>
      </c>
      <c r="AA18637" t="s">
        <v>456</v>
      </c>
      <c r="AB18637">
        <v>100</v>
      </c>
      <c r="AE18637" t="s">
        <v>2885</v>
      </c>
      <c r="AF18637" t="s">
        <v>448</v>
      </c>
      <c r="AG18637" t="s">
        <v>665</v>
      </c>
      <c r="AL18637" t="s">
        <v>2909</v>
      </c>
      <c r="AM18637" t="s">
        <v>2910</v>
      </c>
      <c r="AN18637" t="s">
        <v>2911</v>
      </c>
      <c r="AO18637" t="s">
        <v>2882</v>
      </c>
      <c r="AQ18637">
        <f>IF(ISBLANK(AP18637), IFERROR(IF(VLOOKUP(AO18637, Ellens_additions!$A$2:$B$252, 2, FALSE) = "", "", VLOOKUP(AO18637, Ellens_additions!$A$2:$B$252, 2, FALSE)), 0), AP18637)</f>
        <v>0</v>
      </c>
    </row>
    <row r="18638" spans="1:43" ht="14.4" hidden="1" x14ac:dyDescent="0.3">
      <c r="A18638" t="s">
        <v>2912</v>
      </c>
      <c r="B18638">
        <v>4910342</v>
      </c>
      <c r="C18638" t="s">
        <v>135</v>
      </c>
      <c r="D18638" t="s">
        <v>136</v>
      </c>
      <c r="E18638" t="s">
        <v>2880</v>
      </c>
      <c r="F18638" t="s">
        <v>411</v>
      </c>
      <c r="H18638" t="s">
        <v>668</v>
      </c>
      <c r="I18638" t="s">
        <v>2881</v>
      </c>
      <c r="J18638" t="s">
        <v>140</v>
      </c>
      <c r="K18638">
        <v>156161.29</v>
      </c>
      <c r="L18638">
        <v>383944.55</v>
      </c>
      <c r="M18638">
        <v>1</v>
      </c>
      <c r="N18638" t="s">
        <v>2882</v>
      </c>
      <c r="O18638" t="s">
        <v>448</v>
      </c>
      <c r="P18638" t="s">
        <v>2883</v>
      </c>
      <c r="Q18638" t="s">
        <v>144</v>
      </c>
      <c r="S18638">
        <v>5</v>
      </c>
      <c r="T18638">
        <v>220</v>
      </c>
      <c r="V18638" t="s">
        <v>146</v>
      </c>
      <c r="W18638" t="s">
        <v>184</v>
      </c>
      <c r="X18638" t="s">
        <v>7</v>
      </c>
      <c r="Y18638" t="s">
        <v>2884</v>
      </c>
      <c r="Z18638" t="s">
        <v>448</v>
      </c>
      <c r="AA18638" t="s">
        <v>456</v>
      </c>
      <c r="AB18638">
        <v>100</v>
      </c>
      <c r="AE18638" t="s">
        <v>2885</v>
      </c>
      <c r="AF18638" t="s">
        <v>448</v>
      </c>
      <c r="AG18638" t="s">
        <v>665</v>
      </c>
      <c r="AL18638" t="s">
        <v>2913</v>
      </c>
      <c r="AM18638" t="s">
        <v>2914</v>
      </c>
      <c r="AN18638" t="s">
        <v>2915</v>
      </c>
      <c r="AO18638" t="s">
        <v>2882</v>
      </c>
      <c r="AQ18638">
        <f>IF(ISBLANK(AP18638), IFERROR(IF(VLOOKUP(AO18638, Ellens_additions!$A$2:$B$252, 2, FALSE) = "", "", VLOOKUP(AO18638, Ellens_additions!$A$2:$B$252, 2, FALSE)), 0), AP18638)</f>
        <v>0</v>
      </c>
    </row>
    <row r="18639" spans="1:43" ht="14.4" hidden="1" x14ac:dyDescent="0.3">
      <c r="A18639" t="s">
        <v>2916</v>
      </c>
      <c r="B18639">
        <v>4910345</v>
      </c>
      <c r="C18639" t="s">
        <v>135</v>
      </c>
      <c r="D18639" t="s">
        <v>136</v>
      </c>
      <c r="E18639" t="s">
        <v>2880</v>
      </c>
      <c r="F18639" t="s">
        <v>411</v>
      </c>
      <c r="H18639" t="s">
        <v>1788</v>
      </c>
      <c r="I18639" t="s">
        <v>2881</v>
      </c>
      <c r="J18639" t="s">
        <v>140</v>
      </c>
      <c r="K18639">
        <v>156164.07</v>
      </c>
      <c r="L18639">
        <v>383944.07</v>
      </c>
      <c r="M18639">
        <v>1</v>
      </c>
      <c r="N18639" t="s">
        <v>2882</v>
      </c>
      <c r="O18639" t="s">
        <v>448</v>
      </c>
      <c r="P18639" t="s">
        <v>2883</v>
      </c>
      <c r="Q18639" t="s">
        <v>144</v>
      </c>
      <c r="S18639">
        <v>5</v>
      </c>
      <c r="T18639">
        <v>220</v>
      </c>
      <c r="V18639" t="s">
        <v>146</v>
      </c>
      <c r="W18639" t="s">
        <v>184</v>
      </c>
      <c r="X18639" t="s">
        <v>7</v>
      </c>
      <c r="Y18639" t="s">
        <v>2884</v>
      </c>
      <c r="Z18639" t="s">
        <v>448</v>
      </c>
      <c r="AA18639" t="s">
        <v>456</v>
      </c>
      <c r="AB18639">
        <v>100</v>
      </c>
      <c r="AE18639" t="s">
        <v>2885</v>
      </c>
      <c r="AF18639" t="s">
        <v>448</v>
      </c>
      <c r="AG18639" t="s">
        <v>665</v>
      </c>
      <c r="AL18639" t="s">
        <v>2917</v>
      </c>
      <c r="AM18639" t="s">
        <v>2918</v>
      </c>
      <c r="AN18639" t="s">
        <v>2919</v>
      </c>
      <c r="AO18639" t="s">
        <v>2882</v>
      </c>
      <c r="AQ18639">
        <f>IF(ISBLANK(AP18639), IFERROR(IF(VLOOKUP(AO18639, Ellens_additions!$A$2:$B$252, 2, FALSE) = "", "", VLOOKUP(AO18639, Ellens_additions!$A$2:$B$252, 2, FALSE)), 0), AP18639)</f>
        <v>0</v>
      </c>
    </row>
    <row r="18640" spans="1:43" ht="14.4" hidden="1" x14ac:dyDescent="0.3">
      <c r="A18640" t="s">
        <v>2920</v>
      </c>
      <c r="B18640">
        <v>4910346</v>
      </c>
      <c r="C18640" t="s">
        <v>135</v>
      </c>
      <c r="D18640" t="s">
        <v>136</v>
      </c>
      <c r="E18640" t="s">
        <v>2880</v>
      </c>
      <c r="F18640" t="s">
        <v>411</v>
      </c>
      <c r="H18640" t="s">
        <v>1890</v>
      </c>
      <c r="I18640" t="s">
        <v>2881</v>
      </c>
      <c r="J18640" t="s">
        <v>140</v>
      </c>
      <c r="K18640">
        <v>156164.51999999999</v>
      </c>
      <c r="L18640">
        <v>383947.5</v>
      </c>
      <c r="M18640">
        <v>1</v>
      </c>
      <c r="N18640" t="s">
        <v>2882</v>
      </c>
      <c r="O18640" t="s">
        <v>448</v>
      </c>
      <c r="P18640" t="s">
        <v>2883</v>
      </c>
      <c r="Q18640" t="s">
        <v>144</v>
      </c>
      <c r="S18640">
        <v>5</v>
      </c>
      <c r="T18640">
        <v>220</v>
      </c>
      <c r="V18640" t="s">
        <v>146</v>
      </c>
      <c r="W18640" t="s">
        <v>184</v>
      </c>
      <c r="X18640" t="s">
        <v>7</v>
      </c>
      <c r="Y18640" t="s">
        <v>2884</v>
      </c>
      <c r="Z18640" t="s">
        <v>448</v>
      </c>
      <c r="AA18640" t="s">
        <v>456</v>
      </c>
      <c r="AB18640">
        <v>100</v>
      </c>
      <c r="AE18640" t="s">
        <v>2885</v>
      </c>
      <c r="AF18640" t="s">
        <v>448</v>
      </c>
      <c r="AG18640" t="s">
        <v>665</v>
      </c>
      <c r="AL18640" t="s">
        <v>2921</v>
      </c>
      <c r="AM18640" t="s">
        <v>2922</v>
      </c>
      <c r="AN18640" t="s">
        <v>2923</v>
      </c>
      <c r="AO18640" t="s">
        <v>2882</v>
      </c>
      <c r="AQ18640">
        <f>IF(ISBLANK(AP18640), IFERROR(IF(VLOOKUP(AO18640, Ellens_additions!$A$2:$B$252, 2, FALSE) = "", "", VLOOKUP(AO18640, Ellens_additions!$A$2:$B$252, 2, FALSE)), 0), AP18640)</f>
        <v>0</v>
      </c>
    </row>
    <row r="18641" spans="1:43" ht="14.4" hidden="1" x14ac:dyDescent="0.3">
      <c r="A18641" t="s">
        <v>2924</v>
      </c>
      <c r="B18641">
        <v>4910347</v>
      </c>
      <c r="C18641" t="s">
        <v>135</v>
      </c>
      <c r="D18641" t="s">
        <v>136</v>
      </c>
      <c r="E18641" t="s">
        <v>2880</v>
      </c>
      <c r="F18641" t="s">
        <v>411</v>
      </c>
      <c r="H18641" t="s">
        <v>1789</v>
      </c>
      <c r="I18641" t="s">
        <v>2881</v>
      </c>
      <c r="J18641" t="s">
        <v>140</v>
      </c>
      <c r="K18641">
        <v>156165.09</v>
      </c>
      <c r="L18641">
        <v>383950.69</v>
      </c>
      <c r="M18641">
        <v>1</v>
      </c>
      <c r="N18641" t="s">
        <v>2882</v>
      </c>
      <c r="O18641" t="s">
        <v>448</v>
      </c>
      <c r="P18641" t="s">
        <v>2883</v>
      </c>
      <c r="Q18641" t="s">
        <v>144</v>
      </c>
      <c r="S18641">
        <v>5</v>
      </c>
      <c r="T18641">
        <v>220</v>
      </c>
      <c r="V18641" t="s">
        <v>146</v>
      </c>
      <c r="W18641" t="s">
        <v>184</v>
      </c>
      <c r="X18641" t="s">
        <v>7</v>
      </c>
      <c r="Y18641" t="s">
        <v>2884</v>
      </c>
      <c r="Z18641" t="s">
        <v>448</v>
      </c>
      <c r="AA18641" t="s">
        <v>456</v>
      </c>
      <c r="AB18641">
        <v>100</v>
      </c>
      <c r="AE18641" t="s">
        <v>2885</v>
      </c>
      <c r="AF18641" t="s">
        <v>448</v>
      </c>
      <c r="AG18641" t="s">
        <v>665</v>
      </c>
      <c r="AL18641" t="s">
        <v>2925</v>
      </c>
      <c r="AM18641" t="s">
        <v>2926</v>
      </c>
      <c r="AN18641" t="s">
        <v>2927</v>
      </c>
      <c r="AO18641" t="s">
        <v>2882</v>
      </c>
      <c r="AQ18641">
        <f>IF(ISBLANK(AP18641), IFERROR(IF(VLOOKUP(AO18641, Ellens_additions!$A$2:$B$252, 2, FALSE) = "", "", VLOOKUP(AO18641, Ellens_additions!$A$2:$B$252, 2, FALSE)), 0), AP18641)</f>
        <v>0</v>
      </c>
    </row>
    <row r="18642" spans="1:43" ht="14.4" x14ac:dyDescent="0.3"/>
    <row r="18643" spans="1:43" ht="14.4" x14ac:dyDescent="0.3"/>
    <row r="18644" spans="1:43" ht="14.4" hidden="1" x14ac:dyDescent="0.3">
      <c r="A18644" t="s">
        <v>2928</v>
      </c>
      <c r="B18644">
        <v>4910359</v>
      </c>
      <c r="C18644" t="s">
        <v>135</v>
      </c>
      <c r="D18644" t="s">
        <v>136</v>
      </c>
      <c r="E18644" t="s">
        <v>2880</v>
      </c>
      <c r="F18644" t="s">
        <v>411</v>
      </c>
      <c r="H18644" t="s">
        <v>1257</v>
      </c>
      <c r="I18644" t="s">
        <v>2929</v>
      </c>
      <c r="J18644" t="s">
        <v>140</v>
      </c>
      <c r="K18644">
        <v>155754.93</v>
      </c>
      <c r="L18644">
        <v>383688.31</v>
      </c>
      <c r="M18644">
        <v>1</v>
      </c>
      <c r="N18644" t="s">
        <v>2882</v>
      </c>
      <c r="O18644" t="s">
        <v>448</v>
      </c>
      <c r="P18644" t="s">
        <v>2883</v>
      </c>
      <c r="Q18644" t="s">
        <v>144</v>
      </c>
      <c r="S18644">
        <v>5</v>
      </c>
      <c r="T18644">
        <v>220</v>
      </c>
      <c r="V18644" t="s">
        <v>146</v>
      </c>
      <c r="W18644" t="s">
        <v>184</v>
      </c>
      <c r="X18644" t="s">
        <v>7</v>
      </c>
      <c r="Y18644" t="s">
        <v>2884</v>
      </c>
      <c r="Z18644" t="s">
        <v>448</v>
      </c>
      <c r="AA18644" t="s">
        <v>456</v>
      </c>
      <c r="AB18644">
        <v>100</v>
      </c>
      <c r="AE18644" t="s">
        <v>2885</v>
      </c>
      <c r="AF18644" t="s">
        <v>448</v>
      </c>
      <c r="AG18644" t="s">
        <v>665</v>
      </c>
      <c r="AL18644" t="s">
        <v>2930</v>
      </c>
      <c r="AM18644" t="s">
        <v>2931</v>
      </c>
      <c r="AN18644" t="s">
        <v>2932</v>
      </c>
      <c r="AO18644" t="s">
        <v>2882</v>
      </c>
      <c r="AQ18644">
        <f>IF(ISBLANK(AP18644), IFERROR(IF(VLOOKUP(AO18644, Ellens_additions!$A$2:$B$252, 2, FALSE) = "", "", VLOOKUP(AO18644, Ellens_additions!$A$2:$B$252, 2, FALSE)), 0), AP18644)</f>
        <v>0</v>
      </c>
    </row>
    <row r="18645" spans="1:43" ht="14.4" hidden="1" x14ac:dyDescent="0.3">
      <c r="A18645" t="s">
        <v>2933</v>
      </c>
      <c r="B18645">
        <v>4910360</v>
      </c>
      <c r="C18645" t="s">
        <v>135</v>
      </c>
      <c r="D18645" t="s">
        <v>136</v>
      </c>
      <c r="E18645" t="s">
        <v>2880</v>
      </c>
      <c r="F18645" t="s">
        <v>411</v>
      </c>
      <c r="H18645" t="s">
        <v>1258</v>
      </c>
      <c r="I18645" t="s">
        <v>2929</v>
      </c>
      <c r="J18645" t="s">
        <v>140</v>
      </c>
      <c r="K18645">
        <v>155755.60999999999</v>
      </c>
      <c r="L18645">
        <v>383692.74</v>
      </c>
      <c r="M18645">
        <v>1</v>
      </c>
      <c r="N18645" t="s">
        <v>2882</v>
      </c>
      <c r="O18645" t="s">
        <v>448</v>
      </c>
      <c r="P18645" t="s">
        <v>2883</v>
      </c>
      <c r="Q18645" t="s">
        <v>144</v>
      </c>
      <c r="S18645">
        <v>5</v>
      </c>
      <c r="T18645">
        <v>220</v>
      </c>
      <c r="V18645" t="s">
        <v>146</v>
      </c>
      <c r="W18645" t="s">
        <v>184</v>
      </c>
      <c r="X18645" t="s">
        <v>7</v>
      </c>
      <c r="Y18645" t="s">
        <v>2884</v>
      </c>
      <c r="Z18645" t="s">
        <v>448</v>
      </c>
      <c r="AA18645" t="s">
        <v>456</v>
      </c>
      <c r="AB18645">
        <v>100</v>
      </c>
      <c r="AE18645" t="s">
        <v>2885</v>
      </c>
      <c r="AF18645" t="s">
        <v>448</v>
      </c>
      <c r="AG18645" t="s">
        <v>665</v>
      </c>
      <c r="AL18645" t="s">
        <v>2934</v>
      </c>
      <c r="AM18645" t="s">
        <v>2935</v>
      </c>
      <c r="AN18645" t="s">
        <v>2936</v>
      </c>
      <c r="AO18645" t="s">
        <v>2882</v>
      </c>
      <c r="AQ18645">
        <f>IF(ISBLANK(AP18645), IFERROR(IF(VLOOKUP(AO18645, Ellens_additions!$A$2:$B$252, 2, FALSE) = "", "", VLOOKUP(AO18645, Ellens_additions!$A$2:$B$252, 2, FALSE)), 0), AP18645)</f>
        <v>0</v>
      </c>
    </row>
    <row r="18646" spans="1:43" ht="14.4" hidden="1" x14ac:dyDescent="0.3">
      <c r="A18646" t="s">
        <v>2937</v>
      </c>
      <c r="B18646">
        <v>4910363</v>
      </c>
      <c r="C18646" t="s">
        <v>135</v>
      </c>
      <c r="D18646" t="s">
        <v>136</v>
      </c>
      <c r="E18646" t="s">
        <v>2880</v>
      </c>
      <c r="F18646" t="s">
        <v>411</v>
      </c>
      <c r="H18646" t="s">
        <v>1805</v>
      </c>
      <c r="I18646" t="s">
        <v>2938</v>
      </c>
      <c r="J18646" t="s">
        <v>140</v>
      </c>
      <c r="K18646">
        <v>156299.07999999999</v>
      </c>
      <c r="L18646">
        <v>383417.96</v>
      </c>
      <c r="M18646">
        <v>1</v>
      </c>
      <c r="N18646" t="s">
        <v>2882</v>
      </c>
      <c r="O18646" t="s">
        <v>448</v>
      </c>
      <c r="P18646" t="s">
        <v>2883</v>
      </c>
      <c r="Q18646" t="s">
        <v>144</v>
      </c>
      <c r="S18646">
        <v>5</v>
      </c>
      <c r="T18646">
        <v>220</v>
      </c>
      <c r="V18646" t="s">
        <v>146</v>
      </c>
      <c r="W18646" t="s">
        <v>184</v>
      </c>
      <c r="X18646" t="s">
        <v>7</v>
      </c>
      <c r="Y18646" t="s">
        <v>2884</v>
      </c>
      <c r="Z18646" t="s">
        <v>448</v>
      </c>
      <c r="AA18646" t="s">
        <v>456</v>
      </c>
      <c r="AB18646">
        <v>100</v>
      </c>
      <c r="AE18646" t="s">
        <v>2885</v>
      </c>
      <c r="AF18646" t="s">
        <v>448</v>
      </c>
      <c r="AG18646" t="s">
        <v>665</v>
      </c>
      <c r="AL18646" t="s">
        <v>2939</v>
      </c>
      <c r="AM18646" t="s">
        <v>2940</v>
      </c>
      <c r="AN18646" t="s">
        <v>2941</v>
      </c>
      <c r="AO18646" t="s">
        <v>2882</v>
      </c>
      <c r="AQ18646">
        <f>IF(ISBLANK(AP18646), IFERROR(IF(VLOOKUP(AO18646, Ellens_additions!$A$2:$B$252, 2, FALSE) = "", "", VLOOKUP(AO18646, Ellens_additions!$A$2:$B$252, 2, FALSE)), 0), AP18646)</f>
        <v>0</v>
      </c>
    </row>
    <row r="18647" spans="1:43" ht="14.4" hidden="1" x14ac:dyDescent="0.3">
      <c r="A18647" t="s">
        <v>2942</v>
      </c>
      <c r="B18647">
        <v>4910364</v>
      </c>
      <c r="C18647" t="s">
        <v>135</v>
      </c>
      <c r="D18647" t="s">
        <v>136</v>
      </c>
      <c r="E18647" t="s">
        <v>2880</v>
      </c>
      <c r="F18647" t="s">
        <v>411</v>
      </c>
      <c r="H18647" t="s">
        <v>1262</v>
      </c>
      <c r="I18647" t="s">
        <v>2938</v>
      </c>
      <c r="J18647" t="s">
        <v>140</v>
      </c>
      <c r="K18647">
        <v>156295.69</v>
      </c>
      <c r="L18647">
        <v>383416.86</v>
      </c>
      <c r="M18647">
        <v>1</v>
      </c>
      <c r="N18647" t="s">
        <v>2882</v>
      </c>
      <c r="O18647" t="s">
        <v>448</v>
      </c>
      <c r="P18647" t="s">
        <v>2883</v>
      </c>
      <c r="Q18647" t="s">
        <v>144</v>
      </c>
      <c r="S18647">
        <v>5</v>
      </c>
      <c r="T18647">
        <v>220</v>
      </c>
      <c r="V18647" t="s">
        <v>146</v>
      </c>
      <c r="W18647" t="s">
        <v>184</v>
      </c>
      <c r="X18647" t="s">
        <v>7</v>
      </c>
      <c r="Y18647" t="s">
        <v>2884</v>
      </c>
      <c r="Z18647" t="s">
        <v>448</v>
      </c>
      <c r="AA18647" t="s">
        <v>456</v>
      </c>
      <c r="AB18647">
        <v>100</v>
      </c>
      <c r="AE18647" t="s">
        <v>2885</v>
      </c>
      <c r="AF18647" t="s">
        <v>448</v>
      </c>
      <c r="AG18647" t="s">
        <v>665</v>
      </c>
      <c r="AL18647" t="s">
        <v>2943</v>
      </c>
      <c r="AM18647" t="s">
        <v>2944</v>
      </c>
      <c r="AN18647" t="s">
        <v>2945</v>
      </c>
      <c r="AO18647" t="s">
        <v>2882</v>
      </c>
      <c r="AQ18647">
        <f>IF(ISBLANK(AP18647), IFERROR(IF(VLOOKUP(AO18647, Ellens_additions!$A$2:$B$252, 2, FALSE) = "", "", VLOOKUP(AO18647, Ellens_additions!$A$2:$B$252, 2, FALSE)), 0), AP18647)</f>
        <v>0</v>
      </c>
    </row>
    <row r="18648" spans="1:43" ht="14.4" hidden="1" x14ac:dyDescent="0.3">
      <c r="A18648" t="s">
        <v>2946</v>
      </c>
      <c r="B18648">
        <v>4910369</v>
      </c>
      <c r="C18648" t="s">
        <v>135</v>
      </c>
      <c r="D18648" t="s">
        <v>136</v>
      </c>
      <c r="E18648" t="s">
        <v>2880</v>
      </c>
      <c r="F18648" t="s">
        <v>411</v>
      </c>
      <c r="H18648" t="s">
        <v>1263</v>
      </c>
      <c r="I18648" t="s">
        <v>2938</v>
      </c>
      <c r="J18648" t="s">
        <v>140</v>
      </c>
      <c r="K18648">
        <v>156293.47</v>
      </c>
      <c r="L18648">
        <v>383416.86</v>
      </c>
      <c r="M18648">
        <v>1</v>
      </c>
      <c r="N18648" t="s">
        <v>2882</v>
      </c>
      <c r="O18648" t="s">
        <v>448</v>
      </c>
      <c r="P18648" t="s">
        <v>2883</v>
      </c>
      <c r="Q18648" t="s">
        <v>144</v>
      </c>
      <c r="S18648">
        <v>5</v>
      </c>
      <c r="T18648">
        <v>220</v>
      </c>
      <c r="V18648" t="s">
        <v>146</v>
      </c>
      <c r="W18648" t="s">
        <v>184</v>
      </c>
      <c r="X18648" t="s">
        <v>7</v>
      </c>
      <c r="Y18648" t="s">
        <v>2884</v>
      </c>
      <c r="Z18648" t="s">
        <v>448</v>
      </c>
      <c r="AA18648" t="s">
        <v>456</v>
      </c>
      <c r="AB18648">
        <v>100</v>
      </c>
      <c r="AE18648" t="s">
        <v>2885</v>
      </c>
      <c r="AF18648" t="s">
        <v>448</v>
      </c>
      <c r="AG18648" t="s">
        <v>665</v>
      </c>
      <c r="AL18648" t="s">
        <v>2947</v>
      </c>
      <c r="AM18648" t="s">
        <v>2948</v>
      </c>
      <c r="AN18648" t="s">
        <v>2949</v>
      </c>
      <c r="AO18648" t="s">
        <v>2882</v>
      </c>
      <c r="AQ18648">
        <f>IF(ISBLANK(AP18648), IFERROR(IF(VLOOKUP(AO18648, Ellens_additions!$A$2:$B$252, 2, FALSE) = "", "", VLOOKUP(AO18648, Ellens_additions!$A$2:$B$252, 2, FALSE)), 0), AP18648)</f>
        <v>0</v>
      </c>
    </row>
    <row r="18649" spans="1:43" ht="14.4" hidden="1" x14ac:dyDescent="0.3">
      <c r="A18649" t="s">
        <v>2950</v>
      </c>
      <c r="B18649">
        <v>4910370</v>
      </c>
      <c r="C18649" t="s">
        <v>135</v>
      </c>
      <c r="D18649" t="s">
        <v>136</v>
      </c>
      <c r="E18649" t="s">
        <v>2880</v>
      </c>
      <c r="F18649" t="s">
        <v>411</v>
      </c>
      <c r="H18649" t="s">
        <v>2951</v>
      </c>
      <c r="I18649" t="s">
        <v>2938</v>
      </c>
      <c r="J18649" t="s">
        <v>140</v>
      </c>
      <c r="K18649">
        <v>156289.24</v>
      </c>
      <c r="L18649">
        <v>383416.12</v>
      </c>
      <c r="M18649">
        <v>1</v>
      </c>
      <c r="N18649" t="s">
        <v>2882</v>
      </c>
      <c r="O18649" t="s">
        <v>448</v>
      </c>
      <c r="P18649" t="s">
        <v>2883</v>
      </c>
      <c r="Q18649" t="s">
        <v>144</v>
      </c>
      <c r="S18649">
        <v>5</v>
      </c>
      <c r="T18649">
        <v>220</v>
      </c>
      <c r="V18649" t="s">
        <v>146</v>
      </c>
      <c r="W18649" t="s">
        <v>184</v>
      </c>
      <c r="X18649" t="s">
        <v>7</v>
      </c>
      <c r="Y18649" t="s">
        <v>2884</v>
      </c>
      <c r="Z18649" t="s">
        <v>448</v>
      </c>
      <c r="AA18649" t="s">
        <v>456</v>
      </c>
      <c r="AB18649">
        <v>100</v>
      </c>
      <c r="AE18649" t="s">
        <v>2885</v>
      </c>
      <c r="AF18649" t="s">
        <v>448</v>
      </c>
      <c r="AG18649" t="s">
        <v>665</v>
      </c>
      <c r="AL18649" t="s">
        <v>2952</v>
      </c>
      <c r="AM18649" t="s">
        <v>2953</v>
      </c>
      <c r="AN18649" t="s">
        <v>2954</v>
      </c>
      <c r="AO18649" t="s">
        <v>2882</v>
      </c>
      <c r="AQ18649">
        <f>IF(ISBLANK(AP18649), IFERROR(IF(VLOOKUP(AO18649, Ellens_additions!$A$2:$B$252, 2, FALSE) = "", "", VLOOKUP(AO18649, Ellens_additions!$A$2:$B$252, 2, FALSE)), 0), AP18649)</f>
        <v>0</v>
      </c>
    </row>
    <row r="18650" spans="1:43" ht="14.4" hidden="1" x14ac:dyDescent="0.3">
      <c r="A18650" t="s">
        <v>2955</v>
      </c>
      <c r="B18650">
        <v>4910371</v>
      </c>
      <c r="C18650" t="s">
        <v>135</v>
      </c>
      <c r="D18650" t="s">
        <v>136</v>
      </c>
      <c r="E18650" t="s">
        <v>2880</v>
      </c>
      <c r="F18650" t="s">
        <v>411</v>
      </c>
      <c r="H18650" t="s">
        <v>1264</v>
      </c>
      <c r="I18650" t="s">
        <v>2938</v>
      </c>
      <c r="J18650" t="s">
        <v>140</v>
      </c>
      <c r="K18650">
        <v>156292.34</v>
      </c>
      <c r="L18650">
        <v>383412.14</v>
      </c>
      <c r="M18650">
        <v>1</v>
      </c>
      <c r="N18650" t="s">
        <v>2882</v>
      </c>
      <c r="O18650" t="s">
        <v>448</v>
      </c>
      <c r="P18650" t="s">
        <v>2883</v>
      </c>
      <c r="Q18650" t="s">
        <v>144</v>
      </c>
      <c r="S18650">
        <v>5</v>
      </c>
      <c r="T18650">
        <v>220</v>
      </c>
      <c r="V18650" t="s">
        <v>146</v>
      </c>
      <c r="W18650" t="s">
        <v>184</v>
      </c>
      <c r="X18650" t="s">
        <v>7</v>
      </c>
      <c r="Y18650" t="s">
        <v>2884</v>
      </c>
      <c r="Z18650" t="s">
        <v>448</v>
      </c>
      <c r="AA18650" t="s">
        <v>456</v>
      </c>
      <c r="AB18650">
        <v>100</v>
      </c>
      <c r="AE18650" t="s">
        <v>2885</v>
      </c>
      <c r="AF18650" t="s">
        <v>448</v>
      </c>
      <c r="AG18650" t="s">
        <v>665</v>
      </c>
      <c r="AL18650" t="s">
        <v>2956</v>
      </c>
      <c r="AM18650" t="s">
        <v>2957</v>
      </c>
      <c r="AN18650" t="s">
        <v>2958</v>
      </c>
      <c r="AO18650" t="s">
        <v>2882</v>
      </c>
      <c r="AQ18650">
        <f>IF(ISBLANK(AP18650), IFERROR(IF(VLOOKUP(AO18650, Ellens_additions!$A$2:$B$252, 2, FALSE) = "", "", VLOOKUP(AO18650, Ellens_additions!$A$2:$B$252, 2, FALSE)), 0), AP18650)</f>
        <v>0</v>
      </c>
    </row>
    <row r="18651" spans="1:43" ht="14.4" hidden="1" x14ac:dyDescent="0.3">
      <c r="A18651" t="s">
        <v>2959</v>
      </c>
      <c r="B18651">
        <v>4910372</v>
      </c>
      <c r="C18651" t="s">
        <v>135</v>
      </c>
      <c r="D18651" t="s">
        <v>136</v>
      </c>
      <c r="E18651" t="s">
        <v>2880</v>
      </c>
      <c r="F18651" t="s">
        <v>411</v>
      </c>
      <c r="H18651" t="s">
        <v>1532</v>
      </c>
      <c r="I18651" t="s">
        <v>2938</v>
      </c>
      <c r="J18651" t="s">
        <v>140</v>
      </c>
      <c r="K18651">
        <v>156294.75</v>
      </c>
      <c r="L18651">
        <v>383409.07</v>
      </c>
      <c r="M18651">
        <v>1</v>
      </c>
      <c r="N18651" t="s">
        <v>2882</v>
      </c>
      <c r="O18651" t="s">
        <v>448</v>
      </c>
      <c r="P18651" t="s">
        <v>2883</v>
      </c>
      <c r="Q18651" t="s">
        <v>144</v>
      </c>
      <c r="S18651">
        <v>5</v>
      </c>
      <c r="T18651">
        <v>220</v>
      </c>
      <c r="V18651" t="s">
        <v>146</v>
      </c>
      <c r="W18651" t="s">
        <v>184</v>
      </c>
      <c r="X18651" t="s">
        <v>7</v>
      </c>
      <c r="Y18651" t="s">
        <v>2884</v>
      </c>
      <c r="Z18651" t="s">
        <v>448</v>
      </c>
      <c r="AA18651" t="s">
        <v>456</v>
      </c>
      <c r="AB18651">
        <v>100</v>
      </c>
      <c r="AE18651" t="s">
        <v>2885</v>
      </c>
      <c r="AF18651" t="s">
        <v>448</v>
      </c>
      <c r="AG18651" t="s">
        <v>665</v>
      </c>
      <c r="AL18651" t="s">
        <v>2960</v>
      </c>
      <c r="AM18651" t="s">
        <v>2961</v>
      </c>
      <c r="AN18651" t="s">
        <v>2962</v>
      </c>
      <c r="AO18651" t="s">
        <v>2882</v>
      </c>
      <c r="AQ18651">
        <f>IF(ISBLANK(AP18651), IFERROR(IF(VLOOKUP(AO18651, Ellens_additions!$A$2:$B$252, 2, FALSE) = "", "", VLOOKUP(AO18651, Ellens_additions!$A$2:$B$252, 2, FALSE)), 0), AP18651)</f>
        <v>0</v>
      </c>
    </row>
    <row r="18652" spans="1:43" ht="14.4" hidden="1" x14ac:dyDescent="0.3">
      <c r="A18652" t="s">
        <v>2963</v>
      </c>
      <c r="B18652">
        <v>4910375</v>
      </c>
      <c r="C18652" t="s">
        <v>135</v>
      </c>
      <c r="D18652" t="s">
        <v>136</v>
      </c>
      <c r="E18652" t="s">
        <v>2880</v>
      </c>
      <c r="F18652" t="s">
        <v>411</v>
      </c>
      <c r="H18652" t="s">
        <v>1791</v>
      </c>
      <c r="I18652" t="s">
        <v>2964</v>
      </c>
      <c r="J18652" t="s">
        <v>140</v>
      </c>
      <c r="K18652">
        <v>156121.92000000001</v>
      </c>
      <c r="L18652">
        <v>383374.16</v>
      </c>
      <c r="M18652">
        <v>1</v>
      </c>
      <c r="N18652" t="s">
        <v>2882</v>
      </c>
      <c r="O18652" t="s">
        <v>448</v>
      </c>
      <c r="P18652" t="s">
        <v>2883</v>
      </c>
      <c r="Q18652" t="s">
        <v>144</v>
      </c>
      <c r="S18652">
        <v>5</v>
      </c>
      <c r="T18652">
        <v>220</v>
      </c>
      <c r="V18652" t="s">
        <v>146</v>
      </c>
      <c r="W18652" t="s">
        <v>184</v>
      </c>
      <c r="X18652" t="s">
        <v>7</v>
      </c>
      <c r="Y18652" t="s">
        <v>2884</v>
      </c>
      <c r="Z18652" t="s">
        <v>448</v>
      </c>
      <c r="AA18652" t="s">
        <v>456</v>
      </c>
      <c r="AB18652">
        <v>100</v>
      </c>
      <c r="AE18652" t="s">
        <v>2885</v>
      </c>
      <c r="AF18652" t="s">
        <v>448</v>
      </c>
      <c r="AG18652" t="s">
        <v>665</v>
      </c>
      <c r="AL18652" t="s">
        <v>2965</v>
      </c>
      <c r="AM18652" t="s">
        <v>2966</v>
      </c>
      <c r="AN18652" t="s">
        <v>2967</v>
      </c>
      <c r="AO18652" t="s">
        <v>2882</v>
      </c>
      <c r="AQ18652">
        <f>IF(ISBLANK(AP18652), IFERROR(IF(VLOOKUP(AO18652, Ellens_additions!$A$2:$B$252, 2, FALSE) = "", "", VLOOKUP(AO18652, Ellens_additions!$A$2:$B$252, 2, FALSE)), 0), AP18652)</f>
        <v>0</v>
      </c>
    </row>
    <row r="18653" spans="1:43" ht="14.4" hidden="1" x14ac:dyDescent="0.3">
      <c r="A18653" t="s">
        <v>2968</v>
      </c>
      <c r="B18653">
        <v>4910376</v>
      </c>
      <c r="C18653" t="s">
        <v>135</v>
      </c>
      <c r="D18653" t="s">
        <v>136</v>
      </c>
      <c r="E18653" t="s">
        <v>2880</v>
      </c>
      <c r="F18653" t="s">
        <v>411</v>
      </c>
      <c r="H18653" t="s">
        <v>2969</v>
      </c>
      <c r="I18653" t="s">
        <v>2964</v>
      </c>
      <c r="J18653" t="s">
        <v>140</v>
      </c>
      <c r="K18653">
        <v>156115.22</v>
      </c>
      <c r="L18653">
        <v>383368.08</v>
      </c>
      <c r="M18653">
        <v>1</v>
      </c>
      <c r="N18653" t="s">
        <v>2882</v>
      </c>
      <c r="O18653" t="s">
        <v>448</v>
      </c>
      <c r="P18653" t="s">
        <v>2883</v>
      </c>
      <c r="Q18653" t="s">
        <v>144</v>
      </c>
      <c r="S18653">
        <v>5</v>
      </c>
      <c r="T18653">
        <v>220</v>
      </c>
      <c r="V18653" t="s">
        <v>146</v>
      </c>
      <c r="W18653" t="s">
        <v>184</v>
      </c>
      <c r="X18653" t="s">
        <v>7</v>
      </c>
      <c r="Y18653" t="s">
        <v>2884</v>
      </c>
      <c r="Z18653" t="s">
        <v>448</v>
      </c>
      <c r="AA18653" t="s">
        <v>456</v>
      </c>
      <c r="AB18653">
        <v>100</v>
      </c>
      <c r="AE18653" t="s">
        <v>2885</v>
      </c>
      <c r="AF18653" t="s">
        <v>448</v>
      </c>
      <c r="AG18653" t="s">
        <v>665</v>
      </c>
      <c r="AL18653" t="s">
        <v>2970</v>
      </c>
      <c r="AM18653" t="s">
        <v>2971</v>
      </c>
      <c r="AN18653" t="s">
        <v>2972</v>
      </c>
      <c r="AO18653" t="s">
        <v>2882</v>
      </c>
      <c r="AQ18653">
        <f>IF(ISBLANK(AP18653), IFERROR(IF(VLOOKUP(AO18653, Ellens_additions!$A$2:$B$252, 2, FALSE) = "", "", VLOOKUP(AO18653, Ellens_additions!$A$2:$B$252, 2, FALSE)), 0), AP18653)</f>
        <v>0</v>
      </c>
    </row>
    <row r="18654" spans="1:43" ht="14.4" x14ac:dyDescent="0.3"/>
    <row r="18655" spans="1:43" ht="14.4" x14ac:dyDescent="0.3"/>
    <row r="18656" spans="1:43" ht="14.4" x14ac:dyDescent="0.3"/>
    <row r="18657" ht="14.4" x14ac:dyDescent="0.3"/>
    <row r="18658" ht="14.4" x14ac:dyDescent="0.3"/>
    <row r="18659" ht="14.4" x14ac:dyDescent="0.3"/>
    <row r="18660" ht="14.4" x14ac:dyDescent="0.3"/>
    <row r="18661" ht="14.4" x14ac:dyDescent="0.3"/>
    <row r="18662" ht="14.4" x14ac:dyDescent="0.3"/>
    <row r="18663" ht="14.4" x14ac:dyDescent="0.3"/>
    <row r="18664" ht="14.4" x14ac:dyDescent="0.3"/>
    <row r="18665" ht="14.4" x14ac:dyDescent="0.3"/>
    <row r="18666" ht="14.4" x14ac:dyDescent="0.3"/>
    <row r="18667" ht="14.4" x14ac:dyDescent="0.3"/>
    <row r="18668" ht="14.4" x14ac:dyDescent="0.3"/>
    <row r="18669" ht="14.4" x14ac:dyDescent="0.3"/>
    <row r="18670" ht="14.4" x14ac:dyDescent="0.3"/>
    <row r="18671" ht="14.4" x14ac:dyDescent="0.3"/>
    <row r="18672" ht="14.4" x14ac:dyDescent="0.3"/>
    <row r="18673" ht="14.4" x14ac:dyDescent="0.3"/>
    <row r="18674" ht="14.4" x14ac:dyDescent="0.3"/>
    <row r="18675" ht="14.4" x14ac:dyDescent="0.3"/>
    <row r="18676" ht="14.4" x14ac:dyDescent="0.3"/>
    <row r="18677" ht="14.4" x14ac:dyDescent="0.3"/>
    <row r="18678" ht="14.4" x14ac:dyDescent="0.3"/>
    <row r="18679" ht="14.4" x14ac:dyDescent="0.3"/>
    <row r="18680" ht="14.4" x14ac:dyDescent="0.3"/>
    <row r="18681" ht="14.4" x14ac:dyDescent="0.3"/>
    <row r="18682" ht="14.4" x14ac:dyDescent="0.3"/>
    <row r="18683" ht="14.4" x14ac:dyDescent="0.3"/>
    <row r="18684" ht="14.4" x14ac:dyDescent="0.3"/>
    <row r="18685" ht="14.4" x14ac:dyDescent="0.3"/>
    <row r="18686" ht="14.4" x14ac:dyDescent="0.3"/>
    <row r="18687" ht="14.4" x14ac:dyDescent="0.3"/>
    <row r="18688" ht="14.4" x14ac:dyDescent="0.3"/>
    <row r="18689" ht="14.4" x14ac:dyDescent="0.3"/>
    <row r="18690" ht="14.4" x14ac:dyDescent="0.3"/>
    <row r="18691" ht="14.4" x14ac:dyDescent="0.3"/>
    <row r="18692" ht="14.4" x14ac:dyDescent="0.3"/>
    <row r="18693" ht="14.4" x14ac:dyDescent="0.3"/>
    <row r="18694" ht="14.4" x14ac:dyDescent="0.3"/>
    <row r="18695" ht="14.4" x14ac:dyDescent="0.3"/>
    <row r="18696" ht="14.4" x14ac:dyDescent="0.3"/>
    <row r="18697" ht="14.4" x14ac:dyDescent="0.3"/>
    <row r="18698" ht="14.4" x14ac:dyDescent="0.3"/>
    <row r="18699" ht="14.4" x14ac:dyDescent="0.3"/>
    <row r="18700" ht="14.4" x14ac:dyDescent="0.3"/>
    <row r="18701" ht="14.4" x14ac:dyDescent="0.3"/>
    <row r="18702" ht="14.4" x14ac:dyDescent="0.3"/>
    <row r="18703" ht="14.4" x14ac:dyDescent="0.3"/>
    <row r="18704" ht="14.4" x14ac:dyDescent="0.3"/>
    <row r="18705" ht="14.4" x14ac:dyDescent="0.3"/>
    <row r="18706" ht="14.4" x14ac:dyDescent="0.3"/>
    <row r="18707" ht="14.4" x14ac:dyDescent="0.3"/>
    <row r="18708" ht="14.4" x14ac:dyDescent="0.3"/>
    <row r="18709" ht="14.4" x14ac:dyDescent="0.3"/>
    <row r="18710" ht="14.4" x14ac:dyDescent="0.3"/>
    <row r="18711" ht="14.4" x14ac:dyDescent="0.3"/>
    <row r="18712" ht="14.4" x14ac:dyDescent="0.3"/>
    <row r="18713" ht="14.4" x14ac:dyDescent="0.3"/>
    <row r="18714" ht="14.4" x14ac:dyDescent="0.3"/>
    <row r="18715" ht="14.4" x14ac:dyDescent="0.3"/>
    <row r="18716" ht="14.4" x14ac:dyDescent="0.3"/>
    <row r="18717" ht="14.4" x14ac:dyDescent="0.3"/>
    <row r="18718" ht="14.4" x14ac:dyDescent="0.3"/>
    <row r="18719" ht="14.4" x14ac:dyDescent="0.3"/>
    <row r="18720" ht="14.4" x14ac:dyDescent="0.3"/>
    <row r="18721" ht="14.4" x14ac:dyDescent="0.3"/>
    <row r="18722" ht="14.4" x14ac:dyDescent="0.3"/>
    <row r="18723" ht="14.4" x14ac:dyDescent="0.3"/>
    <row r="18724" ht="14.4" x14ac:dyDescent="0.3"/>
    <row r="18725" ht="14.4" x14ac:dyDescent="0.3"/>
    <row r="18726" ht="14.4" x14ac:dyDescent="0.3"/>
    <row r="18727" ht="14.4" x14ac:dyDescent="0.3"/>
    <row r="18728" ht="14.4" x14ac:dyDescent="0.3"/>
    <row r="18729" ht="14.4" x14ac:dyDescent="0.3"/>
    <row r="18730" ht="14.4" x14ac:dyDescent="0.3"/>
    <row r="18731" ht="14.4" x14ac:dyDescent="0.3"/>
    <row r="18732" ht="14.4" x14ac:dyDescent="0.3"/>
    <row r="18733" ht="14.4" x14ac:dyDescent="0.3"/>
    <row r="18734" ht="14.4" x14ac:dyDescent="0.3"/>
    <row r="18735" ht="14.4" x14ac:dyDescent="0.3"/>
    <row r="18736" ht="14.4" x14ac:dyDescent="0.3"/>
    <row r="18737" ht="14.4" x14ac:dyDescent="0.3"/>
    <row r="18738" ht="14.4" x14ac:dyDescent="0.3"/>
    <row r="18739" ht="14.4" x14ac:dyDescent="0.3"/>
    <row r="18740" ht="14.4" x14ac:dyDescent="0.3"/>
    <row r="18741" ht="14.4" x14ac:dyDescent="0.3"/>
    <row r="18742" ht="14.4" x14ac:dyDescent="0.3"/>
    <row r="18743" ht="14.4" x14ac:dyDescent="0.3"/>
    <row r="18744" ht="14.4" x14ac:dyDescent="0.3"/>
    <row r="18745" ht="14.4" x14ac:dyDescent="0.3"/>
    <row r="18746" ht="14.4" x14ac:dyDescent="0.3"/>
    <row r="18747" ht="14.4" x14ac:dyDescent="0.3"/>
    <row r="18748" ht="14.4" x14ac:dyDescent="0.3"/>
    <row r="18749" ht="14.4" x14ac:dyDescent="0.3"/>
    <row r="18750" ht="14.4" x14ac:dyDescent="0.3"/>
    <row r="18751" ht="14.4" x14ac:dyDescent="0.3"/>
    <row r="18752" ht="14.4" x14ac:dyDescent="0.3"/>
    <row r="18753" ht="14.4" x14ac:dyDescent="0.3"/>
    <row r="18754" ht="14.4" x14ac:dyDescent="0.3"/>
    <row r="18755" ht="14.4" x14ac:dyDescent="0.3"/>
    <row r="18756" ht="14.4" x14ac:dyDescent="0.3"/>
    <row r="18757" ht="14.4" x14ac:dyDescent="0.3"/>
    <row r="18758" ht="14.4" x14ac:dyDescent="0.3"/>
    <row r="18759" ht="14.4" x14ac:dyDescent="0.3"/>
    <row r="18760" ht="14.4" x14ac:dyDescent="0.3"/>
    <row r="18761" ht="14.4" x14ac:dyDescent="0.3"/>
    <row r="18762" ht="14.4" x14ac:dyDescent="0.3"/>
    <row r="18763" ht="14.4" x14ac:dyDescent="0.3"/>
    <row r="18764" ht="14.4" x14ac:dyDescent="0.3"/>
    <row r="18765" ht="14.4" x14ac:dyDescent="0.3"/>
    <row r="18766" ht="14.4" x14ac:dyDescent="0.3"/>
    <row r="18767" ht="14.4" x14ac:dyDescent="0.3"/>
    <row r="18768" ht="14.4" x14ac:dyDescent="0.3"/>
    <row r="18769" ht="14.4" x14ac:dyDescent="0.3"/>
    <row r="18770" ht="14.4" x14ac:dyDescent="0.3"/>
    <row r="18771" ht="14.4" x14ac:dyDescent="0.3"/>
    <row r="18772" ht="14.4" x14ac:dyDescent="0.3"/>
    <row r="18773" ht="14.4" x14ac:dyDescent="0.3"/>
    <row r="18774" ht="14.4" x14ac:dyDescent="0.3"/>
    <row r="18775" ht="14.4" x14ac:dyDescent="0.3"/>
    <row r="18776" ht="14.4" x14ac:dyDescent="0.3"/>
    <row r="18777" ht="14.4" x14ac:dyDescent="0.3"/>
    <row r="18778" ht="14.4" x14ac:dyDescent="0.3"/>
    <row r="18779" ht="14.4" x14ac:dyDescent="0.3"/>
    <row r="18780" ht="14.4" x14ac:dyDescent="0.3"/>
    <row r="18781" ht="14.4" x14ac:dyDescent="0.3"/>
    <row r="18782" ht="14.4" x14ac:dyDescent="0.3"/>
    <row r="18783" ht="14.4" x14ac:dyDescent="0.3"/>
    <row r="18784" ht="14.4" x14ac:dyDescent="0.3"/>
    <row r="18785" ht="14.4" x14ac:dyDescent="0.3"/>
    <row r="18786" ht="14.4" x14ac:dyDescent="0.3"/>
    <row r="18787" ht="14.4" x14ac:dyDescent="0.3"/>
    <row r="18788" ht="14.4" x14ac:dyDescent="0.3"/>
    <row r="18789" ht="14.4" x14ac:dyDescent="0.3"/>
    <row r="18790" ht="14.4" x14ac:dyDescent="0.3"/>
    <row r="18791" ht="14.4" x14ac:dyDescent="0.3"/>
    <row r="18792" ht="14.4" x14ac:dyDescent="0.3"/>
    <row r="18793" ht="14.4" x14ac:dyDescent="0.3"/>
    <row r="18794" ht="14.4" x14ac:dyDescent="0.3"/>
    <row r="18795" ht="14.4" x14ac:dyDescent="0.3"/>
    <row r="18796" ht="14.4" x14ac:dyDescent="0.3"/>
    <row r="18797" ht="14.4" x14ac:dyDescent="0.3"/>
    <row r="18798" ht="14.4" x14ac:dyDescent="0.3"/>
    <row r="18799" ht="14.4" x14ac:dyDescent="0.3"/>
    <row r="18800" ht="14.4" x14ac:dyDescent="0.3"/>
    <row r="18801" ht="14.4" x14ac:dyDescent="0.3"/>
    <row r="18802" ht="14.4" x14ac:dyDescent="0.3"/>
    <row r="18803" ht="14.4" x14ac:dyDescent="0.3"/>
    <row r="18804" ht="14.4" x14ac:dyDescent="0.3"/>
    <row r="18805" ht="14.4" x14ac:dyDescent="0.3"/>
    <row r="18806" ht="14.4" x14ac:dyDescent="0.3"/>
    <row r="18807" ht="14.4" x14ac:dyDescent="0.3"/>
    <row r="18808" ht="14.4" x14ac:dyDescent="0.3"/>
    <row r="18809" ht="14.4" x14ac:dyDescent="0.3"/>
    <row r="18810" ht="14.4" x14ac:dyDescent="0.3"/>
    <row r="18811" ht="14.4" x14ac:dyDescent="0.3"/>
    <row r="18812" ht="14.4" x14ac:dyDescent="0.3"/>
    <row r="18813" ht="14.4" x14ac:dyDescent="0.3"/>
    <row r="18814" ht="14.4" x14ac:dyDescent="0.3"/>
    <row r="18815" ht="14.4" x14ac:dyDescent="0.3"/>
    <row r="18816" ht="14.4" x14ac:dyDescent="0.3"/>
    <row r="18817" ht="14.4" x14ac:dyDescent="0.3"/>
    <row r="18818" ht="14.4" x14ac:dyDescent="0.3"/>
    <row r="18819" ht="14.4" x14ac:dyDescent="0.3"/>
    <row r="18820" ht="14.4" x14ac:dyDescent="0.3"/>
    <row r="18821" ht="14.4" x14ac:dyDescent="0.3"/>
    <row r="18822" ht="14.4" x14ac:dyDescent="0.3"/>
    <row r="18823" ht="14.4" x14ac:dyDescent="0.3"/>
    <row r="18824" ht="14.4" x14ac:dyDescent="0.3"/>
    <row r="18825" ht="14.4" x14ac:dyDescent="0.3"/>
    <row r="18826" ht="14.4" x14ac:dyDescent="0.3"/>
    <row r="18827" ht="14.4" x14ac:dyDescent="0.3"/>
    <row r="18828" ht="14.4" x14ac:dyDescent="0.3"/>
    <row r="18829" ht="14.4" x14ac:dyDescent="0.3"/>
    <row r="18830" ht="14.4" x14ac:dyDescent="0.3"/>
    <row r="18831" ht="14.4" x14ac:dyDescent="0.3"/>
    <row r="18832" ht="14.4" x14ac:dyDescent="0.3"/>
    <row r="18833" ht="14.4" x14ac:dyDescent="0.3"/>
    <row r="18834" ht="14.4" x14ac:dyDescent="0.3"/>
    <row r="18835" ht="14.4" x14ac:dyDescent="0.3"/>
    <row r="18836" ht="14.4" x14ac:dyDescent="0.3"/>
    <row r="18837" ht="14.4" x14ac:dyDescent="0.3"/>
    <row r="18838" ht="14.4" x14ac:dyDescent="0.3"/>
    <row r="18839" ht="14.4" x14ac:dyDescent="0.3"/>
    <row r="18840" ht="14.4" x14ac:dyDescent="0.3"/>
    <row r="18841" ht="14.4" x14ac:dyDescent="0.3"/>
    <row r="18842" ht="14.4" x14ac:dyDescent="0.3"/>
    <row r="18843" ht="14.4" x14ac:dyDescent="0.3"/>
    <row r="18844" ht="14.4" x14ac:dyDescent="0.3"/>
    <row r="18845" ht="14.4" x14ac:dyDescent="0.3"/>
    <row r="18846" ht="14.4" x14ac:dyDescent="0.3"/>
    <row r="18847" ht="14.4" x14ac:dyDescent="0.3"/>
    <row r="18848" ht="14.4" x14ac:dyDescent="0.3"/>
    <row r="18849" ht="14.4" x14ac:dyDescent="0.3"/>
    <row r="18850" ht="14.4" x14ac:dyDescent="0.3"/>
    <row r="18851" ht="14.4" x14ac:dyDescent="0.3"/>
    <row r="18852" ht="14.4" x14ac:dyDescent="0.3"/>
    <row r="18853" ht="14.4" x14ac:dyDescent="0.3"/>
    <row r="18854" ht="14.4" x14ac:dyDescent="0.3"/>
    <row r="18855" ht="14.4" x14ac:dyDescent="0.3"/>
    <row r="18856" ht="14.4" x14ac:dyDescent="0.3"/>
    <row r="18857" ht="14.4" x14ac:dyDescent="0.3"/>
    <row r="18858" ht="14.4" x14ac:dyDescent="0.3"/>
    <row r="18859" ht="14.4" x14ac:dyDescent="0.3"/>
    <row r="18860" ht="14.4" x14ac:dyDescent="0.3"/>
    <row r="18861" ht="14.4" x14ac:dyDescent="0.3"/>
    <row r="18862" ht="14.4" x14ac:dyDescent="0.3"/>
    <row r="18863" ht="14.4" x14ac:dyDescent="0.3"/>
    <row r="18864" ht="14.4" x14ac:dyDescent="0.3"/>
    <row r="18865" ht="14.4" x14ac:dyDescent="0.3"/>
    <row r="18866" ht="14.4" x14ac:dyDescent="0.3"/>
    <row r="18867" ht="14.4" x14ac:dyDescent="0.3"/>
    <row r="18868" ht="14.4" x14ac:dyDescent="0.3"/>
    <row r="18869" ht="14.4" x14ac:dyDescent="0.3"/>
    <row r="18870" ht="14.4" x14ac:dyDescent="0.3"/>
    <row r="18871" ht="14.4" x14ac:dyDescent="0.3"/>
    <row r="18872" ht="14.4" x14ac:dyDescent="0.3"/>
    <row r="18873" ht="14.4" x14ac:dyDescent="0.3"/>
    <row r="18874" ht="14.4" x14ac:dyDescent="0.3"/>
    <row r="18875" ht="14.4" x14ac:dyDescent="0.3"/>
    <row r="18876" ht="14.4" x14ac:dyDescent="0.3"/>
    <row r="18877" ht="14.4" x14ac:dyDescent="0.3"/>
    <row r="18878" ht="14.4" x14ac:dyDescent="0.3"/>
    <row r="18879" ht="14.4" x14ac:dyDescent="0.3"/>
    <row r="18880" ht="14.4" x14ac:dyDescent="0.3"/>
    <row r="18881" ht="14.4" x14ac:dyDescent="0.3"/>
    <row r="18882" ht="14.4" x14ac:dyDescent="0.3"/>
    <row r="18883" ht="14.4" x14ac:dyDescent="0.3"/>
    <row r="18884" ht="14.4" x14ac:dyDescent="0.3"/>
    <row r="18885" ht="14.4" x14ac:dyDescent="0.3"/>
    <row r="18886" ht="14.4" x14ac:dyDescent="0.3"/>
    <row r="18887" ht="14.4" x14ac:dyDescent="0.3"/>
    <row r="18888" ht="14.4" x14ac:dyDescent="0.3"/>
    <row r="18889" ht="14.4" x14ac:dyDescent="0.3"/>
    <row r="18890" ht="14.4" x14ac:dyDescent="0.3"/>
    <row r="18891" ht="14.4" x14ac:dyDescent="0.3"/>
    <row r="18892" ht="14.4" x14ac:dyDescent="0.3"/>
    <row r="18893" ht="14.4" x14ac:dyDescent="0.3"/>
    <row r="18894" ht="14.4" x14ac:dyDescent="0.3"/>
    <row r="18895" ht="14.4" x14ac:dyDescent="0.3"/>
    <row r="18896" ht="14.4" x14ac:dyDescent="0.3"/>
    <row r="18897" ht="14.4" x14ac:dyDescent="0.3"/>
    <row r="18898" ht="14.4" x14ac:dyDescent="0.3"/>
    <row r="18899" ht="14.4" x14ac:dyDescent="0.3"/>
    <row r="18900" ht="14.4" x14ac:dyDescent="0.3"/>
    <row r="18901" ht="14.4" x14ac:dyDescent="0.3"/>
    <row r="18902" ht="14.4" x14ac:dyDescent="0.3"/>
    <row r="18903" ht="14.4" x14ac:dyDescent="0.3"/>
    <row r="18904" ht="14.4" x14ac:dyDescent="0.3"/>
    <row r="18905" ht="14.4" x14ac:dyDescent="0.3"/>
    <row r="18906" ht="14.4" x14ac:dyDescent="0.3"/>
    <row r="18907" ht="14.4" x14ac:dyDescent="0.3"/>
    <row r="18908" ht="14.4" x14ac:dyDescent="0.3"/>
    <row r="18909" ht="14.4" x14ac:dyDescent="0.3"/>
    <row r="18910" ht="14.4" x14ac:dyDescent="0.3"/>
    <row r="18911" ht="14.4" x14ac:dyDescent="0.3"/>
    <row r="18912" ht="14.4" x14ac:dyDescent="0.3"/>
    <row r="18913" ht="14.4" x14ac:dyDescent="0.3"/>
    <row r="18914" ht="14.4" x14ac:dyDescent="0.3"/>
    <row r="18915" ht="14.4" x14ac:dyDescent="0.3"/>
    <row r="18916" ht="14.4" x14ac:dyDescent="0.3"/>
    <row r="18917" ht="14.4" x14ac:dyDescent="0.3"/>
    <row r="18918" ht="14.4" x14ac:dyDescent="0.3"/>
    <row r="18919" ht="14.4" x14ac:dyDescent="0.3"/>
    <row r="18920" ht="14.4" x14ac:dyDescent="0.3"/>
    <row r="18921" ht="14.4" x14ac:dyDescent="0.3"/>
    <row r="18922" ht="14.4" x14ac:dyDescent="0.3"/>
    <row r="18923" ht="14.4" x14ac:dyDescent="0.3"/>
    <row r="18924" ht="14.4" x14ac:dyDescent="0.3"/>
    <row r="18925" ht="14.4" x14ac:dyDescent="0.3"/>
    <row r="18926" ht="14.4" x14ac:dyDescent="0.3"/>
    <row r="18927" ht="14.4" x14ac:dyDescent="0.3"/>
    <row r="18928" ht="14.4" x14ac:dyDescent="0.3"/>
    <row r="18929" ht="14.4" x14ac:dyDescent="0.3"/>
    <row r="18930" ht="14.4" x14ac:dyDescent="0.3"/>
    <row r="18931" ht="14.4" x14ac:dyDescent="0.3"/>
    <row r="18932" ht="14.4" x14ac:dyDescent="0.3"/>
    <row r="18933" ht="14.4" x14ac:dyDescent="0.3"/>
    <row r="18934" ht="14.4" x14ac:dyDescent="0.3"/>
    <row r="18935" ht="14.4" x14ac:dyDescent="0.3"/>
    <row r="18936" ht="14.4" x14ac:dyDescent="0.3"/>
    <row r="18937" ht="14.4" x14ac:dyDescent="0.3"/>
    <row r="18938" ht="14.4" x14ac:dyDescent="0.3"/>
    <row r="18939" ht="14.4" x14ac:dyDescent="0.3"/>
    <row r="18940" ht="14.4" x14ac:dyDescent="0.3"/>
    <row r="18941" ht="14.4" x14ac:dyDescent="0.3"/>
    <row r="18942" ht="14.4" x14ac:dyDescent="0.3"/>
    <row r="18943" ht="14.4" x14ac:dyDescent="0.3"/>
    <row r="18944" ht="14.4" x14ac:dyDescent="0.3"/>
    <row r="18945" ht="14.4" x14ac:dyDescent="0.3"/>
    <row r="18946" ht="14.4" x14ac:dyDescent="0.3"/>
    <row r="18947" ht="14.4" x14ac:dyDescent="0.3"/>
    <row r="18948" ht="14.4" x14ac:dyDescent="0.3"/>
    <row r="18949" ht="14.4" x14ac:dyDescent="0.3"/>
    <row r="18950" ht="14.4" x14ac:dyDescent="0.3"/>
    <row r="18951" ht="14.4" x14ac:dyDescent="0.3"/>
    <row r="18952" ht="14.4" x14ac:dyDescent="0.3"/>
    <row r="18953" ht="14.4" x14ac:dyDescent="0.3"/>
    <row r="18954" ht="14.4" x14ac:dyDescent="0.3"/>
    <row r="18955" ht="14.4" x14ac:dyDescent="0.3"/>
    <row r="18956" ht="14.4" x14ac:dyDescent="0.3"/>
    <row r="18957" ht="14.4" x14ac:dyDescent="0.3"/>
    <row r="18958" ht="14.4" x14ac:dyDescent="0.3"/>
    <row r="18959" ht="14.4" x14ac:dyDescent="0.3"/>
    <row r="18960" ht="14.4" x14ac:dyDescent="0.3"/>
    <row r="18961" ht="14.4" x14ac:dyDescent="0.3"/>
    <row r="18962" ht="14.4" x14ac:dyDescent="0.3"/>
    <row r="18963" ht="14.4" x14ac:dyDescent="0.3"/>
    <row r="18964" ht="14.4" x14ac:dyDescent="0.3"/>
    <row r="18965" ht="14.4" x14ac:dyDescent="0.3"/>
    <row r="18966" ht="14.4" x14ac:dyDescent="0.3"/>
    <row r="18967" ht="14.4" x14ac:dyDescent="0.3"/>
    <row r="18968" ht="14.4" x14ac:dyDescent="0.3"/>
    <row r="18969" ht="14.4" x14ac:dyDescent="0.3"/>
    <row r="18970" ht="14.4" x14ac:dyDescent="0.3"/>
    <row r="18971" ht="14.4" x14ac:dyDescent="0.3"/>
    <row r="18972" ht="14.4" x14ac:dyDescent="0.3"/>
    <row r="18973" ht="14.4" x14ac:dyDescent="0.3"/>
    <row r="18974" ht="14.4" x14ac:dyDescent="0.3"/>
    <row r="18975" ht="14.4" x14ac:dyDescent="0.3"/>
    <row r="18976" ht="14.4" x14ac:dyDescent="0.3"/>
    <row r="18977" ht="14.4" x14ac:dyDescent="0.3"/>
    <row r="18978" ht="14.4" x14ac:dyDescent="0.3"/>
    <row r="18979" ht="14.4" x14ac:dyDescent="0.3"/>
    <row r="18980" ht="14.4" x14ac:dyDescent="0.3"/>
    <row r="18981" ht="14.4" x14ac:dyDescent="0.3"/>
    <row r="18982" ht="14.4" x14ac:dyDescent="0.3"/>
    <row r="18983" ht="14.4" x14ac:dyDescent="0.3"/>
    <row r="18984" ht="14.4" x14ac:dyDescent="0.3"/>
    <row r="18985" ht="14.4" x14ac:dyDescent="0.3"/>
    <row r="18986" ht="14.4" x14ac:dyDescent="0.3"/>
    <row r="18987" ht="14.4" x14ac:dyDescent="0.3"/>
    <row r="18988" ht="14.4" x14ac:dyDescent="0.3"/>
    <row r="18989" ht="14.4" x14ac:dyDescent="0.3"/>
    <row r="18990" ht="14.4" x14ac:dyDescent="0.3"/>
    <row r="18991" ht="14.4" x14ac:dyDescent="0.3"/>
    <row r="18992" ht="14.4" x14ac:dyDescent="0.3"/>
    <row r="18993" ht="14.4" x14ac:dyDescent="0.3"/>
    <row r="18994" ht="14.4" x14ac:dyDescent="0.3"/>
    <row r="18995" ht="14.4" x14ac:dyDescent="0.3"/>
    <row r="18996" ht="14.4" x14ac:dyDescent="0.3"/>
    <row r="18997" ht="14.4" x14ac:dyDescent="0.3"/>
    <row r="18998" ht="14.4" x14ac:dyDescent="0.3"/>
    <row r="18999" ht="14.4" x14ac:dyDescent="0.3"/>
    <row r="19000" ht="14.4" x14ac:dyDescent="0.3"/>
    <row r="19001" ht="14.4" x14ac:dyDescent="0.3"/>
    <row r="19002" ht="14.4" x14ac:dyDescent="0.3"/>
    <row r="19003" ht="14.4" x14ac:dyDescent="0.3"/>
    <row r="19004" ht="14.4" x14ac:dyDescent="0.3"/>
    <row r="19005" ht="14.4" x14ac:dyDescent="0.3"/>
    <row r="19006" ht="14.4" x14ac:dyDescent="0.3"/>
    <row r="19007" ht="14.4" x14ac:dyDescent="0.3"/>
    <row r="19008" ht="14.4" x14ac:dyDescent="0.3"/>
    <row r="19009" spans="1:43" ht="14.4" x14ac:dyDescent="0.3"/>
    <row r="19010" spans="1:43" ht="14.4" x14ac:dyDescent="0.3"/>
    <row r="19011" spans="1:43" ht="14.4" x14ac:dyDescent="0.3"/>
    <row r="19012" spans="1:43" ht="14.4" x14ac:dyDescent="0.3"/>
    <row r="19013" spans="1:43" ht="14.4" x14ac:dyDescent="0.3"/>
    <row r="19014" spans="1:43" ht="14.4" x14ac:dyDescent="0.3"/>
    <row r="19015" spans="1:43" ht="14.4" x14ac:dyDescent="0.3"/>
    <row r="19016" spans="1:43" ht="14.4" x14ac:dyDescent="0.3"/>
    <row r="19017" spans="1:43" ht="14.4" x14ac:dyDescent="0.3"/>
    <row r="19018" spans="1:43" ht="14.4" x14ac:dyDescent="0.3"/>
    <row r="19019" spans="1:43" ht="14.4" x14ac:dyDescent="0.3"/>
    <row r="19020" spans="1:43" ht="14.4" x14ac:dyDescent="0.3"/>
    <row r="19021" spans="1:43" ht="14.4" x14ac:dyDescent="0.3"/>
    <row r="19022" spans="1:43" ht="14.4" x14ac:dyDescent="0.3"/>
    <row r="19023" spans="1:43" ht="14.4" hidden="1" x14ac:dyDescent="0.3">
      <c r="A19023" t="s">
        <v>2976</v>
      </c>
      <c r="B19023">
        <v>4903442</v>
      </c>
      <c r="C19023" t="s">
        <v>135</v>
      </c>
      <c r="D19023" t="s">
        <v>136</v>
      </c>
      <c r="E19023" t="s">
        <v>318</v>
      </c>
      <c r="F19023" t="s">
        <v>537</v>
      </c>
      <c r="H19023" t="s">
        <v>160</v>
      </c>
      <c r="J19023" t="s">
        <v>140</v>
      </c>
      <c r="K19023">
        <v>155420.14480000001</v>
      </c>
      <c r="L19023">
        <v>385323.91340000002</v>
      </c>
      <c r="M19023">
        <v>1</v>
      </c>
      <c r="N19023" t="s">
        <v>2977</v>
      </c>
      <c r="O19023" t="s">
        <v>862</v>
      </c>
      <c r="P19023" t="s">
        <v>1806</v>
      </c>
      <c r="Q19023" t="s">
        <v>144</v>
      </c>
      <c r="S19023">
        <v>52</v>
      </c>
      <c r="T19023">
        <v>6800</v>
      </c>
      <c r="V19023" t="s">
        <v>146</v>
      </c>
      <c r="W19023" t="s">
        <v>147</v>
      </c>
      <c r="X19023" t="s">
        <v>7</v>
      </c>
      <c r="Y19023" t="s">
        <v>2033</v>
      </c>
      <c r="Z19023" t="s">
        <v>862</v>
      </c>
      <c r="AA19023" t="s">
        <v>2034</v>
      </c>
      <c r="AB19023">
        <v>0</v>
      </c>
      <c r="AE19023" t="s">
        <v>2035</v>
      </c>
      <c r="AF19023" t="s">
        <v>862</v>
      </c>
      <c r="AG19023" t="s">
        <v>2036</v>
      </c>
      <c r="AL19023" t="s">
        <v>2978</v>
      </c>
      <c r="AM19023" t="s">
        <v>2979</v>
      </c>
      <c r="AN19023" t="s">
        <v>2980</v>
      </c>
      <c r="AO19023" t="s">
        <v>2977</v>
      </c>
      <c r="AP19023" t="s">
        <v>158</v>
      </c>
      <c r="AQ19023" t="str">
        <f>IF(ISBLANK(AP19023), IFERROR(IF(VLOOKUP(AO19023, Ellens_additions!$A$2:$B$252, 2, FALSE) = "", "", VLOOKUP(AO19023, Ellens_additions!$A$2:$B$252, 2, FALSE)), 0), AP19023)</f>
        <v>3000</v>
      </c>
    </row>
    <row r="19024" spans="1:43" ht="14.4" hidden="1" x14ac:dyDescent="0.3">
      <c r="A19024" t="s">
        <v>2981</v>
      </c>
      <c r="B19024">
        <v>4903443</v>
      </c>
      <c r="C19024" t="s">
        <v>135</v>
      </c>
      <c r="D19024" t="s">
        <v>136</v>
      </c>
      <c r="E19024" t="s">
        <v>318</v>
      </c>
      <c r="F19024" t="s">
        <v>537</v>
      </c>
      <c r="H19024" t="s">
        <v>345</v>
      </c>
      <c r="J19024" t="s">
        <v>140</v>
      </c>
      <c r="K19024">
        <v>155404.67000000001</v>
      </c>
      <c r="L19024">
        <v>385414.49</v>
      </c>
      <c r="M19024">
        <v>1</v>
      </c>
      <c r="N19024" t="s">
        <v>2977</v>
      </c>
      <c r="O19024" t="s">
        <v>851</v>
      </c>
      <c r="P19024" t="s">
        <v>2044</v>
      </c>
      <c r="Q19024" t="s">
        <v>144</v>
      </c>
      <c r="S19024">
        <v>52</v>
      </c>
      <c r="T19024">
        <v>6800</v>
      </c>
      <c r="V19024" t="s">
        <v>146</v>
      </c>
      <c r="W19024" t="s">
        <v>147</v>
      </c>
      <c r="X19024" t="s">
        <v>7</v>
      </c>
      <c r="Y19024" t="s">
        <v>2033</v>
      </c>
      <c r="Z19024" t="s">
        <v>851</v>
      </c>
      <c r="AA19024" t="s">
        <v>2982</v>
      </c>
      <c r="AB19024">
        <v>0</v>
      </c>
      <c r="AE19024" t="s">
        <v>2035</v>
      </c>
      <c r="AF19024" t="s">
        <v>851</v>
      </c>
      <c r="AG19024" t="s">
        <v>1082</v>
      </c>
      <c r="AL19024" t="s">
        <v>2983</v>
      </c>
      <c r="AM19024" t="s">
        <v>2984</v>
      </c>
      <c r="AN19024" t="s">
        <v>2985</v>
      </c>
      <c r="AO19024" t="s">
        <v>2977</v>
      </c>
      <c r="AP19024" t="s">
        <v>158</v>
      </c>
      <c r="AQ19024" t="str">
        <f>IF(ISBLANK(AP19024), IFERROR(IF(VLOOKUP(AO19024, Ellens_additions!$A$2:$B$252, 2, FALSE) = "", "", VLOOKUP(AO19024, Ellens_additions!$A$2:$B$252, 2, FALSE)), 0), AP19024)</f>
        <v>3000</v>
      </c>
    </row>
    <row r="19025" spans="1:43" ht="14.4" hidden="1" x14ac:dyDescent="0.3">
      <c r="A19025" t="s">
        <v>2986</v>
      </c>
      <c r="B19025">
        <v>4903446</v>
      </c>
      <c r="C19025" t="s">
        <v>135</v>
      </c>
      <c r="D19025" t="s">
        <v>136</v>
      </c>
      <c r="E19025" t="s">
        <v>318</v>
      </c>
      <c r="F19025" t="s">
        <v>537</v>
      </c>
      <c r="H19025" t="s">
        <v>270</v>
      </c>
      <c r="J19025" t="s">
        <v>140</v>
      </c>
      <c r="K19025">
        <v>155444.6</v>
      </c>
      <c r="L19025">
        <v>385563.21</v>
      </c>
      <c r="M19025">
        <v>1</v>
      </c>
      <c r="N19025" t="s">
        <v>2977</v>
      </c>
      <c r="O19025" t="s">
        <v>764</v>
      </c>
      <c r="P19025" t="s">
        <v>1245</v>
      </c>
      <c r="Q19025" t="s">
        <v>144</v>
      </c>
      <c r="S19025">
        <v>52</v>
      </c>
      <c r="T19025">
        <v>6800</v>
      </c>
      <c r="V19025" t="s">
        <v>146</v>
      </c>
      <c r="W19025" t="s">
        <v>147</v>
      </c>
      <c r="X19025" t="s">
        <v>7</v>
      </c>
      <c r="Y19025" t="s">
        <v>2033</v>
      </c>
      <c r="Z19025" t="s">
        <v>764</v>
      </c>
      <c r="AA19025" t="s">
        <v>2987</v>
      </c>
      <c r="AB19025">
        <v>0</v>
      </c>
      <c r="AE19025" t="s">
        <v>2035</v>
      </c>
      <c r="AF19025" t="s">
        <v>764</v>
      </c>
      <c r="AG19025" t="s">
        <v>1229</v>
      </c>
      <c r="AL19025" t="s">
        <v>2988</v>
      </c>
      <c r="AM19025" t="s">
        <v>2989</v>
      </c>
      <c r="AN19025" t="s">
        <v>2990</v>
      </c>
      <c r="AO19025" t="s">
        <v>2977</v>
      </c>
      <c r="AP19025" t="s">
        <v>158</v>
      </c>
      <c r="AQ19025" t="str">
        <f>IF(ISBLANK(AP19025), IFERROR(IF(VLOOKUP(AO19025, Ellens_additions!$A$2:$B$252, 2, FALSE) = "", "", VLOOKUP(AO19025, Ellens_additions!$A$2:$B$252, 2, FALSE)), 0), AP19025)</f>
        <v>3000</v>
      </c>
    </row>
    <row r="19026" spans="1:43" ht="14.4" hidden="1" x14ac:dyDescent="0.3">
      <c r="A19026" t="s">
        <v>2991</v>
      </c>
      <c r="B19026">
        <v>4903448</v>
      </c>
      <c r="C19026" t="s">
        <v>135</v>
      </c>
      <c r="D19026" t="s">
        <v>136</v>
      </c>
      <c r="E19026" t="s">
        <v>318</v>
      </c>
      <c r="F19026" t="s">
        <v>537</v>
      </c>
      <c r="H19026" t="s">
        <v>271</v>
      </c>
      <c r="J19026" t="s">
        <v>140</v>
      </c>
      <c r="K19026">
        <v>155500</v>
      </c>
      <c r="L19026">
        <v>385596.24</v>
      </c>
      <c r="M19026">
        <v>1</v>
      </c>
      <c r="N19026" t="s">
        <v>2977</v>
      </c>
      <c r="O19026" t="s">
        <v>764</v>
      </c>
      <c r="P19026" t="s">
        <v>1245</v>
      </c>
      <c r="Q19026" t="s">
        <v>144</v>
      </c>
      <c r="S19026">
        <v>52</v>
      </c>
      <c r="T19026">
        <v>6800</v>
      </c>
      <c r="V19026" t="s">
        <v>146</v>
      </c>
      <c r="W19026" t="s">
        <v>147</v>
      </c>
      <c r="X19026" t="s">
        <v>7</v>
      </c>
      <c r="Y19026" t="s">
        <v>2033</v>
      </c>
      <c r="Z19026" t="s">
        <v>764</v>
      </c>
      <c r="AA19026" t="s">
        <v>2987</v>
      </c>
      <c r="AB19026">
        <v>0</v>
      </c>
      <c r="AE19026" t="s">
        <v>2035</v>
      </c>
      <c r="AF19026" t="s">
        <v>764</v>
      </c>
      <c r="AG19026" t="s">
        <v>1229</v>
      </c>
      <c r="AL19026" t="s">
        <v>2992</v>
      </c>
      <c r="AM19026" t="s">
        <v>2993</v>
      </c>
      <c r="AN19026" t="s">
        <v>2994</v>
      </c>
      <c r="AO19026" t="s">
        <v>2977</v>
      </c>
      <c r="AP19026" t="s">
        <v>158</v>
      </c>
      <c r="AQ19026" t="str">
        <f>IF(ISBLANK(AP19026), IFERROR(IF(VLOOKUP(AO19026, Ellens_additions!$A$2:$B$252, 2, FALSE) = "", "", VLOOKUP(AO19026, Ellens_additions!$A$2:$B$252, 2, FALSE)), 0), AP19026)</f>
        <v>3000</v>
      </c>
    </row>
    <row r="19027" spans="1:43" ht="14.4" x14ac:dyDescent="0.3"/>
    <row r="19028" spans="1:43" ht="14.4" x14ac:dyDescent="0.3"/>
    <row r="19029" spans="1:43" ht="14.4" x14ac:dyDescent="0.3"/>
    <row r="19030" spans="1:43" ht="14.4" x14ac:dyDescent="0.3"/>
    <row r="19031" spans="1:43" ht="14.4" x14ac:dyDescent="0.3"/>
    <row r="19032" spans="1:43" ht="14.4" x14ac:dyDescent="0.3"/>
    <row r="19033" spans="1:43" ht="14.4" x14ac:dyDescent="0.3"/>
    <row r="19034" spans="1:43" ht="14.4" x14ac:dyDescent="0.3"/>
    <row r="19035" spans="1:43" ht="14.4" x14ac:dyDescent="0.3"/>
    <row r="19036" spans="1:43" ht="14.4" x14ac:dyDescent="0.3"/>
    <row r="19037" spans="1:43" ht="14.4" x14ac:dyDescent="0.3"/>
    <row r="19038" spans="1:43" ht="14.4" x14ac:dyDescent="0.3"/>
    <row r="19039" spans="1:43" ht="14.4" x14ac:dyDescent="0.3"/>
    <row r="19040" spans="1:43" ht="14.4" x14ac:dyDescent="0.3"/>
    <row r="19041" ht="14.4" x14ac:dyDescent="0.3"/>
    <row r="19042" ht="14.4" x14ac:dyDescent="0.3"/>
    <row r="19043" ht="14.4" x14ac:dyDescent="0.3"/>
    <row r="19044" ht="14.4" x14ac:dyDescent="0.3"/>
    <row r="19045" ht="14.4" x14ac:dyDescent="0.3"/>
    <row r="19046" ht="14.4" x14ac:dyDescent="0.3"/>
    <row r="19047" ht="14.4" x14ac:dyDescent="0.3"/>
    <row r="19048" ht="14.4" x14ac:dyDescent="0.3"/>
    <row r="19049" ht="14.4" x14ac:dyDescent="0.3"/>
    <row r="19050" ht="14.4" x14ac:dyDescent="0.3"/>
    <row r="19051" ht="14.4" x14ac:dyDescent="0.3"/>
    <row r="19052" ht="14.4" x14ac:dyDescent="0.3"/>
    <row r="19053" ht="14.4" x14ac:dyDescent="0.3"/>
    <row r="19054" ht="14.4" x14ac:dyDescent="0.3"/>
    <row r="19055" ht="14.4" x14ac:dyDescent="0.3"/>
    <row r="19056" ht="14.4" x14ac:dyDescent="0.3"/>
    <row r="19057" ht="14.4" x14ac:dyDescent="0.3"/>
    <row r="19058" ht="14.4" x14ac:dyDescent="0.3"/>
    <row r="19059" ht="14.4" x14ac:dyDescent="0.3"/>
    <row r="19060" ht="14.4" x14ac:dyDescent="0.3"/>
    <row r="19061" ht="14.4" x14ac:dyDescent="0.3"/>
    <row r="19062" ht="14.4" x14ac:dyDescent="0.3"/>
    <row r="19063" ht="14.4" x14ac:dyDescent="0.3"/>
    <row r="19064" ht="14.4" x14ac:dyDescent="0.3"/>
    <row r="19065" ht="14.4" x14ac:dyDescent="0.3"/>
    <row r="19066" ht="14.4" x14ac:dyDescent="0.3"/>
    <row r="19067" ht="14.4" x14ac:dyDescent="0.3"/>
    <row r="19068" ht="14.4" x14ac:dyDescent="0.3"/>
    <row r="19069" ht="14.4" x14ac:dyDescent="0.3"/>
    <row r="19070" ht="14.4" x14ac:dyDescent="0.3"/>
    <row r="19071" ht="14.4" x14ac:dyDescent="0.3"/>
    <row r="19072" ht="14.4" x14ac:dyDescent="0.3"/>
    <row r="19073" ht="14.4" x14ac:dyDescent="0.3"/>
    <row r="19074" ht="14.4" x14ac:dyDescent="0.3"/>
    <row r="19075" ht="14.4" x14ac:dyDescent="0.3"/>
    <row r="19076" ht="14.4" x14ac:dyDescent="0.3"/>
    <row r="19077" ht="14.4" x14ac:dyDescent="0.3"/>
    <row r="19078" ht="14.4" x14ac:dyDescent="0.3"/>
    <row r="19079" ht="14.4" x14ac:dyDescent="0.3"/>
    <row r="19080" ht="14.4" x14ac:dyDescent="0.3"/>
    <row r="19081" ht="14.4" x14ac:dyDescent="0.3"/>
    <row r="19082" ht="14.4" x14ac:dyDescent="0.3"/>
    <row r="19083" ht="14.4" x14ac:dyDescent="0.3"/>
    <row r="19084" ht="14.4" x14ac:dyDescent="0.3"/>
    <row r="19085" ht="14.4" x14ac:dyDescent="0.3"/>
    <row r="19086" ht="14.4" x14ac:dyDescent="0.3"/>
    <row r="19087" ht="14.4" x14ac:dyDescent="0.3"/>
    <row r="19088" ht="14.4" x14ac:dyDescent="0.3"/>
    <row r="19089" ht="14.4" x14ac:dyDescent="0.3"/>
    <row r="19090" ht="14.4" x14ac:dyDescent="0.3"/>
    <row r="19091" ht="14.4" x14ac:dyDescent="0.3"/>
    <row r="19092" ht="14.4" x14ac:dyDescent="0.3"/>
    <row r="19093" ht="14.4" x14ac:dyDescent="0.3"/>
    <row r="19094" ht="14.4" x14ac:dyDescent="0.3"/>
    <row r="19095" ht="14.4" x14ac:dyDescent="0.3"/>
    <row r="19096" ht="14.4" x14ac:dyDescent="0.3"/>
    <row r="19097" ht="14.4" x14ac:dyDescent="0.3"/>
    <row r="19098" ht="14.4" x14ac:dyDescent="0.3"/>
    <row r="19099" ht="14.4" x14ac:dyDescent="0.3"/>
    <row r="19100" ht="14.4" x14ac:dyDescent="0.3"/>
    <row r="19101" ht="14.4" x14ac:dyDescent="0.3"/>
    <row r="19102" ht="14.4" x14ac:dyDescent="0.3"/>
    <row r="19103" ht="14.4" x14ac:dyDescent="0.3"/>
    <row r="19104" ht="14.4" x14ac:dyDescent="0.3"/>
    <row r="19105" ht="14.4" x14ac:dyDescent="0.3"/>
    <row r="19106" ht="14.4" x14ac:dyDescent="0.3"/>
    <row r="19107" ht="14.4" x14ac:dyDescent="0.3"/>
    <row r="19108" ht="14.4" x14ac:dyDescent="0.3"/>
    <row r="19109" ht="14.4" x14ac:dyDescent="0.3"/>
    <row r="19110" ht="14.4" x14ac:dyDescent="0.3"/>
    <row r="19111" ht="14.4" x14ac:dyDescent="0.3"/>
    <row r="19112" ht="14.4" x14ac:dyDescent="0.3"/>
    <row r="19113" ht="14.4" x14ac:dyDescent="0.3"/>
    <row r="19114" ht="14.4" x14ac:dyDescent="0.3"/>
    <row r="19115" ht="14.4" x14ac:dyDescent="0.3"/>
    <row r="19116" ht="14.4" x14ac:dyDescent="0.3"/>
    <row r="19117" ht="14.4" x14ac:dyDescent="0.3"/>
    <row r="19118" ht="14.4" x14ac:dyDescent="0.3"/>
    <row r="19119" ht="14.4" x14ac:dyDescent="0.3"/>
    <row r="19120" ht="14.4" x14ac:dyDescent="0.3"/>
    <row r="19121" ht="14.4" x14ac:dyDescent="0.3"/>
    <row r="19122" ht="14.4" x14ac:dyDescent="0.3"/>
    <row r="19123" ht="14.4" x14ac:dyDescent="0.3"/>
    <row r="19124" ht="14.4" x14ac:dyDescent="0.3"/>
    <row r="19125" ht="14.4" x14ac:dyDescent="0.3"/>
    <row r="19126" ht="14.4" x14ac:dyDescent="0.3"/>
    <row r="19127" ht="14.4" x14ac:dyDescent="0.3"/>
    <row r="19128" ht="14.4" x14ac:dyDescent="0.3"/>
    <row r="19129" ht="14.4" x14ac:dyDescent="0.3"/>
    <row r="19130" ht="14.4" x14ac:dyDescent="0.3"/>
    <row r="19131" ht="14.4" x14ac:dyDescent="0.3"/>
    <row r="19132" ht="14.4" x14ac:dyDescent="0.3"/>
    <row r="19133" ht="14.4" x14ac:dyDescent="0.3"/>
    <row r="19134" ht="14.4" x14ac:dyDescent="0.3"/>
    <row r="19135" ht="14.4" x14ac:dyDescent="0.3"/>
    <row r="19136" ht="14.4" x14ac:dyDescent="0.3"/>
    <row r="19137" ht="14.4" x14ac:dyDescent="0.3"/>
    <row r="19138" ht="14.4" x14ac:dyDescent="0.3"/>
    <row r="19139" ht="14.4" x14ac:dyDescent="0.3"/>
    <row r="19140" ht="14.4" x14ac:dyDescent="0.3"/>
    <row r="19141" ht="14.4" x14ac:dyDescent="0.3"/>
    <row r="19142" ht="14.4" x14ac:dyDescent="0.3"/>
    <row r="19143" ht="14.4" x14ac:dyDescent="0.3"/>
    <row r="19144" ht="14.4" x14ac:dyDescent="0.3"/>
    <row r="19145" ht="14.4" x14ac:dyDescent="0.3"/>
    <row r="19146" ht="14.4" x14ac:dyDescent="0.3"/>
    <row r="19147" ht="14.4" x14ac:dyDescent="0.3"/>
    <row r="19148" ht="14.4" x14ac:dyDescent="0.3"/>
    <row r="19149" ht="14.4" x14ac:dyDescent="0.3"/>
    <row r="19150" ht="14.4" x14ac:dyDescent="0.3"/>
    <row r="19151" ht="14.4" x14ac:dyDescent="0.3"/>
    <row r="19152" ht="14.4" x14ac:dyDescent="0.3"/>
    <row r="19153" ht="14.4" x14ac:dyDescent="0.3"/>
    <row r="19154" ht="14.4" x14ac:dyDescent="0.3"/>
    <row r="19155" ht="14.4" x14ac:dyDescent="0.3"/>
    <row r="19156" ht="14.4" x14ac:dyDescent="0.3"/>
    <row r="19157" ht="14.4" x14ac:dyDescent="0.3"/>
    <row r="19158" ht="14.4" x14ac:dyDescent="0.3"/>
    <row r="19159" ht="14.4" x14ac:dyDescent="0.3"/>
    <row r="19160" ht="14.4" x14ac:dyDescent="0.3"/>
    <row r="19161" ht="14.4" x14ac:dyDescent="0.3"/>
    <row r="19162" ht="14.4" x14ac:dyDescent="0.3"/>
    <row r="19163" ht="14.4" x14ac:dyDescent="0.3"/>
    <row r="19164" ht="14.4" x14ac:dyDescent="0.3"/>
    <row r="19165" ht="14.4" x14ac:dyDescent="0.3"/>
    <row r="19166" ht="14.4" x14ac:dyDescent="0.3"/>
    <row r="19167" ht="14.4" x14ac:dyDescent="0.3"/>
    <row r="19168" ht="14.4" x14ac:dyDescent="0.3"/>
    <row r="19169" ht="14.4" x14ac:dyDescent="0.3"/>
    <row r="19170" ht="14.4" x14ac:dyDescent="0.3"/>
    <row r="19171" ht="14.4" x14ac:dyDescent="0.3"/>
    <row r="19172" ht="14.4" x14ac:dyDescent="0.3"/>
    <row r="19173" ht="14.4" x14ac:dyDescent="0.3"/>
    <row r="19174" ht="14.4" x14ac:dyDescent="0.3"/>
    <row r="19175" ht="14.4" x14ac:dyDescent="0.3"/>
    <row r="19176" ht="14.4" x14ac:dyDescent="0.3"/>
    <row r="19177" ht="14.4" x14ac:dyDescent="0.3"/>
    <row r="19178" ht="14.4" x14ac:dyDescent="0.3"/>
    <row r="19179" ht="14.4" x14ac:dyDescent="0.3"/>
    <row r="19180" ht="14.4" x14ac:dyDescent="0.3"/>
    <row r="19181" ht="14.4" x14ac:dyDescent="0.3"/>
    <row r="19182" ht="14.4" x14ac:dyDescent="0.3"/>
    <row r="19183" ht="14.4" x14ac:dyDescent="0.3"/>
    <row r="19184" ht="14.4" x14ac:dyDescent="0.3"/>
    <row r="19185" spans="1:43" ht="14.4" x14ac:dyDescent="0.3"/>
    <row r="19186" spans="1:43" ht="14.4" x14ac:dyDescent="0.3"/>
    <row r="19187" spans="1:43" ht="14.4" x14ac:dyDescent="0.3"/>
    <row r="19188" spans="1:43" ht="14.4" x14ac:dyDescent="0.3"/>
    <row r="19189" spans="1:43" ht="14.4" x14ac:dyDescent="0.3"/>
    <row r="19190" spans="1:43" ht="14.4" x14ac:dyDescent="0.3"/>
    <row r="19191" spans="1:43" ht="14.4" x14ac:dyDescent="0.3"/>
    <row r="19192" spans="1:43" ht="14.4" x14ac:dyDescent="0.3"/>
    <row r="19193" spans="1:43" ht="14.4" hidden="1" x14ac:dyDescent="0.3">
      <c r="A19193" t="s">
        <v>2995</v>
      </c>
      <c r="B19193">
        <v>4910471</v>
      </c>
      <c r="C19193" t="s">
        <v>135</v>
      </c>
      <c r="D19193" t="s">
        <v>136</v>
      </c>
      <c r="E19193" t="s">
        <v>2880</v>
      </c>
      <c r="F19193" t="s">
        <v>2996</v>
      </c>
      <c r="H19193" t="s">
        <v>2997</v>
      </c>
      <c r="J19193" t="s">
        <v>140</v>
      </c>
      <c r="K19193">
        <v>156545.62</v>
      </c>
      <c r="L19193">
        <v>383676.25</v>
      </c>
      <c r="M19193">
        <v>1</v>
      </c>
      <c r="N19193" t="s">
        <v>382</v>
      </c>
      <c r="O19193" t="s">
        <v>566</v>
      </c>
      <c r="P19193" t="s">
        <v>1873</v>
      </c>
      <c r="Q19193" t="s">
        <v>358</v>
      </c>
      <c r="R19193" t="s">
        <v>145</v>
      </c>
      <c r="S19193">
        <v>35</v>
      </c>
      <c r="T19193">
        <v>3300</v>
      </c>
      <c r="V19193" t="s">
        <v>359</v>
      </c>
      <c r="W19193" t="s">
        <v>184</v>
      </c>
      <c r="X19193" t="s">
        <v>7</v>
      </c>
      <c r="Y19193" t="s">
        <v>2864</v>
      </c>
      <c r="Z19193" t="s">
        <v>566</v>
      </c>
      <c r="AA19193" t="s">
        <v>387</v>
      </c>
      <c r="AB19193">
        <v>0</v>
      </c>
      <c r="AE19193" t="s">
        <v>1496</v>
      </c>
      <c r="AF19193" t="s">
        <v>566</v>
      </c>
      <c r="AG19193" t="s">
        <v>387</v>
      </c>
      <c r="AL19193" t="s">
        <v>2998</v>
      </c>
      <c r="AM19193" t="s">
        <v>2999</v>
      </c>
      <c r="AN19193" t="s">
        <v>3000</v>
      </c>
      <c r="AO19193" t="s">
        <v>382</v>
      </c>
      <c r="AQ19193" t="str">
        <f>IF(ISBLANK(AP19193), IFERROR(IF(VLOOKUP(AO19193, Ellens_additions!$A$2:$B$252, 2, FALSE) = "", "", VLOOKUP(AO19193, Ellens_additions!$A$2:$B$252, 2, FALSE)), 0), AP19193)</f>
        <v/>
      </c>
    </row>
    <row r="19194" spans="1:43" ht="14.4" hidden="1" x14ac:dyDescent="0.3">
      <c r="A19194" t="s">
        <v>3001</v>
      </c>
      <c r="B19194">
        <v>4910478</v>
      </c>
      <c r="C19194" t="s">
        <v>135</v>
      </c>
      <c r="D19194" t="s">
        <v>136</v>
      </c>
      <c r="E19194" t="s">
        <v>2880</v>
      </c>
      <c r="F19194" t="s">
        <v>2996</v>
      </c>
      <c r="H19194" t="s">
        <v>3002</v>
      </c>
      <c r="J19194" t="s">
        <v>140</v>
      </c>
      <c r="K19194">
        <v>156529.94</v>
      </c>
      <c r="L19194">
        <v>383693.75</v>
      </c>
      <c r="M19194">
        <v>1</v>
      </c>
      <c r="N19194" t="s">
        <v>382</v>
      </c>
      <c r="O19194" t="s">
        <v>566</v>
      </c>
      <c r="P19194" t="s">
        <v>1873</v>
      </c>
      <c r="Q19194" t="s">
        <v>358</v>
      </c>
      <c r="R19194" t="s">
        <v>145</v>
      </c>
      <c r="S19194">
        <v>35</v>
      </c>
      <c r="T19194">
        <v>3300</v>
      </c>
      <c r="V19194" t="s">
        <v>359</v>
      </c>
      <c r="W19194" t="s">
        <v>184</v>
      </c>
      <c r="X19194" t="s">
        <v>7</v>
      </c>
      <c r="Y19194" t="s">
        <v>2864</v>
      </c>
      <c r="Z19194" t="s">
        <v>566</v>
      </c>
      <c r="AA19194" t="s">
        <v>387</v>
      </c>
      <c r="AB19194">
        <v>0</v>
      </c>
      <c r="AE19194" t="s">
        <v>1496</v>
      </c>
      <c r="AF19194" t="s">
        <v>566</v>
      </c>
      <c r="AG19194" t="s">
        <v>387</v>
      </c>
      <c r="AL19194" t="s">
        <v>3003</v>
      </c>
      <c r="AM19194" t="s">
        <v>3004</v>
      </c>
      <c r="AN19194" t="s">
        <v>3005</v>
      </c>
      <c r="AO19194" t="s">
        <v>382</v>
      </c>
      <c r="AQ19194" t="str">
        <f>IF(ISBLANK(AP19194), IFERROR(IF(VLOOKUP(AO19194, Ellens_additions!$A$2:$B$252, 2, FALSE) = "", "", VLOOKUP(AO19194, Ellens_additions!$A$2:$B$252, 2, FALSE)), 0), AP19194)</f>
        <v/>
      </c>
    </row>
    <row r="19195" spans="1:43" ht="14.4" hidden="1" x14ac:dyDescent="0.3">
      <c r="A19195" t="s">
        <v>3006</v>
      </c>
      <c r="B19195">
        <v>4910482</v>
      </c>
      <c r="C19195" t="s">
        <v>135</v>
      </c>
      <c r="D19195" t="s">
        <v>136</v>
      </c>
      <c r="E19195" t="s">
        <v>2880</v>
      </c>
      <c r="F19195" t="s">
        <v>2996</v>
      </c>
      <c r="H19195" t="s">
        <v>3007</v>
      </c>
      <c r="J19195" t="s">
        <v>140</v>
      </c>
      <c r="K19195">
        <v>156539.94</v>
      </c>
      <c r="L19195">
        <v>383730.81</v>
      </c>
      <c r="M19195">
        <v>1</v>
      </c>
      <c r="N19195" t="s">
        <v>382</v>
      </c>
      <c r="O19195" t="s">
        <v>566</v>
      </c>
      <c r="P19195" t="s">
        <v>1873</v>
      </c>
      <c r="Q19195" t="s">
        <v>358</v>
      </c>
      <c r="R19195" t="s">
        <v>145</v>
      </c>
      <c r="S19195">
        <v>35</v>
      </c>
      <c r="T19195">
        <v>3300</v>
      </c>
      <c r="V19195" t="s">
        <v>359</v>
      </c>
      <c r="W19195" t="s">
        <v>184</v>
      </c>
      <c r="X19195" t="s">
        <v>7</v>
      </c>
      <c r="Y19195" t="s">
        <v>2864</v>
      </c>
      <c r="Z19195" t="s">
        <v>566</v>
      </c>
      <c r="AA19195" t="s">
        <v>387</v>
      </c>
      <c r="AB19195">
        <v>0</v>
      </c>
      <c r="AE19195" t="s">
        <v>1496</v>
      </c>
      <c r="AF19195" t="s">
        <v>566</v>
      </c>
      <c r="AG19195" t="s">
        <v>387</v>
      </c>
      <c r="AL19195" t="s">
        <v>3008</v>
      </c>
      <c r="AM19195" t="s">
        <v>3009</v>
      </c>
      <c r="AN19195" t="s">
        <v>3010</v>
      </c>
      <c r="AO19195" t="s">
        <v>382</v>
      </c>
      <c r="AQ19195" t="str">
        <f>IF(ISBLANK(AP19195), IFERROR(IF(VLOOKUP(AO19195, Ellens_additions!$A$2:$B$252, 2, FALSE) = "", "", VLOOKUP(AO19195, Ellens_additions!$A$2:$B$252, 2, FALSE)), 0), AP19195)</f>
        <v/>
      </c>
    </row>
    <row r="19196" spans="1:43" ht="14.4" x14ac:dyDescent="0.3"/>
    <row r="19197" spans="1:43" ht="14.4" x14ac:dyDescent="0.3"/>
    <row r="19198" spans="1:43" ht="14.4" x14ac:dyDescent="0.3"/>
    <row r="19199" spans="1:43" ht="14.4" x14ac:dyDescent="0.3"/>
    <row r="19200" spans="1:43" ht="14.4" x14ac:dyDescent="0.3"/>
    <row r="19201" spans="1:43" ht="14.4" hidden="1" x14ac:dyDescent="0.3">
      <c r="A19201" t="s">
        <v>3011</v>
      </c>
      <c r="B19201">
        <v>4910507</v>
      </c>
      <c r="C19201" t="s">
        <v>135</v>
      </c>
      <c r="D19201" t="s">
        <v>136</v>
      </c>
      <c r="E19201" t="s">
        <v>318</v>
      </c>
      <c r="F19201" t="s">
        <v>537</v>
      </c>
      <c r="H19201" t="s">
        <v>453</v>
      </c>
      <c r="J19201" t="s">
        <v>140</v>
      </c>
      <c r="K19201">
        <v>155388.54999999999</v>
      </c>
      <c r="L19201">
        <v>385441.22</v>
      </c>
      <c r="M19201">
        <v>1</v>
      </c>
      <c r="N19201" t="s">
        <v>2977</v>
      </c>
      <c r="O19201" t="s">
        <v>851</v>
      </c>
      <c r="P19201" t="s">
        <v>2044</v>
      </c>
      <c r="Q19201" t="s">
        <v>144</v>
      </c>
      <c r="S19201">
        <v>52</v>
      </c>
      <c r="T19201">
        <v>6800</v>
      </c>
      <c r="V19201" t="s">
        <v>146</v>
      </c>
      <c r="W19201" t="s">
        <v>147</v>
      </c>
      <c r="X19201" t="s">
        <v>7</v>
      </c>
      <c r="Y19201" t="s">
        <v>2033</v>
      </c>
      <c r="Z19201" t="s">
        <v>851</v>
      </c>
      <c r="AA19201" t="s">
        <v>2982</v>
      </c>
      <c r="AB19201">
        <v>0</v>
      </c>
      <c r="AE19201" t="s">
        <v>2035</v>
      </c>
      <c r="AF19201" t="s">
        <v>851</v>
      </c>
      <c r="AG19201" t="s">
        <v>1082</v>
      </c>
      <c r="AL19201" t="s">
        <v>3012</v>
      </c>
      <c r="AM19201" t="s">
        <v>3013</v>
      </c>
      <c r="AN19201" t="s">
        <v>3014</v>
      </c>
      <c r="AO19201" t="s">
        <v>2977</v>
      </c>
      <c r="AP19201" t="s">
        <v>158</v>
      </c>
      <c r="AQ19201" t="str">
        <f>IF(ISBLANK(AP19201), IFERROR(IF(VLOOKUP(AO19201, Ellens_additions!$A$2:$B$252, 2, FALSE) = "", "", VLOOKUP(AO19201, Ellens_additions!$A$2:$B$252, 2, FALSE)), 0), AP19201)</f>
        <v>3000</v>
      </c>
    </row>
    <row r="19202" spans="1:43" ht="14.4" x14ac:dyDescent="0.3"/>
    <row r="19203" spans="1:43" ht="14.4" x14ac:dyDescent="0.3"/>
    <row r="19204" spans="1:43" ht="14.4" x14ac:dyDescent="0.3"/>
    <row r="19205" spans="1:43" ht="14.4" x14ac:dyDescent="0.3"/>
    <row r="19206" spans="1:43" ht="14.4" x14ac:dyDescent="0.3"/>
    <row r="19207" spans="1:43" ht="14.4" x14ac:dyDescent="0.3"/>
    <row r="19208" spans="1:43" ht="14.4" x14ac:dyDescent="0.3"/>
    <row r="19209" spans="1:43" ht="14.4" x14ac:dyDescent="0.3"/>
    <row r="19210" spans="1:43" ht="14.4" x14ac:dyDescent="0.3"/>
    <row r="19211" spans="1:43" ht="14.4" x14ac:dyDescent="0.3"/>
    <row r="19212" spans="1:43" ht="14.4" x14ac:dyDescent="0.3"/>
    <row r="19213" spans="1:43" ht="14.4" x14ac:dyDescent="0.3"/>
    <row r="19214" spans="1:43" ht="14.4" x14ac:dyDescent="0.3"/>
    <row r="19215" spans="1:43" ht="14.4" x14ac:dyDescent="0.3"/>
    <row r="19216" spans="1:43" ht="14.4" x14ac:dyDescent="0.3"/>
    <row r="19217" ht="14.4" x14ac:dyDescent="0.3"/>
    <row r="19218" ht="14.4" x14ac:dyDescent="0.3"/>
    <row r="19219" ht="14.4" x14ac:dyDescent="0.3"/>
    <row r="19220" ht="14.4" x14ac:dyDescent="0.3"/>
    <row r="19221" ht="14.4" x14ac:dyDescent="0.3"/>
    <row r="19222" ht="14.4" x14ac:dyDescent="0.3"/>
    <row r="19223" ht="14.4" x14ac:dyDescent="0.3"/>
    <row r="19224" ht="14.4" x14ac:dyDescent="0.3"/>
    <row r="19225" ht="14.4" x14ac:dyDescent="0.3"/>
    <row r="19226" ht="14.4" x14ac:dyDescent="0.3"/>
    <row r="19227" ht="14.4" x14ac:dyDescent="0.3"/>
    <row r="19228" ht="14.4" x14ac:dyDescent="0.3"/>
    <row r="19229" ht="14.4" x14ac:dyDescent="0.3"/>
    <row r="19230" ht="14.4" x14ac:dyDescent="0.3"/>
    <row r="19231" ht="14.4" x14ac:dyDescent="0.3"/>
    <row r="19232" ht="14.4" x14ac:dyDescent="0.3"/>
    <row r="19233" spans="1:43" ht="14.4" x14ac:dyDescent="0.3"/>
    <row r="19234" spans="1:43" ht="14.4" x14ac:dyDescent="0.3"/>
    <row r="19235" spans="1:43" ht="14.4" x14ac:dyDescent="0.3"/>
    <row r="19236" spans="1:43" ht="14.4" x14ac:dyDescent="0.3"/>
    <row r="19237" spans="1:43" ht="14.4" x14ac:dyDescent="0.3"/>
    <row r="19238" spans="1:43" ht="14.4" x14ac:dyDescent="0.3"/>
    <row r="19239" spans="1:43" ht="14.4" x14ac:dyDescent="0.3"/>
    <row r="19240" spans="1:43" ht="14.4" x14ac:dyDescent="0.3"/>
    <row r="19241" spans="1:43" ht="14.4" x14ac:dyDescent="0.3"/>
    <row r="19242" spans="1:43" ht="14.4" hidden="1" x14ac:dyDescent="0.3">
      <c r="A19242" t="s">
        <v>3015</v>
      </c>
      <c r="B19242">
        <v>4910641</v>
      </c>
      <c r="C19242" t="s">
        <v>135</v>
      </c>
      <c r="D19242" t="s">
        <v>174</v>
      </c>
      <c r="E19242" t="s">
        <v>261</v>
      </c>
      <c r="F19242" t="s">
        <v>695</v>
      </c>
      <c r="H19242" t="s">
        <v>303</v>
      </c>
      <c r="J19242" t="s">
        <v>140</v>
      </c>
      <c r="K19242">
        <v>159112.93</v>
      </c>
      <c r="L19242">
        <v>384618</v>
      </c>
      <c r="M19242">
        <v>1</v>
      </c>
      <c r="N19242" t="s">
        <v>696</v>
      </c>
      <c r="O19242" t="s">
        <v>528</v>
      </c>
      <c r="P19242" t="s">
        <v>697</v>
      </c>
      <c r="Q19242" t="s">
        <v>144</v>
      </c>
      <c r="S19242">
        <v>6.8</v>
      </c>
      <c r="T19242">
        <v>800</v>
      </c>
      <c r="V19242" t="s">
        <v>146</v>
      </c>
      <c r="W19242" t="s">
        <v>184</v>
      </c>
      <c r="X19242" t="s">
        <v>7</v>
      </c>
      <c r="Y19242" t="s">
        <v>698</v>
      </c>
      <c r="Z19242" t="s">
        <v>528</v>
      </c>
      <c r="AA19242" t="s">
        <v>312</v>
      </c>
      <c r="AB19242">
        <v>0</v>
      </c>
      <c r="AE19242" t="s">
        <v>763</v>
      </c>
      <c r="AF19242" t="s">
        <v>528</v>
      </c>
      <c r="AG19242" t="s">
        <v>730</v>
      </c>
      <c r="AL19242" t="s">
        <v>3016</v>
      </c>
      <c r="AM19242" t="s">
        <v>3017</v>
      </c>
      <c r="AN19242" t="s">
        <v>3018</v>
      </c>
      <c r="AO19242" t="s">
        <v>696</v>
      </c>
      <c r="AP19242" t="s">
        <v>158</v>
      </c>
      <c r="AQ19242" t="str">
        <f>IF(ISBLANK(AP19242), IFERROR(IF(VLOOKUP(AO19242, Ellens_additions!$A$2:$B$252, 2, FALSE) = "", "", VLOOKUP(AO19242, Ellens_additions!$A$2:$B$252, 2, FALSE)), 0), AP19242)</f>
        <v>3000</v>
      </c>
    </row>
    <row r="19243" spans="1:43" ht="14.4" hidden="1" x14ac:dyDescent="0.3">
      <c r="A19243" t="s">
        <v>3019</v>
      </c>
      <c r="B19243">
        <v>4910646</v>
      </c>
      <c r="C19243" t="s">
        <v>135</v>
      </c>
      <c r="D19243" t="s">
        <v>174</v>
      </c>
      <c r="E19243" t="s">
        <v>261</v>
      </c>
      <c r="F19243" t="s">
        <v>695</v>
      </c>
      <c r="H19243" t="s">
        <v>295</v>
      </c>
      <c r="J19243" t="s">
        <v>140</v>
      </c>
      <c r="K19243">
        <v>159105.93</v>
      </c>
      <c r="L19243">
        <v>384649.95</v>
      </c>
      <c r="M19243">
        <v>1</v>
      </c>
      <c r="N19243" t="s">
        <v>696</v>
      </c>
      <c r="O19243" t="s">
        <v>528</v>
      </c>
      <c r="P19243" t="s">
        <v>697</v>
      </c>
      <c r="Q19243" t="s">
        <v>144</v>
      </c>
      <c r="S19243">
        <v>6.8</v>
      </c>
      <c r="T19243">
        <v>800</v>
      </c>
      <c r="V19243" t="s">
        <v>146</v>
      </c>
      <c r="W19243" t="s">
        <v>184</v>
      </c>
      <c r="X19243" t="s">
        <v>7</v>
      </c>
      <c r="Y19243" t="s">
        <v>698</v>
      </c>
      <c r="Z19243" t="s">
        <v>528</v>
      </c>
      <c r="AA19243" t="s">
        <v>312</v>
      </c>
      <c r="AB19243">
        <v>0</v>
      </c>
      <c r="AE19243" t="s">
        <v>763</v>
      </c>
      <c r="AF19243" t="s">
        <v>528</v>
      </c>
      <c r="AG19243" t="s">
        <v>730</v>
      </c>
      <c r="AL19243" t="s">
        <v>3020</v>
      </c>
      <c r="AM19243" t="s">
        <v>3021</v>
      </c>
      <c r="AN19243" t="s">
        <v>3022</v>
      </c>
      <c r="AO19243" t="s">
        <v>696</v>
      </c>
      <c r="AP19243" t="s">
        <v>158</v>
      </c>
      <c r="AQ19243" t="str">
        <f>IF(ISBLANK(AP19243), IFERROR(IF(VLOOKUP(AO19243, Ellens_additions!$A$2:$B$252, 2, FALSE) = "", "", VLOOKUP(AO19243, Ellens_additions!$A$2:$B$252, 2, FALSE)), 0), AP19243)</f>
        <v>3000</v>
      </c>
    </row>
    <row r="19244" spans="1:43" ht="14.4" x14ac:dyDescent="0.3"/>
    <row r="19245" spans="1:43" ht="14.4" x14ac:dyDescent="0.3"/>
    <row r="19246" spans="1:43" ht="14.4" x14ac:dyDescent="0.3"/>
    <row r="19247" spans="1:43" ht="14.4" x14ac:dyDescent="0.3"/>
    <row r="19248" spans="1:43" ht="14.4" x14ac:dyDescent="0.3"/>
    <row r="19249" spans="1:43" ht="14.4" x14ac:dyDescent="0.3"/>
    <row r="19250" spans="1:43" ht="14.4" x14ac:dyDescent="0.3"/>
    <row r="19251" spans="1:43" ht="14.4" x14ac:dyDescent="0.3"/>
    <row r="19252" spans="1:43" ht="14.4" x14ac:dyDescent="0.3"/>
    <row r="19253" spans="1:43" ht="14.4" x14ac:dyDescent="0.3"/>
    <row r="19254" spans="1:43" ht="14.4" x14ac:dyDescent="0.3"/>
    <row r="19255" spans="1:43" ht="14.4" x14ac:dyDescent="0.3"/>
    <row r="19256" spans="1:43" ht="14.4" hidden="1" x14ac:dyDescent="0.3">
      <c r="A19256" t="s">
        <v>3023</v>
      </c>
      <c r="B19256">
        <v>4910684</v>
      </c>
      <c r="C19256" t="s">
        <v>135</v>
      </c>
      <c r="D19256" t="s">
        <v>174</v>
      </c>
      <c r="E19256" t="s">
        <v>261</v>
      </c>
      <c r="F19256" t="s">
        <v>449</v>
      </c>
      <c r="H19256" t="s">
        <v>733</v>
      </c>
      <c r="J19256" t="s">
        <v>140</v>
      </c>
      <c r="K19256">
        <v>158821.09</v>
      </c>
      <c r="L19256">
        <v>384633.08</v>
      </c>
      <c r="M19256">
        <v>1</v>
      </c>
      <c r="N19256" t="s">
        <v>3024</v>
      </c>
      <c r="O19256" t="s">
        <v>528</v>
      </c>
      <c r="P19256" t="s">
        <v>697</v>
      </c>
      <c r="Q19256" t="s">
        <v>144</v>
      </c>
      <c r="S19256">
        <v>6.8</v>
      </c>
      <c r="T19256">
        <v>800</v>
      </c>
      <c r="V19256" t="s">
        <v>146</v>
      </c>
      <c r="W19256" t="s">
        <v>184</v>
      </c>
      <c r="X19256" t="s">
        <v>7</v>
      </c>
      <c r="Y19256" t="s">
        <v>698</v>
      </c>
      <c r="Z19256" t="s">
        <v>528</v>
      </c>
      <c r="AA19256" t="s">
        <v>312</v>
      </c>
      <c r="AB19256">
        <v>0</v>
      </c>
      <c r="AE19256" t="s">
        <v>763</v>
      </c>
      <c r="AF19256" t="s">
        <v>528</v>
      </c>
      <c r="AG19256" t="s">
        <v>730</v>
      </c>
      <c r="AL19256" t="s">
        <v>3025</v>
      </c>
      <c r="AM19256" t="s">
        <v>3026</v>
      </c>
      <c r="AN19256" t="s">
        <v>3027</v>
      </c>
      <c r="AO19256" t="s">
        <v>3024</v>
      </c>
      <c r="AP19256" t="s">
        <v>158</v>
      </c>
      <c r="AQ19256" t="str">
        <f>IF(ISBLANK(AP19256), IFERROR(IF(VLOOKUP(AO19256, Ellens_additions!$A$2:$B$252, 2, FALSE) = "", "", VLOOKUP(AO19256, Ellens_additions!$A$2:$B$252, 2, FALSE)), 0), AP19256)</f>
        <v>3000</v>
      </c>
    </row>
    <row r="19257" spans="1:43" ht="14.4" x14ac:dyDescent="0.3"/>
    <row r="19258" spans="1:43" ht="14.4" x14ac:dyDescent="0.3"/>
    <row r="19259" spans="1:43" ht="14.4" x14ac:dyDescent="0.3"/>
    <row r="19260" spans="1:43" ht="14.4" x14ac:dyDescent="0.3"/>
    <row r="19261" spans="1:43" ht="14.4" x14ac:dyDescent="0.3"/>
    <row r="19262" spans="1:43" ht="14.4" x14ac:dyDescent="0.3"/>
    <row r="19263" spans="1:43" ht="14.4" x14ac:dyDescent="0.3"/>
    <row r="19264" spans="1:43" ht="14.4" hidden="1" x14ac:dyDescent="0.3">
      <c r="A19264" t="s">
        <v>3028</v>
      </c>
      <c r="B19264">
        <v>4910711</v>
      </c>
      <c r="C19264" t="s">
        <v>135</v>
      </c>
      <c r="D19264" t="s">
        <v>136</v>
      </c>
      <c r="E19264" t="s">
        <v>344</v>
      </c>
      <c r="F19264" t="s">
        <v>1957</v>
      </c>
      <c r="H19264" t="s">
        <v>256</v>
      </c>
      <c r="J19264" t="s">
        <v>140</v>
      </c>
      <c r="K19264">
        <v>156764.08480000001</v>
      </c>
      <c r="L19264">
        <v>383773.12410000002</v>
      </c>
      <c r="N19264" t="s">
        <v>3029</v>
      </c>
      <c r="O19264" t="s">
        <v>613</v>
      </c>
      <c r="P19264" t="s">
        <v>2838</v>
      </c>
      <c r="Q19264" t="s">
        <v>144</v>
      </c>
      <c r="S19264">
        <v>13</v>
      </c>
      <c r="T19264">
        <v>1500</v>
      </c>
      <c r="V19264" t="s">
        <v>146</v>
      </c>
      <c r="W19264" t="s">
        <v>147</v>
      </c>
      <c r="Y19264" t="s">
        <v>1989</v>
      </c>
      <c r="Z19264" t="s">
        <v>613</v>
      </c>
      <c r="AA19264" t="s">
        <v>1803</v>
      </c>
      <c r="AB19264">
        <v>0</v>
      </c>
      <c r="AE19264" t="s">
        <v>1009</v>
      </c>
      <c r="AF19264" t="s">
        <v>613</v>
      </c>
      <c r="AG19264" t="s">
        <v>3030</v>
      </c>
      <c r="AL19264" t="s">
        <v>3031</v>
      </c>
      <c r="AM19264" t="s">
        <v>3032</v>
      </c>
      <c r="AN19264" t="s">
        <v>3033</v>
      </c>
      <c r="AO19264" t="s">
        <v>3029</v>
      </c>
      <c r="AP19264" t="s">
        <v>158</v>
      </c>
      <c r="AQ19264" t="str">
        <f>IF(ISBLANK(AP19264), IFERROR(IF(VLOOKUP(AO19264, Ellens_additions!$A$2:$B$252, 2, FALSE) = "", "", VLOOKUP(AO19264, Ellens_additions!$A$2:$B$252, 2, FALSE)), 0), AP19264)</f>
        <v>3000</v>
      </c>
    </row>
    <row r="19265" ht="14.4" x14ac:dyDescent="0.3"/>
    <row r="19266" ht="14.4" x14ac:dyDescent="0.3"/>
    <row r="19267" ht="14.4" x14ac:dyDescent="0.3"/>
    <row r="19268" ht="14.4" x14ac:dyDescent="0.3"/>
    <row r="19269" ht="14.4" x14ac:dyDescent="0.3"/>
    <row r="19270" ht="14.4" x14ac:dyDescent="0.3"/>
    <row r="19271" ht="14.4" x14ac:dyDescent="0.3"/>
    <row r="19272" ht="14.4" x14ac:dyDescent="0.3"/>
    <row r="19273" ht="14.4" x14ac:dyDescent="0.3"/>
    <row r="19274" ht="14.4" x14ac:dyDescent="0.3"/>
    <row r="19275" ht="14.4" x14ac:dyDescent="0.3"/>
    <row r="19276" ht="14.4" x14ac:dyDescent="0.3"/>
    <row r="19277" ht="14.4" x14ac:dyDescent="0.3"/>
    <row r="19278" ht="14.4" x14ac:dyDescent="0.3"/>
    <row r="19279" ht="14.4" x14ac:dyDescent="0.3"/>
    <row r="19280" ht="14.4" x14ac:dyDescent="0.3"/>
    <row r="19281" spans="1:43" ht="14.4" x14ac:dyDescent="0.3"/>
    <row r="19282" spans="1:43" ht="14.4" x14ac:dyDescent="0.3"/>
    <row r="19283" spans="1:43" ht="14.4" x14ac:dyDescent="0.3"/>
    <row r="19284" spans="1:43" ht="14.4" hidden="1" x14ac:dyDescent="0.3">
      <c r="A19284" t="s">
        <v>3034</v>
      </c>
      <c r="B19284">
        <v>4910779</v>
      </c>
      <c r="C19284" t="s">
        <v>135</v>
      </c>
      <c r="D19284" t="s">
        <v>136</v>
      </c>
      <c r="E19284" t="s">
        <v>2880</v>
      </c>
      <c r="F19284" t="s">
        <v>3035</v>
      </c>
      <c r="H19284" t="s">
        <v>296</v>
      </c>
      <c r="J19284" t="s">
        <v>140</v>
      </c>
      <c r="K19284">
        <v>156475.9221</v>
      </c>
      <c r="L19284">
        <v>383561.2121</v>
      </c>
      <c r="M19284">
        <v>1</v>
      </c>
      <c r="N19284" t="s">
        <v>3036</v>
      </c>
      <c r="O19284" t="s">
        <v>790</v>
      </c>
      <c r="P19284" t="s">
        <v>2878</v>
      </c>
      <c r="Q19284" t="s">
        <v>144</v>
      </c>
      <c r="S19284">
        <v>21</v>
      </c>
      <c r="T19284">
        <v>2500</v>
      </c>
      <c r="V19284" t="s">
        <v>146</v>
      </c>
      <c r="W19284" t="s">
        <v>147</v>
      </c>
      <c r="X19284" t="s">
        <v>7</v>
      </c>
      <c r="Y19284" t="s">
        <v>852</v>
      </c>
      <c r="Z19284" t="s">
        <v>790</v>
      </c>
      <c r="AA19284" t="s">
        <v>3037</v>
      </c>
      <c r="AB19284">
        <v>0</v>
      </c>
      <c r="AE19284" t="s">
        <v>853</v>
      </c>
      <c r="AF19284" t="s">
        <v>790</v>
      </c>
      <c r="AG19284" t="s">
        <v>3038</v>
      </c>
      <c r="AL19284" t="s">
        <v>3039</v>
      </c>
      <c r="AM19284" t="s">
        <v>3040</v>
      </c>
      <c r="AN19284" t="s">
        <v>3041</v>
      </c>
      <c r="AO19284" t="s">
        <v>3036</v>
      </c>
      <c r="AP19284" t="s">
        <v>158</v>
      </c>
      <c r="AQ19284" t="str">
        <f>IF(ISBLANK(AP19284), IFERROR(IF(VLOOKUP(AO19284, Ellens_additions!$A$2:$B$252, 2, FALSE) = "", "", VLOOKUP(AO19284, Ellens_additions!$A$2:$B$252, 2, FALSE)), 0), AP19284)</f>
        <v>3000</v>
      </c>
    </row>
    <row r="19285" spans="1:43" ht="14.4" hidden="1" x14ac:dyDescent="0.3">
      <c r="A19285" t="s">
        <v>3042</v>
      </c>
      <c r="B19285">
        <v>4910780</v>
      </c>
      <c r="C19285" t="s">
        <v>135</v>
      </c>
      <c r="D19285" t="s">
        <v>136</v>
      </c>
      <c r="E19285" t="s">
        <v>2880</v>
      </c>
      <c r="F19285" t="s">
        <v>3035</v>
      </c>
      <c r="H19285" t="s">
        <v>274</v>
      </c>
      <c r="J19285" t="s">
        <v>140</v>
      </c>
      <c r="K19285">
        <v>156470.44949999999</v>
      </c>
      <c r="L19285">
        <v>383571.30430000002</v>
      </c>
      <c r="M19285">
        <v>1</v>
      </c>
      <c r="N19285" t="s">
        <v>3036</v>
      </c>
      <c r="O19285" t="s">
        <v>790</v>
      </c>
      <c r="P19285" t="s">
        <v>2878</v>
      </c>
      <c r="Q19285" t="s">
        <v>144</v>
      </c>
      <c r="S19285">
        <v>21</v>
      </c>
      <c r="T19285">
        <v>2500</v>
      </c>
      <c r="V19285" t="s">
        <v>146</v>
      </c>
      <c r="W19285" t="s">
        <v>147</v>
      </c>
      <c r="X19285" t="s">
        <v>7</v>
      </c>
      <c r="Y19285" t="s">
        <v>852</v>
      </c>
      <c r="Z19285" t="s">
        <v>790</v>
      </c>
      <c r="AA19285" t="s">
        <v>3037</v>
      </c>
      <c r="AB19285">
        <v>0</v>
      </c>
      <c r="AE19285" t="s">
        <v>853</v>
      </c>
      <c r="AF19285" t="s">
        <v>790</v>
      </c>
      <c r="AG19285" t="s">
        <v>3038</v>
      </c>
      <c r="AL19285" t="s">
        <v>3043</v>
      </c>
      <c r="AM19285" t="s">
        <v>3044</v>
      </c>
      <c r="AN19285" t="s">
        <v>3045</v>
      </c>
      <c r="AO19285" t="s">
        <v>3036</v>
      </c>
      <c r="AP19285" t="s">
        <v>158</v>
      </c>
      <c r="AQ19285" t="str">
        <f>IF(ISBLANK(AP19285), IFERROR(IF(VLOOKUP(AO19285, Ellens_additions!$A$2:$B$252, 2, FALSE) = "", "", VLOOKUP(AO19285, Ellens_additions!$A$2:$B$252, 2, FALSE)), 0), AP19285)</f>
        <v>3000</v>
      </c>
    </row>
    <row r="19286" spans="1:43" ht="14.4" hidden="1" x14ac:dyDescent="0.3">
      <c r="A19286" t="s">
        <v>3046</v>
      </c>
      <c r="B19286">
        <v>4910782</v>
      </c>
      <c r="C19286" t="s">
        <v>135</v>
      </c>
      <c r="D19286" t="s">
        <v>136</v>
      </c>
      <c r="E19286" t="s">
        <v>2880</v>
      </c>
      <c r="F19286" t="s">
        <v>3035</v>
      </c>
      <c r="H19286" t="s">
        <v>275</v>
      </c>
      <c r="J19286" t="s">
        <v>140</v>
      </c>
      <c r="K19286">
        <v>156445.37729999999</v>
      </c>
      <c r="L19286">
        <v>383589.66350000002</v>
      </c>
      <c r="M19286">
        <v>1</v>
      </c>
      <c r="N19286" t="s">
        <v>3036</v>
      </c>
      <c r="O19286" t="s">
        <v>790</v>
      </c>
      <c r="P19286" t="s">
        <v>2878</v>
      </c>
      <c r="Q19286" t="s">
        <v>144</v>
      </c>
      <c r="S19286">
        <v>21</v>
      </c>
      <c r="T19286">
        <v>2500</v>
      </c>
      <c r="V19286" t="s">
        <v>146</v>
      </c>
      <c r="W19286" t="s">
        <v>147</v>
      </c>
      <c r="X19286" t="s">
        <v>7</v>
      </c>
      <c r="Y19286" t="s">
        <v>852</v>
      </c>
      <c r="Z19286" t="s">
        <v>790</v>
      </c>
      <c r="AA19286" t="s">
        <v>3037</v>
      </c>
      <c r="AB19286">
        <v>0</v>
      </c>
      <c r="AE19286" t="s">
        <v>853</v>
      </c>
      <c r="AF19286" t="s">
        <v>790</v>
      </c>
      <c r="AG19286" t="s">
        <v>3038</v>
      </c>
      <c r="AL19286" t="s">
        <v>3047</v>
      </c>
      <c r="AM19286" t="s">
        <v>3048</v>
      </c>
      <c r="AN19286" t="s">
        <v>3049</v>
      </c>
      <c r="AO19286" t="s">
        <v>3036</v>
      </c>
      <c r="AP19286" t="s">
        <v>158</v>
      </c>
      <c r="AQ19286" t="str">
        <f>IF(ISBLANK(AP19286), IFERROR(IF(VLOOKUP(AO19286, Ellens_additions!$A$2:$B$252, 2, FALSE) = "", "", VLOOKUP(AO19286, Ellens_additions!$A$2:$B$252, 2, FALSE)), 0), AP19286)</f>
        <v>3000</v>
      </c>
    </row>
    <row r="19287" spans="1:43" ht="14.4" hidden="1" x14ac:dyDescent="0.3">
      <c r="A19287" t="s">
        <v>3050</v>
      </c>
      <c r="B19287">
        <v>4910784</v>
      </c>
      <c r="C19287" t="s">
        <v>135</v>
      </c>
      <c r="D19287" t="s">
        <v>136</v>
      </c>
      <c r="E19287" t="s">
        <v>2880</v>
      </c>
      <c r="F19287" t="s">
        <v>3035</v>
      </c>
      <c r="H19287" t="s">
        <v>303</v>
      </c>
      <c r="J19287" t="s">
        <v>140</v>
      </c>
      <c r="K19287">
        <v>156437.204</v>
      </c>
      <c r="L19287">
        <v>383608.81300000002</v>
      </c>
      <c r="M19287">
        <v>1</v>
      </c>
      <c r="N19287" t="s">
        <v>3036</v>
      </c>
      <c r="O19287" t="s">
        <v>790</v>
      </c>
      <c r="P19287" t="s">
        <v>2878</v>
      </c>
      <c r="Q19287" t="s">
        <v>144</v>
      </c>
      <c r="S19287">
        <v>21</v>
      </c>
      <c r="T19287">
        <v>2500</v>
      </c>
      <c r="V19287" t="s">
        <v>146</v>
      </c>
      <c r="W19287" t="s">
        <v>147</v>
      </c>
      <c r="X19287" t="s">
        <v>7</v>
      </c>
      <c r="Y19287" t="s">
        <v>852</v>
      </c>
      <c r="Z19287" t="s">
        <v>790</v>
      </c>
      <c r="AA19287" t="s">
        <v>3037</v>
      </c>
      <c r="AB19287">
        <v>0</v>
      </c>
      <c r="AE19287" t="s">
        <v>853</v>
      </c>
      <c r="AF19287" t="s">
        <v>790</v>
      </c>
      <c r="AG19287" t="s">
        <v>3038</v>
      </c>
      <c r="AL19287" t="s">
        <v>3051</v>
      </c>
      <c r="AM19287" t="s">
        <v>3052</v>
      </c>
      <c r="AN19287" t="s">
        <v>3053</v>
      </c>
      <c r="AO19287" t="s">
        <v>3036</v>
      </c>
      <c r="AP19287" t="s">
        <v>158</v>
      </c>
      <c r="AQ19287" t="str">
        <f>IF(ISBLANK(AP19287), IFERROR(IF(VLOOKUP(AO19287, Ellens_additions!$A$2:$B$252, 2, FALSE) = "", "", VLOOKUP(AO19287, Ellens_additions!$A$2:$B$252, 2, FALSE)), 0), AP19287)</f>
        <v>3000</v>
      </c>
    </row>
    <row r="19288" spans="1:43" ht="14.4" x14ac:dyDescent="0.3"/>
    <row r="19289" spans="1:43" ht="14.4" x14ac:dyDescent="0.3"/>
    <row r="19290" spans="1:43" ht="14.4" x14ac:dyDescent="0.3"/>
    <row r="19291" spans="1:43" ht="14.4" x14ac:dyDescent="0.3"/>
    <row r="19292" spans="1:43" ht="14.4" x14ac:dyDescent="0.3"/>
    <row r="19293" spans="1:43" ht="14.4" x14ac:dyDescent="0.3"/>
    <row r="19294" spans="1:43" ht="14.4" x14ac:dyDescent="0.3"/>
    <row r="19295" spans="1:43" ht="14.4" x14ac:dyDescent="0.3"/>
    <row r="19296" spans="1:43" ht="14.4" x14ac:dyDescent="0.3"/>
    <row r="19297" ht="14.4" x14ac:dyDescent="0.3"/>
    <row r="19298" ht="14.4" x14ac:dyDescent="0.3"/>
    <row r="19299" ht="14.4" x14ac:dyDescent="0.3"/>
    <row r="19300" ht="14.4" x14ac:dyDescent="0.3"/>
    <row r="19301" ht="14.4" x14ac:dyDescent="0.3"/>
    <row r="19302" ht="14.4" x14ac:dyDescent="0.3"/>
    <row r="19303" ht="14.4" x14ac:dyDescent="0.3"/>
    <row r="19304" ht="14.4" x14ac:dyDescent="0.3"/>
    <row r="19305" ht="14.4" x14ac:dyDescent="0.3"/>
    <row r="19306" ht="14.4" x14ac:dyDescent="0.3"/>
    <row r="19307" ht="14.4" x14ac:dyDescent="0.3"/>
    <row r="19308" ht="14.4" x14ac:dyDescent="0.3"/>
    <row r="19309" ht="14.4" x14ac:dyDescent="0.3"/>
    <row r="19310" ht="14.4" x14ac:dyDescent="0.3"/>
    <row r="19311" ht="14.4" x14ac:dyDescent="0.3"/>
    <row r="19312" ht="14.4" x14ac:dyDescent="0.3"/>
    <row r="19313" ht="14.4" x14ac:dyDescent="0.3"/>
    <row r="19314" ht="14.4" x14ac:dyDescent="0.3"/>
    <row r="19315" ht="14.4" x14ac:dyDescent="0.3"/>
    <row r="19316" ht="14.4" x14ac:dyDescent="0.3"/>
    <row r="19317" ht="14.4" x14ac:dyDescent="0.3"/>
    <row r="19318" ht="14.4" x14ac:dyDescent="0.3"/>
    <row r="19319" ht="14.4" x14ac:dyDescent="0.3"/>
    <row r="19320" ht="14.4" x14ac:dyDescent="0.3"/>
    <row r="19321" ht="14.4" x14ac:dyDescent="0.3"/>
    <row r="19322" ht="14.4" x14ac:dyDescent="0.3"/>
    <row r="19323" ht="14.4" x14ac:dyDescent="0.3"/>
    <row r="19324" ht="14.4" x14ac:dyDescent="0.3"/>
    <row r="19325" ht="14.4" x14ac:dyDescent="0.3"/>
    <row r="19326" ht="14.4" x14ac:dyDescent="0.3"/>
    <row r="19327" ht="14.4" x14ac:dyDescent="0.3"/>
    <row r="19328" ht="14.4" x14ac:dyDescent="0.3"/>
    <row r="19329" ht="14.4" x14ac:dyDescent="0.3"/>
    <row r="19330" ht="14.4" x14ac:dyDescent="0.3"/>
    <row r="19331" ht="14.4" x14ac:dyDescent="0.3"/>
    <row r="19332" ht="14.4" x14ac:dyDescent="0.3"/>
    <row r="19333" ht="14.4" x14ac:dyDescent="0.3"/>
    <row r="19334" ht="14.4" x14ac:dyDescent="0.3"/>
    <row r="19335" ht="14.4" x14ac:dyDescent="0.3"/>
    <row r="19336" ht="14.4" x14ac:dyDescent="0.3"/>
    <row r="19337" ht="14.4" x14ac:dyDescent="0.3"/>
    <row r="19338" ht="14.4" x14ac:dyDescent="0.3"/>
    <row r="19339" ht="14.4" x14ac:dyDescent="0.3"/>
    <row r="19340" ht="14.4" x14ac:dyDescent="0.3"/>
    <row r="19341" ht="14.4" x14ac:dyDescent="0.3"/>
    <row r="19342" ht="14.4" x14ac:dyDescent="0.3"/>
    <row r="19343" ht="14.4" x14ac:dyDescent="0.3"/>
    <row r="19344" ht="14.4" x14ac:dyDescent="0.3"/>
    <row r="19345" ht="14.4" x14ac:dyDescent="0.3"/>
    <row r="19346" ht="14.4" x14ac:dyDescent="0.3"/>
    <row r="19347" ht="14.4" x14ac:dyDescent="0.3"/>
    <row r="19348" ht="14.4" x14ac:dyDescent="0.3"/>
    <row r="19349" ht="14.4" x14ac:dyDescent="0.3"/>
    <row r="19350" ht="14.4" x14ac:dyDescent="0.3"/>
    <row r="19351" ht="14.4" x14ac:dyDescent="0.3"/>
    <row r="19352" ht="14.4" x14ac:dyDescent="0.3"/>
    <row r="19353" ht="14.4" x14ac:dyDescent="0.3"/>
    <row r="19354" ht="14.4" x14ac:dyDescent="0.3"/>
    <row r="19355" ht="14.4" x14ac:dyDescent="0.3"/>
    <row r="19356" ht="14.4" x14ac:dyDescent="0.3"/>
    <row r="19357" ht="14.4" x14ac:dyDescent="0.3"/>
    <row r="19358" ht="14.4" x14ac:dyDescent="0.3"/>
    <row r="19359" ht="14.4" x14ac:dyDescent="0.3"/>
    <row r="19360" ht="14.4" x14ac:dyDescent="0.3"/>
    <row r="19361" ht="14.4" x14ac:dyDescent="0.3"/>
    <row r="19362" ht="14.4" x14ac:dyDescent="0.3"/>
    <row r="19363" ht="14.4" x14ac:dyDescent="0.3"/>
    <row r="19364" ht="14.4" x14ac:dyDescent="0.3"/>
    <row r="19365" ht="14.4" x14ac:dyDescent="0.3"/>
    <row r="19366" ht="14.4" x14ac:dyDescent="0.3"/>
    <row r="19367" ht="14.4" x14ac:dyDescent="0.3"/>
    <row r="19368" ht="14.4" x14ac:dyDescent="0.3"/>
    <row r="19369" ht="14.4" x14ac:dyDescent="0.3"/>
    <row r="19370" ht="14.4" x14ac:dyDescent="0.3"/>
    <row r="19371" ht="14.4" x14ac:dyDescent="0.3"/>
    <row r="19372" ht="14.4" x14ac:dyDescent="0.3"/>
    <row r="19373" ht="14.4" x14ac:dyDescent="0.3"/>
    <row r="19374" ht="14.4" x14ac:dyDescent="0.3"/>
    <row r="19375" ht="14.4" x14ac:dyDescent="0.3"/>
    <row r="19376" ht="14.4" x14ac:dyDescent="0.3"/>
    <row r="19377" spans="1:43" ht="14.4" x14ac:dyDescent="0.3"/>
    <row r="19378" spans="1:43" ht="14.4" x14ac:dyDescent="0.3"/>
    <row r="19379" spans="1:43" ht="14.4" x14ac:dyDescent="0.3"/>
    <row r="19380" spans="1:43" ht="14.4" x14ac:dyDescent="0.3"/>
    <row r="19381" spans="1:43" ht="14.4" x14ac:dyDescent="0.3"/>
    <row r="19382" spans="1:43" ht="14.4" x14ac:dyDescent="0.3"/>
    <row r="19383" spans="1:43" ht="14.4" x14ac:dyDescent="0.3"/>
    <row r="19384" spans="1:43" ht="14.4" x14ac:dyDescent="0.3"/>
    <row r="19385" spans="1:43" ht="14.4" x14ac:dyDescent="0.3"/>
    <row r="19386" spans="1:43" ht="14.4" x14ac:dyDescent="0.3"/>
    <row r="19387" spans="1:43" ht="14.4" hidden="1" x14ac:dyDescent="0.3">
      <c r="A19387" t="s">
        <v>3055</v>
      </c>
      <c r="B19387">
        <v>4918128</v>
      </c>
      <c r="C19387" t="s">
        <v>424</v>
      </c>
      <c r="D19387" t="s">
        <v>439</v>
      </c>
      <c r="E19387" t="s">
        <v>794</v>
      </c>
      <c r="F19387" t="s">
        <v>1807</v>
      </c>
      <c r="H19387" t="s">
        <v>278</v>
      </c>
      <c r="J19387" t="s">
        <v>140</v>
      </c>
      <c r="K19387">
        <v>158686.234</v>
      </c>
      <c r="L19387">
        <v>388580.11499999999</v>
      </c>
      <c r="N19387" t="s">
        <v>263</v>
      </c>
      <c r="O19387" t="s">
        <v>1881</v>
      </c>
      <c r="P19387" t="s">
        <v>3056</v>
      </c>
      <c r="Q19387" t="s">
        <v>264</v>
      </c>
      <c r="R19387" t="s">
        <v>145</v>
      </c>
      <c r="S19387">
        <v>36</v>
      </c>
      <c r="T19387">
        <v>2900</v>
      </c>
      <c r="V19387" t="s">
        <v>265</v>
      </c>
      <c r="W19387" t="s">
        <v>147</v>
      </c>
      <c r="Y19387" t="s">
        <v>782</v>
      </c>
      <c r="Z19387" t="s">
        <v>507</v>
      </c>
      <c r="AA19387" t="s">
        <v>1953</v>
      </c>
      <c r="AB19387">
        <v>0</v>
      </c>
      <c r="AE19387" t="s">
        <v>816</v>
      </c>
      <c r="AF19387" t="s">
        <v>553</v>
      </c>
      <c r="AG19387" t="s">
        <v>1025</v>
      </c>
      <c r="AL19387" t="s">
        <v>3057</v>
      </c>
      <c r="AM19387" t="s">
        <v>3058</v>
      </c>
      <c r="AN19387" t="s">
        <v>3059</v>
      </c>
      <c r="AO19387" t="s">
        <v>263</v>
      </c>
      <c r="AQ19387" t="str">
        <f>IF(ISBLANK(AP19387), IFERROR(IF(VLOOKUP(AO19387, Ellens_additions!$A$2:$B$252, 2, FALSE) = "", "", VLOOKUP(AO19387, Ellens_additions!$A$2:$B$252, 2, FALSE)), 0), AP19387)</f>
        <v/>
      </c>
    </row>
    <row r="19388" spans="1:43" ht="14.4" x14ac:dyDescent="0.3"/>
    <row r="19389" spans="1:43" ht="14.4" x14ac:dyDescent="0.3"/>
    <row r="19390" spans="1:43" ht="14.4" x14ac:dyDescent="0.3"/>
    <row r="19391" spans="1:43" ht="14.4" x14ac:dyDescent="0.3"/>
    <row r="19392" spans="1:43" ht="14.4" x14ac:dyDescent="0.3"/>
    <row r="19393" ht="14.4" x14ac:dyDescent="0.3"/>
    <row r="19394" ht="14.4" x14ac:dyDescent="0.3"/>
    <row r="19395" ht="14.4" x14ac:dyDescent="0.3"/>
    <row r="19396" ht="14.4" x14ac:dyDescent="0.3"/>
    <row r="19397" ht="14.4" x14ac:dyDescent="0.3"/>
    <row r="19398" ht="14.4" x14ac:dyDescent="0.3"/>
    <row r="19399" ht="14.4" x14ac:dyDescent="0.3"/>
    <row r="19400" ht="14.4" x14ac:dyDescent="0.3"/>
    <row r="19401" ht="14.4" x14ac:dyDescent="0.3"/>
    <row r="19402" ht="14.4" x14ac:dyDescent="0.3"/>
    <row r="19403" ht="14.4" x14ac:dyDescent="0.3"/>
    <row r="19404" ht="14.4" x14ac:dyDescent="0.3"/>
    <row r="19405" ht="14.4" x14ac:dyDescent="0.3"/>
    <row r="19406" ht="14.4" x14ac:dyDescent="0.3"/>
    <row r="19407" ht="14.4" x14ac:dyDescent="0.3"/>
    <row r="19408" ht="14.4" x14ac:dyDescent="0.3"/>
    <row r="19409" ht="14.4" x14ac:dyDescent="0.3"/>
    <row r="19410" ht="14.4" x14ac:dyDescent="0.3"/>
    <row r="19411" ht="14.4" x14ac:dyDescent="0.3"/>
    <row r="19412" ht="14.4" x14ac:dyDescent="0.3"/>
    <row r="19413" ht="14.4" x14ac:dyDescent="0.3"/>
    <row r="19414" ht="14.4" x14ac:dyDescent="0.3"/>
    <row r="19415" ht="14.4" x14ac:dyDescent="0.3"/>
    <row r="19416" ht="14.4" x14ac:dyDescent="0.3"/>
    <row r="19417" ht="14.4" x14ac:dyDescent="0.3"/>
    <row r="19418" ht="14.4" x14ac:dyDescent="0.3"/>
    <row r="19419" ht="14.4" x14ac:dyDescent="0.3"/>
    <row r="19420" ht="14.4" x14ac:dyDescent="0.3"/>
    <row r="19421" ht="14.4" x14ac:dyDescent="0.3"/>
    <row r="19422" ht="14.4" x14ac:dyDescent="0.3"/>
    <row r="19423" ht="14.4" x14ac:dyDescent="0.3"/>
    <row r="19424" ht="14.4" x14ac:dyDescent="0.3"/>
    <row r="19425" ht="14.4" x14ac:dyDescent="0.3"/>
    <row r="19426" ht="14.4" x14ac:dyDescent="0.3"/>
    <row r="19427" ht="14.4" x14ac:dyDescent="0.3"/>
    <row r="19428" ht="14.4" x14ac:dyDescent="0.3"/>
    <row r="19429" ht="14.4" x14ac:dyDescent="0.3"/>
    <row r="19430" ht="14.4" x14ac:dyDescent="0.3"/>
    <row r="19431" ht="14.4" x14ac:dyDescent="0.3"/>
    <row r="19432" ht="14.4" x14ac:dyDescent="0.3"/>
    <row r="19433" ht="14.4" x14ac:dyDescent="0.3"/>
    <row r="19434" ht="14.4" x14ac:dyDescent="0.3"/>
    <row r="19435" ht="14.4" x14ac:dyDescent="0.3"/>
    <row r="19436" ht="14.4" x14ac:dyDescent="0.3"/>
    <row r="19437" ht="14.4" x14ac:dyDescent="0.3"/>
    <row r="19438" ht="14.4" x14ac:dyDescent="0.3"/>
    <row r="19439" ht="14.4" x14ac:dyDescent="0.3"/>
    <row r="19440" ht="14.4" x14ac:dyDescent="0.3"/>
    <row r="19441" ht="14.4" x14ac:dyDescent="0.3"/>
    <row r="19442" ht="14.4" x14ac:dyDescent="0.3"/>
    <row r="19443" ht="14.4" x14ac:dyDescent="0.3"/>
    <row r="19444" ht="14.4" x14ac:dyDescent="0.3"/>
    <row r="19445" ht="14.4" x14ac:dyDescent="0.3"/>
    <row r="19446" ht="14.4" x14ac:dyDescent="0.3"/>
    <row r="19447" ht="14.4" x14ac:dyDescent="0.3"/>
    <row r="19448" ht="14.4" x14ac:dyDescent="0.3"/>
    <row r="19449" ht="14.4" x14ac:dyDescent="0.3"/>
    <row r="19450" ht="14.4" x14ac:dyDescent="0.3"/>
    <row r="19451" ht="14.4" x14ac:dyDescent="0.3"/>
    <row r="19452" ht="14.4" x14ac:dyDescent="0.3"/>
    <row r="19453" ht="14.4" x14ac:dyDescent="0.3"/>
    <row r="19454" ht="14.4" x14ac:dyDescent="0.3"/>
    <row r="19455" ht="14.4" x14ac:dyDescent="0.3"/>
    <row r="19456" ht="14.4" x14ac:dyDescent="0.3"/>
    <row r="19457" ht="14.4" x14ac:dyDescent="0.3"/>
    <row r="19458" ht="14.4" x14ac:dyDescent="0.3"/>
    <row r="19459" ht="14.4" x14ac:dyDescent="0.3"/>
    <row r="19460" ht="14.4" x14ac:dyDescent="0.3"/>
    <row r="19461" ht="14.4" x14ac:dyDescent="0.3"/>
    <row r="19462" ht="14.4" x14ac:dyDescent="0.3"/>
    <row r="19463" ht="14.4" x14ac:dyDescent="0.3"/>
    <row r="19464" ht="14.4" x14ac:dyDescent="0.3"/>
    <row r="19465" ht="14.4" x14ac:dyDescent="0.3"/>
    <row r="19466" ht="14.4" x14ac:dyDescent="0.3"/>
    <row r="19467" ht="14.4" x14ac:dyDescent="0.3"/>
    <row r="19468" ht="14.4" x14ac:dyDescent="0.3"/>
    <row r="19469" ht="14.4" x14ac:dyDescent="0.3"/>
    <row r="19470" ht="14.4" x14ac:dyDescent="0.3"/>
    <row r="19471" ht="14.4" x14ac:dyDescent="0.3"/>
    <row r="19472" ht="14.4" x14ac:dyDescent="0.3"/>
    <row r="19473" ht="14.4" x14ac:dyDescent="0.3"/>
    <row r="19474" ht="14.4" x14ac:dyDescent="0.3"/>
    <row r="19475" ht="14.4" x14ac:dyDescent="0.3"/>
    <row r="19476" ht="14.4" x14ac:dyDescent="0.3"/>
    <row r="19477" ht="14.4" x14ac:dyDescent="0.3"/>
    <row r="19478" ht="14.4" x14ac:dyDescent="0.3"/>
    <row r="19479" ht="14.4" x14ac:dyDescent="0.3"/>
    <row r="19480" ht="14.4" x14ac:dyDescent="0.3"/>
    <row r="19481" ht="14.4" x14ac:dyDescent="0.3"/>
    <row r="19482" ht="14.4" x14ac:dyDescent="0.3"/>
    <row r="19483" ht="14.4" x14ac:dyDescent="0.3"/>
    <row r="19484" ht="14.4" x14ac:dyDescent="0.3"/>
    <row r="19485" ht="14.4" x14ac:dyDescent="0.3"/>
    <row r="19486" ht="14.4" x14ac:dyDescent="0.3"/>
    <row r="19487" ht="14.4" x14ac:dyDescent="0.3"/>
    <row r="19488" ht="14.4" x14ac:dyDescent="0.3"/>
    <row r="19489" ht="14.4" x14ac:dyDescent="0.3"/>
    <row r="19490" ht="14.4" x14ac:dyDescent="0.3"/>
    <row r="19491" ht="14.4" x14ac:dyDescent="0.3"/>
    <row r="19492" ht="14.4" x14ac:dyDescent="0.3"/>
    <row r="19493" ht="14.4" x14ac:dyDescent="0.3"/>
    <row r="19494" ht="14.4" x14ac:dyDescent="0.3"/>
    <row r="19495" ht="14.4" x14ac:dyDescent="0.3"/>
    <row r="19496" ht="14.4" x14ac:dyDescent="0.3"/>
    <row r="19497" ht="14.4" x14ac:dyDescent="0.3"/>
    <row r="19498" ht="14.4" x14ac:dyDescent="0.3"/>
    <row r="19499" ht="14.4" x14ac:dyDescent="0.3"/>
    <row r="19500" ht="14.4" x14ac:dyDescent="0.3"/>
    <row r="19501" ht="14.4" x14ac:dyDescent="0.3"/>
    <row r="19502" ht="14.4" x14ac:dyDescent="0.3"/>
    <row r="19503" ht="14.4" x14ac:dyDescent="0.3"/>
    <row r="19504" ht="14.4" x14ac:dyDescent="0.3"/>
    <row r="19505" ht="14.4" x14ac:dyDescent="0.3"/>
    <row r="19506" ht="14.4" x14ac:dyDescent="0.3"/>
    <row r="19507" ht="14.4" x14ac:dyDescent="0.3"/>
    <row r="19508" ht="14.4" x14ac:dyDescent="0.3"/>
    <row r="19509" ht="14.4" x14ac:dyDescent="0.3"/>
    <row r="19510" ht="14.4" x14ac:dyDescent="0.3"/>
    <row r="19511" ht="14.4" x14ac:dyDescent="0.3"/>
    <row r="19512" ht="14.4" x14ac:dyDescent="0.3"/>
    <row r="19513" ht="14.4" x14ac:dyDescent="0.3"/>
    <row r="19514" ht="14.4" x14ac:dyDescent="0.3"/>
    <row r="19515" ht="14.4" x14ac:dyDescent="0.3"/>
    <row r="19516" ht="14.4" x14ac:dyDescent="0.3"/>
    <row r="19517" ht="14.4" x14ac:dyDescent="0.3"/>
    <row r="19518" ht="14.4" x14ac:dyDescent="0.3"/>
    <row r="19519" ht="14.4" x14ac:dyDescent="0.3"/>
    <row r="19520" ht="14.4" x14ac:dyDescent="0.3"/>
    <row r="19521" ht="14.4" x14ac:dyDescent="0.3"/>
    <row r="19522" ht="14.4" x14ac:dyDescent="0.3"/>
    <row r="19523" ht="14.4" x14ac:dyDescent="0.3"/>
    <row r="19524" ht="14.4" x14ac:dyDescent="0.3"/>
    <row r="19525" ht="14.4" x14ac:dyDescent="0.3"/>
    <row r="19526" ht="14.4" x14ac:dyDescent="0.3"/>
    <row r="19527" ht="14.4" x14ac:dyDescent="0.3"/>
    <row r="19528" ht="14.4" x14ac:dyDescent="0.3"/>
    <row r="19529" ht="14.4" x14ac:dyDescent="0.3"/>
    <row r="19530" ht="14.4" x14ac:dyDescent="0.3"/>
    <row r="19531" ht="14.4" x14ac:dyDescent="0.3"/>
    <row r="19532" ht="14.4" x14ac:dyDescent="0.3"/>
    <row r="19533" ht="14.4" x14ac:dyDescent="0.3"/>
    <row r="19534" ht="14.4" x14ac:dyDescent="0.3"/>
    <row r="19535" ht="14.4" x14ac:dyDescent="0.3"/>
    <row r="19536" ht="14.4" x14ac:dyDescent="0.3"/>
    <row r="19537" ht="14.4" x14ac:dyDescent="0.3"/>
    <row r="19538" ht="14.4" x14ac:dyDescent="0.3"/>
    <row r="19539" ht="14.4" x14ac:dyDescent="0.3"/>
    <row r="19540" ht="14.4" x14ac:dyDescent="0.3"/>
    <row r="19541" ht="14.4" x14ac:dyDescent="0.3"/>
    <row r="19542" ht="14.4" x14ac:dyDescent="0.3"/>
    <row r="19543" ht="14.4" x14ac:dyDescent="0.3"/>
    <row r="19544" ht="14.4" x14ac:dyDescent="0.3"/>
    <row r="19545" ht="14.4" x14ac:dyDescent="0.3"/>
    <row r="19546" ht="14.4" x14ac:dyDescent="0.3"/>
    <row r="19547" ht="14.4" x14ac:dyDescent="0.3"/>
    <row r="19548" ht="14.4" x14ac:dyDescent="0.3"/>
    <row r="19549" ht="14.4" x14ac:dyDescent="0.3"/>
    <row r="19550" ht="14.4" x14ac:dyDescent="0.3"/>
    <row r="19551" ht="14.4" x14ac:dyDescent="0.3"/>
    <row r="19552" ht="14.4" x14ac:dyDescent="0.3"/>
    <row r="19553" ht="14.4" x14ac:dyDescent="0.3"/>
    <row r="19554" ht="14.4" x14ac:dyDescent="0.3"/>
    <row r="19555" ht="14.4" x14ac:dyDescent="0.3"/>
    <row r="19556" ht="14.4" x14ac:dyDescent="0.3"/>
    <row r="19557" ht="14.4" x14ac:dyDescent="0.3"/>
    <row r="19558" ht="14.4" x14ac:dyDescent="0.3"/>
    <row r="19559" ht="14.4" x14ac:dyDescent="0.3"/>
    <row r="19560" ht="14.4" x14ac:dyDescent="0.3"/>
    <row r="19561" ht="14.4" x14ac:dyDescent="0.3"/>
    <row r="19562" ht="14.4" x14ac:dyDescent="0.3"/>
    <row r="19563" ht="14.4" x14ac:dyDescent="0.3"/>
    <row r="19564" ht="14.4" x14ac:dyDescent="0.3"/>
    <row r="19565" ht="14.4" x14ac:dyDescent="0.3"/>
    <row r="19566" ht="14.4" x14ac:dyDescent="0.3"/>
    <row r="19567" ht="14.4" x14ac:dyDescent="0.3"/>
    <row r="19568" ht="14.4" x14ac:dyDescent="0.3"/>
    <row r="19569" ht="14.4" x14ac:dyDescent="0.3"/>
    <row r="19570" ht="14.4" x14ac:dyDescent="0.3"/>
    <row r="19571" ht="14.4" x14ac:dyDescent="0.3"/>
    <row r="19572" ht="14.4" x14ac:dyDescent="0.3"/>
    <row r="19573" ht="14.4" x14ac:dyDescent="0.3"/>
    <row r="19574" ht="14.4" x14ac:dyDescent="0.3"/>
    <row r="19575" ht="14.4" x14ac:dyDescent="0.3"/>
    <row r="19576" ht="14.4" x14ac:dyDescent="0.3"/>
    <row r="19577" ht="14.4" x14ac:dyDescent="0.3"/>
    <row r="19578" ht="14.4" x14ac:dyDescent="0.3"/>
    <row r="19579" ht="14.4" x14ac:dyDescent="0.3"/>
    <row r="19580" ht="14.4" x14ac:dyDescent="0.3"/>
    <row r="19581" ht="14.4" x14ac:dyDescent="0.3"/>
    <row r="19582" ht="14.4" x14ac:dyDescent="0.3"/>
    <row r="19583" ht="14.4" x14ac:dyDescent="0.3"/>
    <row r="19584" ht="14.4" x14ac:dyDescent="0.3"/>
    <row r="19585" ht="14.4" x14ac:dyDescent="0.3"/>
    <row r="19586" ht="14.4" x14ac:dyDescent="0.3"/>
    <row r="19587" ht="14.4" x14ac:dyDescent="0.3"/>
    <row r="19588" ht="14.4" x14ac:dyDescent="0.3"/>
    <row r="19589" ht="14.4" x14ac:dyDescent="0.3"/>
    <row r="19590" ht="14.4" x14ac:dyDescent="0.3"/>
    <row r="19591" ht="14.4" x14ac:dyDescent="0.3"/>
    <row r="19592" ht="14.4" x14ac:dyDescent="0.3"/>
    <row r="19593" ht="14.4" x14ac:dyDescent="0.3"/>
    <row r="19594" ht="14.4" x14ac:dyDescent="0.3"/>
    <row r="19595" ht="14.4" x14ac:dyDescent="0.3"/>
    <row r="19596" ht="14.4" x14ac:dyDescent="0.3"/>
    <row r="19597" ht="14.4" x14ac:dyDescent="0.3"/>
    <row r="19598" ht="14.4" x14ac:dyDescent="0.3"/>
    <row r="19599" ht="14.4" x14ac:dyDescent="0.3"/>
    <row r="19600" ht="14.4" x14ac:dyDescent="0.3"/>
    <row r="19601" ht="14.4" x14ac:dyDescent="0.3"/>
    <row r="19602" ht="14.4" x14ac:dyDescent="0.3"/>
    <row r="19603" ht="14.4" x14ac:dyDescent="0.3"/>
    <row r="19604" ht="14.4" x14ac:dyDescent="0.3"/>
    <row r="19605" ht="14.4" x14ac:dyDescent="0.3"/>
    <row r="19606" ht="14.4" x14ac:dyDescent="0.3"/>
    <row r="19607" ht="14.4" x14ac:dyDescent="0.3"/>
    <row r="19608" ht="14.4" x14ac:dyDescent="0.3"/>
    <row r="19609" ht="14.4" x14ac:dyDescent="0.3"/>
    <row r="19610" ht="14.4" x14ac:dyDescent="0.3"/>
    <row r="19611" ht="14.4" x14ac:dyDescent="0.3"/>
    <row r="19612" ht="14.4" x14ac:dyDescent="0.3"/>
    <row r="19613" ht="14.4" x14ac:dyDescent="0.3"/>
    <row r="19614" ht="14.4" x14ac:dyDescent="0.3"/>
    <row r="19615" ht="14.4" x14ac:dyDescent="0.3"/>
    <row r="19616" ht="14.4" x14ac:dyDescent="0.3"/>
    <row r="19617" ht="14.4" x14ac:dyDescent="0.3"/>
    <row r="19618" ht="14.4" x14ac:dyDescent="0.3"/>
    <row r="19619" ht="14.4" x14ac:dyDescent="0.3"/>
    <row r="19620" ht="14.4" x14ac:dyDescent="0.3"/>
    <row r="19621" ht="14.4" x14ac:dyDescent="0.3"/>
    <row r="19622" ht="14.4" x14ac:dyDescent="0.3"/>
    <row r="19623" ht="14.4" x14ac:dyDescent="0.3"/>
    <row r="19624" ht="14.4" x14ac:dyDescent="0.3"/>
    <row r="19625" ht="14.4" x14ac:dyDescent="0.3"/>
    <row r="19626" ht="14.4" x14ac:dyDescent="0.3"/>
    <row r="19627" ht="14.4" x14ac:dyDescent="0.3"/>
    <row r="19628" ht="14.4" x14ac:dyDescent="0.3"/>
    <row r="19629" ht="14.4" x14ac:dyDescent="0.3"/>
    <row r="19630" ht="14.4" x14ac:dyDescent="0.3"/>
    <row r="19631" ht="14.4" x14ac:dyDescent="0.3"/>
    <row r="19632" ht="14.4" x14ac:dyDescent="0.3"/>
    <row r="19633" ht="14.4" x14ac:dyDescent="0.3"/>
    <row r="19634" ht="14.4" x14ac:dyDescent="0.3"/>
    <row r="19635" ht="14.4" x14ac:dyDescent="0.3"/>
    <row r="19636" ht="14.4" x14ac:dyDescent="0.3"/>
    <row r="19637" ht="14.4" x14ac:dyDescent="0.3"/>
    <row r="19638" ht="14.4" x14ac:dyDescent="0.3"/>
    <row r="19639" ht="14.4" x14ac:dyDescent="0.3"/>
    <row r="19640" ht="14.4" x14ac:dyDescent="0.3"/>
    <row r="19641" ht="14.4" x14ac:dyDescent="0.3"/>
    <row r="19642" ht="14.4" x14ac:dyDescent="0.3"/>
    <row r="19643" ht="14.4" x14ac:dyDescent="0.3"/>
    <row r="19644" ht="14.4" x14ac:dyDescent="0.3"/>
    <row r="19645" ht="14.4" x14ac:dyDescent="0.3"/>
    <row r="19646" ht="14.4" x14ac:dyDescent="0.3"/>
    <row r="19647" ht="14.4" x14ac:dyDescent="0.3"/>
    <row r="19648" ht="14.4" x14ac:dyDescent="0.3"/>
    <row r="19649" ht="14.4" x14ac:dyDescent="0.3"/>
    <row r="19650" ht="14.4" x14ac:dyDescent="0.3"/>
    <row r="19651" ht="14.4" x14ac:dyDescent="0.3"/>
    <row r="19652" ht="14.4" x14ac:dyDescent="0.3"/>
    <row r="19653" ht="14.4" x14ac:dyDescent="0.3"/>
    <row r="19654" ht="14.4" x14ac:dyDescent="0.3"/>
    <row r="19655" ht="14.4" x14ac:dyDescent="0.3"/>
    <row r="19656" ht="14.4" x14ac:dyDescent="0.3"/>
    <row r="19657" ht="14.4" x14ac:dyDescent="0.3"/>
    <row r="19658" ht="14.4" x14ac:dyDescent="0.3"/>
    <row r="19659" ht="14.4" x14ac:dyDescent="0.3"/>
    <row r="19660" ht="14.4" x14ac:dyDescent="0.3"/>
    <row r="19661" ht="14.4" x14ac:dyDescent="0.3"/>
    <row r="19662" ht="14.4" x14ac:dyDescent="0.3"/>
    <row r="19663" ht="14.4" x14ac:dyDescent="0.3"/>
    <row r="19664" ht="14.4" x14ac:dyDescent="0.3"/>
    <row r="19665" ht="14.4" x14ac:dyDescent="0.3"/>
    <row r="19666" ht="14.4" x14ac:dyDescent="0.3"/>
    <row r="19667" ht="14.4" x14ac:dyDescent="0.3"/>
    <row r="19668" ht="14.4" x14ac:dyDescent="0.3"/>
    <row r="19669" ht="14.4" x14ac:dyDescent="0.3"/>
    <row r="19670" ht="14.4" x14ac:dyDescent="0.3"/>
    <row r="19671" ht="14.4" x14ac:dyDescent="0.3"/>
    <row r="19672" ht="14.4" x14ac:dyDescent="0.3"/>
    <row r="19673" ht="14.4" x14ac:dyDescent="0.3"/>
    <row r="19674" ht="14.4" x14ac:dyDescent="0.3"/>
    <row r="19675" ht="14.4" x14ac:dyDescent="0.3"/>
    <row r="19676" ht="14.4" x14ac:dyDescent="0.3"/>
    <row r="19677" ht="14.4" x14ac:dyDescent="0.3"/>
    <row r="19678" ht="14.4" x14ac:dyDescent="0.3"/>
    <row r="19679" ht="14.4" x14ac:dyDescent="0.3"/>
    <row r="19680" ht="14.4" x14ac:dyDescent="0.3"/>
    <row r="19681" ht="14.4" x14ac:dyDescent="0.3"/>
    <row r="19682" ht="14.4" x14ac:dyDescent="0.3"/>
    <row r="19683" ht="14.4" x14ac:dyDescent="0.3"/>
    <row r="19684" ht="14.4" x14ac:dyDescent="0.3"/>
    <row r="19685" ht="14.4" x14ac:dyDescent="0.3"/>
    <row r="19686" ht="14.4" x14ac:dyDescent="0.3"/>
    <row r="19687" ht="14.4" x14ac:dyDescent="0.3"/>
    <row r="19688" ht="14.4" x14ac:dyDescent="0.3"/>
    <row r="19689" ht="14.4" x14ac:dyDescent="0.3"/>
    <row r="19690" ht="14.4" x14ac:dyDescent="0.3"/>
    <row r="19691" ht="14.4" x14ac:dyDescent="0.3"/>
    <row r="19692" ht="14.4" x14ac:dyDescent="0.3"/>
    <row r="19693" ht="14.4" x14ac:dyDescent="0.3"/>
    <row r="19694" ht="14.4" x14ac:dyDescent="0.3"/>
    <row r="19695" ht="14.4" x14ac:dyDescent="0.3"/>
    <row r="19696" ht="14.4" x14ac:dyDescent="0.3"/>
    <row r="19697" ht="14.4" x14ac:dyDescent="0.3"/>
    <row r="19698" ht="14.4" x14ac:dyDescent="0.3"/>
    <row r="19699" ht="14.4" x14ac:dyDescent="0.3"/>
    <row r="19700" ht="14.4" x14ac:dyDescent="0.3"/>
    <row r="19701" ht="14.4" x14ac:dyDescent="0.3"/>
    <row r="19702" ht="14.4" x14ac:dyDescent="0.3"/>
    <row r="19703" ht="14.4" x14ac:dyDescent="0.3"/>
    <row r="19704" ht="14.4" x14ac:dyDescent="0.3"/>
    <row r="19705" ht="14.4" x14ac:dyDescent="0.3"/>
    <row r="19706" ht="14.4" x14ac:dyDescent="0.3"/>
    <row r="19707" ht="14.4" x14ac:dyDescent="0.3"/>
    <row r="19708" ht="14.4" x14ac:dyDescent="0.3"/>
    <row r="19709" ht="14.4" x14ac:dyDescent="0.3"/>
    <row r="19710" ht="14.4" x14ac:dyDescent="0.3"/>
    <row r="19711" ht="14.4" x14ac:dyDescent="0.3"/>
    <row r="19712" ht="14.4" x14ac:dyDescent="0.3"/>
    <row r="19713" ht="14.4" x14ac:dyDescent="0.3"/>
    <row r="19714" ht="14.4" x14ac:dyDescent="0.3"/>
    <row r="19715" ht="14.4" x14ac:dyDescent="0.3"/>
    <row r="19716" ht="14.4" x14ac:dyDescent="0.3"/>
    <row r="19717" ht="14.4" x14ac:dyDescent="0.3"/>
    <row r="19718" ht="14.4" x14ac:dyDescent="0.3"/>
    <row r="19719" ht="14.4" x14ac:dyDescent="0.3"/>
    <row r="19720" ht="14.4" x14ac:dyDescent="0.3"/>
    <row r="19721" ht="14.4" x14ac:dyDescent="0.3"/>
    <row r="19722" ht="14.4" x14ac:dyDescent="0.3"/>
    <row r="19723" ht="14.4" x14ac:dyDescent="0.3"/>
    <row r="19724" ht="14.4" x14ac:dyDescent="0.3"/>
    <row r="19725" ht="14.4" x14ac:dyDescent="0.3"/>
    <row r="19726" ht="14.4" x14ac:dyDescent="0.3"/>
    <row r="19727" ht="14.4" x14ac:dyDescent="0.3"/>
    <row r="19728" ht="14.4" x14ac:dyDescent="0.3"/>
    <row r="19729" ht="14.4" x14ac:dyDescent="0.3"/>
    <row r="19730" ht="14.4" x14ac:dyDescent="0.3"/>
    <row r="19731" ht="14.4" x14ac:dyDescent="0.3"/>
    <row r="19732" ht="14.4" x14ac:dyDescent="0.3"/>
    <row r="19733" ht="14.4" x14ac:dyDescent="0.3"/>
    <row r="19734" ht="14.4" x14ac:dyDescent="0.3"/>
    <row r="19735" ht="14.4" x14ac:dyDescent="0.3"/>
    <row r="19736" ht="14.4" x14ac:dyDescent="0.3"/>
    <row r="19737" ht="14.4" x14ac:dyDescent="0.3"/>
    <row r="19738" ht="14.4" x14ac:dyDescent="0.3"/>
    <row r="19739" ht="14.4" x14ac:dyDescent="0.3"/>
    <row r="19740" ht="14.4" x14ac:dyDescent="0.3"/>
    <row r="19741" ht="14.4" x14ac:dyDescent="0.3"/>
    <row r="19742" ht="14.4" x14ac:dyDescent="0.3"/>
    <row r="19743" ht="14.4" x14ac:dyDescent="0.3"/>
    <row r="19744" ht="14.4" x14ac:dyDescent="0.3"/>
    <row r="19745" ht="14.4" x14ac:dyDescent="0.3"/>
    <row r="19746" ht="14.4" x14ac:dyDescent="0.3"/>
    <row r="19747" ht="14.4" x14ac:dyDescent="0.3"/>
    <row r="19748" ht="14.4" x14ac:dyDescent="0.3"/>
    <row r="19749" ht="14.4" x14ac:dyDescent="0.3"/>
    <row r="19750" ht="14.4" x14ac:dyDescent="0.3"/>
    <row r="19751" ht="14.4" x14ac:dyDescent="0.3"/>
    <row r="19752" ht="14.4" x14ac:dyDescent="0.3"/>
    <row r="19753" ht="14.4" x14ac:dyDescent="0.3"/>
    <row r="19754" ht="14.4" x14ac:dyDescent="0.3"/>
    <row r="19755" ht="14.4" x14ac:dyDescent="0.3"/>
    <row r="19756" ht="14.4" x14ac:dyDescent="0.3"/>
    <row r="19757" ht="14.4" x14ac:dyDescent="0.3"/>
    <row r="19758" ht="14.4" x14ac:dyDescent="0.3"/>
    <row r="19759" ht="14.4" x14ac:dyDescent="0.3"/>
    <row r="19760" ht="14.4" x14ac:dyDescent="0.3"/>
    <row r="19761" ht="14.4" x14ac:dyDescent="0.3"/>
    <row r="19762" ht="14.4" x14ac:dyDescent="0.3"/>
    <row r="19763" ht="14.4" x14ac:dyDescent="0.3"/>
    <row r="19764" ht="14.4" x14ac:dyDescent="0.3"/>
    <row r="19765" ht="14.4" x14ac:dyDescent="0.3"/>
    <row r="19766" ht="14.4" x14ac:dyDescent="0.3"/>
    <row r="19767" ht="14.4" x14ac:dyDescent="0.3"/>
    <row r="19768" ht="14.4" x14ac:dyDescent="0.3"/>
    <row r="19769" ht="14.4" x14ac:dyDescent="0.3"/>
    <row r="19770" ht="14.4" x14ac:dyDescent="0.3"/>
    <row r="19771" ht="14.4" x14ac:dyDescent="0.3"/>
    <row r="19772" ht="14.4" x14ac:dyDescent="0.3"/>
    <row r="19773" ht="14.4" x14ac:dyDescent="0.3"/>
    <row r="19774" ht="14.4" x14ac:dyDescent="0.3"/>
    <row r="19775" ht="14.4" x14ac:dyDescent="0.3"/>
    <row r="19776" ht="14.4" x14ac:dyDescent="0.3"/>
    <row r="19777" ht="14.4" x14ac:dyDescent="0.3"/>
    <row r="19778" ht="14.4" x14ac:dyDescent="0.3"/>
    <row r="19779" ht="14.4" x14ac:dyDescent="0.3"/>
    <row r="19780" ht="14.4" x14ac:dyDescent="0.3"/>
    <row r="19781" ht="14.4" x14ac:dyDescent="0.3"/>
    <row r="19782" ht="14.4" x14ac:dyDescent="0.3"/>
    <row r="19783" ht="14.4" x14ac:dyDescent="0.3"/>
    <row r="19784" ht="14.4" x14ac:dyDescent="0.3"/>
    <row r="19785" ht="14.4" x14ac:dyDescent="0.3"/>
    <row r="19786" ht="14.4" x14ac:dyDescent="0.3"/>
    <row r="19787" ht="14.4" x14ac:dyDescent="0.3"/>
    <row r="19788" ht="14.4" x14ac:dyDescent="0.3"/>
    <row r="19789" ht="14.4" x14ac:dyDescent="0.3"/>
    <row r="19790" ht="14.4" x14ac:dyDescent="0.3"/>
    <row r="19791" ht="14.4" x14ac:dyDescent="0.3"/>
    <row r="19792" ht="14.4" x14ac:dyDescent="0.3"/>
    <row r="19793" ht="14.4" x14ac:dyDescent="0.3"/>
    <row r="19794" ht="14.4" x14ac:dyDescent="0.3"/>
    <row r="19795" ht="14.4" x14ac:dyDescent="0.3"/>
    <row r="19796" ht="14.4" x14ac:dyDescent="0.3"/>
    <row r="19797" ht="14.4" x14ac:dyDescent="0.3"/>
    <row r="19798" ht="14.4" x14ac:dyDescent="0.3"/>
    <row r="19799" ht="14.4" x14ac:dyDescent="0.3"/>
    <row r="19800" ht="14.4" x14ac:dyDescent="0.3"/>
    <row r="19801" ht="14.4" x14ac:dyDescent="0.3"/>
    <row r="19802" ht="14.4" x14ac:dyDescent="0.3"/>
    <row r="19803" ht="14.4" x14ac:dyDescent="0.3"/>
    <row r="19804" ht="14.4" x14ac:dyDescent="0.3"/>
    <row r="19805" ht="14.4" x14ac:dyDescent="0.3"/>
    <row r="19806" ht="14.4" x14ac:dyDescent="0.3"/>
    <row r="19807" ht="14.4" x14ac:dyDescent="0.3"/>
    <row r="19808" ht="14.4" x14ac:dyDescent="0.3"/>
    <row r="19809" ht="14.4" x14ac:dyDescent="0.3"/>
    <row r="19810" ht="14.4" x14ac:dyDescent="0.3"/>
    <row r="19811" ht="14.4" x14ac:dyDescent="0.3"/>
    <row r="19812" ht="14.4" x14ac:dyDescent="0.3"/>
    <row r="19813" ht="14.4" x14ac:dyDescent="0.3"/>
    <row r="19814" ht="14.4" x14ac:dyDescent="0.3"/>
    <row r="19815" ht="14.4" x14ac:dyDescent="0.3"/>
    <row r="19816" ht="14.4" x14ac:dyDescent="0.3"/>
    <row r="19817" ht="14.4" x14ac:dyDescent="0.3"/>
    <row r="19818" ht="14.4" x14ac:dyDescent="0.3"/>
    <row r="19819" ht="14.4" x14ac:dyDescent="0.3"/>
    <row r="19820" ht="14.4" x14ac:dyDescent="0.3"/>
    <row r="19821" ht="14.4" x14ac:dyDescent="0.3"/>
    <row r="19822" ht="14.4" x14ac:dyDescent="0.3"/>
    <row r="19823" ht="14.4" x14ac:dyDescent="0.3"/>
    <row r="19824" ht="14.4" x14ac:dyDescent="0.3"/>
    <row r="19825" ht="14.4" x14ac:dyDescent="0.3"/>
    <row r="19826" ht="14.4" x14ac:dyDescent="0.3"/>
    <row r="19827" ht="14.4" x14ac:dyDescent="0.3"/>
    <row r="19828" ht="14.4" x14ac:dyDescent="0.3"/>
    <row r="19829" ht="14.4" x14ac:dyDescent="0.3"/>
    <row r="19830" ht="14.4" x14ac:dyDescent="0.3"/>
    <row r="19831" ht="14.4" x14ac:dyDescent="0.3"/>
    <row r="19832" ht="14.4" x14ac:dyDescent="0.3"/>
    <row r="19833" ht="14.4" x14ac:dyDescent="0.3"/>
    <row r="19834" ht="14.4" x14ac:dyDescent="0.3"/>
    <row r="19835" ht="14.4" x14ac:dyDescent="0.3"/>
    <row r="19836" ht="14.4" x14ac:dyDescent="0.3"/>
    <row r="19837" ht="14.4" x14ac:dyDescent="0.3"/>
    <row r="19838" ht="14.4" x14ac:dyDescent="0.3"/>
    <row r="19839" ht="14.4" x14ac:dyDescent="0.3"/>
    <row r="19840" ht="14.4" x14ac:dyDescent="0.3"/>
    <row r="19841" ht="14.4" x14ac:dyDescent="0.3"/>
    <row r="19842" ht="14.4" x14ac:dyDescent="0.3"/>
    <row r="19843" ht="14.4" x14ac:dyDescent="0.3"/>
    <row r="19844" ht="14.4" x14ac:dyDescent="0.3"/>
    <row r="19845" ht="14.4" x14ac:dyDescent="0.3"/>
    <row r="19846" ht="14.4" x14ac:dyDescent="0.3"/>
    <row r="19847" ht="14.4" x14ac:dyDescent="0.3"/>
    <row r="19848" ht="14.4" x14ac:dyDescent="0.3"/>
    <row r="19849" ht="14.4" x14ac:dyDescent="0.3"/>
    <row r="19850" ht="14.4" x14ac:dyDescent="0.3"/>
    <row r="19851" ht="14.4" x14ac:dyDescent="0.3"/>
    <row r="19852" ht="14.4" x14ac:dyDescent="0.3"/>
    <row r="19853" ht="14.4" x14ac:dyDescent="0.3"/>
    <row r="19854" ht="14.4" x14ac:dyDescent="0.3"/>
    <row r="19855" ht="14.4" x14ac:dyDescent="0.3"/>
    <row r="19856" ht="14.4" x14ac:dyDescent="0.3"/>
    <row r="19857" ht="14.4" x14ac:dyDescent="0.3"/>
    <row r="19858" ht="14.4" x14ac:dyDescent="0.3"/>
    <row r="19859" ht="14.4" x14ac:dyDescent="0.3"/>
    <row r="19860" ht="14.4" x14ac:dyDescent="0.3"/>
    <row r="19861" ht="14.4" x14ac:dyDescent="0.3"/>
    <row r="19862" ht="14.4" x14ac:dyDescent="0.3"/>
    <row r="19863" ht="14.4" x14ac:dyDescent="0.3"/>
    <row r="19864" ht="14.4" x14ac:dyDescent="0.3"/>
    <row r="19865" ht="14.4" x14ac:dyDescent="0.3"/>
    <row r="19866" ht="14.4" x14ac:dyDescent="0.3"/>
    <row r="19867" ht="14.4" x14ac:dyDescent="0.3"/>
    <row r="19868" ht="14.4" x14ac:dyDescent="0.3"/>
    <row r="19869" ht="14.4" x14ac:dyDescent="0.3"/>
    <row r="19870" ht="14.4" x14ac:dyDescent="0.3"/>
    <row r="19871" ht="14.4" x14ac:dyDescent="0.3"/>
    <row r="19872" ht="14.4" x14ac:dyDescent="0.3"/>
    <row r="19873" ht="14.4" x14ac:dyDescent="0.3"/>
    <row r="19874" ht="14.4" x14ac:dyDescent="0.3"/>
    <row r="19875" ht="14.4" x14ac:dyDescent="0.3"/>
    <row r="19876" ht="14.4" x14ac:dyDescent="0.3"/>
    <row r="19877" ht="14.4" x14ac:dyDescent="0.3"/>
    <row r="19878" ht="14.4" x14ac:dyDescent="0.3"/>
    <row r="19879" ht="14.4" x14ac:dyDescent="0.3"/>
    <row r="19880" ht="14.4" x14ac:dyDescent="0.3"/>
    <row r="19881" ht="14.4" x14ac:dyDescent="0.3"/>
    <row r="19882" ht="14.4" x14ac:dyDescent="0.3"/>
    <row r="19883" ht="14.4" x14ac:dyDescent="0.3"/>
    <row r="19884" ht="14.4" x14ac:dyDescent="0.3"/>
    <row r="19885" ht="14.4" x14ac:dyDescent="0.3"/>
    <row r="19886" ht="14.4" x14ac:dyDescent="0.3"/>
    <row r="19887" ht="14.4" x14ac:dyDescent="0.3"/>
    <row r="19888" ht="14.4" x14ac:dyDescent="0.3"/>
    <row r="19889" ht="14.4" x14ac:dyDescent="0.3"/>
    <row r="19890" ht="14.4" x14ac:dyDescent="0.3"/>
    <row r="19891" ht="14.4" x14ac:dyDescent="0.3"/>
    <row r="19892" ht="14.4" x14ac:dyDescent="0.3"/>
    <row r="19893" ht="14.4" x14ac:dyDescent="0.3"/>
    <row r="19894" ht="14.4" x14ac:dyDescent="0.3"/>
    <row r="19895" ht="14.4" x14ac:dyDescent="0.3"/>
    <row r="19896" ht="14.4" x14ac:dyDescent="0.3"/>
    <row r="19897" ht="14.4" x14ac:dyDescent="0.3"/>
    <row r="19898" ht="14.4" x14ac:dyDescent="0.3"/>
    <row r="19899" ht="14.4" x14ac:dyDescent="0.3"/>
    <row r="19900" ht="14.4" x14ac:dyDescent="0.3"/>
    <row r="19901" ht="14.4" x14ac:dyDescent="0.3"/>
    <row r="19902" ht="14.4" x14ac:dyDescent="0.3"/>
    <row r="19903" ht="14.4" x14ac:dyDescent="0.3"/>
    <row r="19904" ht="14.4" x14ac:dyDescent="0.3"/>
    <row r="19905" ht="14.4" x14ac:dyDescent="0.3"/>
    <row r="19906" ht="14.4" x14ac:dyDescent="0.3"/>
    <row r="19907" ht="14.4" x14ac:dyDescent="0.3"/>
    <row r="19908" ht="14.4" x14ac:dyDescent="0.3"/>
    <row r="19909" ht="14.4" x14ac:dyDescent="0.3"/>
    <row r="19910" ht="14.4" x14ac:dyDescent="0.3"/>
    <row r="19911" ht="14.4" x14ac:dyDescent="0.3"/>
    <row r="19912" ht="14.4" x14ac:dyDescent="0.3"/>
    <row r="19913" ht="14.4" x14ac:dyDescent="0.3"/>
    <row r="19914" ht="14.4" x14ac:dyDescent="0.3"/>
    <row r="19915" ht="14.4" x14ac:dyDescent="0.3"/>
    <row r="19916" ht="14.4" x14ac:dyDescent="0.3"/>
    <row r="19917" ht="14.4" x14ac:dyDescent="0.3"/>
    <row r="19918" ht="14.4" x14ac:dyDescent="0.3"/>
    <row r="19919" ht="14.4" x14ac:dyDescent="0.3"/>
    <row r="19920" ht="14.4" x14ac:dyDescent="0.3"/>
    <row r="19921" ht="14.4" x14ac:dyDescent="0.3"/>
    <row r="19922" ht="14.4" x14ac:dyDescent="0.3"/>
    <row r="19923" ht="14.4" x14ac:dyDescent="0.3"/>
    <row r="19924" ht="14.4" x14ac:dyDescent="0.3"/>
    <row r="19925" ht="14.4" x14ac:dyDescent="0.3"/>
    <row r="19926" ht="14.4" x14ac:dyDescent="0.3"/>
    <row r="19927" ht="14.4" x14ac:dyDescent="0.3"/>
    <row r="19928" ht="14.4" x14ac:dyDescent="0.3"/>
    <row r="19929" ht="14.4" x14ac:dyDescent="0.3"/>
    <row r="19930" ht="14.4" x14ac:dyDescent="0.3"/>
    <row r="19931" ht="14.4" x14ac:dyDescent="0.3"/>
    <row r="19932" ht="14.4" x14ac:dyDescent="0.3"/>
    <row r="19933" ht="14.4" x14ac:dyDescent="0.3"/>
    <row r="19934" ht="14.4" x14ac:dyDescent="0.3"/>
    <row r="19935" ht="14.4" x14ac:dyDescent="0.3"/>
    <row r="19936" ht="14.4" x14ac:dyDescent="0.3"/>
    <row r="19937" ht="14.4" x14ac:dyDescent="0.3"/>
    <row r="19938" ht="14.4" x14ac:dyDescent="0.3"/>
    <row r="19939" ht="14.4" x14ac:dyDescent="0.3"/>
    <row r="19940" ht="14.4" x14ac:dyDescent="0.3"/>
    <row r="19941" ht="14.4" x14ac:dyDescent="0.3"/>
    <row r="19942" ht="14.4" x14ac:dyDescent="0.3"/>
    <row r="19943" ht="14.4" x14ac:dyDescent="0.3"/>
    <row r="19944" ht="14.4" x14ac:dyDescent="0.3"/>
    <row r="19945" ht="14.4" x14ac:dyDescent="0.3"/>
    <row r="19946" ht="14.4" x14ac:dyDescent="0.3"/>
    <row r="19947" ht="14.4" x14ac:dyDescent="0.3"/>
    <row r="19948" ht="14.4" x14ac:dyDescent="0.3"/>
    <row r="19949" ht="14.4" x14ac:dyDescent="0.3"/>
    <row r="19950" ht="14.4" x14ac:dyDescent="0.3"/>
    <row r="19951" ht="14.4" x14ac:dyDescent="0.3"/>
    <row r="19952" ht="14.4" x14ac:dyDescent="0.3"/>
    <row r="19953" ht="14.4" x14ac:dyDescent="0.3"/>
    <row r="19954" ht="14.4" x14ac:dyDescent="0.3"/>
    <row r="19955" ht="14.4" x14ac:dyDescent="0.3"/>
    <row r="19956" ht="14.4" x14ac:dyDescent="0.3"/>
    <row r="19957" ht="14.4" x14ac:dyDescent="0.3"/>
    <row r="19958" ht="14.4" x14ac:dyDescent="0.3"/>
    <row r="19959" ht="14.4" x14ac:dyDescent="0.3"/>
    <row r="19960" ht="14.4" x14ac:dyDescent="0.3"/>
    <row r="19961" ht="14.4" x14ac:dyDescent="0.3"/>
    <row r="19962" ht="14.4" x14ac:dyDescent="0.3"/>
    <row r="19963" ht="14.4" x14ac:dyDescent="0.3"/>
    <row r="19964" ht="14.4" x14ac:dyDescent="0.3"/>
    <row r="19965" ht="14.4" x14ac:dyDescent="0.3"/>
    <row r="19966" ht="14.4" x14ac:dyDescent="0.3"/>
    <row r="19967" ht="14.4" x14ac:dyDescent="0.3"/>
    <row r="19968" ht="14.4" x14ac:dyDescent="0.3"/>
    <row r="19969" ht="14.4" x14ac:dyDescent="0.3"/>
    <row r="19970" ht="14.4" x14ac:dyDescent="0.3"/>
    <row r="19971" ht="14.4" x14ac:dyDescent="0.3"/>
    <row r="19972" ht="14.4" x14ac:dyDescent="0.3"/>
    <row r="19973" ht="14.4" x14ac:dyDescent="0.3"/>
    <row r="19974" ht="14.4" x14ac:dyDescent="0.3"/>
    <row r="19975" ht="14.4" x14ac:dyDescent="0.3"/>
    <row r="19976" ht="14.4" x14ac:dyDescent="0.3"/>
    <row r="19977" ht="14.4" x14ac:dyDescent="0.3"/>
    <row r="19978" ht="14.4" x14ac:dyDescent="0.3"/>
    <row r="19979" ht="14.4" x14ac:dyDescent="0.3"/>
    <row r="19980" ht="14.4" x14ac:dyDescent="0.3"/>
    <row r="19981" ht="14.4" x14ac:dyDescent="0.3"/>
    <row r="19982" ht="14.4" x14ac:dyDescent="0.3"/>
    <row r="19983" ht="14.4" x14ac:dyDescent="0.3"/>
    <row r="19984" ht="14.4" x14ac:dyDescent="0.3"/>
    <row r="19985" ht="14.4" x14ac:dyDescent="0.3"/>
    <row r="19986" ht="14.4" x14ac:dyDescent="0.3"/>
    <row r="19987" ht="14.4" x14ac:dyDescent="0.3"/>
    <row r="19988" ht="14.4" x14ac:dyDescent="0.3"/>
    <row r="19989" ht="14.4" x14ac:dyDescent="0.3"/>
    <row r="19990" ht="14.4" x14ac:dyDescent="0.3"/>
    <row r="19991" ht="14.4" x14ac:dyDescent="0.3"/>
    <row r="19992" ht="14.4" x14ac:dyDescent="0.3"/>
    <row r="19993" ht="14.4" x14ac:dyDescent="0.3"/>
    <row r="19994" ht="14.4" x14ac:dyDescent="0.3"/>
    <row r="19995" ht="14.4" x14ac:dyDescent="0.3"/>
    <row r="19996" ht="14.4" x14ac:dyDescent="0.3"/>
    <row r="19997" ht="14.4" x14ac:dyDescent="0.3"/>
    <row r="19998" ht="14.4" x14ac:dyDescent="0.3"/>
    <row r="19999" ht="14.4" x14ac:dyDescent="0.3"/>
    <row r="20000" ht="14.4" x14ac:dyDescent="0.3"/>
    <row r="20001" ht="14.4" x14ac:dyDescent="0.3"/>
    <row r="20002" ht="14.4" x14ac:dyDescent="0.3"/>
    <row r="20003" ht="14.4" x14ac:dyDescent="0.3"/>
    <row r="20004" ht="14.4" x14ac:dyDescent="0.3"/>
    <row r="20005" ht="14.4" x14ac:dyDescent="0.3"/>
    <row r="20006" ht="14.4" x14ac:dyDescent="0.3"/>
    <row r="20007" ht="14.4" x14ac:dyDescent="0.3"/>
    <row r="20008" ht="14.4" x14ac:dyDescent="0.3"/>
    <row r="20009" ht="14.4" x14ac:dyDescent="0.3"/>
    <row r="20010" ht="14.4" x14ac:dyDescent="0.3"/>
    <row r="20011" ht="14.4" x14ac:dyDescent="0.3"/>
    <row r="20012" ht="14.4" x14ac:dyDescent="0.3"/>
    <row r="20013" ht="14.4" x14ac:dyDescent="0.3"/>
    <row r="20014" ht="14.4" x14ac:dyDescent="0.3"/>
    <row r="20015" ht="14.4" x14ac:dyDescent="0.3"/>
    <row r="20016" ht="14.4" x14ac:dyDescent="0.3"/>
    <row r="20017" ht="14.4" x14ac:dyDescent="0.3"/>
    <row r="20018" ht="14.4" x14ac:dyDescent="0.3"/>
    <row r="20019" ht="14.4" x14ac:dyDescent="0.3"/>
    <row r="20020" ht="14.4" x14ac:dyDescent="0.3"/>
    <row r="20021" ht="14.4" x14ac:dyDescent="0.3"/>
    <row r="20022" ht="14.4" x14ac:dyDescent="0.3"/>
    <row r="20023" ht="14.4" x14ac:dyDescent="0.3"/>
    <row r="20024" ht="14.4" x14ac:dyDescent="0.3"/>
    <row r="20025" ht="14.4" x14ac:dyDescent="0.3"/>
    <row r="20026" ht="14.4" x14ac:dyDescent="0.3"/>
    <row r="20027" ht="14.4" x14ac:dyDescent="0.3"/>
    <row r="20028" ht="14.4" x14ac:dyDescent="0.3"/>
    <row r="20029" ht="14.4" x14ac:dyDescent="0.3"/>
    <row r="20030" ht="14.4" x14ac:dyDescent="0.3"/>
    <row r="20031" ht="14.4" x14ac:dyDescent="0.3"/>
    <row r="20032" ht="14.4" x14ac:dyDescent="0.3"/>
    <row r="20033" ht="14.4" x14ac:dyDescent="0.3"/>
    <row r="20034" ht="14.4" x14ac:dyDescent="0.3"/>
    <row r="20035" ht="14.4" x14ac:dyDescent="0.3"/>
    <row r="20036" ht="14.4" x14ac:dyDescent="0.3"/>
    <row r="20037" ht="14.4" x14ac:dyDescent="0.3"/>
    <row r="20038" ht="14.4" x14ac:dyDescent="0.3"/>
    <row r="20039" ht="14.4" x14ac:dyDescent="0.3"/>
    <row r="20040" ht="14.4" x14ac:dyDescent="0.3"/>
    <row r="20041" ht="14.4" x14ac:dyDescent="0.3"/>
    <row r="20042" ht="14.4" x14ac:dyDescent="0.3"/>
    <row r="20043" ht="14.4" x14ac:dyDescent="0.3"/>
    <row r="20044" ht="14.4" x14ac:dyDescent="0.3"/>
    <row r="20045" ht="14.4" x14ac:dyDescent="0.3"/>
    <row r="20046" ht="14.4" x14ac:dyDescent="0.3"/>
    <row r="20047" ht="14.4" x14ac:dyDescent="0.3"/>
    <row r="20048" ht="14.4" x14ac:dyDescent="0.3"/>
    <row r="20049" ht="14.4" x14ac:dyDescent="0.3"/>
    <row r="20050" ht="14.4" x14ac:dyDescent="0.3"/>
    <row r="20051" ht="14.4" x14ac:dyDescent="0.3"/>
    <row r="20052" ht="14.4" x14ac:dyDescent="0.3"/>
    <row r="20053" ht="14.4" x14ac:dyDescent="0.3"/>
    <row r="20054" ht="14.4" x14ac:dyDescent="0.3"/>
    <row r="20055" ht="14.4" x14ac:dyDescent="0.3"/>
    <row r="20056" ht="14.4" x14ac:dyDescent="0.3"/>
    <row r="20057" ht="14.4" x14ac:dyDescent="0.3"/>
    <row r="20058" ht="14.4" x14ac:dyDescent="0.3"/>
    <row r="20059" ht="14.4" x14ac:dyDescent="0.3"/>
    <row r="20060" ht="14.4" x14ac:dyDescent="0.3"/>
    <row r="20061" ht="14.4" x14ac:dyDescent="0.3"/>
    <row r="20062" ht="14.4" x14ac:dyDescent="0.3"/>
    <row r="20063" ht="14.4" x14ac:dyDescent="0.3"/>
    <row r="20064" ht="14.4" x14ac:dyDescent="0.3"/>
    <row r="20065" ht="14.4" x14ac:dyDescent="0.3"/>
    <row r="20066" ht="14.4" x14ac:dyDescent="0.3"/>
    <row r="20067" ht="14.4" x14ac:dyDescent="0.3"/>
    <row r="20068" ht="14.4" x14ac:dyDescent="0.3"/>
    <row r="20069" ht="14.4" x14ac:dyDescent="0.3"/>
    <row r="20070" ht="14.4" x14ac:dyDescent="0.3"/>
    <row r="20071" ht="14.4" x14ac:dyDescent="0.3"/>
    <row r="20072" ht="14.4" x14ac:dyDescent="0.3"/>
    <row r="20073" ht="14.4" x14ac:dyDescent="0.3"/>
    <row r="20074" ht="14.4" x14ac:dyDescent="0.3"/>
    <row r="20075" ht="14.4" x14ac:dyDescent="0.3"/>
    <row r="20076" ht="14.4" x14ac:dyDescent="0.3"/>
    <row r="20077" ht="14.4" x14ac:dyDescent="0.3"/>
    <row r="20078" ht="14.4" x14ac:dyDescent="0.3"/>
    <row r="20079" ht="14.4" x14ac:dyDescent="0.3"/>
    <row r="20080" ht="14.4" x14ac:dyDescent="0.3"/>
    <row r="20081" ht="14.4" x14ac:dyDescent="0.3"/>
    <row r="20082" ht="14.4" x14ac:dyDescent="0.3"/>
    <row r="20083" ht="14.4" x14ac:dyDescent="0.3"/>
    <row r="20084" ht="14.4" x14ac:dyDescent="0.3"/>
    <row r="20085" ht="14.4" x14ac:dyDescent="0.3"/>
    <row r="20086" ht="14.4" x14ac:dyDescent="0.3"/>
    <row r="20087" ht="14.4" x14ac:dyDescent="0.3"/>
    <row r="20088" ht="14.4" x14ac:dyDescent="0.3"/>
    <row r="20089" ht="14.4" x14ac:dyDescent="0.3"/>
    <row r="20090" ht="14.4" x14ac:dyDescent="0.3"/>
    <row r="20091" ht="14.4" x14ac:dyDescent="0.3"/>
    <row r="20092" ht="14.4" x14ac:dyDescent="0.3"/>
    <row r="20093" ht="14.4" x14ac:dyDescent="0.3"/>
    <row r="20094" ht="14.4" x14ac:dyDescent="0.3"/>
    <row r="20095" ht="14.4" x14ac:dyDescent="0.3"/>
    <row r="20096" ht="14.4" x14ac:dyDescent="0.3"/>
    <row r="20097" ht="14.4" x14ac:dyDescent="0.3"/>
    <row r="20098" ht="14.4" x14ac:dyDescent="0.3"/>
    <row r="20099" ht="14.4" x14ac:dyDescent="0.3"/>
    <row r="20100" ht="14.4" x14ac:dyDescent="0.3"/>
    <row r="20101" ht="14.4" x14ac:dyDescent="0.3"/>
    <row r="20102" ht="14.4" x14ac:dyDescent="0.3"/>
    <row r="20103" ht="14.4" x14ac:dyDescent="0.3"/>
    <row r="20104" ht="14.4" x14ac:dyDescent="0.3"/>
    <row r="20105" ht="14.4" x14ac:dyDescent="0.3"/>
    <row r="20106" ht="14.4" x14ac:dyDescent="0.3"/>
    <row r="20107" ht="14.4" x14ac:dyDescent="0.3"/>
    <row r="20108" ht="14.4" x14ac:dyDescent="0.3"/>
    <row r="20109" ht="14.4" x14ac:dyDescent="0.3"/>
    <row r="20110" ht="14.4" x14ac:dyDescent="0.3"/>
    <row r="20111" ht="14.4" x14ac:dyDescent="0.3"/>
    <row r="20112" ht="14.4" x14ac:dyDescent="0.3"/>
    <row r="20113" ht="14.4" x14ac:dyDescent="0.3"/>
    <row r="20114" ht="14.4" x14ac:dyDescent="0.3"/>
    <row r="20115" ht="14.4" x14ac:dyDescent="0.3"/>
    <row r="20116" ht="14.4" x14ac:dyDescent="0.3"/>
    <row r="20117" ht="14.4" x14ac:dyDescent="0.3"/>
    <row r="20118" ht="14.4" x14ac:dyDescent="0.3"/>
    <row r="20119" ht="14.4" x14ac:dyDescent="0.3"/>
    <row r="20120" ht="14.4" x14ac:dyDescent="0.3"/>
    <row r="20121" ht="14.4" x14ac:dyDescent="0.3"/>
    <row r="20122" ht="14.4" x14ac:dyDescent="0.3"/>
    <row r="20123" ht="14.4" x14ac:dyDescent="0.3"/>
    <row r="20124" ht="14.4" x14ac:dyDescent="0.3"/>
    <row r="20125" ht="14.4" x14ac:dyDescent="0.3"/>
    <row r="20126" ht="14.4" x14ac:dyDescent="0.3"/>
    <row r="20127" ht="14.4" x14ac:dyDescent="0.3"/>
    <row r="20128" ht="14.4" x14ac:dyDescent="0.3"/>
    <row r="20129" ht="14.4" x14ac:dyDescent="0.3"/>
    <row r="20130" ht="14.4" x14ac:dyDescent="0.3"/>
    <row r="20131" ht="14.4" x14ac:dyDescent="0.3"/>
    <row r="20132" ht="14.4" x14ac:dyDescent="0.3"/>
    <row r="20133" ht="14.4" x14ac:dyDescent="0.3"/>
    <row r="20134" ht="14.4" x14ac:dyDescent="0.3"/>
    <row r="20135" ht="14.4" x14ac:dyDescent="0.3"/>
    <row r="20136" ht="14.4" x14ac:dyDescent="0.3"/>
    <row r="20137" ht="14.4" x14ac:dyDescent="0.3"/>
    <row r="20138" ht="14.4" x14ac:dyDescent="0.3"/>
    <row r="20139" ht="14.4" x14ac:dyDescent="0.3"/>
    <row r="20140" ht="14.4" x14ac:dyDescent="0.3"/>
    <row r="20141" ht="14.4" x14ac:dyDescent="0.3"/>
    <row r="20142" ht="14.4" x14ac:dyDescent="0.3"/>
    <row r="20143" ht="14.4" x14ac:dyDescent="0.3"/>
    <row r="20144" ht="14.4" x14ac:dyDescent="0.3"/>
    <row r="20145" ht="14.4" x14ac:dyDescent="0.3"/>
    <row r="20146" ht="14.4" x14ac:dyDescent="0.3"/>
    <row r="20147" ht="14.4" x14ac:dyDescent="0.3"/>
    <row r="20148" ht="14.4" x14ac:dyDescent="0.3"/>
    <row r="20149" ht="14.4" x14ac:dyDescent="0.3"/>
    <row r="20150" ht="14.4" x14ac:dyDescent="0.3"/>
    <row r="20151" ht="14.4" x14ac:dyDescent="0.3"/>
    <row r="20152" ht="14.4" x14ac:dyDescent="0.3"/>
    <row r="20153" ht="14.4" x14ac:dyDescent="0.3"/>
    <row r="20154" ht="14.4" x14ac:dyDescent="0.3"/>
    <row r="20155" ht="14.4" x14ac:dyDescent="0.3"/>
    <row r="20156" ht="14.4" x14ac:dyDescent="0.3"/>
    <row r="20157" ht="14.4" x14ac:dyDescent="0.3"/>
    <row r="20158" ht="14.4" x14ac:dyDescent="0.3"/>
    <row r="20159" ht="14.4" x14ac:dyDescent="0.3"/>
    <row r="20160" ht="14.4" x14ac:dyDescent="0.3"/>
    <row r="20161" ht="14.4" x14ac:dyDescent="0.3"/>
    <row r="20162" ht="14.4" x14ac:dyDescent="0.3"/>
    <row r="20163" ht="14.4" x14ac:dyDescent="0.3"/>
    <row r="20164" ht="14.4" x14ac:dyDescent="0.3"/>
    <row r="20165" ht="14.4" x14ac:dyDescent="0.3"/>
    <row r="20166" ht="14.4" x14ac:dyDescent="0.3"/>
    <row r="20167" ht="14.4" x14ac:dyDescent="0.3"/>
    <row r="20168" ht="14.4" x14ac:dyDescent="0.3"/>
    <row r="20169" ht="14.4" x14ac:dyDescent="0.3"/>
    <row r="20170" ht="14.4" x14ac:dyDescent="0.3"/>
    <row r="20171" ht="14.4" x14ac:dyDescent="0.3"/>
    <row r="20172" ht="14.4" x14ac:dyDescent="0.3"/>
    <row r="20173" ht="14.4" x14ac:dyDescent="0.3"/>
    <row r="20174" ht="14.4" x14ac:dyDescent="0.3"/>
    <row r="20175" ht="14.4" x14ac:dyDescent="0.3"/>
    <row r="20176" ht="14.4" x14ac:dyDescent="0.3"/>
    <row r="20177" ht="14.4" x14ac:dyDescent="0.3"/>
    <row r="20178" ht="14.4" x14ac:dyDescent="0.3"/>
    <row r="20179" ht="14.4" x14ac:dyDescent="0.3"/>
    <row r="20180" ht="14.4" x14ac:dyDescent="0.3"/>
    <row r="20181" ht="14.4" x14ac:dyDescent="0.3"/>
    <row r="20182" ht="14.4" x14ac:dyDescent="0.3"/>
    <row r="20183" ht="14.4" x14ac:dyDescent="0.3"/>
    <row r="20184" ht="14.4" x14ac:dyDescent="0.3"/>
    <row r="20185" ht="14.4" x14ac:dyDescent="0.3"/>
    <row r="20186" ht="14.4" x14ac:dyDescent="0.3"/>
    <row r="20187" ht="14.4" x14ac:dyDescent="0.3"/>
    <row r="20188" ht="14.4" x14ac:dyDescent="0.3"/>
    <row r="20189" ht="14.4" x14ac:dyDescent="0.3"/>
    <row r="20190" ht="14.4" x14ac:dyDescent="0.3"/>
    <row r="20191" ht="14.4" x14ac:dyDescent="0.3"/>
    <row r="20192" ht="14.4" x14ac:dyDescent="0.3"/>
    <row r="20193" ht="14.4" x14ac:dyDescent="0.3"/>
    <row r="20194" ht="14.4" x14ac:dyDescent="0.3"/>
    <row r="20195" ht="14.4" x14ac:dyDescent="0.3"/>
    <row r="20196" ht="14.4" x14ac:dyDescent="0.3"/>
    <row r="20197" ht="14.4" x14ac:dyDescent="0.3"/>
    <row r="20198" ht="14.4" x14ac:dyDescent="0.3"/>
    <row r="20199" ht="14.4" x14ac:dyDescent="0.3"/>
    <row r="20200" ht="14.4" x14ac:dyDescent="0.3"/>
    <row r="20201" ht="14.4" x14ac:dyDescent="0.3"/>
    <row r="20202" ht="14.4" x14ac:dyDescent="0.3"/>
    <row r="20203" ht="14.4" x14ac:dyDescent="0.3"/>
    <row r="20204" ht="14.4" x14ac:dyDescent="0.3"/>
    <row r="20205" ht="14.4" x14ac:dyDescent="0.3"/>
    <row r="20206" ht="14.4" x14ac:dyDescent="0.3"/>
    <row r="20207" ht="14.4" x14ac:dyDescent="0.3"/>
    <row r="20208" ht="14.4" x14ac:dyDescent="0.3"/>
    <row r="20209" ht="14.4" x14ac:dyDescent="0.3"/>
    <row r="20210" ht="14.4" x14ac:dyDescent="0.3"/>
    <row r="20211" ht="14.4" x14ac:dyDescent="0.3"/>
    <row r="20212" ht="14.4" x14ac:dyDescent="0.3"/>
    <row r="20213" ht="14.4" x14ac:dyDescent="0.3"/>
    <row r="20214" ht="14.4" x14ac:dyDescent="0.3"/>
    <row r="20215" ht="14.4" x14ac:dyDescent="0.3"/>
    <row r="20216" ht="14.4" x14ac:dyDescent="0.3"/>
    <row r="20217" ht="14.4" x14ac:dyDescent="0.3"/>
    <row r="20218" ht="14.4" x14ac:dyDescent="0.3"/>
    <row r="20219" ht="14.4" x14ac:dyDescent="0.3"/>
    <row r="20220" ht="14.4" x14ac:dyDescent="0.3"/>
    <row r="20221" ht="14.4" x14ac:dyDescent="0.3"/>
    <row r="20222" ht="14.4" x14ac:dyDescent="0.3"/>
    <row r="20223" ht="14.4" x14ac:dyDescent="0.3"/>
    <row r="20224" ht="14.4" x14ac:dyDescent="0.3"/>
    <row r="20225" ht="14.4" x14ac:dyDescent="0.3"/>
    <row r="20226" ht="14.4" x14ac:dyDescent="0.3"/>
    <row r="20227" ht="14.4" x14ac:dyDescent="0.3"/>
    <row r="20228" ht="14.4" x14ac:dyDescent="0.3"/>
    <row r="20229" ht="14.4" x14ac:dyDescent="0.3"/>
    <row r="20230" ht="14.4" x14ac:dyDescent="0.3"/>
    <row r="20231" ht="14.4" x14ac:dyDescent="0.3"/>
    <row r="20232" ht="14.4" x14ac:dyDescent="0.3"/>
    <row r="20233" ht="14.4" x14ac:dyDescent="0.3"/>
    <row r="20234" ht="14.4" x14ac:dyDescent="0.3"/>
    <row r="20235" ht="14.4" x14ac:dyDescent="0.3"/>
    <row r="20236" ht="14.4" x14ac:dyDescent="0.3"/>
    <row r="20237" ht="14.4" x14ac:dyDescent="0.3"/>
    <row r="20238" ht="14.4" x14ac:dyDescent="0.3"/>
    <row r="20239" ht="14.4" x14ac:dyDescent="0.3"/>
    <row r="20240" ht="14.4" x14ac:dyDescent="0.3"/>
    <row r="20241" ht="14.4" x14ac:dyDescent="0.3"/>
    <row r="20242" ht="14.4" x14ac:dyDescent="0.3"/>
    <row r="20243" ht="14.4" x14ac:dyDescent="0.3"/>
    <row r="20244" ht="14.4" x14ac:dyDescent="0.3"/>
    <row r="20245" ht="14.4" x14ac:dyDescent="0.3"/>
    <row r="20246" ht="14.4" x14ac:dyDescent="0.3"/>
    <row r="20247" ht="14.4" x14ac:dyDescent="0.3"/>
    <row r="20248" ht="14.4" x14ac:dyDescent="0.3"/>
    <row r="20249" ht="14.4" x14ac:dyDescent="0.3"/>
    <row r="20250" ht="14.4" x14ac:dyDescent="0.3"/>
    <row r="20251" ht="14.4" x14ac:dyDescent="0.3"/>
    <row r="20252" ht="14.4" x14ac:dyDescent="0.3"/>
    <row r="20253" ht="14.4" x14ac:dyDescent="0.3"/>
    <row r="20254" ht="14.4" x14ac:dyDescent="0.3"/>
    <row r="20255" ht="14.4" x14ac:dyDescent="0.3"/>
    <row r="20256" ht="14.4" x14ac:dyDescent="0.3"/>
    <row r="20257" ht="14.4" x14ac:dyDescent="0.3"/>
    <row r="20258" ht="14.4" x14ac:dyDescent="0.3"/>
    <row r="20259" ht="14.4" x14ac:dyDescent="0.3"/>
    <row r="20260" ht="14.4" x14ac:dyDescent="0.3"/>
    <row r="20261" ht="14.4" x14ac:dyDescent="0.3"/>
    <row r="20262" ht="14.4" x14ac:dyDescent="0.3"/>
    <row r="20263" ht="14.4" x14ac:dyDescent="0.3"/>
    <row r="20264" ht="14.4" x14ac:dyDescent="0.3"/>
    <row r="20265" ht="14.4" x14ac:dyDescent="0.3"/>
    <row r="20266" ht="14.4" x14ac:dyDescent="0.3"/>
    <row r="20267" ht="14.4" x14ac:dyDescent="0.3"/>
    <row r="20268" ht="14.4" x14ac:dyDescent="0.3"/>
    <row r="20269" ht="14.4" x14ac:dyDescent="0.3"/>
    <row r="20270" ht="14.4" x14ac:dyDescent="0.3"/>
    <row r="20271" ht="14.4" x14ac:dyDescent="0.3"/>
    <row r="20272" ht="14.4" x14ac:dyDescent="0.3"/>
    <row r="20273" ht="14.4" x14ac:dyDescent="0.3"/>
    <row r="20274" ht="14.4" x14ac:dyDescent="0.3"/>
    <row r="20275" ht="14.4" x14ac:dyDescent="0.3"/>
    <row r="20276" ht="14.4" x14ac:dyDescent="0.3"/>
    <row r="20277" ht="14.4" x14ac:dyDescent="0.3"/>
    <row r="20278" ht="14.4" x14ac:dyDescent="0.3"/>
    <row r="20279" ht="14.4" x14ac:dyDescent="0.3"/>
    <row r="20280" ht="14.4" x14ac:dyDescent="0.3"/>
    <row r="20281" ht="14.4" x14ac:dyDescent="0.3"/>
    <row r="20282" ht="14.4" x14ac:dyDescent="0.3"/>
    <row r="20283" ht="14.4" x14ac:dyDescent="0.3"/>
    <row r="20284" ht="14.4" x14ac:dyDescent="0.3"/>
    <row r="20285" ht="14.4" x14ac:dyDescent="0.3"/>
    <row r="20286" ht="14.4" x14ac:dyDescent="0.3"/>
    <row r="20287" ht="14.4" x14ac:dyDescent="0.3"/>
    <row r="20288" ht="14.4" x14ac:dyDescent="0.3"/>
    <row r="20289" ht="14.4" x14ac:dyDescent="0.3"/>
    <row r="20290" ht="14.4" x14ac:dyDescent="0.3"/>
    <row r="20291" ht="14.4" x14ac:dyDescent="0.3"/>
    <row r="20292" ht="14.4" x14ac:dyDescent="0.3"/>
    <row r="20293" ht="14.4" x14ac:dyDescent="0.3"/>
    <row r="20294" ht="14.4" x14ac:dyDescent="0.3"/>
    <row r="20295" ht="14.4" x14ac:dyDescent="0.3"/>
    <row r="20296" ht="14.4" x14ac:dyDescent="0.3"/>
    <row r="20297" ht="14.4" x14ac:dyDescent="0.3"/>
    <row r="20298" ht="14.4" x14ac:dyDescent="0.3"/>
    <row r="20299" ht="14.4" x14ac:dyDescent="0.3"/>
    <row r="20300" ht="14.4" x14ac:dyDescent="0.3"/>
    <row r="20301" ht="14.4" x14ac:dyDescent="0.3"/>
    <row r="20302" ht="14.4" x14ac:dyDescent="0.3"/>
    <row r="20303" ht="14.4" x14ac:dyDescent="0.3"/>
    <row r="20304" ht="14.4" x14ac:dyDescent="0.3"/>
    <row r="20305" ht="14.4" x14ac:dyDescent="0.3"/>
    <row r="20306" ht="14.4" x14ac:dyDescent="0.3"/>
    <row r="20307" ht="14.4" x14ac:dyDescent="0.3"/>
    <row r="20308" ht="14.4" x14ac:dyDescent="0.3"/>
    <row r="20309" ht="14.4" x14ac:dyDescent="0.3"/>
    <row r="20310" ht="14.4" x14ac:dyDescent="0.3"/>
    <row r="20311" ht="14.4" x14ac:dyDescent="0.3"/>
    <row r="20312" ht="14.4" x14ac:dyDescent="0.3"/>
    <row r="20313" ht="14.4" x14ac:dyDescent="0.3"/>
    <row r="20314" ht="14.4" x14ac:dyDescent="0.3"/>
    <row r="20315" ht="14.4" x14ac:dyDescent="0.3"/>
    <row r="20316" ht="14.4" x14ac:dyDescent="0.3"/>
    <row r="20317" ht="14.4" x14ac:dyDescent="0.3"/>
    <row r="20318" ht="14.4" x14ac:dyDescent="0.3"/>
    <row r="20319" ht="14.4" x14ac:dyDescent="0.3"/>
    <row r="20320" ht="14.4" x14ac:dyDescent="0.3"/>
    <row r="20321" ht="14.4" x14ac:dyDescent="0.3"/>
    <row r="20322" ht="14.4" x14ac:dyDescent="0.3"/>
    <row r="20323" ht="14.4" x14ac:dyDescent="0.3"/>
    <row r="20324" ht="14.4" x14ac:dyDescent="0.3"/>
    <row r="20325" ht="14.4" x14ac:dyDescent="0.3"/>
    <row r="20326" ht="14.4" x14ac:dyDescent="0.3"/>
    <row r="20327" ht="14.4" x14ac:dyDescent="0.3"/>
    <row r="20328" ht="14.4" x14ac:dyDescent="0.3"/>
    <row r="20329" ht="14.4" x14ac:dyDescent="0.3"/>
    <row r="20330" ht="14.4" x14ac:dyDescent="0.3"/>
    <row r="20331" ht="14.4" x14ac:dyDescent="0.3"/>
    <row r="20332" ht="14.4" x14ac:dyDescent="0.3"/>
    <row r="20333" ht="14.4" x14ac:dyDescent="0.3"/>
    <row r="20334" ht="14.4" x14ac:dyDescent="0.3"/>
    <row r="20335" ht="14.4" x14ac:dyDescent="0.3"/>
    <row r="20336" ht="14.4" x14ac:dyDescent="0.3"/>
    <row r="20337" spans="1:43" ht="14.4" x14ac:dyDescent="0.3"/>
    <row r="20338" spans="1:43" ht="14.4" hidden="1" x14ac:dyDescent="0.3">
      <c r="A20338" t="s">
        <v>3063</v>
      </c>
      <c r="B20338">
        <v>4906586</v>
      </c>
      <c r="C20338" t="s">
        <v>135</v>
      </c>
      <c r="D20338" t="s">
        <v>136</v>
      </c>
      <c r="E20338" t="s">
        <v>344</v>
      </c>
      <c r="F20338" t="s">
        <v>1799</v>
      </c>
      <c r="H20338" t="s">
        <v>355</v>
      </c>
      <c r="I20338" t="s">
        <v>3064</v>
      </c>
      <c r="J20338" t="s">
        <v>140</v>
      </c>
      <c r="K20338">
        <v>156862.033</v>
      </c>
      <c r="L20338">
        <v>384393.68300000002</v>
      </c>
      <c r="M20338">
        <v>1</v>
      </c>
      <c r="N20338" t="s">
        <v>3065</v>
      </c>
      <c r="O20338" t="s">
        <v>3061</v>
      </c>
      <c r="P20338" t="s">
        <v>1380</v>
      </c>
      <c r="Q20338" t="s">
        <v>144</v>
      </c>
      <c r="S20338">
        <v>7</v>
      </c>
      <c r="T20338">
        <v>0</v>
      </c>
      <c r="V20338" t="s">
        <v>146</v>
      </c>
      <c r="W20338" t="s">
        <v>415</v>
      </c>
      <c r="X20338" t="s">
        <v>7</v>
      </c>
      <c r="Y20338" t="s">
        <v>3066</v>
      </c>
      <c r="Z20338" t="s">
        <v>3061</v>
      </c>
      <c r="AA20338" t="s">
        <v>1570</v>
      </c>
      <c r="AB20338">
        <v>80</v>
      </c>
      <c r="AC20338" t="s">
        <v>150</v>
      </c>
      <c r="AE20338" t="s">
        <v>2885</v>
      </c>
      <c r="AF20338" t="s">
        <v>1512</v>
      </c>
      <c r="AG20338" t="s">
        <v>3067</v>
      </c>
      <c r="AL20338" t="s">
        <v>3068</v>
      </c>
      <c r="AM20338" t="s">
        <v>3069</v>
      </c>
      <c r="AN20338" t="s">
        <v>3070</v>
      </c>
      <c r="AO20338" t="s">
        <v>3065</v>
      </c>
      <c r="AQ20338">
        <f>IF(ISBLANK(AP20338), IFERROR(IF(VLOOKUP(AO20338, Ellens_additions!$A$2:$B$252, 2, FALSE) = "", "", VLOOKUP(AO20338, Ellens_additions!$A$2:$B$252, 2, FALSE)), 0), AP20338)</f>
        <v>0</v>
      </c>
    </row>
    <row r="20339" spans="1:43" ht="14.4" hidden="1" x14ac:dyDescent="0.3">
      <c r="A20339" t="s">
        <v>3071</v>
      </c>
      <c r="B20339">
        <v>4906589</v>
      </c>
      <c r="C20339" t="s">
        <v>135</v>
      </c>
      <c r="D20339" t="s">
        <v>136</v>
      </c>
      <c r="E20339" t="s">
        <v>344</v>
      </c>
      <c r="F20339" t="s">
        <v>1799</v>
      </c>
      <c r="H20339" t="s">
        <v>1883</v>
      </c>
      <c r="I20339" t="s">
        <v>3064</v>
      </c>
      <c r="J20339" t="s">
        <v>140</v>
      </c>
      <c r="K20339">
        <v>156865.11799999999</v>
      </c>
      <c r="L20339">
        <v>384402.38799999998</v>
      </c>
      <c r="M20339">
        <v>1</v>
      </c>
      <c r="N20339" t="s">
        <v>3065</v>
      </c>
      <c r="O20339" t="s">
        <v>3061</v>
      </c>
      <c r="P20339" t="s">
        <v>1380</v>
      </c>
      <c r="Q20339" t="s">
        <v>144</v>
      </c>
      <c r="S20339">
        <v>7</v>
      </c>
      <c r="T20339">
        <v>0</v>
      </c>
      <c r="V20339" t="s">
        <v>146</v>
      </c>
      <c r="W20339" t="s">
        <v>415</v>
      </c>
      <c r="X20339" t="s">
        <v>7</v>
      </c>
      <c r="Y20339" t="s">
        <v>3066</v>
      </c>
      <c r="Z20339" t="s">
        <v>3061</v>
      </c>
      <c r="AA20339" t="s">
        <v>1570</v>
      </c>
      <c r="AB20339">
        <v>80</v>
      </c>
      <c r="AC20339" t="s">
        <v>150</v>
      </c>
      <c r="AE20339" t="s">
        <v>2885</v>
      </c>
      <c r="AF20339" t="s">
        <v>1512</v>
      </c>
      <c r="AG20339" t="s">
        <v>3067</v>
      </c>
      <c r="AL20339" t="s">
        <v>3072</v>
      </c>
      <c r="AM20339" t="s">
        <v>3073</v>
      </c>
      <c r="AN20339" t="s">
        <v>3074</v>
      </c>
      <c r="AO20339" t="s">
        <v>3065</v>
      </c>
      <c r="AQ20339">
        <f>IF(ISBLANK(AP20339), IFERROR(IF(VLOOKUP(AO20339, Ellens_additions!$A$2:$B$252, 2, FALSE) = "", "", VLOOKUP(AO20339, Ellens_additions!$A$2:$B$252, 2, FALSE)), 0), AP20339)</f>
        <v>0</v>
      </c>
    </row>
    <row r="20340" spans="1:43" ht="14.4" hidden="1" x14ac:dyDescent="0.3">
      <c r="A20340" t="s">
        <v>3075</v>
      </c>
      <c r="B20340">
        <v>4906590</v>
      </c>
      <c r="C20340" t="s">
        <v>135</v>
      </c>
      <c r="D20340" t="s">
        <v>136</v>
      </c>
      <c r="E20340" t="s">
        <v>344</v>
      </c>
      <c r="F20340" t="s">
        <v>1799</v>
      </c>
      <c r="H20340" t="s">
        <v>356</v>
      </c>
      <c r="I20340" t="s">
        <v>3064</v>
      </c>
      <c r="J20340" t="s">
        <v>140</v>
      </c>
      <c r="K20340">
        <v>156866.24299999999</v>
      </c>
      <c r="L20340">
        <v>384405.30300000001</v>
      </c>
      <c r="M20340">
        <v>1</v>
      </c>
      <c r="N20340" t="s">
        <v>3065</v>
      </c>
      <c r="O20340" t="s">
        <v>3061</v>
      </c>
      <c r="P20340" t="s">
        <v>1380</v>
      </c>
      <c r="Q20340" t="s">
        <v>144</v>
      </c>
      <c r="S20340">
        <v>7</v>
      </c>
      <c r="T20340">
        <v>0</v>
      </c>
      <c r="V20340" t="s">
        <v>146</v>
      </c>
      <c r="W20340" t="s">
        <v>415</v>
      </c>
      <c r="X20340" t="s">
        <v>7</v>
      </c>
      <c r="Y20340" t="s">
        <v>3066</v>
      </c>
      <c r="Z20340" t="s">
        <v>3061</v>
      </c>
      <c r="AA20340" t="s">
        <v>1570</v>
      </c>
      <c r="AB20340">
        <v>80</v>
      </c>
      <c r="AC20340" t="s">
        <v>150</v>
      </c>
      <c r="AE20340" t="s">
        <v>2885</v>
      </c>
      <c r="AF20340" t="s">
        <v>1512</v>
      </c>
      <c r="AG20340" t="s">
        <v>3067</v>
      </c>
      <c r="AL20340" t="s">
        <v>3076</v>
      </c>
      <c r="AM20340" t="s">
        <v>3077</v>
      </c>
      <c r="AN20340" t="s">
        <v>3078</v>
      </c>
      <c r="AO20340" t="s">
        <v>3065</v>
      </c>
      <c r="AQ20340">
        <f>IF(ISBLANK(AP20340), IFERROR(IF(VLOOKUP(AO20340, Ellens_additions!$A$2:$B$252, 2, FALSE) = "", "", VLOOKUP(AO20340, Ellens_additions!$A$2:$B$252, 2, FALSE)), 0), AP20340)</f>
        <v>0</v>
      </c>
    </row>
    <row r="20341" spans="1:43" ht="14.4" hidden="1" x14ac:dyDescent="0.3">
      <c r="A20341" t="s">
        <v>3079</v>
      </c>
      <c r="B20341">
        <v>4906594</v>
      </c>
      <c r="C20341" t="s">
        <v>135</v>
      </c>
      <c r="D20341" t="s">
        <v>136</v>
      </c>
      <c r="E20341" t="s">
        <v>344</v>
      </c>
      <c r="F20341" t="s">
        <v>1799</v>
      </c>
      <c r="H20341" t="s">
        <v>291</v>
      </c>
      <c r="I20341" t="s">
        <v>3064</v>
      </c>
      <c r="J20341" t="s">
        <v>140</v>
      </c>
      <c r="K20341">
        <v>156870.39799999999</v>
      </c>
      <c r="L20341">
        <v>384416.92200000002</v>
      </c>
      <c r="M20341">
        <v>1</v>
      </c>
      <c r="N20341" t="s">
        <v>3065</v>
      </c>
      <c r="O20341" t="s">
        <v>3061</v>
      </c>
      <c r="P20341" t="s">
        <v>1380</v>
      </c>
      <c r="Q20341" t="s">
        <v>144</v>
      </c>
      <c r="S20341">
        <v>7</v>
      </c>
      <c r="T20341">
        <v>0</v>
      </c>
      <c r="V20341" t="s">
        <v>146</v>
      </c>
      <c r="W20341" t="s">
        <v>415</v>
      </c>
      <c r="X20341" t="s">
        <v>7</v>
      </c>
      <c r="Y20341" t="s">
        <v>3066</v>
      </c>
      <c r="Z20341" t="s">
        <v>3061</v>
      </c>
      <c r="AA20341" t="s">
        <v>1570</v>
      </c>
      <c r="AB20341">
        <v>80</v>
      </c>
      <c r="AC20341" t="s">
        <v>150</v>
      </c>
      <c r="AE20341" t="s">
        <v>2885</v>
      </c>
      <c r="AF20341" t="s">
        <v>1512</v>
      </c>
      <c r="AG20341" t="s">
        <v>3067</v>
      </c>
      <c r="AL20341" t="s">
        <v>3080</v>
      </c>
      <c r="AM20341" t="s">
        <v>3081</v>
      </c>
      <c r="AN20341" t="s">
        <v>3082</v>
      </c>
      <c r="AO20341" t="s">
        <v>3065</v>
      </c>
      <c r="AQ20341">
        <f>IF(ISBLANK(AP20341), IFERROR(IF(VLOOKUP(AO20341, Ellens_additions!$A$2:$B$252, 2, FALSE) = "", "", VLOOKUP(AO20341, Ellens_additions!$A$2:$B$252, 2, FALSE)), 0), AP20341)</f>
        <v>0</v>
      </c>
    </row>
    <row r="20342" spans="1:43" ht="14.4" hidden="1" x14ac:dyDescent="0.3">
      <c r="A20342" t="s">
        <v>3083</v>
      </c>
      <c r="B20342">
        <v>4906597</v>
      </c>
      <c r="C20342" t="s">
        <v>135</v>
      </c>
      <c r="D20342" t="s">
        <v>136</v>
      </c>
      <c r="E20342" t="s">
        <v>344</v>
      </c>
      <c r="F20342" t="s">
        <v>1799</v>
      </c>
      <c r="H20342" t="s">
        <v>342</v>
      </c>
      <c r="I20342" t="s">
        <v>3064</v>
      </c>
      <c r="J20342" t="s">
        <v>140</v>
      </c>
      <c r="K20342">
        <v>156873.636</v>
      </c>
      <c r="L20342">
        <v>384425.63900000002</v>
      </c>
      <c r="M20342">
        <v>1</v>
      </c>
      <c r="N20342" t="s">
        <v>3065</v>
      </c>
      <c r="O20342" t="s">
        <v>3061</v>
      </c>
      <c r="P20342" t="s">
        <v>1380</v>
      </c>
      <c r="Q20342" t="s">
        <v>144</v>
      </c>
      <c r="S20342">
        <v>7</v>
      </c>
      <c r="T20342">
        <v>0</v>
      </c>
      <c r="V20342" t="s">
        <v>146</v>
      </c>
      <c r="W20342" t="s">
        <v>415</v>
      </c>
      <c r="X20342" t="s">
        <v>7</v>
      </c>
      <c r="Y20342" t="s">
        <v>3066</v>
      </c>
      <c r="Z20342" t="s">
        <v>3061</v>
      </c>
      <c r="AA20342" t="s">
        <v>1570</v>
      </c>
      <c r="AB20342">
        <v>80</v>
      </c>
      <c r="AC20342" t="s">
        <v>150</v>
      </c>
      <c r="AE20342" t="s">
        <v>2885</v>
      </c>
      <c r="AF20342" t="s">
        <v>1512</v>
      </c>
      <c r="AG20342" t="s">
        <v>3067</v>
      </c>
      <c r="AL20342" t="s">
        <v>3084</v>
      </c>
      <c r="AM20342" t="s">
        <v>3085</v>
      </c>
      <c r="AN20342" t="s">
        <v>3086</v>
      </c>
      <c r="AO20342" t="s">
        <v>3065</v>
      </c>
      <c r="AQ20342">
        <f>IF(ISBLANK(AP20342), IFERROR(IF(VLOOKUP(AO20342, Ellens_additions!$A$2:$B$252, 2, FALSE) = "", "", VLOOKUP(AO20342, Ellens_additions!$A$2:$B$252, 2, FALSE)), 0), AP20342)</f>
        <v>0</v>
      </c>
    </row>
    <row r="20343" spans="1:43" ht="14.4" hidden="1" x14ac:dyDescent="0.3">
      <c r="A20343" t="s">
        <v>3087</v>
      </c>
      <c r="B20343">
        <v>4906600</v>
      </c>
      <c r="C20343" t="s">
        <v>135</v>
      </c>
      <c r="D20343" t="s">
        <v>136</v>
      </c>
      <c r="E20343" t="s">
        <v>344</v>
      </c>
      <c r="F20343" t="s">
        <v>1799</v>
      </c>
      <c r="H20343" t="s">
        <v>1032</v>
      </c>
      <c r="I20343" t="s">
        <v>3064</v>
      </c>
      <c r="J20343" t="s">
        <v>140</v>
      </c>
      <c r="K20343">
        <v>156876.878</v>
      </c>
      <c r="L20343">
        <v>384434.408</v>
      </c>
      <c r="M20343">
        <v>1</v>
      </c>
      <c r="N20343" t="s">
        <v>3065</v>
      </c>
      <c r="O20343" t="s">
        <v>3061</v>
      </c>
      <c r="P20343" t="s">
        <v>1380</v>
      </c>
      <c r="Q20343" t="s">
        <v>144</v>
      </c>
      <c r="S20343">
        <v>7</v>
      </c>
      <c r="T20343">
        <v>0</v>
      </c>
      <c r="V20343" t="s">
        <v>146</v>
      </c>
      <c r="W20343" t="s">
        <v>415</v>
      </c>
      <c r="X20343" t="s">
        <v>7</v>
      </c>
      <c r="Y20343" t="s">
        <v>3066</v>
      </c>
      <c r="Z20343" t="s">
        <v>3061</v>
      </c>
      <c r="AA20343" t="s">
        <v>1570</v>
      </c>
      <c r="AB20343">
        <v>80</v>
      </c>
      <c r="AC20343" t="s">
        <v>150</v>
      </c>
      <c r="AE20343" t="s">
        <v>2885</v>
      </c>
      <c r="AF20343" t="s">
        <v>1512</v>
      </c>
      <c r="AG20343" t="s">
        <v>3067</v>
      </c>
      <c r="AL20343" t="s">
        <v>3088</v>
      </c>
      <c r="AM20343" t="s">
        <v>3089</v>
      </c>
      <c r="AN20343" t="s">
        <v>3090</v>
      </c>
      <c r="AO20343" t="s">
        <v>3065</v>
      </c>
      <c r="AQ20343">
        <f>IF(ISBLANK(AP20343), IFERROR(IF(VLOOKUP(AO20343, Ellens_additions!$A$2:$B$252, 2, FALSE) = "", "", VLOOKUP(AO20343, Ellens_additions!$A$2:$B$252, 2, FALSE)), 0), AP20343)</f>
        <v>0</v>
      </c>
    </row>
    <row r="20344" spans="1:43" ht="14.4" hidden="1" x14ac:dyDescent="0.3">
      <c r="A20344" t="s">
        <v>3091</v>
      </c>
      <c r="B20344">
        <v>4906601</v>
      </c>
      <c r="C20344" t="s">
        <v>135</v>
      </c>
      <c r="D20344" t="s">
        <v>136</v>
      </c>
      <c r="E20344" t="s">
        <v>344</v>
      </c>
      <c r="F20344" t="s">
        <v>1799</v>
      </c>
      <c r="H20344" t="s">
        <v>375</v>
      </c>
      <c r="I20344" t="s">
        <v>3064</v>
      </c>
      <c r="J20344" t="s">
        <v>140</v>
      </c>
      <c r="K20344">
        <v>156877.549</v>
      </c>
      <c r="L20344">
        <v>384437.20699999999</v>
      </c>
      <c r="M20344">
        <v>1</v>
      </c>
      <c r="N20344" t="s">
        <v>3065</v>
      </c>
      <c r="O20344" t="s">
        <v>3061</v>
      </c>
      <c r="P20344" t="s">
        <v>1380</v>
      </c>
      <c r="Q20344" t="s">
        <v>144</v>
      </c>
      <c r="S20344">
        <v>7</v>
      </c>
      <c r="T20344">
        <v>0</v>
      </c>
      <c r="V20344" t="s">
        <v>146</v>
      </c>
      <c r="W20344" t="s">
        <v>415</v>
      </c>
      <c r="X20344" t="s">
        <v>7</v>
      </c>
      <c r="Y20344" t="s">
        <v>3066</v>
      </c>
      <c r="Z20344" t="s">
        <v>3061</v>
      </c>
      <c r="AA20344" t="s">
        <v>1570</v>
      </c>
      <c r="AB20344">
        <v>80</v>
      </c>
      <c r="AC20344" t="s">
        <v>150</v>
      </c>
      <c r="AE20344" t="s">
        <v>2885</v>
      </c>
      <c r="AF20344" t="s">
        <v>1512</v>
      </c>
      <c r="AG20344" t="s">
        <v>3067</v>
      </c>
      <c r="AL20344" t="s">
        <v>3092</v>
      </c>
      <c r="AM20344" t="s">
        <v>3093</v>
      </c>
      <c r="AN20344" t="s">
        <v>3094</v>
      </c>
      <c r="AO20344" t="s">
        <v>3065</v>
      </c>
      <c r="AQ20344">
        <f>IF(ISBLANK(AP20344), IFERROR(IF(VLOOKUP(AO20344, Ellens_additions!$A$2:$B$252, 2, FALSE) = "", "", VLOOKUP(AO20344, Ellens_additions!$A$2:$B$252, 2, FALSE)), 0), AP20344)</f>
        <v>0</v>
      </c>
    </row>
    <row r="20345" spans="1:43" ht="14.4" hidden="1" x14ac:dyDescent="0.3">
      <c r="A20345" t="s">
        <v>3095</v>
      </c>
      <c r="B20345">
        <v>4906606</v>
      </c>
      <c r="C20345" t="s">
        <v>135</v>
      </c>
      <c r="D20345" t="s">
        <v>136</v>
      </c>
      <c r="E20345" t="s">
        <v>344</v>
      </c>
      <c r="F20345" t="s">
        <v>1799</v>
      </c>
      <c r="H20345" t="s">
        <v>376</v>
      </c>
      <c r="I20345" t="s">
        <v>3064</v>
      </c>
      <c r="J20345" t="s">
        <v>140</v>
      </c>
      <c r="K20345">
        <v>156863.16399999999</v>
      </c>
      <c r="L20345">
        <v>384383.94500000001</v>
      </c>
      <c r="M20345">
        <v>1</v>
      </c>
      <c r="N20345" t="s">
        <v>3065</v>
      </c>
      <c r="O20345" t="s">
        <v>3061</v>
      </c>
      <c r="P20345" t="s">
        <v>1380</v>
      </c>
      <c r="Q20345" t="s">
        <v>144</v>
      </c>
      <c r="S20345">
        <v>7</v>
      </c>
      <c r="T20345">
        <v>0</v>
      </c>
      <c r="V20345" t="s">
        <v>146</v>
      </c>
      <c r="W20345" t="s">
        <v>415</v>
      </c>
      <c r="X20345" t="s">
        <v>7</v>
      </c>
      <c r="Y20345" t="s">
        <v>3066</v>
      </c>
      <c r="Z20345" t="s">
        <v>3061</v>
      </c>
      <c r="AA20345" t="s">
        <v>1570</v>
      </c>
      <c r="AB20345">
        <v>80</v>
      </c>
      <c r="AC20345" t="s">
        <v>150</v>
      </c>
      <c r="AE20345" t="s">
        <v>2885</v>
      </c>
      <c r="AF20345" t="s">
        <v>1512</v>
      </c>
      <c r="AG20345" t="s">
        <v>3067</v>
      </c>
      <c r="AL20345" t="s">
        <v>3096</v>
      </c>
      <c r="AM20345" t="s">
        <v>3097</v>
      </c>
      <c r="AN20345" t="s">
        <v>3098</v>
      </c>
      <c r="AO20345" t="s">
        <v>3065</v>
      </c>
      <c r="AQ20345">
        <f>IF(ISBLANK(AP20345), IFERROR(IF(VLOOKUP(AO20345, Ellens_additions!$A$2:$B$252, 2, FALSE) = "", "", VLOOKUP(AO20345, Ellens_additions!$A$2:$B$252, 2, FALSE)), 0), AP20345)</f>
        <v>0</v>
      </c>
    </row>
    <row r="20346" spans="1:43" ht="14.4" hidden="1" x14ac:dyDescent="0.3">
      <c r="A20346" t="s">
        <v>3099</v>
      </c>
      <c r="B20346">
        <v>4906607</v>
      </c>
      <c r="C20346" t="s">
        <v>135</v>
      </c>
      <c r="D20346" t="s">
        <v>136</v>
      </c>
      <c r="E20346" t="s">
        <v>344</v>
      </c>
      <c r="F20346" t="s">
        <v>1799</v>
      </c>
      <c r="H20346" t="s">
        <v>819</v>
      </c>
      <c r="I20346" t="s">
        <v>3064</v>
      </c>
      <c r="J20346" t="s">
        <v>140</v>
      </c>
      <c r="K20346">
        <v>156864.26199999999</v>
      </c>
      <c r="L20346">
        <v>384386.84600000002</v>
      </c>
      <c r="M20346">
        <v>1</v>
      </c>
      <c r="N20346" t="s">
        <v>3065</v>
      </c>
      <c r="O20346" t="s">
        <v>3061</v>
      </c>
      <c r="P20346" t="s">
        <v>1380</v>
      </c>
      <c r="Q20346" t="s">
        <v>144</v>
      </c>
      <c r="S20346">
        <v>7</v>
      </c>
      <c r="T20346">
        <v>0</v>
      </c>
      <c r="V20346" t="s">
        <v>146</v>
      </c>
      <c r="W20346" t="s">
        <v>415</v>
      </c>
      <c r="X20346" t="s">
        <v>7</v>
      </c>
      <c r="Y20346" t="s">
        <v>3066</v>
      </c>
      <c r="Z20346" t="s">
        <v>3061</v>
      </c>
      <c r="AA20346" t="s">
        <v>1570</v>
      </c>
      <c r="AB20346">
        <v>80</v>
      </c>
      <c r="AC20346" t="s">
        <v>150</v>
      </c>
      <c r="AE20346" t="s">
        <v>2885</v>
      </c>
      <c r="AF20346" t="s">
        <v>1512</v>
      </c>
      <c r="AG20346" t="s">
        <v>3067</v>
      </c>
      <c r="AL20346" t="s">
        <v>3100</v>
      </c>
      <c r="AM20346" t="s">
        <v>3101</v>
      </c>
      <c r="AN20346" t="s">
        <v>3102</v>
      </c>
      <c r="AO20346" t="s">
        <v>3065</v>
      </c>
      <c r="AQ20346">
        <f>IF(ISBLANK(AP20346), IFERROR(IF(VLOOKUP(AO20346, Ellens_additions!$A$2:$B$252, 2, FALSE) = "", "", VLOOKUP(AO20346, Ellens_additions!$A$2:$B$252, 2, FALSE)), 0), AP20346)</f>
        <v>0</v>
      </c>
    </row>
    <row r="20347" spans="1:43" ht="14.4" hidden="1" x14ac:dyDescent="0.3">
      <c r="A20347" t="s">
        <v>3103</v>
      </c>
      <c r="B20347">
        <v>4906609</v>
      </c>
      <c r="C20347" t="s">
        <v>135</v>
      </c>
      <c r="D20347" t="s">
        <v>136</v>
      </c>
      <c r="E20347" t="s">
        <v>344</v>
      </c>
      <c r="F20347" t="s">
        <v>1799</v>
      </c>
      <c r="H20347" t="s">
        <v>1237</v>
      </c>
      <c r="I20347" t="s">
        <v>3064</v>
      </c>
      <c r="J20347" t="s">
        <v>140</v>
      </c>
      <c r="K20347">
        <v>156866.348</v>
      </c>
      <c r="L20347">
        <v>384392.63900000002</v>
      </c>
      <c r="M20347">
        <v>1</v>
      </c>
      <c r="N20347" t="s">
        <v>3065</v>
      </c>
      <c r="O20347" t="s">
        <v>3061</v>
      </c>
      <c r="P20347" t="s">
        <v>1380</v>
      </c>
      <c r="Q20347" t="s">
        <v>144</v>
      </c>
      <c r="S20347">
        <v>7</v>
      </c>
      <c r="T20347">
        <v>0</v>
      </c>
      <c r="V20347" t="s">
        <v>146</v>
      </c>
      <c r="W20347" t="s">
        <v>415</v>
      </c>
      <c r="X20347" t="s">
        <v>7</v>
      </c>
      <c r="Y20347" t="s">
        <v>3066</v>
      </c>
      <c r="Z20347" t="s">
        <v>3061</v>
      </c>
      <c r="AA20347" t="s">
        <v>1570</v>
      </c>
      <c r="AB20347">
        <v>80</v>
      </c>
      <c r="AC20347" t="s">
        <v>150</v>
      </c>
      <c r="AE20347" t="s">
        <v>2885</v>
      </c>
      <c r="AF20347" t="s">
        <v>1512</v>
      </c>
      <c r="AG20347" t="s">
        <v>3067</v>
      </c>
      <c r="AL20347" t="s">
        <v>3104</v>
      </c>
      <c r="AM20347" t="s">
        <v>3105</v>
      </c>
      <c r="AN20347" t="s">
        <v>3106</v>
      </c>
      <c r="AO20347" t="s">
        <v>3065</v>
      </c>
      <c r="AQ20347">
        <f>IF(ISBLANK(AP20347), IFERROR(IF(VLOOKUP(AO20347, Ellens_additions!$A$2:$B$252, 2, FALSE) = "", "", VLOOKUP(AO20347, Ellens_additions!$A$2:$B$252, 2, FALSE)), 0), AP20347)</f>
        <v>0</v>
      </c>
    </row>
    <row r="20348" spans="1:43" ht="14.4" hidden="1" x14ac:dyDescent="0.3">
      <c r="A20348" t="s">
        <v>3107</v>
      </c>
      <c r="B20348">
        <v>4906611</v>
      </c>
      <c r="C20348" t="s">
        <v>135</v>
      </c>
      <c r="D20348" t="s">
        <v>136</v>
      </c>
      <c r="E20348" t="s">
        <v>344</v>
      </c>
      <c r="F20348" t="s">
        <v>1799</v>
      </c>
      <c r="H20348" t="s">
        <v>362</v>
      </c>
      <c r="I20348" t="s">
        <v>3064</v>
      </c>
      <c r="J20348" t="s">
        <v>140</v>
      </c>
      <c r="K20348">
        <v>156868.46299999999</v>
      </c>
      <c r="L20348">
        <v>384398.42599999998</v>
      </c>
      <c r="M20348">
        <v>1</v>
      </c>
      <c r="N20348" t="s">
        <v>3065</v>
      </c>
      <c r="O20348" t="s">
        <v>3061</v>
      </c>
      <c r="P20348" t="s">
        <v>1380</v>
      </c>
      <c r="Q20348" t="s">
        <v>144</v>
      </c>
      <c r="S20348">
        <v>7</v>
      </c>
      <c r="T20348">
        <v>0</v>
      </c>
      <c r="V20348" t="s">
        <v>146</v>
      </c>
      <c r="W20348" t="s">
        <v>415</v>
      </c>
      <c r="X20348" t="s">
        <v>7</v>
      </c>
      <c r="Y20348" t="s">
        <v>3066</v>
      </c>
      <c r="Z20348" t="s">
        <v>3061</v>
      </c>
      <c r="AA20348" t="s">
        <v>1570</v>
      </c>
      <c r="AB20348">
        <v>80</v>
      </c>
      <c r="AC20348" t="s">
        <v>150</v>
      </c>
      <c r="AE20348" t="s">
        <v>2885</v>
      </c>
      <c r="AF20348" t="s">
        <v>1512</v>
      </c>
      <c r="AG20348" t="s">
        <v>3067</v>
      </c>
      <c r="AL20348" t="s">
        <v>3108</v>
      </c>
      <c r="AM20348" t="s">
        <v>3109</v>
      </c>
      <c r="AN20348" t="s">
        <v>3110</v>
      </c>
      <c r="AO20348" t="s">
        <v>3065</v>
      </c>
      <c r="AQ20348">
        <f>IF(ISBLANK(AP20348), IFERROR(IF(VLOOKUP(AO20348, Ellens_additions!$A$2:$B$252, 2, FALSE) = "", "", VLOOKUP(AO20348, Ellens_additions!$A$2:$B$252, 2, FALSE)), 0), AP20348)</f>
        <v>0</v>
      </c>
    </row>
    <row r="20349" spans="1:43" ht="14.4" hidden="1" x14ac:dyDescent="0.3">
      <c r="A20349" t="s">
        <v>3111</v>
      </c>
      <c r="B20349">
        <v>4906615</v>
      </c>
      <c r="C20349" t="s">
        <v>135</v>
      </c>
      <c r="D20349" t="s">
        <v>136</v>
      </c>
      <c r="E20349" t="s">
        <v>344</v>
      </c>
      <c r="F20349" t="s">
        <v>1799</v>
      </c>
      <c r="H20349" t="s">
        <v>1352</v>
      </c>
      <c r="I20349" t="s">
        <v>3064</v>
      </c>
      <c r="J20349" t="s">
        <v>140</v>
      </c>
      <c r="K20349">
        <v>156872.68</v>
      </c>
      <c r="L20349">
        <v>384409.99</v>
      </c>
      <c r="M20349">
        <v>1</v>
      </c>
      <c r="N20349" t="s">
        <v>3065</v>
      </c>
      <c r="O20349" t="s">
        <v>3061</v>
      </c>
      <c r="P20349" t="s">
        <v>1380</v>
      </c>
      <c r="Q20349" t="s">
        <v>144</v>
      </c>
      <c r="S20349">
        <v>7</v>
      </c>
      <c r="T20349">
        <v>0</v>
      </c>
      <c r="V20349" t="s">
        <v>146</v>
      </c>
      <c r="W20349" t="s">
        <v>415</v>
      </c>
      <c r="X20349" t="s">
        <v>7</v>
      </c>
      <c r="Y20349" t="s">
        <v>3066</v>
      </c>
      <c r="Z20349" t="s">
        <v>3061</v>
      </c>
      <c r="AA20349" t="s">
        <v>1570</v>
      </c>
      <c r="AB20349">
        <v>80</v>
      </c>
      <c r="AC20349" t="s">
        <v>150</v>
      </c>
      <c r="AE20349" t="s">
        <v>2885</v>
      </c>
      <c r="AF20349" t="s">
        <v>1512</v>
      </c>
      <c r="AG20349" t="s">
        <v>3067</v>
      </c>
      <c r="AL20349" t="s">
        <v>3112</v>
      </c>
      <c r="AM20349" t="s">
        <v>3113</v>
      </c>
      <c r="AN20349" t="s">
        <v>3114</v>
      </c>
      <c r="AO20349" t="s">
        <v>3065</v>
      </c>
      <c r="AQ20349">
        <f>IF(ISBLANK(AP20349), IFERROR(IF(VLOOKUP(AO20349, Ellens_additions!$A$2:$B$252, 2, FALSE) = "", "", VLOOKUP(AO20349, Ellens_additions!$A$2:$B$252, 2, FALSE)), 0), AP20349)</f>
        <v>0</v>
      </c>
    </row>
    <row r="20350" spans="1:43" ht="14.4" hidden="1" x14ac:dyDescent="0.3">
      <c r="A20350" t="s">
        <v>3115</v>
      </c>
      <c r="B20350">
        <v>4906616</v>
      </c>
      <c r="C20350" t="s">
        <v>135</v>
      </c>
      <c r="D20350" t="s">
        <v>136</v>
      </c>
      <c r="E20350" t="s">
        <v>344</v>
      </c>
      <c r="F20350" t="s">
        <v>1799</v>
      </c>
      <c r="H20350" t="s">
        <v>285</v>
      </c>
      <c r="I20350" t="s">
        <v>3064</v>
      </c>
      <c r="J20350" t="s">
        <v>140</v>
      </c>
      <c r="K20350">
        <v>156873.74299999999</v>
      </c>
      <c r="L20350">
        <v>384412.96</v>
      </c>
      <c r="M20350">
        <v>1</v>
      </c>
      <c r="N20350" t="s">
        <v>3065</v>
      </c>
      <c r="O20350" t="s">
        <v>3061</v>
      </c>
      <c r="P20350" t="s">
        <v>1380</v>
      </c>
      <c r="Q20350" t="s">
        <v>144</v>
      </c>
      <c r="S20350">
        <v>7</v>
      </c>
      <c r="T20350">
        <v>0</v>
      </c>
      <c r="V20350" t="s">
        <v>146</v>
      </c>
      <c r="W20350" t="s">
        <v>415</v>
      </c>
      <c r="X20350" t="s">
        <v>7</v>
      </c>
      <c r="Y20350" t="s">
        <v>3066</v>
      </c>
      <c r="Z20350" t="s">
        <v>3061</v>
      </c>
      <c r="AA20350" t="s">
        <v>1570</v>
      </c>
      <c r="AB20350">
        <v>80</v>
      </c>
      <c r="AC20350" t="s">
        <v>150</v>
      </c>
      <c r="AE20350" t="s">
        <v>2885</v>
      </c>
      <c r="AF20350" t="s">
        <v>1512</v>
      </c>
      <c r="AG20350" t="s">
        <v>3067</v>
      </c>
      <c r="AL20350" t="s">
        <v>3116</v>
      </c>
      <c r="AM20350" t="s">
        <v>3117</v>
      </c>
      <c r="AN20350" t="s">
        <v>3118</v>
      </c>
      <c r="AO20350" t="s">
        <v>3065</v>
      </c>
      <c r="AQ20350">
        <f>IF(ISBLANK(AP20350), IFERROR(IF(VLOOKUP(AO20350, Ellens_additions!$A$2:$B$252, 2, FALSE) = "", "", VLOOKUP(AO20350, Ellens_additions!$A$2:$B$252, 2, FALSE)), 0), AP20350)</f>
        <v>0</v>
      </c>
    </row>
    <row r="20351" spans="1:43" ht="14.4" hidden="1" x14ac:dyDescent="0.3">
      <c r="A20351" t="s">
        <v>3119</v>
      </c>
      <c r="B20351">
        <v>4906618</v>
      </c>
      <c r="C20351" t="s">
        <v>135</v>
      </c>
      <c r="D20351" t="s">
        <v>136</v>
      </c>
      <c r="E20351" t="s">
        <v>344</v>
      </c>
      <c r="F20351" t="s">
        <v>1799</v>
      </c>
      <c r="H20351" t="s">
        <v>837</v>
      </c>
      <c r="I20351" t="s">
        <v>3064</v>
      </c>
      <c r="J20351" t="s">
        <v>140</v>
      </c>
      <c r="K20351">
        <v>156875.875</v>
      </c>
      <c r="L20351">
        <v>384418.75400000002</v>
      </c>
      <c r="M20351">
        <v>1</v>
      </c>
      <c r="N20351" t="s">
        <v>3065</v>
      </c>
      <c r="O20351" t="s">
        <v>3061</v>
      </c>
      <c r="P20351" t="s">
        <v>1380</v>
      </c>
      <c r="Q20351" t="s">
        <v>144</v>
      </c>
      <c r="S20351">
        <v>7</v>
      </c>
      <c r="T20351">
        <v>0</v>
      </c>
      <c r="V20351" t="s">
        <v>146</v>
      </c>
      <c r="W20351" t="s">
        <v>415</v>
      </c>
      <c r="X20351" t="s">
        <v>7</v>
      </c>
      <c r="Y20351" t="s">
        <v>3066</v>
      </c>
      <c r="Z20351" t="s">
        <v>3061</v>
      </c>
      <c r="AA20351" t="s">
        <v>1570</v>
      </c>
      <c r="AB20351">
        <v>80</v>
      </c>
      <c r="AC20351" t="s">
        <v>150</v>
      </c>
      <c r="AE20351" t="s">
        <v>2885</v>
      </c>
      <c r="AF20351" t="s">
        <v>1512</v>
      </c>
      <c r="AG20351" t="s">
        <v>3067</v>
      </c>
      <c r="AL20351" t="s">
        <v>3120</v>
      </c>
      <c r="AM20351" t="s">
        <v>3121</v>
      </c>
      <c r="AN20351" t="s">
        <v>3122</v>
      </c>
      <c r="AO20351" t="s">
        <v>3065</v>
      </c>
      <c r="AQ20351">
        <f>IF(ISBLANK(AP20351), IFERROR(IF(VLOOKUP(AO20351, Ellens_additions!$A$2:$B$252, 2, FALSE) = "", "", VLOOKUP(AO20351, Ellens_additions!$A$2:$B$252, 2, FALSE)), 0), AP20351)</f>
        <v>0</v>
      </c>
    </row>
    <row r="20352" spans="1:43" ht="14.4" hidden="1" x14ac:dyDescent="0.3">
      <c r="A20352" t="s">
        <v>3123</v>
      </c>
      <c r="B20352">
        <v>4906623</v>
      </c>
      <c r="C20352" t="s">
        <v>135</v>
      </c>
      <c r="D20352" t="s">
        <v>136</v>
      </c>
      <c r="E20352" t="s">
        <v>344</v>
      </c>
      <c r="F20352" t="s">
        <v>1799</v>
      </c>
      <c r="H20352" t="s">
        <v>366</v>
      </c>
      <c r="I20352" t="s">
        <v>3064</v>
      </c>
      <c r="J20352" t="s">
        <v>140</v>
      </c>
      <c r="K20352">
        <v>156880.894</v>
      </c>
      <c r="L20352">
        <v>384433.245</v>
      </c>
      <c r="M20352">
        <v>1</v>
      </c>
      <c r="N20352" t="s">
        <v>3065</v>
      </c>
      <c r="O20352" t="s">
        <v>3061</v>
      </c>
      <c r="P20352" t="s">
        <v>1380</v>
      </c>
      <c r="Q20352" t="s">
        <v>144</v>
      </c>
      <c r="S20352">
        <v>7</v>
      </c>
      <c r="T20352">
        <v>0</v>
      </c>
      <c r="V20352" t="s">
        <v>146</v>
      </c>
      <c r="W20352" t="s">
        <v>415</v>
      </c>
      <c r="X20352" t="s">
        <v>7</v>
      </c>
      <c r="Y20352" t="s">
        <v>3066</v>
      </c>
      <c r="Z20352" t="s">
        <v>3061</v>
      </c>
      <c r="AA20352" t="s">
        <v>1570</v>
      </c>
      <c r="AB20352">
        <v>80</v>
      </c>
      <c r="AC20352" t="s">
        <v>150</v>
      </c>
      <c r="AE20352" t="s">
        <v>2885</v>
      </c>
      <c r="AF20352" t="s">
        <v>1512</v>
      </c>
      <c r="AG20352" t="s">
        <v>3067</v>
      </c>
      <c r="AL20352" t="s">
        <v>3124</v>
      </c>
      <c r="AM20352" t="s">
        <v>3125</v>
      </c>
      <c r="AN20352" t="s">
        <v>3126</v>
      </c>
      <c r="AO20352" t="s">
        <v>3065</v>
      </c>
      <c r="AQ20352">
        <f>IF(ISBLANK(AP20352), IFERROR(IF(VLOOKUP(AO20352, Ellens_additions!$A$2:$B$252, 2, FALSE) = "", "", VLOOKUP(AO20352, Ellens_additions!$A$2:$B$252, 2, FALSE)), 0), AP20352)</f>
        <v>0</v>
      </c>
    </row>
    <row r="20353" spans="1:43" ht="14.4" hidden="1" x14ac:dyDescent="0.3">
      <c r="A20353" t="s">
        <v>3127</v>
      </c>
      <c r="B20353">
        <v>4906626</v>
      </c>
      <c r="C20353" t="s">
        <v>135</v>
      </c>
      <c r="D20353" t="s">
        <v>136</v>
      </c>
      <c r="E20353" t="s">
        <v>344</v>
      </c>
      <c r="F20353" t="s">
        <v>1799</v>
      </c>
      <c r="H20353" t="s">
        <v>367</v>
      </c>
      <c r="I20353" t="s">
        <v>3064</v>
      </c>
      <c r="J20353" t="s">
        <v>140</v>
      </c>
      <c r="K20353">
        <v>156884.158</v>
      </c>
      <c r="L20353">
        <v>384442.01299999998</v>
      </c>
      <c r="M20353">
        <v>1</v>
      </c>
      <c r="N20353" t="s">
        <v>3065</v>
      </c>
      <c r="O20353" t="s">
        <v>3061</v>
      </c>
      <c r="P20353" t="s">
        <v>1380</v>
      </c>
      <c r="Q20353" t="s">
        <v>144</v>
      </c>
      <c r="S20353">
        <v>7</v>
      </c>
      <c r="T20353">
        <v>0</v>
      </c>
      <c r="V20353" t="s">
        <v>146</v>
      </c>
      <c r="W20353" t="s">
        <v>415</v>
      </c>
      <c r="X20353" t="s">
        <v>7</v>
      </c>
      <c r="Y20353" t="s">
        <v>3066</v>
      </c>
      <c r="Z20353" t="s">
        <v>3061</v>
      </c>
      <c r="AA20353" t="s">
        <v>1570</v>
      </c>
      <c r="AB20353">
        <v>80</v>
      </c>
      <c r="AC20353" t="s">
        <v>150</v>
      </c>
      <c r="AE20353" t="s">
        <v>2885</v>
      </c>
      <c r="AF20353" t="s">
        <v>1512</v>
      </c>
      <c r="AG20353" t="s">
        <v>3067</v>
      </c>
      <c r="AL20353" t="s">
        <v>3128</v>
      </c>
      <c r="AM20353" t="s">
        <v>3129</v>
      </c>
      <c r="AN20353" t="s">
        <v>3130</v>
      </c>
      <c r="AO20353" t="s">
        <v>3065</v>
      </c>
      <c r="AQ20353">
        <f>IF(ISBLANK(AP20353), IFERROR(IF(VLOOKUP(AO20353, Ellens_additions!$A$2:$B$252, 2, FALSE) = "", "", VLOOKUP(AO20353, Ellens_additions!$A$2:$B$252, 2, FALSE)), 0), AP20353)</f>
        <v>0</v>
      </c>
    </row>
    <row r="20354" spans="1:43" ht="14.4" hidden="1" x14ac:dyDescent="0.3">
      <c r="A20354" t="s">
        <v>3131</v>
      </c>
      <c r="B20354">
        <v>4906628</v>
      </c>
      <c r="C20354" t="s">
        <v>135</v>
      </c>
      <c r="D20354" t="s">
        <v>136</v>
      </c>
      <c r="E20354" t="s">
        <v>344</v>
      </c>
      <c r="F20354" t="s">
        <v>1785</v>
      </c>
      <c r="H20354" t="s">
        <v>733</v>
      </c>
      <c r="I20354" t="s">
        <v>3064</v>
      </c>
      <c r="J20354" t="s">
        <v>140</v>
      </c>
      <c r="K20354">
        <v>156623.54</v>
      </c>
      <c r="L20354">
        <v>384671.09600000002</v>
      </c>
      <c r="M20354">
        <v>1</v>
      </c>
      <c r="N20354" t="s">
        <v>3132</v>
      </c>
      <c r="O20354" t="s">
        <v>1512</v>
      </c>
      <c r="P20354" t="s">
        <v>630</v>
      </c>
      <c r="Q20354" t="s">
        <v>144</v>
      </c>
      <c r="R20354" t="s">
        <v>145</v>
      </c>
      <c r="S20354">
        <v>22.5</v>
      </c>
      <c r="T20354">
        <v>50</v>
      </c>
      <c r="V20354" t="s">
        <v>146</v>
      </c>
      <c r="W20354" t="s">
        <v>184</v>
      </c>
      <c r="X20354" t="s">
        <v>7</v>
      </c>
      <c r="Y20354" t="s">
        <v>3133</v>
      </c>
      <c r="Z20354" t="s">
        <v>1512</v>
      </c>
      <c r="AA20354" t="s">
        <v>1541</v>
      </c>
      <c r="AB20354">
        <v>80</v>
      </c>
      <c r="AC20354" t="s">
        <v>150</v>
      </c>
      <c r="AE20354" t="s">
        <v>2885</v>
      </c>
      <c r="AF20354" t="s">
        <v>1512</v>
      </c>
      <c r="AG20354" t="s">
        <v>3067</v>
      </c>
      <c r="AL20354" t="s">
        <v>3134</v>
      </c>
      <c r="AM20354" t="s">
        <v>3135</v>
      </c>
      <c r="AN20354" t="s">
        <v>3136</v>
      </c>
      <c r="AO20354" t="s">
        <v>3132</v>
      </c>
      <c r="AQ20354">
        <f>IF(ISBLANK(AP20354), IFERROR(IF(VLOOKUP(AO20354, Ellens_additions!$A$2:$B$252, 2, FALSE) = "", "", VLOOKUP(AO20354, Ellens_additions!$A$2:$B$252, 2, FALSE)), 0), AP20354)</f>
        <v>0</v>
      </c>
    </row>
    <row r="20355" spans="1:43" ht="14.4" hidden="1" x14ac:dyDescent="0.3">
      <c r="A20355" t="s">
        <v>3137</v>
      </c>
      <c r="B20355">
        <v>4906630</v>
      </c>
      <c r="C20355" t="s">
        <v>135</v>
      </c>
      <c r="D20355" t="s">
        <v>136</v>
      </c>
      <c r="E20355" t="s">
        <v>344</v>
      </c>
      <c r="F20355" t="s">
        <v>1785</v>
      </c>
      <c r="H20355" t="s">
        <v>734</v>
      </c>
      <c r="I20355" t="s">
        <v>3064</v>
      </c>
      <c r="J20355" t="s">
        <v>140</v>
      </c>
      <c r="K20355">
        <v>156628.277</v>
      </c>
      <c r="L20355">
        <v>384675.07400000002</v>
      </c>
      <c r="M20355">
        <v>1</v>
      </c>
      <c r="N20355" t="s">
        <v>3132</v>
      </c>
      <c r="O20355" t="s">
        <v>1512</v>
      </c>
      <c r="P20355" t="s">
        <v>630</v>
      </c>
      <c r="Q20355" t="s">
        <v>144</v>
      </c>
      <c r="R20355" t="s">
        <v>145</v>
      </c>
      <c r="S20355">
        <v>22.5</v>
      </c>
      <c r="T20355">
        <v>50</v>
      </c>
      <c r="V20355" t="s">
        <v>146</v>
      </c>
      <c r="W20355" t="s">
        <v>184</v>
      </c>
      <c r="X20355" t="s">
        <v>7</v>
      </c>
      <c r="Y20355" t="s">
        <v>3133</v>
      </c>
      <c r="Z20355" t="s">
        <v>1512</v>
      </c>
      <c r="AA20355" t="s">
        <v>1541</v>
      </c>
      <c r="AB20355">
        <v>80</v>
      </c>
      <c r="AC20355" t="s">
        <v>150</v>
      </c>
      <c r="AE20355" t="s">
        <v>2885</v>
      </c>
      <c r="AF20355" t="s">
        <v>1512</v>
      </c>
      <c r="AG20355" t="s">
        <v>3067</v>
      </c>
      <c r="AL20355" t="s">
        <v>3138</v>
      </c>
      <c r="AM20355" t="s">
        <v>3139</v>
      </c>
      <c r="AN20355" t="s">
        <v>3140</v>
      </c>
      <c r="AO20355" t="s">
        <v>3132</v>
      </c>
      <c r="AQ20355">
        <f>IF(ISBLANK(AP20355), IFERROR(IF(VLOOKUP(AO20355, Ellens_additions!$A$2:$B$252, 2, FALSE) = "", "", VLOOKUP(AO20355, Ellens_additions!$A$2:$B$252, 2, FALSE)), 0), AP20355)</f>
        <v>0</v>
      </c>
    </row>
    <row r="20356" spans="1:43" ht="14.4" hidden="1" x14ac:dyDescent="0.3">
      <c r="A20356" t="s">
        <v>3141</v>
      </c>
      <c r="B20356">
        <v>4906637</v>
      </c>
      <c r="C20356" t="s">
        <v>135</v>
      </c>
      <c r="D20356" t="s">
        <v>136</v>
      </c>
      <c r="E20356" t="s">
        <v>344</v>
      </c>
      <c r="F20356" t="s">
        <v>1785</v>
      </c>
      <c r="H20356" t="s">
        <v>1234</v>
      </c>
      <c r="I20356" t="s">
        <v>3064</v>
      </c>
      <c r="J20356" t="s">
        <v>140</v>
      </c>
      <c r="K20356">
        <v>156644.49</v>
      </c>
      <c r="L20356">
        <v>384689.26199999999</v>
      </c>
      <c r="M20356">
        <v>1</v>
      </c>
      <c r="N20356" t="s">
        <v>3132</v>
      </c>
      <c r="O20356" t="s">
        <v>1512</v>
      </c>
      <c r="P20356" t="s">
        <v>630</v>
      </c>
      <c r="Q20356" t="s">
        <v>144</v>
      </c>
      <c r="R20356" t="s">
        <v>145</v>
      </c>
      <c r="S20356">
        <v>22.5</v>
      </c>
      <c r="T20356">
        <v>50</v>
      </c>
      <c r="V20356" t="s">
        <v>146</v>
      </c>
      <c r="W20356" t="s">
        <v>184</v>
      </c>
      <c r="X20356" t="s">
        <v>7</v>
      </c>
      <c r="Y20356" t="s">
        <v>3133</v>
      </c>
      <c r="Z20356" t="s">
        <v>1512</v>
      </c>
      <c r="AA20356" t="s">
        <v>1541</v>
      </c>
      <c r="AB20356">
        <v>80</v>
      </c>
      <c r="AC20356" t="s">
        <v>150</v>
      </c>
      <c r="AE20356" t="s">
        <v>2885</v>
      </c>
      <c r="AF20356" t="s">
        <v>1512</v>
      </c>
      <c r="AG20356" t="s">
        <v>3067</v>
      </c>
      <c r="AL20356" t="s">
        <v>3142</v>
      </c>
      <c r="AM20356" t="s">
        <v>3143</v>
      </c>
      <c r="AN20356" t="s">
        <v>3144</v>
      </c>
      <c r="AO20356" t="s">
        <v>3132</v>
      </c>
      <c r="AQ20356">
        <f>IF(ISBLANK(AP20356), IFERROR(IF(VLOOKUP(AO20356, Ellens_additions!$A$2:$B$252, 2, FALSE) = "", "", VLOOKUP(AO20356, Ellens_additions!$A$2:$B$252, 2, FALSE)), 0), AP20356)</f>
        <v>0</v>
      </c>
    </row>
    <row r="20357" spans="1:43" ht="14.4" hidden="1" x14ac:dyDescent="0.3">
      <c r="A20357" t="s">
        <v>3145</v>
      </c>
      <c r="B20357">
        <v>4906640</v>
      </c>
      <c r="C20357" t="s">
        <v>135</v>
      </c>
      <c r="D20357" t="s">
        <v>136</v>
      </c>
      <c r="E20357" t="s">
        <v>344</v>
      </c>
      <c r="F20357" t="s">
        <v>1785</v>
      </c>
      <c r="H20357" t="s">
        <v>413</v>
      </c>
      <c r="I20357" t="s">
        <v>3064</v>
      </c>
      <c r="J20357" t="s">
        <v>140</v>
      </c>
      <c r="K20357">
        <v>156651.533</v>
      </c>
      <c r="L20357">
        <v>384695.37800000003</v>
      </c>
      <c r="M20357">
        <v>1</v>
      </c>
      <c r="N20357" t="s">
        <v>3132</v>
      </c>
      <c r="O20357" t="s">
        <v>1512</v>
      </c>
      <c r="P20357" t="s">
        <v>630</v>
      </c>
      <c r="Q20357" t="s">
        <v>144</v>
      </c>
      <c r="R20357" t="s">
        <v>145</v>
      </c>
      <c r="S20357">
        <v>22.5</v>
      </c>
      <c r="T20357">
        <v>50</v>
      </c>
      <c r="V20357" t="s">
        <v>146</v>
      </c>
      <c r="W20357" t="s">
        <v>184</v>
      </c>
      <c r="X20357" t="s">
        <v>7</v>
      </c>
      <c r="Y20357" t="s">
        <v>3133</v>
      </c>
      <c r="Z20357" t="s">
        <v>1512</v>
      </c>
      <c r="AA20357" t="s">
        <v>1541</v>
      </c>
      <c r="AB20357">
        <v>80</v>
      </c>
      <c r="AC20357" t="s">
        <v>150</v>
      </c>
      <c r="AE20357" t="s">
        <v>2885</v>
      </c>
      <c r="AF20357" t="s">
        <v>1512</v>
      </c>
      <c r="AG20357" t="s">
        <v>3067</v>
      </c>
      <c r="AL20357" t="s">
        <v>3146</v>
      </c>
      <c r="AM20357" t="s">
        <v>3147</v>
      </c>
      <c r="AN20357" t="s">
        <v>3148</v>
      </c>
      <c r="AO20357" t="s">
        <v>3132</v>
      </c>
      <c r="AQ20357">
        <f>IF(ISBLANK(AP20357), IFERROR(IF(VLOOKUP(AO20357, Ellens_additions!$A$2:$B$252, 2, FALSE) = "", "", VLOOKUP(AO20357, Ellens_additions!$A$2:$B$252, 2, FALSE)), 0), AP20357)</f>
        <v>0</v>
      </c>
    </row>
    <row r="20358" spans="1:43" ht="14.4" hidden="1" x14ac:dyDescent="0.3">
      <c r="A20358" t="s">
        <v>3149</v>
      </c>
      <c r="B20358">
        <v>4906643</v>
      </c>
      <c r="C20358" t="s">
        <v>135</v>
      </c>
      <c r="D20358" t="s">
        <v>136</v>
      </c>
      <c r="E20358" t="s">
        <v>344</v>
      </c>
      <c r="F20358" t="s">
        <v>1785</v>
      </c>
      <c r="H20358" t="s">
        <v>414</v>
      </c>
      <c r="I20358" t="s">
        <v>3064</v>
      </c>
      <c r="J20358" t="s">
        <v>140</v>
      </c>
      <c r="K20358">
        <v>156658.639</v>
      </c>
      <c r="L20358">
        <v>384701.46299999999</v>
      </c>
      <c r="M20358">
        <v>1</v>
      </c>
      <c r="N20358" t="s">
        <v>3132</v>
      </c>
      <c r="O20358" t="s">
        <v>1512</v>
      </c>
      <c r="P20358" t="s">
        <v>630</v>
      </c>
      <c r="Q20358" t="s">
        <v>144</v>
      </c>
      <c r="R20358" t="s">
        <v>145</v>
      </c>
      <c r="S20358">
        <v>22.5</v>
      </c>
      <c r="T20358">
        <v>50</v>
      </c>
      <c r="V20358" t="s">
        <v>146</v>
      </c>
      <c r="W20358" t="s">
        <v>184</v>
      </c>
      <c r="X20358" t="s">
        <v>7</v>
      </c>
      <c r="Y20358" t="s">
        <v>3133</v>
      </c>
      <c r="Z20358" t="s">
        <v>1512</v>
      </c>
      <c r="AA20358" t="s">
        <v>1541</v>
      </c>
      <c r="AB20358">
        <v>80</v>
      </c>
      <c r="AC20358" t="s">
        <v>150</v>
      </c>
      <c r="AE20358" t="s">
        <v>2885</v>
      </c>
      <c r="AF20358" t="s">
        <v>1512</v>
      </c>
      <c r="AG20358" t="s">
        <v>3067</v>
      </c>
      <c r="AL20358" t="s">
        <v>3150</v>
      </c>
      <c r="AM20358" t="s">
        <v>3151</v>
      </c>
      <c r="AN20358" t="s">
        <v>3152</v>
      </c>
      <c r="AO20358" t="s">
        <v>3132</v>
      </c>
      <c r="AQ20358">
        <f>IF(ISBLANK(AP20358), IFERROR(IF(VLOOKUP(AO20358, Ellens_additions!$A$2:$B$252, 2, FALSE) = "", "", VLOOKUP(AO20358, Ellens_additions!$A$2:$B$252, 2, FALSE)), 0), AP20358)</f>
        <v>0</v>
      </c>
    </row>
    <row r="20359" spans="1:43" ht="14.4" hidden="1" x14ac:dyDescent="0.3">
      <c r="A20359" t="s">
        <v>3153</v>
      </c>
      <c r="B20359">
        <v>4906644</v>
      </c>
      <c r="C20359" t="s">
        <v>135</v>
      </c>
      <c r="D20359" t="s">
        <v>136</v>
      </c>
      <c r="E20359" t="s">
        <v>344</v>
      </c>
      <c r="F20359" t="s">
        <v>1785</v>
      </c>
      <c r="H20359" t="s">
        <v>675</v>
      </c>
      <c r="I20359" t="s">
        <v>3064</v>
      </c>
      <c r="J20359" t="s">
        <v>140</v>
      </c>
      <c r="K20359">
        <v>156661.005</v>
      </c>
      <c r="L20359">
        <v>384703.49599999998</v>
      </c>
      <c r="M20359">
        <v>1</v>
      </c>
      <c r="N20359" t="s">
        <v>3132</v>
      </c>
      <c r="O20359" t="s">
        <v>1512</v>
      </c>
      <c r="P20359" t="s">
        <v>630</v>
      </c>
      <c r="Q20359" t="s">
        <v>144</v>
      </c>
      <c r="R20359" t="s">
        <v>145</v>
      </c>
      <c r="S20359">
        <v>22.5</v>
      </c>
      <c r="T20359">
        <v>50</v>
      </c>
      <c r="V20359" t="s">
        <v>146</v>
      </c>
      <c r="W20359" t="s">
        <v>184</v>
      </c>
      <c r="X20359" t="s">
        <v>7</v>
      </c>
      <c r="Y20359" t="s">
        <v>3133</v>
      </c>
      <c r="Z20359" t="s">
        <v>1512</v>
      </c>
      <c r="AA20359" t="s">
        <v>1541</v>
      </c>
      <c r="AB20359">
        <v>80</v>
      </c>
      <c r="AC20359" t="s">
        <v>150</v>
      </c>
      <c r="AE20359" t="s">
        <v>2885</v>
      </c>
      <c r="AF20359" t="s">
        <v>1512</v>
      </c>
      <c r="AG20359" t="s">
        <v>3067</v>
      </c>
      <c r="AL20359" t="s">
        <v>3154</v>
      </c>
      <c r="AM20359" t="s">
        <v>3155</v>
      </c>
      <c r="AN20359" t="s">
        <v>3156</v>
      </c>
      <c r="AO20359" t="s">
        <v>3132</v>
      </c>
      <c r="AQ20359">
        <f>IF(ISBLANK(AP20359), IFERROR(IF(VLOOKUP(AO20359, Ellens_additions!$A$2:$B$252, 2, FALSE) = "", "", VLOOKUP(AO20359, Ellens_additions!$A$2:$B$252, 2, FALSE)), 0), AP20359)</f>
        <v>0</v>
      </c>
    </row>
    <row r="20360" spans="1:43" ht="14.4" hidden="1" x14ac:dyDescent="0.3">
      <c r="A20360" t="s">
        <v>3157</v>
      </c>
      <c r="B20360">
        <v>4906646</v>
      </c>
      <c r="C20360" t="s">
        <v>135</v>
      </c>
      <c r="D20360" t="s">
        <v>136</v>
      </c>
      <c r="E20360" t="s">
        <v>344</v>
      </c>
      <c r="F20360" t="s">
        <v>1785</v>
      </c>
      <c r="H20360" t="s">
        <v>467</v>
      </c>
      <c r="I20360" t="s">
        <v>3064</v>
      </c>
      <c r="J20360" t="s">
        <v>140</v>
      </c>
      <c r="K20360">
        <v>156628.375</v>
      </c>
      <c r="L20360">
        <v>384670.14399999997</v>
      </c>
      <c r="M20360">
        <v>1</v>
      </c>
      <c r="N20360" t="s">
        <v>3132</v>
      </c>
      <c r="O20360" t="s">
        <v>1512</v>
      </c>
      <c r="P20360" t="s">
        <v>630</v>
      </c>
      <c r="Q20360" t="s">
        <v>144</v>
      </c>
      <c r="R20360" t="s">
        <v>145</v>
      </c>
      <c r="S20360">
        <v>22.5</v>
      </c>
      <c r="T20360">
        <v>50</v>
      </c>
      <c r="V20360" t="s">
        <v>146</v>
      </c>
      <c r="W20360" t="s">
        <v>184</v>
      </c>
      <c r="X20360" t="s">
        <v>7</v>
      </c>
      <c r="Y20360" t="s">
        <v>3133</v>
      </c>
      <c r="Z20360" t="s">
        <v>1512</v>
      </c>
      <c r="AA20360" t="s">
        <v>1541</v>
      </c>
      <c r="AB20360">
        <v>80</v>
      </c>
      <c r="AC20360" t="s">
        <v>150</v>
      </c>
      <c r="AE20360" t="s">
        <v>2885</v>
      </c>
      <c r="AF20360" t="s">
        <v>1512</v>
      </c>
      <c r="AG20360" t="s">
        <v>3067</v>
      </c>
      <c r="AL20360" t="s">
        <v>3158</v>
      </c>
      <c r="AM20360" t="s">
        <v>3159</v>
      </c>
      <c r="AN20360" t="s">
        <v>3160</v>
      </c>
      <c r="AO20360" t="s">
        <v>3132</v>
      </c>
      <c r="AQ20360">
        <f>IF(ISBLANK(AP20360), IFERROR(IF(VLOOKUP(AO20360, Ellens_additions!$A$2:$B$252, 2, FALSE) = "", "", VLOOKUP(AO20360, Ellens_additions!$A$2:$B$252, 2, FALSE)), 0), AP20360)</f>
        <v>0</v>
      </c>
    </row>
    <row r="20361" spans="1:43" ht="14.4" hidden="1" x14ac:dyDescent="0.3">
      <c r="A20361" t="s">
        <v>3161</v>
      </c>
      <c r="B20361">
        <v>4906650</v>
      </c>
      <c r="C20361" t="s">
        <v>135</v>
      </c>
      <c r="D20361" t="s">
        <v>136</v>
      </c>
      <c r="E20361" t="s">
        <v>344</v>
      </c>
      <c r="F20361" t="s">
        <v>1785</v>
      </c>
      <c r="H20361" t="s">
        <v>676</v>
      </c>
      <c r="I20361" t="s">
        <v>3064</v>
      </c>
      <c r="J20361" t="s">
        <v>140</v>
      </c>
      <c r="K20361">
        <v>156637.663</v>
      </c>
      <c r="L20361">
        <v>384678.23599999998</v>
      </c>
      <c r="M20361">
        <v>1</v>
      </c>
      <c r="N20361" t="s">
        <v>3132</v>
      </c>
      <c r="O20361" t="s">
        <v>1512</v>
      </c>
      <c r="P20361" t="s">
        <v>630</v>
      </c>
      <c r="Q20361" t="s">
        <v>144</v>
      </c>
      <c r="R20361" t="s">
        <v>145</v>
      </c>
      <c r="S20361">
        <v>22.5</v>
      </c>
      <c r="T20361">
        <v>50</v>
      </c>
      <c r="V20361" t="s">
        <v>146</v>
      </c>
      <c r="W20361" t="s">
        <v>184</v>
      </c>
      <c r="X20361" t="s">
        <v>7</v>
      </c>
      <c r="Y20361" t="s">
        <v>3133</v>
      </c>
      <c r="Z20361" t="s">
        <v>1512</v>
      </c>
      <c r="AA20361" t="s">
        <v>1541</v>
      </c>
      <c r="AB20361">
        <v>80</v>
      </c>
      <c r="AC20361" t="s">
        <v>150</v>
      </c>
      <c r="AE20361" t="s">
        <v>2885</v>
      </c>
      <c r="AF20361" t="s">
        <v>1512</v>
      </c>
      <c r="AG20361" t="s">
        <v>3067</v>
      </c>
      <c r="AL20361" t="s">
        <v>3162</v>
      </c>
      <c r="AM20361" t="s">
        <v>3163</v>
      </c>
      <c r="AN20361" t="s">
        <v>3164</v>
      </c>
      <c r="AO20361" t="s">
        <v>3132</v>
      </c>
      <c r="AQ20361">
        <f>IF(ISBLANK(AP20361), IFERROR(IF(VLOOKUP(AO20361, Ellens_additions!$A$2:$B$252, 2, FALSE) = "", "", VLOOKUP(AO20361, Ellens_additions!$A$2:$B$252, 2, FALSE)), 0), AP20361)</f>
        <v>0</v>
      </c>
    </row>
    <row r="20362" spans="1:43" ht="14.4" hidden="1" x14ac:dyDescent="0.3">
      <c r="A20362" t="s">
        <v>3165</v>
      </c>
      <c r="B20362">
        <v>4906653</v>
      </c>
      <c r="C20362" t="s">
        <v>135</v>
      </c>
      <c r="D20362" t="s">
        <v>136</v>
      </c>
      <c r="E20362" t="s">
        <v>344</v>
      </c>
      <c r="F20362" t="s">
        <v>1785</v>
      </c>
      <c r="H20362" t="s">
        <v>328</v>
      </c>
      <c r="I20362" t="s">
        <v>3064</v>
      </c>
      <c r="J20362" t="s">
        <v>140</v>
      </c>
      <c r="K20362">
        <v>156644.774</v>
      </c>
      <c r="L20362">
        <v>384684.304</v>
      </c>
      <c r="M20362">
        <v>1</v>
      </c>
      <c r="N20362" t="s">
        <v>3132</v>
      </c>
      <c r="O20362" t="s">
        <v>1512</v>
      </c>
      <c r="P20362" t="s">
        <v>630</v>
      </c>
      <c r="Q20362" t="s">
        <v>144</v>
      </c>
      <c r="R20362" t="s">
        <v>145</v>
      </c>
      <c r="S20362">
        <v>22.5</v>
      </c>
      <c r="T20362">
        <v>50</v>
      </c>
      <c r="V20362" t="s">
        <v>146</v>
      </c>
      <c r="W20362" t="s">
        <v>184</v>
      </c>
      <c r="X20362" t="s">
        <v>7</v>
      </c>
      <c r="Y20362" t="s">
        <v>3133</v>
      </c>
      <c r="Z20362" t="s">
        <v>1512</v>
      </c>
      <c r="AA20362" t="s">
        <v>1541</v>
      </c>
      <c r="AB20362">
        <v>80</v>
      </c>
      <c r="AC20362" t="s">
        <v>150</v>
      </c>
      <c r="AE20362" t="s">
        <v>2885</v>
      </c>
      <c r="AF20362" t="s">
        <v>1512</v>
      </c>
      <c r="AG20362" t="s">
        <v>3067</v>
      </c>
      <c r="AL20362" t="s">
        <v>3166</v>
      </c>
      <c r="AM20362" t="s">
        <v>3167</v>
      </c>
      <c r="AN20362" t="s">
        <v>3168</v>
      </c>
      <c r="AO20362" t="s">
        <v>3132</v>
      </c>
      <c r="AQ20362">
        <f>IF(ISBLANK(AP20362), IFERROR(IF(VLOOKUP(AO20362, Ellens_additions!$A$2:$B$252, 2, FALSE) = "", "", VLOOKUP(AO20362, Ellens_additions!$A$2:$B$252, 2, FALSE)), 0), AP20362)</f>
        <v>0</v>
      </c>
    </row>
    <row r="20363" spans="1:43" ht="14.4" hidden="1" x14ac:dyDescent="0.3">
      <c r="A20363" t="s">
        <v>3169</v>
      </c>
      <c r="B20363">
        <v>4906658</v>
      </c>
      <c r="C20363" t="s">
        <v>135</v>
      </c>
      <c r="D20363" t="s">
        <v>136</v>
      </c>
      <c r="E20363" t="s">
        <v>344</v>
      </c>
      <c r="F20363" t="s">
        <v>1785</v>
      </c>
      <c r="H20363" t="s">
        <v>725</v>
      </c>
      <c r="I20363" t="s">
        <v>3064</v>
      </c>
      <c r="J20363" t="s">
        <v>140</v>
      </c>
      <c r="K20363">
        <v>156656.38500000001</v>
      </c>
      <c r="L20363">
        <v>384694.44199999998</v>
      </c>
      <c r="M20363">
        <v>1</v>
      </c>
      <c r="N20363" t="s">
        <v>3132</v>
      </c>
      <c r="O20363" t="s">
        <v>1512</v>
      </c>
      <c r="P20363" t="s">
        <v>630</v>
      </c>
      <c r="Q20363" t="s">
        <v>144</v>
      </c>
      <c r="R20363" t="s">
        <v>145</v>
      </c>
      <c r="S20363">
        <v>22.5</v>
      </c>
      <c r="T20363">
        <v>50</v>
      </c>
      <c r="V20363" t="s">
        <v>146</v>
      </c>
      <c r="W20363" t="s">
        <v>184</v>
      </c>
      <c r="X20363" t="s">
        <v>7</v>
      </c>
      <c r="Y20363" t="s">
        <v>3133</v>
      </c>
      <c r="Z20363" t="s">
        <v>1512</v>
      </c>
      <c r="AA20363" t="s">
        <v>1541</v>
      </c>
      <c r="AB20363">
        <v>80</v>
      </c>
      <c r="AC20363" t="s">
        <v>150</v>
      </c>
      <c r="AE20363" t="s">
        <v>2885</v>
      </c>
      <c r="AF20363" t="s">
        <v>1512</v>
      </c>
      <c r="AG20363" t="s">
        <v>3067</v>
      </c>
      <c r="AL20363" t="s">
        <v>3170</v>
      </c>
      <c r="AM20363" t="s">
        <v>3171</v>
      </c>
      <c r="AN20363" t="s">
        <v>3172</v>
      </c>
      <c r="AO20363" t="s">
        <v>3132</v>
      </c>
      <c r="AQ20363">
        <f>IF(ISBLANK(AP20363), IFERROR(IF(VLOOKUP(AO20363, Ellens_additions!$A$2:$B$252, 2, FALSE) = "", "", VLOOKUP(AO20363, Ellens_additions!$A$2:$B$252, 2, FALSE)), 0), AP20363)</f>
        <v>0</v>
      </c>
    </row>
    <row r="20364" spans="1:43" ht="14.4" x14ac:dyDescent="0.3"/>
    <row r="20365" spans="1:43" ht="14.4" x14ac:dyDescent="0.3"/>
    <row r="20366" spans="1:43" ht="14.4" x14ac:dyDescent="0.3"/>
    <row r="20367" spans="1:43" ht="14.4" x14ac:dyDescent="0.3"/>
    <row r="20368" spans="1:43" ht="14.4" x14ac:dyDescent="0.3"/>
    <row r="20369" ht="14.4" x14ac:dyDescent="0.3"/>
    <row r="20370" ht="14.4" x14ac:dyDescent="0.3"/>
    <row r="20371" ht="14.4" x14ac:dyDescent="0.3"/>
    <row r="20372" ht="14.4" x14ac:dyDescent="0.3"/>
    <row r="20373" ht="14.4" x14ac:dyDescent="0.3"/>
    <row r="20374" ht="14.4" x14ac:dyDescent="0.3"/>
    <row r="20375" ht="14.4" x14ac:dyDescent="0.3"/>
    <row r="20376" ht="14.4" x14ac:dyDescent="0.3"/>
    <row r="20377" ht="14.4" x14ac:dyDescent="0.3"/>
    <row r="20378" ht="14.4" x14ac:dyDescent="0.3"/>
    <row r="20379" ht="14.4" x14ac:dyDescent="0.3"/>
    <row r="20380" ht="14.4" x14ac:dyDescent="0.3"/>
    <row r="20381" ht="14.4" x14ac:dyDescent="0.3"/>
    <row r="20382" ht="14.4" x14ac:dyDescent="0.3"/>
    <row r="20383" ht="14.4" x14ac:dyDescent="0.3"/>
    <row r="20384" ht="14.4" x14ac:dyDescent="0.3"/>
    <row r="20385" ht="14.4" x14ac:dyDescent="0.3"/>
    <row r="20386" ht="14.4" x14ac:dyDescent="0.3"/>
    <row r="20387" ht="14.4" x14ac:dyDescent="0.3"/>
    <row r="20388" ht="14.4" x14ac:dyDescent="0.3"/>
    <row r="20389" ht="14.4" x14ac:dyDescent="0.3"/>
    <row r="20390" ht="14.4" x14ac:dyDescent="0.3"/>
    <row r="20391" ht="14.4" x14ac:dyDescent="0.3"/>
    <row r="20392" ht="14.4" x14ac:dyDescent="0.3"/>
    <row r="20393" ht="14.4" x14ac:dyDescent="0.3"/>
    <row r="20394" ht="14.4" x14ac:dyDescent="0.3"/>
    <row r="20395" ht="14.4" x14ac:dyDescent="0.3"/>
    <row r="20396" ht="14.4" x14ac:dyDescent="0.3"/>
    <row r="20397" ht="14.4" x14ac:dyDescent="0.3"/>
    <row r="20398" ht="14.4" x14ac:dyDescent="0.3"/>
    <row r="20399" ht="14.4" x14ac:dyDescent="0.3"/>
    <row r="20400" ht="14.4" x14ac:dyDescent="0.3"/>
    <row r="20401" ht="14.4" x14ac:dyDescent="0.3"/>
    <row r="20402" ht="14.4" x14ac:dyDescent="0.3"/>
    <row r="20403" ht="14.4" x14ac:dyDescent="0.3"/>
    <row r="20404" ht="14.4" x14ac:dyDescent="0.3"/>
    <row r="20405" ht="14.4" x14ac:dyDescent="0.3"/>
    <row r="20406" ht="14.4" x14ac:dyDescent="0.3"/>
    <row r="20407" ht="14.4" x14ac:dyDescent="0.3"/>
    <row r="20408" ht="14.4" x14ac:dyDescent="0.3"/>
    <row r="20409" ht="14.4" x14ac:dyDescent="0.3"/>
    <row r="20410" ht="14.4" x14ac:dyDescent="0.3"/>
    <row r="20411" ht="14.4" x14ac:dyDescent="0.3"/>
    <row r="20412" ht="14.4" x14ac:dyDescent="0.3"/>
    <row r="20413" ht="14.4" x14ac:dyDescent="0.3"/>
    <row r="20414" ht="14.4" x14ac:dyDescent="0.3"/>
    <row r="20415" ht="14.4" x14ac:dyDescent="0.3"/>
    <row r="20416" ht="14.4" x14ac:dyDescent="0.3"/>
    <row r="20417" ht="14.4" x14ac:dyDescent="0.3"/>
    <row r="20418" ht="14.4" x14ac:dyDescent="0.3"/>
    <row r="20419" ht="14.4" x14ac:dyDescent="0.3"/>
    <row r="20420" ht="14.4" x14ac:dyDescent="0.3"/>
    <row r="20421" ht="14.4" x14ac:dyDescent="0.3"/>
    <row r="20422" ht="14.4" x14ac:dyDescent="0.3"/>
    <row r="20423" ht="14.4" x14ac:dyDescent="0.3"/>
    <row r="20424" ht="14.4" x14ac:dyDescent="0.3"/>
    <row r="20425" ht="14.4" x14ac:dyDescent="0.3"/>
    <row r="20426" ht="14.4" x14ac:dyDescent="0.3"/>
    <row r="20427" ht="14.4" x14ac:dyDescent="0.3"/>
    <row r="20428" ht="14.4" x14ac:dyDescent="0.3"/>
    <row r="20429" ht="14.4" x14ac:dyDescent="0.3"/>
    <row r="20430" ht="14.4" x14ac:dyDescent="0.3"/>
    <row r="20431" ht="14.4" x14ac:dyDescent="0.3"/>
    <row r="20432" ht="14.4" x14ac:dyDescent="0.3"/>
    <row r="20433" ht="14.4" x14ac:dyDescent="0.3"/>
    <row r="20434" ht="14.4" x14ac:dyDescent="0.3"/>
    <row r="20435" ht="14.4" x14ac:dyDescent="0.3"/>
    <row r="20436" ht="14.4" x14ac:dyDescent="0.3"/>
    <row r="20437" ht="14.4" x14ac:dyDescent="0.3"/>
    <row r="20438" ht="14.4" x14ac:dyDescent="0.3"/>
    <row r="20439" ht="14.4" x14ac:dyDescent="0.3"/>
    <row r="20440" ht="14.4" x14ac:dyDescent="0.3"/>
    <row r="20441" ht="14.4" x14ac:dyDescent="0.3"/>
    <row r="20442" ht="14.4" x14ac:dyDescent="0.3"/>
    <row r="20443" ht="14.4" x14ac:dyDescent="0.3"/>
    <row r="20444" ht="14.4" x14ac:dyDescent="0.3"/>
    <row r="20445" ht="14.4" x14ac:dyDescent="0.3"/>
    <row r="20446" ht="14.4" x14ac:dyDescent="0.3"/>
    <row r="20447" ht="14.4" x14ac:dyDescent="0.3"/>
    <row r="20448" ht="14.4" x14ac:dyDescent="0.3"/>
    <row r="20449" ht="14.4" x14ac:dyDescent="0.3"/>
    <row r="20450" ht="14.4" x14ac:dyDescent="0.3"/>
    <row r="20451" ht="14.4" x14ac:dyDescent="0.3"/>
    <row r="20452" ht="14.4" x14ac:dyDescent="0.3"/>
    <row r="20453" ht="14.4" x14ac:dyDescent="0.3"/>
    <row r="20454" ht="14.4" x14ac:dyDescent="0.3"/>
    <row r="20455" ht="14.4" x14ac:dyDescent="0.3"/>
    <row r="20456" ht="14.4" x14ac:dyDescent="0.3"/>
    <row r="20457" ht="14.4" x14ac:dyDescent="0.3"/>
    <row r="20458" ht="14.4" x14ac:dyDescent="0.3"/>
    <row r="20459" ht="14.4" x14ac:dyDescent="0.3"/>
    <row r="20460" ht="14.4" x14ac:dyDescent="0.3"/>
    <row r="20461" ht="14.4" x14ac:dyDescent="0.3"/>
    <row r="20462" ht="14.4" x14ac:dyDescent="0.3"/>
    <row r="20463" ht="14.4" x14ac:dyDescent="0.3"/>
    <row r="20464" ht="14.4" x14ac:dyDescent="0.3"/>
    <row r="20465" ht="14.4" x14ac:dyDescent="0.3"/>
    <row r="20466" ht="14.4" x14ac:dyDescent="0.3"/>
    <row r="20467" ht="14.4" x14ac:dyDescent="0.3"/>
    <row r="20468" ht="14.4" x14ac:dyDescent="0.3"/>
    <row r="20469" ht="14.4" x14ac:dyDescent="0.3"/>
    <row r="20470" ht="14.4" x14ac:dyDescent="0.3"/>
    <row r="20471" ht="14.4" x14ac:dyDescent="0.3"/>
    <row r="20472" ht="14.4" x14ac:dyDescent="0.3"/>
    <row r="20473" ht="14.4" x14ac:dyDescent="0.3"/>
    <row r="20474" ht="14.4" x14ac:dyDescent="0.3"/>
    <row r="20475" ht="14.4" x14ac:dyDescent="0.3"/>
    <row r="20476" ht="14.4" x14ac:dyDescent="0.3"/>
    <row r="20477" ht="14.4" x14ac:dyDescent="0.3"/>
    <row r="20478" ht="14.4" x14ac:dyDescent="0.3"/>
    <row r="20479" ht="14.4" x14ac:dyDescent="0.3"/>
    <row r="20480" ht="14.4" x14ac:dyDescent="0.3"/>
    <row r="20481" ht="14.4" x14ac:dyDescent="0.3"/>
    <row r="20482" ht="14.4" x14ac:dyDescent="0.3"/>
    <row r="20483" ht="14.4" x14ac:dyDescent="0.3"/>
    <row r="20484" ht="14.4" x14ac:dyDescent="0.3"/>
    <row r="20485" ht="14.4" x14ac:dyDescent="0.3"/>
    <row r="20486" ht="14.4" x14ac:dyDescent="0.3"/>
    <row r="20487" ht="14.4" x14ac:dyDescent="0.3"/>
    <row r="20488" ht="14.4" x14ac:dyDescent="0.3"/>
    <row r="20489" ht="14.4" x14ac:dyDescent="0.3"/>
    <row r="20490" ht="14.4" x14ac:dyDescent="0.3"/>
    <row r="20491" ht="14.4" x14ac:dyDescent="0.3"/>
    <row r="20492" ht="14.4" x14ac:dyDescent="0.3"/>
    <row r="20493" ht="14.4" x14ac:dyDescent="0.3"/>
    <row r="20494" ht="14.4" x14ac:dyDescent="0.3"/>
    <row r="20495" ht="14.4" x14ac:dyDescent="0.3"/>
    <row r="20496" ht="14.4" x14ac:dyDescent="0.3"/>
    <row r="20497" ht="14.4" x14ac:dyDescent="0.3"/>
    <row r="20498" ht="14.4" x14ac:dyDescent="0.3"/>
    <row r="20499" ht="14.4" x14ac:dyDescent="0.3"/>
    <row r="20500" ht="14.4" x14ac:dyDescent="0.3"/>
    <row r="20501" ht="14.4" x14ac:dyDescent="0.3"/>
    <row r="20502" ht="14.4" x14ac:dyDescent="0.3"/>
    <row r="20503" ht="14.4" x14ac:dyDescent="0.3"/>
    <row r="20504" ht="14.4" x14ac:dyDescent="0.3"/>
    <row r="20505" ht="14.4" x14ac:dyDescent="0.3"/>
    <row r="20506" ht="14.4" x14ac:dyDescent="0.3"/>
    <row r="20507" ht="14.4" x14ac:dyDescent="0.3"/>
    <row r="20508" ht="14.4" x14ac:dyDescent="0.3"/>
    <row r="20509" ht="14.4" x14ac:dyDescent="0.3"/>
    <row r="20510" ht="14.4" x14ac:dyDescent="0.3"/>
    <row r="20511" ht="14.4" x14ac:dyDescent="0.3"/>
    <row r="20512" ht="14.4" x14ac:dyDescent="0.3"/>
    <row r="20513" spans="1:43" ht="14.4" x14ac:dyDescent="0.3"/>
    <row r="20514" spans="1:43" ht="14.4" x14ac:dyDescent="0.3"/>
    <row r="20515" spans="1:43" ht="14.4" x14ac:dyDescent="0.3"/>
    <row r="20516" spans="1:43" ht="14.4" x14ac:dyDescent="0.3"/>
    <row r="20517" spans="1:43" ht="14.4" x14ac:dyDescent="0.3"/>
    <row r="20518" spans="1:43" ht="14.4" x14ac:dyDescent="0.3"/>
    <row r="20519" spans="1:43" ht="14.4" x14ac:dyDescent="0.3"/>
    <row r="20520" spans="1:43" ht="14.4" x14ac:dyDescent="0.3"/>
    <row r="20521" spans="1:43" ht="14.4" x14ac:dyDescent="0.3"/>
    <row r="20522" spans="1:43" ht="14.4" x14ac:dyDescent="0.3"/>
    <row r="20523" spans="1:43" ht="14.4" x14ac:dyDescent="0.3"/>
    <row r="20524" spans="1:43" ht="14.4" hidden="1" x14ac:dyDescent="0.3">
      <c r="A20524" t="s">
        <v>3173</v>
      </c>
      <c r="B20524">
        <v>4914125</v>
      </c>
      <c r="C20524" t="s">
        <v>538</v>
      </c>
      <c r="D20524" t="s">
        <v>564</v>
      </c>
      <c r="E20524" t="s">
        <v>565</v>
      </c>
      <c r="F20524" t="s">
        <v>3174</v>
      </c>
      <c r="H20524" t="s">
        <v>3175</v>
      </c>
      <c r="J20524" t="s">
        <v>140</v>
      </c>
      <c r="K20524">
        <v>162028.49</v>
      </c>
      <c r="L20524">
        <v>383310.54</v>
      </c>
      <c r="N20524" t="s">
        <v>146</v>
      </c>
      <c r="O20524" t="s">
        <v>410</v>
      </c>
      <c r="P20524" t="s">
        <v>410</v>
      </c>
      <c r="Q20524" t="s">
        <v>144</v>
      </c>
      <c r="R20524" t="s">
        <v>145</v>
      </c>
      <c r="S20524">
        <v>0</v>
      </c>
      <c r="T20524">
        <v>0</v>
      </c>
      <c r="U20524">
        <v>0</v>
      </c>
      <c r="V20524" t="s">
        <v>146</v>
      </c>
      <c r="W20524" t="s">
        <v>184</v>
      </c>
      <c r="X20524" t="s">
        <v>7</v>
      </c>
      <c r="Y20524" t="s">
        <v>3176</v>
      </c>
      <c r="Z20524" t="s">
        <v>410</v>
      </c>
      <c r="AA20524" t="s">
        <v>509</v>
      </c>
      <c r="AB20524">
        <v>0</v>
      </c>
      <c r="AE20524" t="s">
        <v>3177</v>
      </c>
      <c r="AF20524" t="s">
        <v>410</v>
      </c>
      <c r="AG20524" t="s">
        <v>1539</v>
      </c>
      <c r="AL20524" t="s">
        <v>3178</v>
      </c>
      <c r="AM20524" t="s">
        <v>3179</v>
      </c>
      <c r="AN20524" t="s">
        <v>3180</v>
      </c>
      <c r="AO20524" t="s">
        <v>146</v>
      </c>
      <c r="AQ20524" t="str">
        <f>IF(ISBLANK(AP20524), IFERROR(IF(VLOOKUP(AO20524, Ellens_additions!$A$2:$B$252, 2, FALSE) = "", "", VLOOKUP(AO20524, Ellens_additions!$A$2:$B$252, 2, FALSE)), 0), AP20524)</f>
        <v/>
      </c>
    </row>
    <row r="20525" spans="1:43" ht="14.4" hidden="1" x14ac:dyDescent="0.3">
      <c r="A20525" t="s">
        <v>3181</v>
      </c>
      <c r="B20525">
        <v>4914128</v>
      </c>
      <c r="C20525" t="s">
        <v>538</v>
      </c>
      <c r="D20525" t="s">
        <v>564</v>
      </c>
      <c r="E20525" t="s">
        <v>565</v>
      </c>
      <c r="F20525" t="s">
        <v>3174</v>
      </c>
      <c r="H20525" t="s">
        <v>3182</v>
      </c>
      <c r="J20525" t="s">
        <v>140</v>
      </c>
      <c r="K20525">
        <v>162084.24</v>
      </c>
      <c r="L20525">
        <v>383329.62</v>
      </c>
      <c r="N20525" t="s">
        <v>146</v>
      </c>
      <c r="O20525" t="s">
        <v>410</v>
      </c>
      <c r="P20525" t="s">
        <v>410</v>
      </c>
      <c r="Q20525" t="s">
        <v>144</v>
      </c>
      <c r="R20525" t="s">
        <v>145</v>
      </c>
      <c r="S20525">
        <v>0</v>
      </c>
      <c r="T20525">
        <v>0</v>
      </c>
      <c r="U20525">
        <v>0</v>
      </c>
      <c r="V20525" t="s">
        <v>146</v>
      </c>
      <c r="W20525" t="s">
        <v>184</v>
      </c>
      <c r="X20525" t="s">
        <v>7</v>
      </c>
      <c r="Y20525" t="s">
        <v>3176</v>
      </c>
      <c r="Z20525" t="s">
        <v>410</v>
      </c>
      <c r="AA20525" t="s">
        <v>509</v>
      </c>
      <c r="AB20525">
        <v>0</v>
      </c>
      <c r="AE20525" t="s">
        <v>3177</v>
      </c>
      <c r="AF20525" t="s">
        <v>410</v>
      </c>
      <c r="AG20525" t="s">
        <v>1539</v>
      </c>
      <c r="AL20525" t="s">
        <v>3183</v>
      </c>
      <c r="AM20525" t="s">
        <v>3184</v>
      </c>
      <c r="AN20525" t="s">
        <v>3185</v>
      </c>
      <c r="AO20525" t="s">
        <v>146</v>
      </c>
      <c r="AQ20525" t="str">
        <f>IF(ISBLANK(AP20525), IFERROR(IF(VLOOKUP(AO20525, Ellens_additions!$A$2:$B$252, 2, FALSE) = "", "", VLOOKUP(AO20525, Ellens_additions!$A$2:$B$252, 2, FALSE)), 0), AP20525)</f>
        <v/>
      </c>
    </row>
    <row r="20526" spans="1:43" ht="14.4" x14ac:dyDescent="0.3"/>
    <row r="20527" spans="1:43" ht="14.4" x14ac:dyDescent="0.3"/>
    <row r="20528" spans="1:43" ht="14.4" x14ac:dyDescent="0.3"/>
    <row r="20529" ht="14.4" x14ac:dyDescent="0.3"/>
    <row r="20530" ht="14.4" x14ac:dyDescent="0.3"/>
    <row r="20531" ht="14.4" x14ac:dyDescent="0.3"/>
    <row r="20532" ht="14.4" x14ac:dyDescent="0.3"/>
    <row r="20533" ht="14.4" x14ac:dyDescent="0.3"/>
    <row r="20534" ht="14.4" x14ac:dyDescent="0.3"/>
    <row r="20535" ht="14.4" x14ac:dyDescent="0.3"/>
    <row r="20536" ht="14.4" x14ac:dyDescent="0.3"/>
    <row r="20537" ht="14.4" x14ac:dyDescent="0.3"/>
    <row r="20538" ht="14.4" x14ac:dyDescent="0.3"/>
    <row r="20539" ht="14.4" x14ac:dyDescent="0.3"/>
    <row r="20540" ht="14.4" x14ac:dyDescent="0.3"/>
    <row r="20541" ht="14.4" x14ac:dyDescent="0.3"/>
    <row r="20542" ht="14.4" x14ac:dyDescent="0.3"/>
    <row r="20543" ht="14.4" x14ac:dyDescent="0.3"/>
    <row r="20544" ht="14.4" x14ac:dyDescent="0.3"/>
    <row r="20545" ht="14.4" x14ac:dyDescent="0.3"/>
    <row r="20546" ht="14.4" x14ac:dyDescent="0.3"/>
    <row r="20547" ht="14.4" x14ac:dyDescent="0.3"/>
    <row r="20548" ht="14.4" x14ac:dyDescent="0.3"/>
    <row r="20549" ht="14.4" x14ac:dyDescent="0.3"/>
    <row r="20550" ht="14.4" x14ac:dyDescent="0.3"/>
    <row r="20551" ht="14.4" x14ac:dyDescent="0.3"/>
    <row r="20552" ht="14.4" x14ac:dyDescent="0.3"/>
    <row r="20553" ht="14.4" x14ac:dyDescent="0.3"/>
    <row r="20554" ht="14.4" x14ac:dyDescent="0.3"/>
    <row r="20555" ht="14.4" x14ac:dyDescent="0.3"/>
    <row r="20556" ht="14.4" x14ac:dyDescent="0.3"/>
    <row r="20557" ht="14.4" x14ac:dyDescent="0.3"/>
    <row r="20558" ht="14.4" x14ac:dyDescent="0.3"/>
    <row r="20559" ht="14.4" x14ac:dyDescent="0.3"/>
    <row r="20560" ht="14.4" x14ac:dyDescent="0.3"/>
    <row r="20561" spans="1:43" ht="14.4" x14ac:dyDescent="0.3"/>
    <row r="20562" spans="1:43" ht="14.4" x14ac:dyDescent="0.3"/>
    <row r="20563" spans="1:43" ht="14.4" x14ac:dyDescent="0.3"/>
    <row r="20564" spans="1:43" ht="14.4" x14ac:dyDescent="0.3"/>
    <row r="20565" spans="1:43" ht="14.4" x14ac:dyDescent="0.3"/>
    <row r="20566" spans="1:43" ht="14.4" hidden="1" x14ac:dyDescent="0.3">
      <c r="A20566" t="s">
        <v>3187</v>
      </c>
      <c r="B20566">
        <v>4914245</v>
      </c>
      <c r="C20566" t="s">
        <v>538</v>
      </c>
      <c r="D20566" t="s">
        <v>563</v>
      </c>
      <c r="E20566" t="s">
        <v>3188</v>
      </c>
      <c r="F20566" t="s">
        <v>3189</v>
      </c>
      <c r="H20566" t="s">
        <v>244</v>
      </c>
      <c r="J20566" t="s">
        <v>140</v>
      </c>
      <c r="K20566">
        <v>164247.41</v>
      </c>
      <c r="L20566">
        <v>382794.38</v>
      </c>
      <c r="N20566" t="s">
        <v>3190</v>
      </c>
      <c r="O20566" t="s">
        <v>1028</v>
      </c>
      <c r="P20566" t="s">
        <v>1029</v>
      </c>
      <c r="Q20566" t="s">
        <v>144</v>
      </c>
      <c r="S20566">
        <v>18</v>
      </c>
      <c r="T20566">
        <v>2000</v>
      </c>
      <c r="U20566">
        <v>80</v>
      </c>
      <c r="V20566" t="s">
        <v>146</v>
      </c>
      <c r="W20566" t="s">
        <v>147</v>
      </c>
      <c r="X20566" t="s">
        <v>7</v>
      </c>
      <c r="Y20566" t="s">
        <v>1006</v>
      </c>
      <c r="Z20566" t="s">
        <v>1028</v>
      </c>
      <c r="AA20566" t="s">
        <v>1030</v>
      </c>
      <c r="AB20566">
        <v>0</v>
      </c>
      <c r="AE20566" t="s">
        <v>3191</v>
      </c>
      <c r="AF20566" t="s">
        <v>1028</v>
      </c>
      <c r="AG20566" t="s">
        <v>1821</v>
      </c>
      <c r="AL20566" t="s">
        <v>3192</v>
      </c>
      <c r="AM20566" t="s">
        <v>3193</v>
      </c>
      <c r="AN20566" t="s">
        <v>3194</v>
      </c>
      <c r="AO20566" t="s">
        <v>3190</v>
      </c>
      <c r="AP20566" t="s">
        <v>158</v>
      </c>
      <c r="AQ20566" t="str">
        <f>IF(ISBLANK(AP20566), IFERROR(IF(VLOOKUP(AO20566, Ellens_additions!$A$2:$B$252, 2, FALSE) = "", "", VLOOKUP(AO20566, Ellens_additions!$A$2:$B$252, 2, FALSE)), 0), AP20566)</f>
        <v>3000</v>
      </c>
    </row>
    <row r="20567" spans="1:43" ht="14.4" hidden="1" x14ac:dyDescent="0.3">
      <c r="A20567" t="s">
        <v>3195</v>
      </c>
      <c r="B20567">
        <v>4914247</v>
      </c>
      <c r="C20567" t="s">
        <v>538</v>
      </c>
      <c r="D20567" t="s">
        <v>563</v>
      </c>
      <c r="E20567" t="s">
        <v>3188</v>
      </c>
      <c r="F20567" t="s">
        <v>3189</v>
      </c>
      <c r="H20567" t="s">
        <v>251</v>
      </c>
      <c r="J20567" t="s">
        <v>140</v>
      </c>
      <c r="K20567">
        <v>164254.09</v>
      </c>
      <c r="L20567">
        <v>382763.48</v>
      </c>
      <c r="N20567" t="s">
        <v>3190</v>
      </c>
      <c r="O20567" t="s">
        <v>1028</v>
      </c>
      <c r="P20567" t="s">
        <v>1029</v>
      </c>
      <c r="Q20567" t="s">
        <v>144</v>
      </c>
      <c r="S20567">
        <v>18</v>
      </c>
      <c r="T20567">
        <v>2000</v>
      </c>
      <c r="U20567">
        <v>80</v>
      </c>
      <c r="V20567" t="s">
        <v>146</v>
      </c>
      <c r="W20567" t="s">
        <v>147</v>
      </c>
      <c r="X20567" t="s">
        <v>7</v>
      </c>
      <c r="Y20567" t="s">
        <v>1006</v>
      </c>
      <c r="Z20567" t="s">
        <v>1028</v>
      </c>
      <c r="AA20567" t="s">
        <v>1030</v>
      </c>
      <c r="AB20567">
        <v>0</v>
      </c>
      <c r="AE20567" t="s">
        <v>3191</v>
      </c>
      <c r="AF20567" t="s">
        <v>1028</v>
      </c>
      <c r="AG20567" t="s">
        <v>1821</v>
      </c>
      <c r="AL20567" t="s">
        <v>3196</v>
      </c>
      <c r="AM20567" t="s">
        <v>3197</v>
      </c>
      <c r="AN20567" t="s">
        <v>3198</v>
      </c>
      <c r="AO20567" t="s">
        <v>3190</v>
      </c>
      <c r="AP20567" t="s">
        <v>158</v>
      </c>
      <c r="AQ20567" t="str">
        <f>IF(ISBLANK(AP20567), IFERROR(IF(VLOOKUP(AO20567, Ellens_additions!$A$2:$B$252, 2, FALSE) = "", "", VLOOKUP(AO20567, Ellens_additions!$A$2:$B$252, 2, FALSE)), 0), AP20567)</f>
        <v>3000</v>
      </c>
    </row>
    <row r="20568" spans="1:43" ht="14.4" hidden="1" x14ac:dyDescent="0.3">
      <c r="A20568" t="s">
        <v>3199</v>
      </c>
      <c r="B20568">
        <v>4914249</v>
      </c>
      <c r="C20568" t="s">
        <v>538</v>
      </c>
      <c r="D20568" t="s">
        <v>563</v>
      </c>
      <c r="E20568" t="s">
        <v>3188</v>
      </c>
      <c r="F20568" t="s">
        <v>3189</v>
      </c>
      <c r="H20568" t="s">
        <v>255</v>
      </c>
      <c r="J20568" t="s">
        <v>140</v>
      </c>
      <c r="K20568">
        <v>164319.87</v>
      </c>
      <c r="L20568">
        <v>382753.6</v>
      </c>
      <c r="N20568" t="s">
        <v>3190</v>
      </c>
      <c r="O20568" t="s">
        <v>1028</v>
      </c>
      <c r="P20568" t="s">
        <v>1029</v>
      </c>
      <c r="Q20568" t="s">
        <v>144</v>
      </c>
      <c r="S20568">
        <v>18</v>
      </c>
      <c r="T20568">
        <v>2000</v>
      </c>
      <c r="U20568">
        <v>80</v>
      </c>
      <c r="V20568" t="s">
        <v>146</v>
      </c>
      <c r="W20568" t="s">
        <v>147</v>
      </c>
      <c r="X20568" t="s">
        <v>7</v>
      </c>
      <c r="Y20568" t="s">
        <v>1006</v>
      </c>
      <c r="Z20568" t="s">
        <v>1028</v>
      </c>
      <c r="AA20568" t="s">
        <v>1030</v>
      </c>
      <c r="AB20568">
        <v>0</v>
      </c>
      <c r="AE20568" t="s">
        <v>3191</v>
      </c>
      <c r="AF20568" t="s">
        <v>1028</v>
      </c>
      <c r="AG20568" t="s">
        <v>1821</v>
      </c>
      <c r="AL20568" t="s">
        <v>3200</v>
      </c>
      <c r="AM20568" t="s">
        <v>3201</v>
      </c>
      <c r="AN20568" t="s">
        <v>3202</v>
      </c>
      <c r="AO20568" t="s">
        <v>3190</v>
      </c>
      <c r="AP20568" t="s">
        <v>158</v>
      </c>
      <c r="AQ20568" t="str">
        <f>IF(ISBLANK(AP20568), IFERROR(IF(VLOOKUP(AO20568, Ellens_additions!$A$2:$B$252, 2, FALSE) = "", "", VLOOKUP(AO20568, Ellens_additions!$A$2:$B$252, 2, FALSE)), 0), AP20568)</f>
        <v>3000</v>
      </c>
    </row>
    <row r="20569" spans="1:43" ht="14.4" hidden="1" x14ac:dyDescent="0.3">
      <c r="A20569" t="s">
        <v>3203</v>
      </c>
      <c r="B20569">
        <v>4914252</v>
      </c>
      <c r="C20569" t="s">
        <v>538</v>
      </c>
      <c r="D20569" t="s">
        <v>563</v>
      </c>
      <c r="E20569" t="s">
        <v>3188</v>
      </c>
      <c r="F20569" t="s">
        <v>3204</v>
      </c>
      <c r="H20569" t="s">
        <v>229</v>
      </c>
      <c r="J20569" t="s">
        <v>140</v>
      </c>
      <c r="K20569">
        <v>164314.03</v>
      </c>
      <c r="L20569">
        <v>382845.89</v>
      </c>
      <c r="N20569" t="s">
        <v>3190</v>
      </c>
      <c r="O20569" t="s">
        <v>1028</v>
      </c>
      <c r="P20569" t="s">
        <v>1029</v>
      </c>
      <c r="Q20569" t="s">
        <v>144</v>
      </c>
      <c r="S20569">
        <v>18</v>
      </c>
      <c r="T20569">
        <v>2000</v>
      </c>
      <c r="U20569">
        <v>80</v>
      </c>
      <c r="V20569" t="s">
        <v>146</v>
      </c>
      <c r="W20569" t="s">
        <v>147</v>
      </c>
      <c r="X20569" t="s">
        <v>7</v>
      </c>
      <c r="Y20569" t="s">
        <v>1006</v>
      </c>
      <c r="Z20569" t="s">
        <v>1028</v>
      </c>
      <c r="AA20569" t="s">
        <v>1030</v>
      </c>
      <c r="AB20569">
        <v>0</v>
      </c>
      <c r="AE20569" t="s">
        <v>3191</v>
      </c>
      <c r="AF20569" t="s">
        <v>1028</v>
      </c>
      <c r="AG20569" t="s">
        <v>1821</v>
      </c>
      <c r="AL20569" t="s">
        <v>3205</v>
      </c>
      <c r="AM20569" t="s">
        <v>3206</v>
      </c>
      <c r="AN20569" t="s">
        <v>3207</v>
      </c>
      <c r="AO20569" t="s">
        <v>3190</v>
      </c>
      <c r="AP20569" t="s">
        <v>158</v>
      </c>
      <c r="AQ20569" t="str">
        <f>IF(ISBLANK(AP20569), IFERROR(IF(VLOOKUP(AO20569, Ellens_additions!$A$2:$B$252, 2, FALSE) = "", "", VLOOKUP(AO20569, Ellens_additions!$A$2:$B$252, 2, FALSE)), 0), AP20569)</f>
        <v>3000</v>
      </c>
    </row>
    <row r="20570" spans="1:43" ht="14.4" hidden="1" x14ac:dyDescent="0.3">
      <c r="A20570" t="s">
        <v>3208</v>
      </c>
      <c r="B20570">
        <v>4914253</v>
      </c>
      <c r="C20570" t="s">
        <v>538</v>
      </c>
      <c r="D20570" t="s">
        <v>563</v>
      </c>
      <c r="E20570" t="s">
        <v>3188</v>
      </c>
      <c r="F20570" t="s">
        <v>3204</v>
      </c>
      <c r="H20570" t="s">
        <v>296</v>
      </c>
      <c r="J20570" t="s">
        <v>140</v>
      </c>
      <c r="K20570">
        <v>164310.82</v>
      </c>
      <c r="L20570">
        <v>382824.42</v>
      </c>
      <c r="N20570" t="s">
        <v>3190</v>
      </c>
      <c r="O20570" t="s">
        <v>1028</v>
      </c>
      <c r="P20570" t="s">
        <v>1029</v>
      </c>
      <c r="Q20570" t="s">
        <v>144</v>
      </c>
      <c r="S20570">
        <v>18</v>
      </c>
      <c r="T20570">
        <v>2000</v>
      </c>
      <c r="U20570">
        <v>80</v>
      </c>
      <c r="V20570" t="s">
        <v>146</v>
      </c>
      <c r="W20570" t="s">
        <v>147</v>
      </c>
      <c r="X20570" t="s">
        <v>7</v>
      </c>
      <c r="Y20570" t="s">
        <v>1006</v>
      </c>
      <c r="Z20570" t="s">
        <v>1028</v>
      </c>
      <c r="AA20570" t="s">
        <v>1030</v>
      </c>
      <c r="AB20570">
        <v>0</v>
      </c>
      <c r="AE20570" t="s">
        <v>3191</v>
      </c>
      <c r="AF20570" t="s">
        <v>1028</v>
      </c>
      <c r="AG20570" t="s">
        <v>1821</v>
      </c>
      <c r="AL20570" t="s">
        <v>3209</v>
      </c>
      <c r="AM20570" t="s">
        <v>3210</v>
      </c>
      <c r="AN20570" t="s">
        <v>3211</v>
      </c>
      <c r="AO20570" t="s">
        <v>3190</v>
      </c>
      <c r="AP20570" t="s">
        <v>158</v>
      </c>
      <c r="AQ20570" t="str">
        <f>IF(ISBLANK(AP20570), IFERROR(IF(VLOOKUP(AO20570, Ellens_additions!$A$2:$B$252, 2, FALSE) = "", "", VLOOKUP(AO20570, Ellens_additions!$A$2:$B$252, 2, FALSE)), 0), AP20570)</f>
        <v>3000</v>
      </c>
    </row>
    <row r="20571" spans="1:43" ht="14.4" hidden="1" x14ac:dyDescent="0.3">
      <c r="A20571" t="s">
        <v>3212</v>
      </c>
      <c r="B20571">
        <v>4914255</v>
      </c>
      <c r="C20571" t="s">
        <v>538</v>
      </c>
      <c r="D20571" t="s">
        <v>563</v>
      </c>
      <c r="E20571" t="s">
        <v>3188</v>
      </c>
      <c r="F20571" t="s">
        <v>3204</v>
      </c>
      <c r="H20571" t="s">
        <v>244</v>
      </c>
      <c r="J20571" t="s">
        <v>140</v>
      </c>
      <c r="K20571">
        <v>164304.92000000001</v>
      </c>
      <c r="L20571">
        <v>382784.64</v>
      </c>
      <c r="N20571" t="s">
        <v>3190</v>
      </c>
      <c r="O20571" t="s">
        <v>1028</v>
      </c>
      <c r="P20571" t="s">
        <v>1029</v>
      </c>
      <c r="Q20571" t="s">
        <v>144</v>
      </c>
      <c r="S20571">
        <v>18</v>
      </c>
      <c r="T20571">
        <v>2000</v>
      </c>
      <c r="U20571">
        <v>80</v>
      </c>
      <c r="V20571" t="s">
        <v>146</v>
      </c>
      <c r="W20571" t="s">
        <v>147</v>
      </c>
      <c r="X20571" t="s">
        <v>7</v>
      </c>
      <c r="Y20571" t="s">
        <v>1006</v>
      </c>
      <c r="Z20571" t="s">
        <v>1028</v>
      </c>
      <c r="AA20571" t="s">
        <v>1030</v>
      </c>
      <c r="AB20571">
        <v>0</v>
      </c>
      <c r="AE20571" t="s">
        <v>3191</v>
      </c>
      <c r="AF20571" t="s">
        <v>1028</v>
      </c>
      <c r="AG20571" t="s">
        <v>1821</v>
      </c>
      <c r="AL20571" t="s">
        <v>3213</v>
      </c>
      <c r="AM20571" t="s">
        <v>3214</v>
      </c>
      <c r="AN20571" t="s">
        <v>3215</v>
      </c>
      <c r="AO20571" t="s">
        <v>3190</v>
      </c>
      <c r="AP20571" t="s">
        <v>158</v>
      </c>
      <c r="AQ20571" t="str">
        <f>IF(ISBLANK(AP20571), IFERROR(IF(VLOOKUP(AO20571, Ellens_additions!$A$2:$B$252, 2, FALSE) = "", "", VLOOKUP(AO20571, Ellens_additions!$A$2:$B$252, 2, FALSE)), 0), AP20571)</f>
        <v>3000</v>
      </c>
    </row>
    <row r="20572" spans="1:43" ht="14.4" hidden="1" x14ac:dyDescent="0.3">
      <c r="A20572" t="s">
        <v>3216</v>
      </c>
      <c r="B20572">
        <v>4914256</v>
      </c>
      <c r="C20572" t="s">
        <v>538</v>
      </c>
      <c r="D20572" t="s">
        <v>563</v>
      </c>
      <c r="E20572" t="s">
        <v>3188</v>
      </c>
      <c r="F20572" t="s">
        <v>3204</v>
      </c>
      <c r="H20572" t="s">
        <v>275</v>
      </c>
      <c r="J20572" t="s">
        <v>140</v>
      </c>
      <c r="K20572">
        <v>164301.71</v>
      </c>
      <c r="L20572">
        <v>382763.15</v>
      </c>
      <c r="N20572" t="s">
        <v>3190</v>
      </c>
      <c r="O20572" t="s">
        <v>1028</v>
      </c>
      <c r="P20572" t="s">
        <v>1029</v>
      </c>
      <c r="Q20572" t="s">
        <v>144</v>
      </c>
      <c r="S20572">
        <v>18</v>
      </c>
      <c r="T20572">
        <v>2000</v>
      </c>
      <c r="U20572">
        <v>80</v>
      </c>
      <c r="V20572" t="s">
        <v>146</v>
      </c>
      <c r="W20572" t="s">
        <v>147</v>
      </c>
      <c r="X20572" t="s">
        <v>7</v>
      </c>
      <c r="Y20572" t="s">
        <v>1006</v>
      </c>
      <c r="Z20572" t="s">
        <v>1028</v>
      </c>
      <c r="AA20572" t="s">
        <v>1030</v>
      </c>
      <c r="AB20572">
        <v>0</v>
      </c>
      <c r="AE20572" t="s">
        <v>3191</v>
      </c>
      <c r="AF20572" t="s">
        <v>1028</v>
      </c>
      <c r="AG20572" t="s">
        <v>1821</v>
      </c>
      <c r="AL20572" t="s">
        <v>3217</v>
      </c>
      <c r="AM20572" t="s">
        <v>3218</v>
      </c>
      <c r="AN20572" t="s">
        <v>3219</v>
      </c>
      <c r="AO20572" t="s">
        <v>3190</v>
      </c>
      <c r="AP20572" t="s">
        <v>158</v>
      </c>
      <c r="AQ20572" t="str">
        <f>IF(ISBLANK(AP20572), IFERROR(IF(VLOOKUP(AO20572, Ellens_additions!$A$2:$B$252, 2, FALSE) = "", "", VLOOKUP(AO20572, Ellens_additions!$A$2:$B$252, 2, FALSE)), 0), AP20572)</f>
        <v>3000</v>
      </c>
    </row>
    <row r="20573" spans="1:43" ht="14.4" hidden="1" x14ac:dyDescent="0.3">
      <c r="A20573" t="s">
        <v>3220</v>
      </c>
      <c r="B20573">
        <v>4914264</v>
      </c>
      <c r="C20573" t="s">
        <v>538</v>
      </c>
      <c r="D20573" t="s">
        <v>563</v>
      </c>
      <c r="E20573" t="s">
        <v>3188</v>
      </c>
      <c r="F20573" t="s">
        <v>3221</v>
      </c>
      <c r="H20573" t="s">
        <v>434</v>
      </c>
      <c r="J20573" t="s">
        <v>140</v>
      </c>
      <c r="K20573">
        <v>164582.42000000001</v>
      </c>
      <c r="L20573">
        <v>383189.32</v>
      </c>
      <c r="M20573">
        <v>1</v>
      </c>
      <c r="N20573" t="s">
        <v>739</v>
      </c>
      <c r="O20573" t="s">
        <v>476</v>
      </c>
      <c r="P20573" t="s">
        <v>1510</v>
      </c>
      <c r="Q20573" t="s">
        <v>264</v>
      </c>
      <c r="R20573" t="s">
        <v>145</v>
      </c>
      <c r="S20573">
        <v>32</v>
      </c>
      <c r="T20573">
        <v>2400</v>
      </c>
      <c r="U20573">
        <v>82</v>
      </c>
      <c r="V20573" t="s">
        <v>740</v>
      </c>
      <c r="W20573" t="s">
        <v>184</v>
      </c>
      <c r="X20573" t="s">
        <v>7</v>
      </c>
      <c r="Y20573" t="s">
        <v>1869</v>
      </c>
      <c r="Z20573" t="s">
        <v>1958</v>
      </c>
      <c r="AA20573" t="s">
        <v>1027</v>
      </c>
      <c r="AB20573">
        <v>0</v>
      </c>
      <c r="AE20573" t="s">
        <v>1870</v>
      </c>
      <c r="AF20573" t="s">
        <v>1958</v>
      </c>
      <c r="AG20573" t="s">
        <v>1027</v>
      </c>
      <c r="AL20573" t="s">
        <v>3222</v>
      </c>
      <c r="AM20573" t="s">
        <v>3223</v>
      </c>
      <c r="AN20573" t="s">
        <v>3224</v>
      </c>
      <c r="AO20573" t="s">
        <v>739</v>
      </c>
      <c r="AQ20573">
        <f>IF(ISBLANK(AP20573), IFERROR(IF(VLOOKUP(AO20573, Ellens_additions!$A$2:$B$252, 2, FALSE) = "", "", VLOOKUP(AO20573, Ellens_additions!$A$2:$B$252, 2, FALSE)), 0), AP20573)</f>
        <v>3000</v>
      </c>
    </row>
    <row r="20574" spans="1:43" ht="14.4" x14ac:dyDescent="0.3"/>
    <row r="20575" spans="1:43" ht="14.4" x14ac:dyDescent="0.3"/>
    <row r="20576" spans="1:43" ht="14.4" x14ac:dyDescent="0.3"/>
    <row r="20577" spans="1:43" ht="14.4" x14ac:dyDescent="0.3"/>
    <row r="20578" spans="1:43" ht="14.4" x14ac:dyDescent="0.3"/>
    <row r="20579" spans="1:43" ht="14.4" x14ac:dyDescent="0.3"/>
    <row r="20580" spans="1:43" ht="14.4" x14ac:dyDescent="0.3"/>
    <row r="20581" spans="1:43" ht="14.4" hidden="1" x14ac:dyDescent="0.3">
      <c r="A20581" t="s">
        <v>3225</v>
      </c>
      <c r="B20581">
        <v>4914283</v>
      </c>
      <c r="C20581" t="s">
        <v>538</v>
      </c>
      <c r="D20581" t="s">
        <v>564</v>
      </c>
      <c r="E20581" t="s">
        <v>660</v>
      </c>
      <c r="F20581" t="s">
        <v>3226</v>
      </c>
      <c r="H20581" t="s">
        <v>251</v>
      </c>
      <c r="J20581" t="s">
        <v>140</v>
      </c>
      <c r="K20581">
        <v>162552.5288</v>
      </c>
      <c r="L20581">
        <v>383064.57290000003</v>
      </c>
      <c r="N20581" t="s">
        <v>3227</v>
      </c>
      <c r="O20581" t="s">
        <v>996</v>
      </c>
      <c r="P20581" t="s">
        <v>3228</v>
      </c>
      <c r="S20581">
        <v>15.4</v>
      </c>
      <c r="T20581">
        <v>1950</v>
      </c>
      <c r="U20581">
        <v>70</v>
      </c>
      <c r="V20581" t="s">
        <v>146</v>
      </c>
      <c r="W20581" t="s">
        <v>147</v>
      </c>
      <c r="Y20581" t="s">
        <v>1006</v>
      </c>
      <c r="Z20581" t="s">
        <v>996</v>
      </c>
      <c r="AA20581" t="s">
        <v>1001</v>
      </c>
      <c r="AB20581">
        <v>0</v>
      </c>
      <c r="AE20581" t="s">
        <v>1407</v>
      </c>
      <c r="AF20581" t="s">
        <v>996</v>
      </c>
      <c r="AG20581" t="s">
        <v>999</v>
      </c>
      <c r="AL20581" t="s">
        <v>3229</v>
      </c>
      <c r="AM20581" t="s">
        <v>3230</v>
      </c>
      <c r="AN20581" t="s">
        <v>3231</v>
      </c>
      <c r="AO20581" t="s">
        <v>3227</v>
      </c>
      <c r="AP20581" t="s">
        <v>158</v>
      </c>
      <c r="AQ20581" t="str">
        <f>IF(ISBLANK(AP20581), IFERROR(IF(VLOOKUP(AO20581, Ellens_additions!$A$2:$B$252, 2, FALSE) = "", "", VLOOKUP(AO20581, Ellens_additions!$A$2:$B$252, 2, FALSE)), 0), AP20581)</f>
        <v>3000</v>
      </c>
    </row>
    <row r="20582" spans="1:43" ht="14.4" x14ac:dyDescent="0.3"/>
    <row r="20583" spans="1:43" ht="14.4" x14ac:dyDescent="0.3"/>
    <row r="20584" spans="1:43" ht="14.4" x14ac:dyDescent="0.3"/>
    <row r="20585" spans="1:43" ht="14.4" x14ac:dyDescent="0.3"/>
    <row r="20586" spans="1:43" ht="14.4" x14ac:dyDescent="0.3"/>
    <row r="20587" spans="1:43" ht="14.4" x14ac:dyDescent="0.3"/>
    <row r="20588" spans="1:43" ht="14.4" x14ac:dyDescent="0.3"/>
    <row r="20589" spans="1:43" ht="14.4" x14ac:dyDescent="0.3"/>
    <row r="20590" spans="1:43" ht="14.4" x14ac:dyDescent="0.3"/>
    <row r="20591" spans="1:43" ht="14.4" x14ac:dyDescent="0.3"/>
    <row r="20592" spans="1:43" ht="14.4" x14ac:dyDescent="0.3"/>
    <row r="20593" spans="1:43" ht="14.4" x14ac:dyDescent="0.3"/>
    <row r="20594" spans="1:43" ht="14.4" x14ac:dyDescent="0.3"/>
    <row r="20595" spans="1:43" ht="14.4" x14ac:dyDescent="0.3"/>
    <row r="20596" spans="1:43" ht="14.4" x14ac:dyDescent="0.3"/>
    <row r="20597" spans="1:43" ht="14.4" hidden="1" x14ac:dyDescent="0.3">
      <c r="A20597" t="s">
        <v>3232</v>
      </c>
      <c r="B20597">
        <v>4891399</v>
      </c>
      <c r="C20597" t="s">
        <v>842</v>
      </c>
      <c r="D20597" t="s">
        <v>843</v>
      </c>
      <c r="E20597" t="s">
        <v>846</v>
      </c>
      <c r="F20597" t="s">
        <v>2021</v>
      </c>
      <c r="H20597" t="s">
        <v>278</v>
      </c>
      <c r="J20597" t="s">
        <v>140</v>
      </c>
      <c r="K20597">
        <v>161086.595</v>
      </c>
      <c r="L20597">
        <v>383809.69099999999</v>
      </c>
      <c r="M20597">
        <v>1</v>
      </c>
      <c r="N20597" t="s">
        <v>871</v>
      </c>
      <c r="O20597" t="s">
        <v>832</v>
      </c>
      <c r="P20597" t="s">
        <v>567</v>
      </c>
      <c r="Q20597" t="s">
        <v>761</v>
      </c>
      <c r="R20597" t="s">
        <v>145</v>
      </c>
      <c r="S20597">
        <v>36</v>
      </c>
      <c r="T20597">
        <v>3350</v>
      </c>
      <c r="V20597" t="s">
        <v>848</v>
      </c>
      <c r="W20597" t="s">
        <v>390</v>
      </c>
      <c r="X20597" t="s">
        <v>7</v>
      </c>
      <c r="Y20597" t="s">
        <v>1948</v>
      </c>
      <c r="Z20597" t="s">
        <v>1992</v>
      </c>
      <c r="AA20597" t="s">
        <v>1552</v>
      </c>
      <c r="AB20597">
        <v>100</v>
      </c>
      <c r="AC20597" t="s">
        <v>150</v>
      </c>
      <c r="AE20597" t="s">
        <v>1960</v>
      </c>
      <c r="AF20597" t="s">
        <v>391</v>
      </c>
      <c r="AG20597" t="s">
        <v>392</v>
      </c>
      <c r="AL20597" t="s">
        <v>3233</v>
      </c>
      <c r="AM20597" t="s">
        <v>3234</v>
      </c>
      <c r="AN20597" t="s">
        <v>3235</v>
      </c>
      <c r="AO20597" t="s">
        <v>871</v>
      </c>
      <c r="AQ20597" t="str">
        <f>IF(ISBLANK(AP20597), IFERROR(IF(VLOOKUP(AO20597, Ellens_additions!$A$2:$B$252, 2, FALSE) = "", "", VLOOKUP(AO20597, Ellens_additions!$A$2:$B$252, 2, FALSE)), 0), AP20597)</f>
        <v/>
      </c>
    </row>
    <row r="20598" spans="1:43" ht="14.4" hidden="1" x14ac:dyDescent="0.3">
      <c r="A20598" t="s">
        <v>3236</v>
      </c>
      <c r="B20598">
        <v>4891400</v>
      </c>
      <c r="C20598" t="s">
        <v>842</v>
      </c>
      <c r="D20598" t="s">
        <v>843</v>
      </c>
      <c r="E20598" t="s">
        <v>846</v>
      </c>
      <c r="F20598" t="s">
        <v>2021</v>
      </c>
      <c r="H20598" t="s">
        <v>276</v>
      </c>
      <c r="J20598" t="s">
        <v>140</v>
      </c>
      <c r="K20598">
        <v>161090.95499999999</v>
      </c>
      <c r="L20598">
        <v>383793.29800000001</v>
      </c>
      <c r="M20598">
        <v>1</v>
      </c>
      <c r="N20598" t="s">
        <v>871</v>
      </c>
      <c r="O20598" t="s">
        <v>832</v>
      </c>
      <c r="P20598" t="s">
        <v>567</v>
      </c>
      <c r="Q20598" t="s">
        <v>761</v>
      </c>
      <c r="R20598" t="s">
        <v>145</v>
      </c>
      <c r="S20598">
        <v>36</v>
      </c>
      <c r="T20598">
        <v>3350</v>
      </c>
      <c r="V20598" t="s">
        <v>848</v>
      </c>
      <c r="W20598" t="s">
        <v>390</v>
      </c>
      <c r="X20598" t="s">
        <v>7</v>
      </c>
      <c r="Y20598" t="s">
        <v>1948</v>
      </c>
      <c r="Z20598" t="s">
        <v>1992</v>
      </c>
      <c r="AA20598" t="s">
        <v>1552</v>
      </c>
      <c r="AB20598">
        <v>100</v>
      </c>
      <c r="AC20598" t="s">
        <v>150</v>
      </c>
      <c r="AE20598" t="s">
        <v>1960</v>
      </c>
      <c r="AF20598" t="s">
        <v>391</v>
      </c>
      <c r="AG20598" t="s">
        <v>392</v>
      </c>
      <c r="AL20598" t="s">
        <v>3237</v>
      </c>
      <c r="AM20598" t="s">
        <v>3238</v>
      </c>
      <c r="AN20598" t="s">
        <v>3239</v>
      </c>
      <c r="AO20598" t="s">
        <v>871</v>
      </c>
      <c r="AQ20598" t="str">
        <f>IF(ISBLANK(AP20598), IFERROR(IF(VLOOKUP(AO20598, Ellens_additions!$A$2:$B$252, 2, FALSE) = "", "", VLOOKUP(AO20598, Ellens_additions!$A$2:$B$252, 2, FALSE)), 0), AP20598)</f>
        <v/>
      </c>
    </row>
    <row r="20599" spans="1:43" ht="14.4" hidden="1" x14ac:dyDescent="0.3">
      <c r="A20599" t="s">
        <v>3240</v>
      </c>
      <c r="B20599">
        <v>4891403</v>
      </c>
      <c r="C20599" t="s">
        <v>842</v>
      </c>
      <c r="D20599" t="s">
        <v>843</v>
      </c>
      <c r="E20599" t="s">
        <v>846</v>
      </c>
      <c r="F20599" t="s">
        <v>2021</v>
      </c>
      <c r="H20599" t="s">
        <v>407</v>
      </c>
      <c r="J20599" t="s">
        <v>140</v>
      </c>
      <c r="K20599">
        <v>161071.26300000001</v>
      </c>
      <c r="L20599">
        <v>383804.967</v>
      </c>
      <c r="M20599">
        <v>1</v>
      </c>
      <c r="N20599" t="s">
        <v>871</v>
      </c>
      <c r="O20599" t="s">
        <v>832</v>
      </c>
      <c r="P20599" t="s">
        <v>567</v>
      </c>
      <c r="Q20599" t="s">
        <v>761</v>
      </c>
      <c r="R20599" t="s">
        <v>145</v>
      </c>
      <c r="S20599">
        <v>36</v>
      </c>
      <c r="T20599">
        <v>3350</v>
      </c>
      <c r="V20599" t="s">
        <v>848</v>
      </c>
      <c r="W20599" t="s">
        <v>390</v>
      </c>
      <c r="X20599" t="s">
        <v>7</v>
      </c>
      <c r="Y20599" t="s">
        <v>1948</v>
      </c>
      <c r="Z20599" t="s">
        <v>1992</v>
      </c>
      <c r="AA20599" t="s">
        <v>1552</v>
      </c>
      <c r="AB20599">
        <v>100</v>
      </c>
      <c r="AC20599" t="s">
        <v>150</v>
      </c>
      <c r="AE20599" t="s">
        <v>1960</v>
      </c>
      <c r="AF20599" t="s">
        <v>391</v>
      </c>
      <c r="AG20599" t="s">
        <v>392</v>
      </c>
      <c r="AL20599" t="s">
        <v>3241</v>
      </c>
      <c r="AM20599" t="s">
        <v>3242</v>
      </c>
      <c r="AN20599" t="s">
        <v>3243</v>
      </c>
      <c r="AO20599" t="s">
        <v>871</v>
      </c>
      <c r="AQ20599" t="str">
        <f>IF(ISBLANK(AP20599), IFERROR(IF(VLOOKUP(AO20599, Ellens_additions!$A$2:$B$252, 2, FALSE) = "", "", VLOOKUP(AO20599, Ellens_additions!$A$2:$B$252, 2, FALSE)), 0), AP20599)</f>
        <v/>
      </c>
    </row>
    <row r="20600" spans="1:43" ht="14.4" hidden="1" x14ac:dyDescent="0.3">
      <c r="A20600" t="s">
        <v>3244</v>
      </c>
      <c r="B20600">
        <v>4891405</v>
      </c>
      <c r="C20600" t="s">
        <v>842</v>
      </c>
      <c r="D20600" t="s">
        <v>843</v>
      </c>
      <c r="E20600" t="s">
        <v>846</v>
      </c>
      <c r="F20600" t="s">
        <v>2021</v>
      </c>
      <c r="H20600" t="s">
        <v>280</v>
      </c>
      <c r="J20600" t="s">
        <v>140</v>
      </c>
      <c r="K20600">
        <v>161061.77499999999</v>
      </c>
      <c r="L20600">
        <v>383802.022</v>
      </c>
      <c r="M20600">
        <v>1</v>
      </c>
      <c r="N20600" t="s">
        <v>871</v>
      </c>
      <c r="O20600" t="s">
        <v>832</v>
      </c>
      <c r="P20600" t="s">
        <v>567</v>
      </c>
      <c r="Q20600" t="s">
        <v>761</v>
      </c>
      <c r="R20600" t="s">
        <v>145</v>
      </c>
      <c r="S20600">
        <v>36</v>
      </c>
      <c r="T20600">
        <v>3350</v>
      </c>
      <c r="V20600" t="s">
        <v>848</v>
      </c>
      <c r="W20600" t="s">
        <v>390</v>
      </c>
      <c r="X20600" t="s">
        <v>7</v>
      </c>
      <c r="Y20600" t="s">
        <v>1948</v>
      </c>
      <c r="Z20600" t="s">
        <v>1992</v>
      </c>
      <c r="AA20600" t="s">
        <v>1552</v>
      </c>
      <c r="AB20600">
        <v>100</v>
      </c>
      <c r="AC20600" t="s">
        <v>150</v>
      </c>
      <c r="AE20600" t="s">
        <v>1960</v>
      </c>
      <c r="AF20600" t="s">
        <v>391</v>
      </c>
      <c r="AG20600" t="s">
        <v>392</v>
      </c>
      <c r="AL20600" t="s">
        <v>3245</v>
      </c>
      <c r="AM20600" t="s">
        <v>3246</v>
      </c>
      <c r="AN20600" t="s">
        <v>3247</v>
      </c>
      <c r="AO20600" t="s">
        <v>871</v>
      </c>
      <c r="AQ20600" t="str">
        <f>IF(ISBLANK(AP20600), IFERROR(IF(VLOOKUP(AO20600, Ellens_additions!$A$2:$B$252, 2, FALSE) = "", "", VLOOKUP(AO20600, Ellens_additions!$A$2:$B$252, 2, FALSE)), 0), AP20600)</f>
        <v/>
      </c>
    </row>
    <row r="20601" spans="1:43" ht="14.4" x14ac:dyDescent="0.3"/>
    <row r="20602" spans="1:43" ht="14.4" x14ac:dyDescent="0.3"/>
    <row r="20603" spans="1:43" ht="14.4" x14ac:dyDescent="0.3"/>
    <row r="20604" spans="1:43" ht="14.4" x14ac:dyDescent="0.3"/>
    <row r="20605" spans="1:43" ht="14.4" x14ac:dyDescent="0.3"/>
    <row r="20606" spans="1:43" ht="14.4" x14ac:dyDescent="0.3"/>
    <row r="20607" spans="1:43" ht="14.4" x14ac:dyDescent="0.3"/>
    <row r="20608" spans="1:43" ht="14.4" x14ac:dyDescent="0.3"/>
    <row r="20609" ht="14.4" x14ac:dyDescent="0.3"/>
    <row r="20610" ht="14.4" x14ac:dyDescent="0.3"/>
    <row r="20611" ht="14.4" x14ac:dyDescent="0.3"/>
    <row r="20612" ht="14.4" x14ac:dyDescent="0.3"/>
    <row r="20613" ht="14.4" x14ac:dyDescent="0.3"/>
    <row r="20614" ht="14.4" x14ac:dyDescent="0.3"/>
    <row r="20615" ht="14.4" x14ac:dyDescent="0.3"/>
    <row r="20616" ht="14.4" x14ac:dyDescent="0.3"/>
    <row r="20617" ht="14.4" x14ac:dyDescent="0.3"/>
    <row r="20618" ht="14.4" x14ac:dyDescent="0.3"/>
    <row r="20619" ht="14.4" x14ac:dyDescent="0.3"/>
    <row r="20620" ht="14.4" x14ac:dyDescent="0.3"/>
    <row r="20621" ht="14.4" x14ac:dyDescent="0.3"/>
    <row r="20622" ht="14.4" x14ac:dyDescent="0.3"/>
    <row r="20623" ht="14.4" x14ac:dyDescent="0.3"/>
    <row r="20624" ht="14.4" x14ac:dyDescent="0.3"/>
    <row r="20625" ht="14.4" x14ac:dyDescent="0.3"/>
    <row r="20626" ht="14.4" x14ac:dyDescent="0.3"/>
    <row r="20627" ht="14.4" x14ac:dyDescent="0.3"/>
    <row r="20628" ht="14.4" x14ac:dyDescent="0.3"/>
    <row r="20629" ht="14.4" x14ac:dyDescent="0.3"/>
    <row r="20630" ht="14.4" x14ac:dyDescent="0.3"/>
    <row r="20631" ht="14.4" x14ac:dyDescent="0.3"/>
    <row r="20632" ht="14.4" x14ac:dyDescent="0.3"/>
    <row r="20633" ht="14.4" x14ac:dyDescent="0.3"/>
    <row r="20634" ht="14.4" x14ac:dyDescent="0.3"/>
    <row r="20635" ht="14.4" x14ac:dyDescent="0.3"/>
    <row r="20636" ht="14.4" x14ac:dyDescent="0.3"/>
    <row r="20637" ht="14.4" x14ac:dyDescent="0.3"/>
    <row r="20638" ht="14.4" x14ac:dyDescent="0.3"/>
    <row r="20639" ht="14.4" x14ac:dyDescent="0.3"/>
    <row r="20640" ht="14.4" x14ac:dyDescent="0.3"/>
    <row r="20641" ht="14.4" x14ac:dyDescent="0.3"/>
    <row r="20642" ht="14.4" x14ac:dyDescent="0.3"/>
    <row r="20643" ht="14.4" x14ac:dyDescent="0.3"/>
    <row r="20644" ht="14.4" x14ac:dyDescent="0.3"/>
    <row r="20645" ht="14.4" x14ac:dyDescent="0.3"/>
    <row r="20646" ht="14.4" x14ac:dyDescent="0.3"/>
    <row r="20647" ht="14.4" x14ac:dyDescent="0.3"/>
    <row r="20648" ht="14.4" x14ac:dyDescent="0.3"/>
    <row r="20649" ht="14.4" x14ac:dyDescent="0.3"/>
    <row r="20650" ht="14.4" x14ac:dyDescent="0.3"/>
    <row r="20651" ht="14.4" x14ac:dyDescent="0.3"/>
    <row r="20652" ht="14.4" x14ac:dyDescent="0.3"/>
    <row r="20653" ht="14.4" x14ac:dyDescent="0.3"/>
    <row r="20654" ht="14.4" x14ac:dyDescent="0.3"/>
    <row r="20655" ht="14.4" x14ac:dyDescent="0.3"/>
    <row r="20656" ht="14.4" x14ac:dyDescent="0.3"/>
    <row r="20657" ht="14.4" x14ac:dyDescent="0.3"/>
    <row r="20658" ht="14.4" x14ac:dyDescent="0.3"/>
    <row r="20659" ht="14.4" x14ac:dyDescent="0.3"/>
    <row r="20660" ht="14.4" x14ac:dyDescent="0.3"/>
    <row r="20661" ht="14.4" x14ac:dyDescent="0.3"/>
    <row r="20662" ht="14.4" x14ac:dyDescent="0.3"/>
    <row r="20663" ht="14.4" x14ac:dyDescent="0.3"/>
    <row r="20664" ht="14.4" x14ac:dyDescent="0.3"/>
    <row r="20665" ht="14.4" x14ac:dyDescent="0.3"/>
    <row r="20666" ht="14.4" x14ac:dyDescent="0.3"/>
    <row r="20667" ht="14.4" x14ac:dyDescent="0.3"/>
    <row r="20668" ht="14.4" x14ac:dyDescent="0.3"/>
    <row r="20669" ht="14.4" x14ac:dyDescent="0.3"/>
    <row r="20670" ht="14.4" x14ac:dyDescent="0.3"/>
    <row r="20671" ht="14.4" x14ac:dyDescent="0.3"/>
    <row r="20672" ht="14.4" x14ac:dyDescent="0.3"/>
    <row r="20673" ht="14.4" x14ac:dyDescent="0.3"/>
    <row r="20674" ht="14.4" x14ac:dyDescent="0.3"/>
    <row r="20675" ht="14.4" x14ac:dyDescent="0.3"/>
    <row r="20676" ht="14.4" x14ac:dyDescent="0.3"/>
    <row r="20677" ht="14.4" x14ac:dyDescent="0.3"/>
    <row r="20678" ht="14.4" x14ac:dyDescent="0.3"/>
    <row r="20679" ht="14.4" x14ac:dyDescent="0.3"/>
    <row r="20680" ht="14.4" x14ac:dyDescent="0.3"/>
    <row r="20681" ht="14.4" x14ac:dyDescent="0.3"/>
    <row r="20682" ht="14.4" x14ac:dyDescent="0.3"/>
    <row r="20683" ht="14.4" x14ac:dyDescent="0.3"/>
    <row r="20684" ht="14.4" x14ac:dyDescent="0.3"/>
    <row r="20685" ht="14.4" x14ac:dyDescent="0.3"/>
    <row r="20686" ht="14.4" x14ac:dyDescent="0.3"/>
    <row r="20687" ht="14.4" x14ac:dyDescent="0.3"/>
    <row r="20688" ht="14.4" x14ac:dyDescent="0.3"/>
    <row r="20689" ht="14.4" x14ac:dyDescent="0.3"/>
    <row r="20690" ht="14.4" x14ac:dyDescent="0.3"/>
    <row r="20691" ht="14.4" x14ac:dyDescent="0.3"/>
    <row r="20692" ht="14.4" x14ac:dyDescent="0.3"/>
    <row r="20693" ht="14.4" x14ac:dyDescent="0.3"/>
    <row r="20694" ht="14.4" x14ac:dyDescent="0.3"/>
    <row r="20695" ht="14.4" x14ac:dyDescent="0.3"/>
    <row r="20696" ht="14.4" x14ac:dyDescent="0.3"/>
    <row r="20697" ht="14.4" x14ac:dyDescent="0.3"/>
    <row r="20698" ht="14.4" x14ac:dyDescent="0.3"/>
    <row r="20699" ht="14.4" x14ac:dyDescent="0.3"/>
    <row r="20700" ht="14.4" x14ac:dyDescent="0.3"/>
    <row r="20701" ht="14.4" x14ac:dyDescent="0.3"/>
    <row r="20702" ht="14.4" x14ac:dyDescent="0.3"/>
    <row r="20703" ht="14.4" x14ac:dyDescent="0.3"/>
    <row r="20704" ht="14.4" x14ac:dyDescent="0.3"/>
    <row r="20705" ht="14.4" x14ac:dyDescent="0.3"/>
    <row r="20706" ht="14.4" x14ac:dyDescent="0.3"/>
    <row r="20707" ht="14.4" x14ac:dyDescent="0.3"/>
    <row r="20708" ht="14.4" x14ac:dyDescent="0.3"/>
    <row r="20709" ht="14.4" x14ac:dyDescent="0.3"/>
    <row r="20710" ht="14.4" x14ac:dyDescent="0.3"/>
    <row r="20711" ht="14.4" x14ac:dyDescent="0.3"/>
    <row r="20712" ht="14.4" x14ac:dyDescent="0.3"/>
    <row r="20713" ht="14.4" x14ac:dyDescent="0.3"/>
    <row r="20714" ht="14.4" x14ac:dyDescent="0.3"/>
    <row r="20715" ht="14.4" x14ac:dyDescent="0.3"/>
    <row r="20716" ht="14.4" x14ac:dyDescent="0.3"/>
    <row r="20717" ht="14.4" x14ac:dyDescent="0.3"/>
    <row r="20718" ht="14.4" x14ac:dyDescent="0.3"/>
    <row r="20719" ht="14.4" x14ac:dyDescent="0.3"/>
    <row r="20720" ht="14.4" x14ac:dyDescent="0.3"/>
    <row r="20721" spans="1:43" ht="14.4" x14ac:dyDescent="0.3"/>
    <row r="20722" spans="1:43" ht="14.4" x14ac:dyDescent="0.3"/>
    <row r="20723" spans="1:43" ht="14.4" x14ac:dyDescent="0.3"/>
    <row r="20724" spans="1:43" ht="14.4" x14ac:dyDescent="0.3"/>
    <row r="20725" spans="1:43" ht="14.4" x14ac:dyDescent="0.3"/>
    <row r="20726" spans="1:43" ht="14.4" x14ac:dyDescent="0.3"/>
    <row r="20727" spans="1:43" ht="14.4" x14ac:dyDescent="0.3"/>
    <row r="20728" spans="1:43" ht="14.4" x14ac:dyDescent="0.3"/>
    <row r="20729" spans="1:43" ht="14.4" x14ac:dyDescent="0.3"/>
    <row r="20730" spans="1:43" ht="14.4" x14ac:dyDescent="0.3"/>
    <row r="20731" spans="1:43" ht="14.4" x14ac:dyDescent="0.3"/>
    <row r="20732" spans="1:43" ht="14.4" x14ac:dyDescent="0.3"/>
    <row r="20733" spans="1:43" ht="14.4" x14ac:dyDescent="0.3"/>
    <row r="20734" spans="1:43" ht="14.4" hidden="1" x14ac:dyDescent="0.3">
      <c r="A20734" t="s">
        <v>3249</v>
      </c>
      <c r="B20734">
        <v>4891764</v>
      </c>
      <c r="C20734" t="s">
        <v>842</v>
      </c>
      <c r="D20734" t="s">
        <v>843</v>
      </c>
      <c r="E20734" t="s">
        <v>844</v>
      </c>
      <c r="F20734" t="s">
        <v>1962</v>
      </c>
      <c r="H20734" t="s">
        <v>165</v>
      </c>
      <c r="J20734" t="s">
        <v>140</v>
      </c>
      <c r="K20734">
        <v>161465.95300000001</v>
      </c>
      <c r="L20734">
        <v>382959.63299999997</v>
      </c>
      <c r="M20734">
        <v>1</v>
      </c>
      <c r="N20734" t="s">
        <v>2049</v>
      </c>
      <c r="O20734" t="s">
        <v>1802</v>
      </c>
      <c r="P20734" t="s">
        <v>3062</v>
      </c>
      <c r="Q20734" t="s">
        <v>761</v>
      </c>
      <c r="R20734" t="s">
        <v>145</v>
      </c>
      <c r="S20734">
        <v>36</v>
      </c>
      <c r="T20734">
        <v>0</v>
      </c>
      <c r="V20734" t="s">
        <v>848</v>
      </c>
      <c r="W20734" t="s">
        <v>415</v>
      </c>
      <c r="X20734" t="s">
        <v>7</v>
      </c>
      <c r="Y20734" t="s">
        <v>3250</v>
      </c>
      <c r="Z20734" t="s">
        <v>3251</v>
      </c>
      <c r="AA20734" t="s">
        <v>2973</v>
      </c>
      <c r="AB20734">
        <v>30</v>
      </c>
      <c r="AC20734" t="s">
        <v>150</v>
      </c>
      <c r="AE20734" t="s">
        <v>3252</v>
      </c>
      <c r="AF20734" t="s">
        <v>3251</v>
      </c>
      <c r="AG20734" t="s">
        <v>3253</v>
      </c>
      <c r="AL20734" t="s">
        <v>3254</v>
      </c>
      <c r="AM20734" t="s">
        <v>3255</v>
      </c>
      <c r="AN20734" t="s">
        <v>3256</v>
      </c>
      <c r="AO20734" t="s">
        <v>2049</v>
      </c>
      <c r="AQ20734" t="str">
        <f>IF(ISBLANK(AP20734), IFERROR(IF(VLOOKUP(AO20734, Ellens_additions!$A$2:$B$252, 2, FALSE) = "", "", VLOOKUP(AO20734, Ellens_additions!$A$2:$B$252, 2, FALSE)), 0), AP20734)</f>
        <v/>
      </c>
    </row>
    <row r="20735" spans="1:43" ht="14.4" hidden="1" x14ac:dyDescent="0.3">
      <c r="A20735" t="s">
        <v>3257</v>
      </c>
      <c r="B20735">
        <v>4891765</v>
      </c>
      <c r="C20735" t="s">
        <v>842</v>
      </c>
      <c r="D20735" t="s">
        <v>843</v>
      </c>
      <c r="E20735" t="s">
        <v>844</v>
      </c>
      <c r="F20735" t="s">
        <v>1962</v>
      </c>
      <c r="H20735" t="s">
        <v>434</v>
      </c>
      <c r="J20735" t="s">
        <v>140</v>
      </c>
      <c r="K20735">
        <v>161460.03</v>
      </c>
      <c r="L20735">
        <v>382956.67</v>
      </c>
      <c r="M20735">
        <v>1</v>
      </c>
      <c r="N20735" t="s">
        <v>2049</v>
      </c>
      <c r="O20735" t="s">
        <v>1802</v>
      </c>
      <c r="P20735" t="s">
        <v>3062</v>
      </c>
      <c r="Q20735" t="s">
        <v>761</v>
      </c>
      <c r="R20735" t="s">
        <v>145</v>
      </c>
      <c r="S20735">
        <v>36</v>
      </c>
      <c r="T20735">
        <v>0</v>
      </c>
      <c r="V20735" t="s">
        <v>848</v>
      </c>
      <c r="W20735" t="s">
        <v>415</v>
      </c>
      <c r="X20735" t="s">
        <v>7</v>
      </c>
      <c r="Y20735" t="s">
        <v>3250</v>
      </c>
      <c r="Z20735" t="s">
        <v>3251</v>
      </c>
      <c r="AA20735" t="s">
        <v>2973</v>
      </c>
      <c r="AB20735">
        <v>30</v>
      </c>
      <c r="AC20735" t="s">
        <v>150</v>
      </c>
      <c r="AE20735" t="s">
        <v>3252</v>
      </c>
      <c r="AF20735" t="s">
        <v>3251</v>
      </c>
      <c r="AG20735" t="s">
        <v>3253</v>
      </c>
      <c r="AL20735" t="s">
        <v>3258</v>
      </c>
      <c r="AM20735" t="s">
        <v>3259</v>
      </c>
      <c r="AN20735" t="s">
        <v>3260</v>
      </c>
      <c r="AO20735" t="s">
        <v>2049</v>
      </c>
      <c r="AQ20735" t="str">
        <f>IF(ISBLANK(AP20735), IFERROR(IF(VLOOKUP(AO20735, Ellens_additions!$A$2:$B$252, 2, FALSE) = "", "", VLOOKUP(AO20735, Ellens_additions!$A$2:$B$252, 2, FALSE)), 0), AP20735)</f>
        <v/>
      </c>
    </row>
    <row r="20736" spans="1:43" ht="14.4" hidden="1" x14ac:dyDescent="0.3">
      <c r="A20736" t="s">
        <v>3261</v>
      </c>
      <c r="B20736">
        <v>4891767</v>
      </c>
      <c r="C20736" t="s">
        <v>842</v>
      </c>
      <c r="D20736" t="s">
        <v>843</v>
      </c>
      <c r="E20736" t="s">
        <v>844</v>
      </c>
      <c r="F20736" t="s">
        <v>1962</v>
      </c>
      <c r="H20736" t="s">
        <v>345</v>
      </c>
      <c r="J20736" t="s">
        <v>140</v>
      </c>
      <c r="K20736">
        <v>161450.33900000001</v>
      </c>
      <c r="L20736">
        <v>382950.74400000001</v>
      </c>
      <c r="M20736">
        <v>1</v>
      </c>
      <c r="N20736" t="s">
        <v>2049</v>
      </c>
      <c r="O20736" t="s">
        <v>1802</v>
      </c>
      <c r="P20736" t="s">
        <v>3062</v>
      </c>
      <c r="Q20736" t="s">
        <v>761</v>
      </c>
      <c r="R20736" t="s">
        <v>145</v>
      </c>
      <c r="S20736">
        <v>36</v>
      </c>
      <c r="T20736">
        <v>0</v>
      </c>
      <c r="V20736" t="s">
        <v>848</v>
      </c>
      <c r="W20736" t="s">
        <v>415</v>
      </c>
      <c r="X20736" t="s">
        <v>7</v>
      </c>
      <c r="Y20736" t="s">
        <v>3250</v>
      </c>
      <c r="Z20736" t="s">
        <v>3251</v>
      </c>
      <c r="AA20736" t="s">
        <v>2973</v>
      </c>
      <c r="AB20736">
        <v>30</v>
      </c>
      <c r="AC20736" t="s">
        <v>150</v>
      </c>
      <c r="AE20736" t="s">
        <v>3252</v>
      </c>
      <c r="AF20736" t="s">
        <v>3251</v>
      </c>
      <c r="AG20736" t="s">
        <v>3253</v>
      </c>
      <c r="AL20736" t="s">
        <v>3262</v>
      </c>
      <c r="AM20736" t="s">
        <v>3263</v>
      </c>
      <c r="AN20736" t="s">
        <v>3264</v>
      </c>
      <c r="AO20736" t="s">
        <v>2049</v>
      </c>
      <c r="AQ20736" t="str">
        <f>IF(ISBLANK(AP20736), IFERROR(IF(VLOOKUP(AO20736, Ellens_additions!$A$2:$B$252, 2, FALSE) = "", "", VLOOKUP(AO20736, Ellens_additions!$A$2:$B$252, 2, FALSE)), 0), AP20736)</f>
        <v/>
      </c>
    </row>
    <row r="20737" spans="1:43" ht="14.4" x14ac:dyDescent="0.3"/>
    <row r="20738" spans="1:43" ht="14.4" x14ac:dyDescent="0.3"/>
    <row r="20739" spans="1:43" ht="14.4" hidden="1" x14ac:dyDescent="0.3">
      <c r="A20739" t="s">
        <v>3265</v>
      </c>
      <c r="B20739">
        <v>4891777</v>
      </c>
      <c r="C20739" t="s">
        <v>842</v>
      </c>
      <c r="D20739" t="s">
        <v>843</v>
      </c>
      <c r="E20739" t="s">
        <v>844</v>
      </c>
      <c r="F20739" t="s">
        <v>1962</v>
      </c>
      <c r="H20739" t="s">
        <v>269</v>
      </c>
      <c r="J20739" t="s">
        <v>140</v>
      </c>
      <c r="K20739">
        <v>161493.851</v>
      </c>
      <c r="L20739">
        <v>382962.15899999999</v>
      </c>
      <c r="M20739">
        <v>1</v>
      </c>
      <c r="N20739" t="s">
        <v>2026</v>
      </c>
      <c r="O20739" t="s">
        <v>1802</v>
      </c>
      <c r="P20739" t="s">
        <v>3062</v>
      </c>
      <c r="Q20739" t="s">
        <v>761</v>
      </c>
      <c r="R20739" t="s">
        <v>145</v>
      </c>
      <c r="S20739">
        <v>58</v>
      </c>
      <c r="T20739">
        <v>0</v>
      </c>
      <c r="V20739" t="s">
        <v>848</v>
      </c>
      <c r="W20739" t="s">
        <v>415</v>
      </c>
      <c r="X20739" t="s">
        <v>7</v>
      </c>
      <c r="Y20739" t="s">
        <v>3266</v>
      </c>
      <c r="Z20739" t="s">
        <v>3267</v>
      </c>
      <c r="AA20739" t="s">
        <v>1535</v>
      </c>
      <c r="AB20739">
        <v>30</v>
      </c>
      <c r="AC20739" t="s">
        <v>150</v>
      </c>
      <c r="AE20739" t="s">
        <v>550</v>
      </c>
      <c r="AF20739" t="s">
        <v>3267</v>
      </c>
      <c r="AG20739" t="s">
        <v>488</v>
      </c>
      <c r="AL20739" t="s">
        <v>3268</v>
      </c>
      <c r="AM20739" t="s">
        <v>3269</v>
      </c>
      <c r="AN20739" t="s">
        <v>3270</v>
      </c>
      <c r="AO20739" t="s">
        <v>2026</v>
      </c>
      <c r="AQ20739" t="str">
        <f>IF(ISBLANK(AP20739), IFERROR(IF(VLOOKUP(AO20739, Ellens_additions!$A$2:$B$252, 2, FALSE) = "", "", VLOOKUP(AO20739, Ellens_additions!$A$2:$B$252, 2, FALSE)), 0), AP20739)</f>
        <v/>
      </c>
    </row>
    <row r="20740" spans="1:43" ht="14.4" hidden="1" x14ac:dyDescent="0.3">
      <c r="A20740" t="s">
        <v>3271</v>
      </c>
      <c r="B20740">
        <v>4891778</v>
      </c>
      <c r="C20740" t="s">
        <v>842</v>
      </c>
      <c r="D20740" t="s">
        <v>843</v>
      </c>
      <c r="E20740" t="s">
        <v>844</v>
      </c>
      <c r="F20740" t="s">
        <v>1962</v>
      </c>
      <c r="H20740" t="s">
        <v>534</v>
      </c>
      <c r="J20740" t="s">
        <v>140</v>
      </c>
      <c r="K20740">
        <v>161494.71900000001</v>
      </c>
      <c r="L20740">
        <v>382960.96600000001</v>
      </c>
      <c r="M20740">
        <v>1</v>
      </c>
      <c r="N20740" t="s">
        <v>2026</v>
      </c>
      <c r="O20740" t="s">
        <v>1802</v>
      </c>
      <c r="P20740" t="s">
        <v>3062</v>
      </c>
      <c r="Q20740" t="s">
        <v>761</v>
      </c>
      <c r="R20740" t="s">
        <v>145</v>
      </c>
      <c r="S20740">
        <v>58</v>
      </c>
      <c r="T20740">
        <v>0</v>
      </c>
      <c r="V20740" t="s">
        <v>848</v>
      </c>
      <c r="W20740" t="s">
        <v>415</v>
      </c>
      <c r="X20740" t="s">
        <v>7</v>
      </c>
      <c r="Y20740" t="s">
        <v>3266</v>
      </c>
      <c r="Z20740" t="s">
        <v>3267</v>
      </c>
      <c r="AA20740" t="s">
        <v>1535</v>
      </c>
      <c r="AB20740">
        <v>30</v>
      </c>
      <c r="AC20740" t="s">
        <v>150</v>
      </c>
      <c r="AE20740" t="s">
        <v>550</v>
      </c>
      <c r="AF20740" t="s">
        <v>3267</v>
      </c>
      <c r="AG20740" t="s">
        <v>488</v>
      </c>
      <c r="AL20740" t="s">
        <v>3272</v>
      </c>
      <c r="AM20740" t="s">
        <v>3273</v>
      </c>
      <c r="AN20740" t="s">
        <v>3274</v>
      </c>
      <c r="AO20740" t="s">
        <v>2026</v>
      </c>
      <c r="AQ20740" t="str">
        <f>IF(ISBLANK(AP20740), IFERROR(IF(VLOOKUP(AO20740, Ellens_additions!$A$2:$B$252, 2, FALSE) = "", "", VLOOKUP(AO20740, Ellens_additions!$A$2:$B$252, 2, FALSE)), 0), AP20740)</f>
        <v/>
      </c>
    </row>
    <row r="20741" spans="1:43" ht="14.4" hidden="1" x14ac:dyDescent="0.3">
      <c r="A20741" t="s">
        <v>3275</v>
      </c>
      <c r="B20741">
        <v>4891779</v>
      </c>
      <c r="C20741" t="s">
        <v>842</v>
      </c>
      <c r="D20741" t="s">
        <v>843</v>
      </c>
      <c r="E20741" t="s">
        <v>844</v>
      </c>
      <c r="F20741" t="s">
        <v>1962</v>
      </c>
      <c r="H20741" t="s">
        <v>270</v>
      </c>
      <c r="J20741" t="s">
        <v>140</v>
      </c>
      <c r="K20741">
        <v>161495.54999999999</v>
      </c>
      <c r="L20741">
        <v>382959.701</v>
      </c>
      <c r="M20741">
        <v>1</v>
      </c>
      <c r="N20741" t="s">
        <v>2026</v>
      </c>
      <c r="O20741" t="s">
        <v>1802</v>
      </c>
      <c r="P20741" t="s">
        <v>3062</v>
      </c>
      <c r="Q20741" t="s">
        <v>761</v>
      </c>
      <c r="R20741" t="s">
        <v>145</v>
      </c>
      <c r="S20741">
        <v>58</v>
      </c>
      <c r="T20741">
        <v>0</v>
      </c>
      <c r="V20741" t="s">
        <v>848</v>
      </c>
      <c r="W20741" t="s">
        <v>415</v>
      </c>
      <c r="X20741" t="s">
        <v>7</v>
      </c>
      <c r="Y20741" t="s">
        <v>3266</v>
      </c>
      <c r="Z20741" t="s">
        <v>3267</v>
      </c>
      <c r="AA20741" t="s">
        <v>1535</v>
      </c>
      <c r="AB20741">
        <v>30</v>
      </c>
      <c r="AC20741" t="s">
        <v>150</v>
      </c>
      <c r="AE20741" t="s">
        <v>550</v>
      </c>
      <c r="AF20741" t="s">
        <v>3267</v>
      </c>
      <c r="AG20741" t="s">
        <v>488</v>
      </c>
      <c r="AL20741" t="s">
        <v>3276</v>
      </c>
      <c r="AM20741" t="s">
        <v>3277</v>
      </c>
      <c r="AN20741" t="s">
        <v>3278</v>
      </c>
      <c r="AO20741" t="s">
        <v>2026</v>
      </c>
      <c r="AQ20741" t="str">
        <f>IF(ISBLANK(AP20741), IFERROR(IF(VLOOKUP(AO20741, Ellens_additions!$A$2:$B$252, 2, FALSE) = "", "", VLOOKUP(AO20741, Ellens_additions!$A$2:$B$252, 2, FALSE)), 0), AP20741)</f>
        <v/>
      </c>
    </row>
    <row r="20742" spans="1:43" ht="14.4" hidden="1" x14ac:dyDescent="0.3">
      <c r="A20742" t="s">
        <v>3279</v>
      </c>
      <c r="B20742">
        <v>4891784</v>
      </c>
      <c r="C20742" t="s">
        <v>842</v>
      </c>
      <c r="D20742" t="s">
        <v>843</v>
      </c>
      <c r="E20742" t="s">
        <v>844</v>
      </c>
      <c r="F20742" t="s">
        <v>1962</v>
      </c>
      <c r="H20742" t="s">
        <v>512</v>
      </c>
      <c r="J20742" t="s">
        <v>140</v>
      </c>
      <c r="K20742">
        <v>161500.247</v>
      </c>
      <c r="L20742">
        <v>382952.83399999997</v>
      </c>
      <c r="M20742">
        <v>1</v>
      </c>
      <c r="N20742" t="s">
        <v>2026</v>
      </c>
      <c r="O20742" t="s">
        <v>1802</v>
      </c>
      <c r="P20742" t="s">
        <v>3062</v>
      </c>
      <c r="Q20742" t="s">
        <v>761</v>
      </c>
      <c r="R20742" t="s">
        <v>145</v>
      </c>
      <c r="S20742">
        <v>58</v>
      </c>
      <c r="T20742">
        <v>0</v>
      </c>
      <c r="V20742" t="s">
        <v>848</v>
      </c>
      <c r="W20742" t="s">
        <v>415</v>
      </c>
      <c r="X20742" t="s">
        <v>7</v>
      </c>
      <c r="Y20742" t="s">
        <v>3266</v>
      </c>
      <c r="Z20742" t="s">
        <v>3267</v>
      </c>
      <c r="AA20742" t="s">
        <v>1535</v>
      </c>
      <c r="AB20742">
        <v>30</v>
      </c>
      <c r="AC20742" t="s">
        <v>150</v>
      </c>
      <c r="AE20742" t="s">
        <v>550</v>
      </c>
      <c r="AF20742" t="s">
        <v>3267</v>
      </c>
      <c r="AG20742" t="s">
        <v>488</v>
      </c>
      <c r="AL20742" t="s">
        <v>3280</v>
      </c>
      <c r="AM20742" t="s">
        <v>3281</v>
      </c>
      <c r="AN20742" t="s">
        <v>3282</v>
      </c>
      <c r="AO20742" t="s">
        <v>2026</v>
      </c>
      <c r="AQ20742" t="str">
        <f>IF(ISBLANK(AP20742), IFERROR(IF(VLOOKUP(AO20742, Ellens_additions!$A$2:$B$252, 2, FALSE) = "", "", VLOOKUP(AO20742, Ellens_additions!$A$2:$B$252, 2, FALSE)), 0), AP20742)</f>
        <v/>
      </c>
    </row>
    <row r="20743" spans="1:43" ht="14.4" x14ac:dyDescent="0.3"/>
    <row r="20744" spans="1:43" ht="14.4" x14ac:dyDescent="0.3"/>
    <row r="20745" spans="1:43" ht="14.4" x14ac:dyDescent="0.3"/>
    <row r="20746" spans="1:43" ht="14.4" x14ac:dyDescent="0.3"/>
    <row r="20747" spans="1:43" ht="14.4" x14ac:dyDescent="0.3"/>
    <row r="20748" spans="1:43" ht="14.4" x14ac:dyDescent="0.3"/>
    <row r="20749" spans="1:43" ht="14.4" x14ac:dyDescent="0.3"/>
    <row r="20750" spans="1:43" ht="14.4" x14ac:dyDescent="0.3"/>
    <row r="20751" spans="1:43" ht="14.4" x14ac:dyDescent="0.3"/>
    <row r="20752" spans="1:43" ht="14.4" x14ac:dyDescent="0.3"/>
    <row r="20753" ht="14.4" x14ac:dyDescent="0.3"/>
    <row r="20754" ht="14.4" x14ac:dyDescent="0.3"/>
    <row r="20755" ht="14.4" x14ac:dyDescent="0.3"/>
    <row r="20756" ht="14.4" x14ac:dyDescent="0.3"/>
    <row r="20757" ht="14.4" x14ac:dyDescent="0.3"/>
    <row r="20758" ht="14.4" x14ac:dyDescent="0.3"/>
    <row r="20759" ht="14.4" x14ac:dyDescent="0.3"/>
    <row r="20760" ht="14.4" x14ac:dyDescent="0.3"/>
    <row r="20761" ht="14.4" x14ac:dyDescent="0.3"/>
    <row r="20762" ht="14.4" x14ac:dyDescent="0.3"/>
    <row r="20763" ht="14.4" x14ac:dyDescent="0.3"/>
    <row r="20764" ht="14.4" x14ac:dyDescent="0.3"/>
    <row r="20765" ht="14.4" x14ac:dyDescent="0.3"/>
    <row r="20766" ht="14.4" x14ac:dyDescent="0.3"/>
    <row r="20767" ht="14.4" x14ac:dyDescent="0.3"/>
    <row r="20768" ht="14.4" x14ac:dyDescent="0.3"/>
    <row r="20769" ht="14.4" x14ac:dyDescent="0.3"/>
    <row r="20770" ht="14.4" x14ac:dyDescent="0.3"/>
    <row r="20771" ht="14.4" x14ac:dyDescent="0.3"/>
    <row r="20772" ht="14.4" x14ac:dyDescent="0.3"/>
    <row r="20773" ht="14.4" x14ac:dyDescent="0.3"/>
    <row r="20774" ht="14.4" x14ac:dyDescent="0.3"/>
    <row r="20775" ht="14.4" x14ac:dyDescent="0.3"/>
    <row r="20776" ht="14.4" x14ac:dyDescent="0.3"/>
    <row r="20777" ht="14.4" x14ac:dyDescent="0.3"/>
    <row r="20778" ht="14.4" x14ac:dyDescent="0.3"/>
    <row r="20779" ht="14.4" x14ac:dyDescent="0.3"/>
    <row r="20780" ht="14.4" x14ac:dyDescent="0.3"/>
    <row r="20781" ht="14.4" x14ac:dyDescent="0.3"/>
    <row r="20782" ht="14.4" x14ac:dyDescent="0.3"/>
    <row r="20783" ht="14.4" x14ac:dyDescent="0.3"/>
    <row r="20784" ht="14.4" x14ac:dyDescent="0.3"/>
    <row r="20785" ht="14.4" x14ac:dyDescent="0.3"/>
    <row r="20786" ht="14.4" x14ac:dyDescent="0.3"/>
    <row r="20787" ht="14.4" x14ac:dyDescent="0.3"/>
    <row r="20788" ht="14.4" x14ac:dyDescent="0.3"/>
    <row r="20789" ht="14.4" x14ac:dyDescent="0.3"/>
    <row r="20790" ht="14.4" x14ac:dyDescent="0.3"/>
    <row r="20791" ht="14.4" x14ac:dyDescent="0.3"/>
    <row r="20792" ht="14.4" x14ac:dyDescent="0.3"/>
    <row r="20793" ht="14.4" x14ac:dyDescent="0.3"/>
    <row r="20794" ht="14.4" x14ac:dyDescent="0.3"/>
    <row r="20795" ht="14.4" x14ac:dyDescent="0.3"/>
    <row r="20796" ht="14.4" x14ac:dyDescent="0.3"/>
    <row r="20797" ht="14.4" x14ac:dyDescent="0.3"/>
    <row r="20798" ht="14.4" x14ac:dyDescent="0.3"/>
    <row r="20799" ht="14.4" x14ac:dyDescent="0.3"/>
    <row r="20800" ht="14.4" x14ac:dyDescent="0.3"/>
    <row r="20801" ht="14.4" x14ac:dyDescent="0.3"/>
    <row r="20802" ht="14.4" x14ac:dyDescent="0.3"/>
    <row r="20803" ht="14.4" x14ac:dyDescent="0.3"/>
    <row r="20804" ht="14.4" x14ac:dyDescent="0.3"/>
    <row r="20805" ht="14.4" x14ac:dyDescent="0.3"/>
    <row r="20806" ht="14.4" x14ac:dyDescent="0.3"/>
    <row r="20807" ht="14.4" x14ac:dyDescent="0.3"/>
    <row r="20808" ht="14.4" x14ac:dyDescent="0.3"/>
    <row r="20809" ht="14.4" x14ac:dyDescent="0.3"/>
    <row r="20810" ht="14.4" x14ac:dyDescent="0.3"/>
    <row r="20811" ht="14.4" x14ac:dyDescent="0.3"/>
    <row r="20812" ht="14.4" x14ac:dyDescent="0.3"/>
    <row r="20813" ht="14.4" x14ac:dyDescent="0.3"/>
    <row r="20814" ht="14.4" x14ac:dyDescent="0.3"/>
    <row r="20815" ht="14.4" x14ac:dyDescent="0.3"/>
    <row r="20816" ht="14.4" x14ac:dyDescent="0.3"/>
    <row r="20817" ht="14.4" x14ac:dyDescent="0.3"/>
    <row r="20818" ht="14.4" x14ac:dyDescent="0.3"/>
    <row r="20819" ht="14.4" x14ac:dyDescent="0.3"/>
    <row r="20820" ht="14.4" x14ac:dyDescent="0.3"/>
    <row r="20821" ht="14.4" x14ac:dyDescent="0.3"/>
    <row r="20822" ht="14.4" x14ac:dyDescent="0.3"/>
    <row r="20823" ht="14.4" x14ac:dyDescent="0.3"/>
    <row r="20824" ht="14.4" x14ac:dyDescent="0.3"/>
    <row r="20825" ht="14.4" x14ac:dyDescent="0.3"/>
    <row r="20826" ht="14.4" x14ac:dyDescent="0.3"/>
    <row r="20827" ht="14.4" x14ac:dyDescent="0.3"/>
    <row r="20828" ht="14.4" x14ac:dyDescent="0.3"/>
    <row r="20829" ht="14.4" x14ac:dyDescent="0.3"/>
    <row r="20830" ht="14.4" x14ac:dyDescent="0.3"/>
    <row r="20831" ht="14.4" x14ac:dyDescent="0.3"/>
    <row r="20832" ht="14.4" x14ac:dyDescent="0.3"/>
    <row r="20833" ht="14.4" x14ac:dyDescent="0.3"/>
    <row r="20834" ht="14.4" x14ac:dyDescent="0.3"/>
    <row r="20835" ht="14.4" x14ac:dyDescent="0.3"/>
    <row r="20836" ht="14.4" x14ac:dyDescent="0.3"/>
    <row r="20837" ht="14.4" x14ac:dyDescent="0.3"/>
    <row r="20838" ht="14.4" x14ac:dyDescent="0.3"/>
    <row r="20839" ht="14.4" x14ac:dyDescent="0.3"/>
    <row r="20840" ht="14.4" x14ac:dyDescent="0.3"/>
    <row r="20841" ht="14.4" x14ac:dyDescent="0.3"/>
    <row r="20842" ht="14.4" x14ac:dyDescent="0.3"/>
    <row r="20843" ht="14.4" x14ac:dyDescent="0.3"/>
    <row r="20844" ht="14.4" x14ac:dyDescent="0.3"/>
    <row r="20845" ht="14.4" x14ac:dyDescent="0.3"/>
    <row r="20846" ht="14.4" x14ac:dyDescent="0.3"/>
    <row r="20847" ht="14.4" x14ac:dyDescent="0.3"/>
    <row r="20848" ht="14.4" x14ac:dyDescent="0.3"/>
    <row r="20849" ht="14.4" x14ac:dyDescent="0.3"/>
    <row r="20850" ht="14.4" x14ac:dyDescent="0.3"/>
    <row r="20851" ht="14.4" x14ac:dyDescent="0.3"/>
    <row r="20852" ht="14.4" x14ac:dyDescent="0.3"/>
    <row r="20853" ht="14.4" x14ac:dyDescent="0.3"/>
    <row r="20854" ht="14.4" x14ac:dyDescent="0.3"/>
    <row r="20855" ht="14.4" x14ac:dyDescent="0.3"/>
    <row r="20856" ht="14.4" x14ac:dyDescent="0.3"/>
    <row r="20857" ht="14.4" x14ac:dyDescent="0.3"/>
    <row r="20858" ht="14.4" x14ac:dyDescent="0.3"/>
    <row r="20859" ht="14.4" x14ac:dyDescent="0.3"/>
    <row r="20860" ht="14.4" x14ac:dyDescent="0.3"/>
    <row r="20861" ht="14.4" x14ac:dyDescent="0.3"/>
    <row r="20862" ht="14.4" x14ac:dyDescent="0.3"/>
    <row r="20863" ht="14.4" x14ac:dyDescent="0.3"/>
    <row r="20864" ht="14.4" x14ac:dyDescent="0.3"/>
    <row r="20865" ht="14.4" x14ac:dyDescent="0.3"/>
    <row r="20866" ht="14.4" x14ac:dyDescent="0.3"/>
    <row r="20867" ht="14.4" x14ac:dyDescent="0.3"/>
    <row r="20868" ht="14.4" x14ac:dyDescent="0.3"/>
    <row r="20869" ht="14.4" x14ac:dyDescent="0.3"/>
    <row r="20870" ht="14.4" x14ac:dyDescent="0.3"/>
    <row r="20871" ht="14.4" x14ac:dyDescent="0.3"/>
    <row r="20872" ht="14.4" x14ac:dyDescent="0.3"/>
    <row r="20873" ht="14.4" x14ac:dyDescent="0.3"/>
    <row r="20874" ht="14.4" x14ac:dyDescent="0.3"/>
    <row r="20875" ht="14.4" x14ac:dyDescent="0.3"/>
    <row r="20876" ht="14.4" x14ac:dyDescent="0.3"/>
    <row r="20877" ht="14.4" x14ac:dyDescent="0.3"/>
    <row r="20878" ht="14.4" x14ac:dyDescent="0.3"/>
    <row r="20879" ht="14.4" x14ac:dyDescent="0.3"/>
    <row r="20880" ht="14.4" x14ac:dyDescent="0.3"/>
    <row r="20881" ht="14.4" x14ac:dyDescent="0.3"/>
    <row r="20882" ht="14.4" x14ac:dyDescent="0.3"/>
    <row r="20883" ht="14.4" x14ac:dyDescent="0.3"/>
    <row r="20884" ht="14.4" x14ac:dyDescent="0.3"/>
    <row r="20885" ht="14.4" x14ac:dyDescent="0.3"/>
    <row r="20886" ht="14.4" x14ac:dyDescent="0.3"/>
    <row r="20887" ht="14.4" x14ac:dyDescent="0.3"/>
    <row r="20888" ht="14.4" x14ac:dyDescent="0.3"/>
    <row r="20889" ht="14.4" x14ac:dyDescent="0.3"/>
    <row r="20890" ht="14.4" x14ac:dyDescent="0.3"/>
    <row r="20891" ht="14.4" x14ac:dyDescent="0.3"/>
    <row r="20892" ht="14.4" x14ac:dyDescent="0.3"/>
    <row r="20893" ht="14.4" x14ac:dyDescent="0.3"/>
    <row r="20894" ht="14.4" x14ac:dyDescent="0.3"/>
    <row r="20895" ht="14.4" x14ac:dyDescent="0.3"/>
    <row r="20896" ht="14.4" x14ac:dyDescent="0.3"/>
    <row r="20897" ht="14.4" x14ac:dyDescent="0.3"/>
    <row r="20898" ht="14.4" x14ac:dyDescent="0.3"/>
    <row r="20899" ht="14.4" x14ac:dyDescent="0.3"/>
    <row r="20900" ht="14.4" x14ac:dyDescent="0.3"/>
    <row r="20901" ht="14.4" x14ac:dyDescent="0.3"/>
    <row r="20902" ht="14.4" x14ac:dyDescent="0.3"/>
    <row r="20903" ht="14.4" x14ac:dyDescent="0.3"/>
    <row r="20904" ht="14.4" x14ac:dyDescent="0.3"/>
    <row r="20905" ht="14.4" x14ac:dyDescent="0.3"/>
    <row r="20906" ht="14.4" x14ac:dyDescent="0.3"/>
    <row r="20907" ht="14.4" x14ac:dyDescent="0.3"/>
    <row r="20908" ht="14.4" x14ac:dyDescent="0.3"/>
    <row r="20909" ht="14.4" x14ac:dyDescent="0.3"/>
    <row r="20910" ht="14.4" x14ac:dyDescent="0.3"/>
    <row r="20911" ht="14.4" x14ac:dyDescent="0.3"/>
    <row r="20912" ht="14.4" x14ac:dyDescent="0.3"/>
    <row r="20913" ht="14.4" x14ac:dyDescent="0.3"/>
    <row r="20914" ht="14.4" x14ac:dyDescent="0.3"/>
    <row r="20915" ht="14.4" x14ac:dyDescent="0.3"/>
    <row r="20916" ht="14.4" x14ac:dyDescent="0.3"/>
    <row r="20917" ht="14.4" x14ac:dyDescent="0.3"/>
    <row r="20918" ht="14.4" x14ac:dyDescent="0.3"/>
    <row r="20919" ht="14.4" x14ac:dyDescent="0.3"/>
    <row r="20920" ht="14.4" x14ac:dyDescent="0.3"/>
    <row r="20921" ht="14.4" x14ac:dyDescent="0.3"/>
    <row r="20922" ht="14.4" x14ac:dyDescent="0.3"/>
    <row r="20923" ht="14.4" x14ac:dyDescent="0.3"/>
    <row r="20924" ht="14.4" x14ac:dyDescent="0.3"/>
    <row r="20925" ht="14.4" x14ac:dyDescent="0.3"/>
    <row r="20926" ht="14.4" x14ac:dyDescent="0.3"/>
    <row r="20927" ht="14.4" x14ac:dyDescent="0.3"/>
    <row r="20928" ht="14.4" x14ac:dyDescent="0.3"/>
    <row r="20929" ht="14.4" x14ac:dyDescent="0.3"/>
    <row r="20930" ht="14.4" x14ac:dyDescent="0.3"/>
    <row r="20931" ht="14.4" x14ac:dyDescent="0.3"/>
    <row r="20932" ht="14.4" x14ac:dyDescent="0.3"/>
    <row r="20933" ht="14.4" x14ac:dyDescent="0.3"/>
    <row r="20934" ht="14.4" x14ac:dyDescent="0.3"/>
    <row r="20935" ht="14.4" x14ac:dyDescent="0.3"/>
    <row r="20936" ht="14.4" x14ac:dyDescent="0.3"/>
    <row r="20937" ht="14.4" x14ac:dyDescent="0.3"/>
    <row r="20938" ht="14.4" x14ac:dyDescent="0.3"/>
    <row r="20939" ht="14.4" x14ac:dyDescent="0.3"/>
    <row r="20940" ht="14.4" x14ac:dyDescent="0.3"/>
    <row r="20941" ht="14.4" x14ac:dyDescent="0.3"/>
    <row r="20942" ht="14.4" x14ac:dyDescent="0.3"/>
    <row r="20943" ht="14.4" x14ac:dyDescent="0.3"/>
    <row r="20944" ht="14.4" x14ac:dyDescent="0.3"/>
    <row r="20945" ht="14.4" x14ac:dyDescent="0.3"/>
    <row r="20946" ht="14.4" x14ac:dyDescent="0.3"/>
    <row r="20947" ht="14.4" x14ac:dyDescent="0.3"/>
    <row r="20948" ht="14.4" x14ac:dyDescent="0.3"/>
    <row r="20949" ht="14.4" x14ac:dyDescent="0.3"/>
    <row r="20950" ht="14.4" x14ac:dyDescent="0.3"/>
    <row r="20951" ht="14.4" x14ac:dyDescent="0.3"/>
    <row r="20952" ht="14.4" x14ac:dyDescent="0.3"/>
    <row r="20953" ht="14.4" x14ac:dyDescent="0.3"/>
    <row r="20954" ht="14.4" x14ac:dyDescent="0.3"/>
    <row r="20955" ht="14.4" x14ac:dyDescent="0.3"/>
    <row r="20956" ht="14.4" x14ac:dyDescent="0.3"/>
    <row r="20957" ht="14.4" x14ac:dyDescent="0.3"/>
    <row r="20958" ht="14.4" x14ac:dyDescent="0.3"/>
    <row r="20959" ht="14.4" x14ac:dyDescent="0.3"/>
    <row r="20960" ht="14.4" x14ac:dyDescent="0.3"/>
    <row r="20961" ht="14.4" x14ac:dyDescent="0.3"/>
    <row r="20962" ht="14.4" x14ac:dyDescent="0.3"/>
    <row r="20963" ht="14.4" x14ac:dyDescent="0.3"/>
    <row r="20964" ht="14.4" x14ac:dyDescent="0.3"/>
    <row r="20965" ht="14.4" x14ac:dyDescent="0.3"/>
    <row r="20966" ht="14.4" x14ac:dyDescent="0.3"/>
    <row r="20967" ht="14.4" x14ac:dyDescent="0.3"/>
    <row r="20968" ht="14.4" x14ac:dyDescent="0.3"/>
    <row r="20969" ht="14.4" x14ac:dyDescent="0.3"/>
    <row r="20970" ht="14.4" x14ac:dyDescent="0.3"/>
    <row r="20971" ht="14.4" x14ac:dyDescent="0.3"/>
    <row r="20972" ht="14.4" x14ac:dyDescent="0.3"/>
    <row r="20973" ht="14.4" x14ac:dyDescent="0.3"/>
    <row r="20974" ht="14.4" x14ac:dyDescent="0.3"/>
    <row r="20975" ht="14.4" x14ac:dyDescent="0.3"/>
    <row r="20976" ht="14.4" x14ac:dyDescent="0.3"/>
    <row r="20977" ht="14.4" x14ac:dyDescent="0.3"/>
    <row r="20978" ht="14.4" x14ac:dyDescent="0.3"/>
    <row r="20979" ht="14.4" x14ac:dyDescent="0.3"/>
    <row r="20980" ht="14.4" x14ac:dyDescent="0.3"/>
    <row r="20981" ht="14.4" x14ac:dyDescent="0.3"/>
    <row r="20982" ht="14.4" x14ac:dyDescent="0.3"/>
    <row r="20983" ht="14.4" x14ac:dyDescent="0.3"/>
    <row r="20984" ht="14.4" x14ac:dyDescent="0.3"/>
    <row r="20985" ht="14.4" x14ac:dyDescent="0.3"/>
    <row r="20986" ht="14.4" x14ac:dyDescent="0.3"/>
    <row r="20987" ht="14.4" x14ac:dyDescent="0.3"/>
    <row r="20988" ht="14.4" x14ac:dyDescent="0.3"/>
    <row r="20989" ht="14.4" x14ac:dyDescent="0.3"/>
    <row r="20990" ht="14.4" x14ac:dyDescent="0.3"/>
    <row r="20991" ht="14.4" x14ac:dyDescent="0.3"/>
    <row r="20992" ht="14.4" x14ac:dyDescent="0.3"/>
    <row r="20993" ht="14.4" x14ac:dyDescent="0.3"/>
    <row r="20994" ht="14.4" x14ac:dyDescent="0.3"/>
    <row r="20995" ht="14.4" x14ac:dyDescent="0.3"/>
    <row r="20996" ht="14.4" x14ac:dyDescent="0.3"/>
    <row r="20997" ht="14.4" x14ac:dyDescent="0.3"/>
    <row r="20998" ht="14.4" x14ac:dyDescent="0.3"/>
    <row r="20999" ht="14.4" x14ac:dyDescent="0.3"/>
    <row r="21000" ht="14.4" x14ac:dyDescent="0.3"/>
    <row r="21001" ht="14.4" x14ac:dyDescent="0.3"/>
    <row r="21002" ht="14.4" x14ac:dyDescent="0.3"/>
    <row r="21003" ht="14.4" x14ac:dyDescent="0.3"/>
    <row r="21004" ht="14.4" x14ac:dyDescent="0.3"/>
    <row r="21005" ht="14.4" x14ac:dyDescent="0.3"/>
    <row r="21006" ht="14.4" x14ac:dyDescent="0.3"/>
    <row r="21007" ht="14.4" x14ac:dyDescent="0.3"/>
    <row r="21008" ht="14.4" x14ac:dyDescent="0.3"/>
    <row r="21009" ht="14.4" x14ac:dyDescent="0.3"/>
    <row r="21010" ht="14.4" x14ac:dyDescent="0.3"/>
    <row r="21011" ht="14.4" x14ac:dyDescent="0.3"/>
    <row r="21012" ht="14.4" x14ac:dyDescent="0.3"/>
    <row r="21013" ht="14.4" x14ac:dyDescent="0.3"/>
    <row r="21014" ht="14.4" x14ac:dyDescent="0.3"/>
    <row r="21015" ht="14.4" x14ac:dyDescent="0.3"/>
    <row r="21016" ht="14.4" x14ac:dyDescent="0.3"/>
    <row r="21017" ht="14.4" x14ac:dyDescent="0.3"/>
    <row r="21018" ht="14.4" x14ac:dyDescent="0.3"/>
    <row r="21019" ht="14.4" x14ac:dyDescent="0.3"/>
    <row r="21020" ht="14.4" x14ac:dyDescent="0.3"/>
    <row r="21021" ht="14.4" x14ac:dyDescent="0.3"/>
    <row r="21022" ht="14.4" x14ac:dyDescent="0.3"/>
    <row r="21023" ht="14.4" x14ac:dyDescent="0.3"/>
    <row r="21024" ht="14.4" x14ac:dyDescent="0.3"/>
    <row r="21025" ht="14.4" x14ac:dyDescent="0.3"/>
    <row r="21026" ht="14.4" x14ac:dyDescent="0.3"/>
    <row r="21027" ht="14.4" x14ac:dyDescent="0.3"/>
    <row r="21028" ht="14.4" x14ac:dyDescent="0.3"/>
    <row r="21029" ht="14.4" x14ac:dyDescent="0.3"/>
    <row r="21030" ht="14.4" x14ac:dyDescent="0.3"/>
    <row r="21031" ht="14.4" x14ac:dyDescent="0.3"/>
    <row r="21032" ht="14.4" x14ac:dyDescent="0.3"/>
    <row r="21033" ht="14.4" x14ac:dyDescent="0.3"/>
    <row r="21034" ht="14.4" x14ac:dyDescent="0.3"/>
    <row r="21035" ht="14.4" x14ac:dyDescent="0.3"/>
    <row r="21036" ht="14.4" x14ac:dyDescent="0.3"/>
    <row r="21037" ht="14.4" x14ac:dyDescent="0.3"/>
    <row r="21038" ht="14.4" x14ac:dyDescent="0.3"/>
    <row r="21039" ht="14.4" x14ac:dyDescent="0.3"/>
    <row r="21040" ht="14.4" x14ac:dyDescent="0.3"/>
    <row r="21041" ht="14.4" x14ac:dyDescent="0.3"/>
    <row r="21042" ht="14.4" x14ac:dyDescent="0.3"/>
    <row r="21043" ht="14.4" x14ac:dyDescent="0.3"/>
    <row r="21044" ht="14.4" x14ac:dyDescent="0.3"/>
    <row r="21045" ht="14.4" x14ac:dyDescent="0.3"/>
    <row r="21046" ht="14.4" x14ac:dyDescent="0.3"/>
    <row r="21047" ht="14.4" x14ac:dyDescent="0.3"/>
    <row r="21048" ht="14.4" x14ac:dyDescent="0.3"/>
    <row r="21049" ht="14.4" x14ac:dyDescent="0.3"/>
    <row r="21050" ht="14.4" x14ac:dyDescent="0.3"/>
    <row r="21051" ht="14.4" x14ac:dyDescent="0.3"/>
    <row r="21052" ht="14.4" x14ac:dyDescent="0.3"/>
    <row r="21053" ht="14.4" x14ac:dyDescent="0.3"/>
    <row r="21054" ht="14.4" x14ac:dyDescent="0.3"/>
    <row r="21055" ht="14.4" x14ac:dyDescent="0.3"/>
    <row r="21056" ht="14.4" x14ac:dyDescent="0.3"/>
    <row r="21057" ht="14.4" x14ac:dyDescent="0.3"/>
    <row r="21058" ht="14.4" x14ac:dyDescent="0.3"/>
    <row r="21059" ht="14.4" x14ac:dyDescent="0.3"/>
    <row r="21060" ht="14.4" x14ac:dyDescent="0.3"/>
    <row r="21061" ht="14.4" x14ac:dyDescent="0.3"/>
    <row r="21062" ht="14.4" x14ac:dyDescent="0.3"/>
    <row r="21063" ht="14.4" x14ac:dyDescent="0.3"/>
    <row r="21064" ht="14.4" x14ac:dyDescent="0.3"/>
    <row r="21065" ht="14.4" x14ac:dyDescent="0.3"/>
    <row r="21066" ht="14.4" x14ac:dyDescent="0.3"/>
    <row r="21067" ht="14.4" x14ac:dyDescent="0.3"/>
    <row r="21068" ht="14.4" x14ac:dyDescent="0.3"/>
    <row r="21069" ht="14.4" x14ac:dyDescent="0.3"/>
    <row r="21070" ht="14.4" x14ac:dyDescent="0.3"/>
    <row r="21071" ht="14.4" x14ac:dyDescent="0.3"/>
    <row r="21072" ht="14.4" x14ac:dyDescent="0.3"/>
    <row r="21073" ht="14.4" x14ac:dyDescent="0.3"/>
    <row r="21074" ht="14.4" x14ac:dyDescent="0.3"/>
    <row r="21075" ht="14.4" x14ac:dyDescent="0.3"/>
    <row r="21076" ht="14.4" x14ac:dyDescent="0.3"/>
    <row r="21077" ht="14.4" x14ac:dyDescent="0.3"/>
    <row r="21078" ht="14.4" x14ac:dyDescent="0.3"/>
    <row r="21079" ht="14.4" x14ac:dyDescent="0.3"/>
    <row r="21080" ht="14.4" x14ac:dyDescent="0.3"/>
    <row r="21081" ht="14.4" x14ac:dyDescent="0.3"/>
    <row r="21082" ht="14.4" x14ac:dyDescent="0.3"/>
    <row r="21083" ht="14.4" x14ac:dyDescent="0.3"/>
    <row r="21084" ht="14.4" x14ac:dyDescent="0.3"/>
    <row r="21085" ht="14.4" x14ac:dyDescent="0.3"/>
    <row r="21086" ht="14.4" x14ac:dyDescent="0.3"/>
    <row r="21087" ht="14.4" x14ac:dyDescent="0.3"/>
    <row r="21088" ht="14.4" x14ac:dyDescent="0.3"/>
    <row r="21089" ht="14.4" x14ac:dyDescent="0.3"/>
    <row r="21090" ht="14.4" x14ac:dyDescent="0.3"/>
    <row r="21091" ht="14.4" x14ac:dyDescent="0.3"/>
    <row r="21092" ht="14.4" x14ac:dyDescent="0.3"/>
    <row r="21093" ht="14.4" x14ac:dyDescent="0.3"/>
    <row r="21094" ht="14.4" x14ac:dyDescent="0.3"/>
    <row r="21095" ht="14.4" x14ac:dyDescent="0.3"/>
    <row r="21096" ht="14.4" x14ac:dyDescent="0.3"/>
    <row r="21097" ht="14.4" x14ac:dyDescent="0.3"/>
    <row r="21098" ht="14.4" x14ac:dyDescent="0.3"/>
    <row r="21099" ht="14.4" x14ac:dyDescent="0.3"/>
    <row r="21100" ht="14.4" x14ac:dyDescent="0.3"/>
    <row r="21101" ht="14.4" x14ac:dyDescent="0.3"/>
    <row r="21102" ht="14.4" x14ac:dyDescent="0.3"/>
    <row r="21103" ht="14.4" x14ac:dyDescent="0.3"/>
    <row r="21104" ht="14.4" x14ac:dyDescent="0.3"/>
    <row r="21105" ht="14.4" x14ac:dyDescent="0.3"/>
    <row r="21106" ht="14.4" x14ac:dyDescent="0.3"/>
    <row r="21107" ht="14.4" x14ac:dyDescent="0.3"/>
    <row r="21108" ht="14.4" x14ac:dyDescent="0.3"/>
    <row r="21109" ht="14.4" x14ac:dyDescent="0.3"/>
    <row r="21110" ht="14.4" x14ac:dyDescent="0.3"/>
    <row r="21111" ht="14.4" x14ac:dyDescent="0.3"/>
    <row r="21112" ht="14.4" x14ac:dyDescent="0.3"/>
    <row r="21113" ht="14.4" x14ac:dyDescent="0.3"/>
    <row r="21114" ht="14.4" x14ac:dyDescent="0.3"/>
    <row r="21115" ht="14.4" x14ac:dyDescent="0.3"/>
    <row r="21116" ht="14.4" x14ac:dyDescent="0.3"/>
    <row r="21117" ht="14.4" x14ac:dyDescent="0.3"/>
    <row r="21118" ht="14.4" x14ac:dyDescent="0.3"/>
    <row r="21119" ht="14.4" x14ac:dyDescent="0.3"/>
    <row r="21120" ht="14.4" x14ac:dyDescent="0.3"/>
    <row r="21121" ht="14.4" x14ac:dyDescent="0.3"/>
    <row r="21122" ht="14.4" x14ac:dyDescent="0.3"/>
    <row r="21123" ht="14.4" x14ac:dyDescent="0.3"/>
    <row r="21124" ht="14.4" x14ac:dyDescent="0.3"/>
    <row r="21125" ht="14.4" x14ac:dyDescent="0.3"/>
    <row r="21126" ht="14.4" x14ac:dyDescent="0.3"/>
    <row r="21127" ht="14.4" x14ac:dyDescent="0.3"/>
    <row r="21128" ht="14.4" x14ac:dyDescent="0.3"/>
    <row r="21129" ht="14.4" x14ac:dyDescent="0.3"/>
    <row r="21130" ht="14.4" x14ac:dyDescent="0.3"/>
    <row r="21131" ht="14.4" x14ac:dyDescent="0.3"/>
    <row r="21132" ht="14.4" x14ac:dyDescent="0.3"/>
    <row r="21133" ht="14.4" x14ac:dyDescent="0.3"/>
    <row r="21134" ht="14.4" x14ac:dyDescent="0.3"/>
    <row r="21135" ht="14.4" x14ac:dyDescent="0.3"/>
    <row r="21136" ht="14.4" x14ac:dyDescent="0.3"/>
    <row r="21137" ht="14.4" x14ac:dyDescent="0.3"/>
    <row r="21138" ht="14.4" x14ac:dyDescent="0.3"/>
    <row r="21139" ht="14.4" x14ac:dyDescent="0.3"/>
    <row r="21140" ht="14.4" x14ac:dyDescent="0.3"/>
    <row r="21141" ht="14.4" x14ac:dyDescent="0.3"/>
    <row r="21142" ht="14.4" x14ac:dyDescent="0.3"/>
    <row r="21143" ht="14.4" x14ac:dyDescent="0.3"/>
    <row r="21144" ht="14.4" x14ac:dyDescent="0.3"/>
    <row r="21145" ht="14.4" x14ac:dyDescent="0.3"/>
    <row r="21146" ht="14.4" x14ac:dyDescent="0.3"/>
    <row r="21147" ht="14.4" x14ac:dyDescent="0.3"/>
    <row r="21148" ht="14.4" x14ac:dyDescent="0.3"/>
    <row r="21149" ht="14.4" x14ac:dyDescent="0.3"/>
    <row r="21150" ht="14.4" x14ac:dyDescent="0.3"/>
    <row r="21151" ht="14.4" x14ac:dyDescent="0.3"/>
    <row r="21152" ht="14.4" x14ac:dyDescent="0.3"/>
    <row r="21153" ht="14.4" x14ac:dyDescent="0.3"/>
    <row r="21154" ht="14.4" x14ac:dyDescent="0.3"/>
    <row r="21155" ht="14.4" x14ac:dyDescent="0.3"/>
    <row r="21156" ht="14.4" x14ac:dyDescent="0.3"/>
    <row r="21157" ht="14.4" x14ac:dyDescent="0.3"/>
    <row r="21158" ht="14.4" x14ac:dyDescent="0.3"/>
    <row r="21159" ht="14.4" x14ac:dyDescent="0.3"/>
    <row r="21160" ht="14.4" x14ac:dyDescent="0.3"/>
    <row r="21161" ht="14.4" x14ac:dyDescent="0.3"/>
    <row r="21162" ht="14.4" x14ac:dyDescent="0.3"/>
    <row r="21163" ht="14.4" x14ac:dyDescent="0.3"/>
    <row r="21164" ht="14.4" x14ac:dyDescent="0.3"/>
    <row r="21165" ht="14.4" x14ac:dyDescent="0.3"/>
    <row r="21166" ht="14.4" x14ac:dyDescent="0.3"/>
    <row r="21167" ht="14.4" x14ac:dyDescent="0.3"/>
    <row r="21168" ht="14.4" x14ac:dyDescent="0.3"/>
    <row r="21169" ht="14.4" x14ac:dyDescent="0.3"/>
    <row r="21170" ht="14.4" x14ac:dyDescent="0.3"/>
    <row r="21171" ht="14.4" x14ac:dyDescent="0.3"/>
    <row r="21172" ht="14.4" x14ac:dyDescent="0.3"/>
    <row r="21173" ht="14.4" x14ac:dyDescent="0.3"/>
    <row r="21174" ht="14.4" x14ac:dyDescent="0.3"/>
    <row r="21175" ht="14.4" x14ac:dyDescent="0.3"/>
    <row r="21176" ht="14.4" x14ac:dyDescent="0.3"/>
    <row r="21177" ht="14.4" x14ac:dyDescent="0.3"/>
    <row r="21178" ht="14.4" x14ac:dyDescent="0.3"/>
    <row r="21179" ht="14.4" x14ac:dyDescent="0.3"/>
    <row r="21180" ht="14.4" x14ac:dyDescent="0.3"/>
    <row r="21181" ht="14.4" x14ac:dyDescent="0.3"/>
    <row r="21182" ht="14.4" x14ac:dyDescent="0.3"/>
    <row r="21183" ht="14.4" x14ac:dyDescent="0.3"/>
    <row r="21184" ht="14.4" x14ac:dyDescent="0.3"/>
    <row r="21185" ht="14.4" x14ac:dyDescent="0.3"/>
    <row r="21186" ht="14.4" x14ac:dyDescent="0.3"/>
    <row r="21187" ht="14.4" x14ac:dyDescent="0.3"/>
    <row r="21188" ht="14.4" x14ac:dyDescent="0.3"/>
    <row r="21189" ht="14.4" x14ac:dyDescent="0.3"/>
    <row r="21190" ht="14.4" x14ac:dyDescent="0.3"/>
    <row r="21191" ht="14.4" x14ac:dyDescent="0.3"/>
    <row r="21192" ht="14.4" x14ac:dyDescent="0.3"/>
    <row r="21193" ht="14.4" x14ac:dyDescent="0.3"/>
    <row r="21194" ht="14.4" x14ac:dyDescent="0.3"/>
    <row r="21195" ht="14.4" x14ac:dyDescent="0.3"/>
    <row r="21196" ht="14.4" x14ac:dyDescent="0.3"/>
    <row r="21197" ht="14.4" x14ac:dyDescent="0.3"/>
    <row r="21198" ht="14.4" x14ac:dyDescent="0.3"/>
    <row r="21199" ht="14.4" x14ac:dyDescent="0.3"/>
    <row r="21200" ht="14.4" x14ac:dyDescent="0.3"/>
    <row r="21201" ht="14.4" x14ac:dyDescent="0.3"/>
    <row r="21202" ht="14.4" x14ac:dyDescent="0.3"/>
    <row r="21203" ht="14.4" x14ac:dyDescent="0.3"/>
    <row r="21204" ht="14.4" x14ac:dyDescent="0.3"/>
    <row r="21205" ht="14.4" x14ac:dyDescent="0.3"/>
    <row r="21206" ht="14.4" x14ac:dyDescent="0.3"/>
    <row r="21207" ht="14.4" x14ac:dyDescent="0.3"/>
    <row r="21208" ht="14.4" x14ac:dyDescent="0.3"/>
    <row r="21209" ht="14.4" x14ac:dyDescent="0.3"/>
    <row r="21210" ht="14.4" x14ac:dyDescent="0.3"/>
    <row r="21211" ht="14.4" x14ac:dyDescent="0.3"/>
    <row r="21212" ht="14.4" x14ac:dyDescent="0.3"/>
    <row r="21213" ht="14.4" x14ac:dyDescent="0.3"/>
    <row r="21214" ht="14.4" x14ac:dyDescent="0.3"/>
    <row r="21215" ht="14.4" x14ac:dyDescent="0.3"/>
    <row r="21216" ht="14.4" x14ac:dyDescent="0.3"/>
    <row r="21217" ht="14.4" x14ac:dyDescent="0.3"/>
    <row r="21218" ht="14.4" x14ac:dyDescent="0.3"/>
    <row r="21219" ht="14.4" x14ac:dyDescent="0.3"/>
    <row r="21220" ht="14.4" x14ac:dyDescent="0.3"/>
    <row r="21221" ht="14.4" x14ac:dyDescent="0.3"/>
    <row r="21222" ht="14.4" x14ac:dyDescent="0.3"/>
    <row r="21223" ht="14.4" x14ac:dyDescent="0.3"/>
    <row r="21224" ht="14.4" x14ac:dyDescent="0.3"/>
    <row r="21225" ht="14.4" x14ac:dyDescent="0.3"/>
    <row r="21226" ht="14.4" x14ac:dyDescent="0.3"/>
    <row r="21227" ht="14.4" x14ac:dyDescent="0.3"/>
    <row r="21228" ht="14.4" x14ac:dyDescent="0.3"/>
    <row r="21229" ht="14.4" x14ac:dyDescent="0.3"/>
    <row r="21230" ht="14.4" x14ac:dyDescent="0.3"/>
    <row r="21231" ht="14.4" x14ac:dyDescent="0.3"/>
    <row r="21232" ht="14.4" x14ac:dyDescent="0.3"/>
    <row r="21233" ht="14.4" x14ac:dyDescent="0.3"/>
    <row r="21234" ht="14.4" x14ac:dyDescent="0.3"/>
    <row r="21235" ht="14.4" x14ac:dyDescent="0.3"/>
    <row r="21236" ht="14.4" x14ac:dyDescent="0.3"/>
    <row r="21237" ht="14.4" x14ac:dyDescent="0.3"/>
    <row r="21238" ht="14.4" x14ac:dyDescent="0.3"/>
    <row r="21239" ht="14.4" x14ac:dyDescent="0.3"/>
    <row r="21240" ht="14.4" x14ac:dyDescent="0.3"/>
    <row r="21241" ht="14.4" x14ac:dyDescent="0.3"/>
    <row r="21242" ht="14.4" x14ac:dyDescent="0.3"/>
    <row r="21243" ht="14.4" x14ac:dyDescent="0.3"/>
    <row r="21244" ht="14.4" x14ac:dyDescent="0.3"/>
    <row r="21245" ht="14.4" x14ac:dyDescent="0.3"/>
    <row r="21246" ht="14.4" x14ac:dyDescent="0.3"/>
    <row r="21247" ht="14.4" x14ac:dyDescent="0.3"/>
    <row r="21248" ht="14.4" x14ac:dyDescent="0.3"/>
    <row r="21249" ht="14.4" x14ac:dyDescent="0.3"/>
    <row r="21250" ht="14.4" x14ac:dyDescent="0.3"/>
    <row r="21251" ht="14.4" x14ac:dyDescent="0.3"/>
    <row r="21252" ht="14.4" x14ac:dyDescent="0.3"/>
    <row r="21253" ht="14.4" x14ac:dyDescent="0.3"/>
    <row r="21254" ht="14.4" x14ac:dyDescent="0.3"/>
    <row r="21255" ht="14.4" x14ac:dyDescent="0.3"/>
    <row r="21256" ht="14.4" x14ac:dyDescent="0.3"/>
    <row r="21257" ht="14.4" x14ac:dyDescent="0.3"/>
    <row r="21258" ht="14.4" x14ac:dyDescent="0.3"/>
    <row r="21259" ht="14.4" x14ac:dyDescent="0.3"/>
    <row r="21260" ht="14.4" x14ac:dyDescent="0.3"/>
    <row r="21261" ht="14.4" x14ac:dyDescent="0.3"/>
    <row r="21262" ht="14.4" x14ac:dyDescent="0.3"/>
    <row r="21263" ht="14.4" x14ac:dyDescent="0.3"/>
    <row r="21264" ht="14.4" x14ac:dyDescent="0.3"/>
    <row r="21265" ht="14.4" x14ac:dyDescent="0.3"/>
    <row r="21266" ht="14.4" x14ac:dyDescent="0.3"/>
    <row r="21267" ht="14.4" x14ac:dyDescent="0.3"/>
    <row r="21268" ht="14.4" x14ac:dyDescent="0.3"/>
    <row r="21269" ht="14.4" x14ac:dyDescent="0.3"/>
    <row r="21270" ht="14.4" x14ac:dyDescent="0.3"/>
    <row r="21271" ht="14.4" x14ac:dyDescent="0.3"/>
    <row r="21272" ht="14.4" x14ac:dyDescent="0.3"/>
    <row r="21273" ht="14.4" x14ac:dyDescent="0.3"/>
    <row r="21274" ht="14.4" x14ac:dyDescent="0.3"/>
    <row r="21275" ht="14.4" x14ac:dyDescent="0.3"/>
    <row r="21276" ht="14.4" x14ac:dyDescent="0.3"/>
    <row r="21277" ht="14.4" x14ac:dyDescent="0.3"/>
    <row r="21278" ht="14.4" x14ac:dyDescent="0.3"/>
    <row r="21279" ht="14.4" x14ac:dyDescent="0.3"/>
    <row r="21280" ht="14.4" x14ac:dyDescent="0.3"/>
    <row r="21281" ht="14.4" x14ac:dyDescent="0.3"/>
    <row r="21282" ht="14.4" x14ac:dyDescent="0.3"/>
    <row r="21283" ht="14.4" x14ac:dyDescent="0.3"/>
    <row r="21284" ht="14.4" x14ac:dyDescent="0.3"/>
    <row r="21285" ht="14.4" x14ac:dyDescent="0.3"/>
    <row r="21286" ht="14.4" x14ac:dyDescent="0.3"/>
    <row r="21287" ht="14.4" x14ac:dyDescent="0.3"/>
    <row r="21288" ht="14.4" x14ac:dyDescent="0.3"/>
    <row r="21289" ht="14.4" x14ac:dyDescent="0.3"/>
    <row r="21290" ht="14.4" x14ac:dyDescent="0.3"/>
    <row r="21291" ht="14.4" x14ac:dyDescent="0.3"/>
    <row r="21292" ht="14.4" x14ac:dyDescent="0.3"/>
    <row r="21293" ht="14.4" x14ac:dyDescent="0.3"/>
    <row r="21294" ht="14.4" x14ac:dyDescent="0.3"/>
    <row r="21295" ht="14.4" x14ac:dyDescent="0.3"/>
    <row r="21296" ht="14.4" x14ac:dyDescent="0.3"/>
    <row r="21297" ht="14.4" x14ac:dyDescent="0.3"/>
    <row r="21298" ht="14.4" x14ac:dyDescent="0.3"/>
    <row r="21299" ht="14.4" x14ac:dyDescent="0.3"/>
    <row r="21300" ht="14.4" x14ac:dyDescent="0.3"/>
    <row r="21301" ht="14.4" x14ac:dyDescent="0.3"/>
    <row r="21302" ht="14.4" x14ac:dyDescent="0.3"/>
    <row r="21303" ht="14.4" x14ac:dyDescent="0.3"/>
    <row r="21304" ht="14.4" x14ac:dyDescent="0.3"/>
    <row r="21305" ht="14.4" x14ac:dyDescent="0.3"/>
    <row r="21306" ht="14.4" x14ac:dyDescent="0.3"/>
    <row r="21307" ht="14.4" x14ac:dyDescent="0.3"/>
    <row r="21308" ht="14.4" x14ac:dyDescent="0.3"/>
    <row r="21309" ht="14.4" x14ac:dyDescent="0.3"/>
    <row r="21310" ht="14.4" x14ac:dyDescent="0.3"/>
    <row r="21311" ht="14.4" x14ac:dyDescent="0.3"/>
    <row r="21312" ht="14.4" x14ac:dyDescent="0.3"/>
    <row r="21313" ht="14.4" x14ac:dyDescent="0.3"/>
    <row r="21314" ht="14.4" x14ac:dyDescent="0.3"/>
    <row r="21315" ht="14.4" x14ac:dyDescent="0.3"/>
    <row r="21316" ht="14.4" x14ac:dyDescent="0.3"/>
    <row r="21317" ht="14.4" x14ac:dyDescent="0.3"/>
    <row r="21318" ht="14.4" x14ac:dyDescent="0.3"/>
    <row r="21319" ht="14.4" x14ac:dyDescent="0.3"/>
    <row r="21320" ht="14.4" x14ac:dyDescent="0.3"/>
    <row r="21321" ht="14.4" x14ac:dyDescent="0.3"/>
    <row r="21322" ht="14.4" x14ac:dyDescent="0.3"/>
    <row r="21323" ht="14.4" x14ac:dyDescent="0.3"/>
    <row r="21324" ht="14.4" x14ac:dyDescent="0.3"/>
    <row r="21325" ht="14.4" x14ac:dyDescent="0.3"/>
    <row r="21326" ht="14.4" x14ac:dyDescent="0.3"/>
    <row r="21327" ht="14.4" x14ac:dyDescent="0.3"/>
    <row r="21328" ht="14.4" x14ac:dyDescent="0.3"/>
    <row r="21329" spans="1:43" ht="14.4" x14ac:dyDescent="0.3"/>
    <row r="21330" spans="1:43" ht="14.4" x14ac:dyDescent="0.3"/>
    <row r="21331" spans="1:43" ht="14.4" x14ac:dyDescent="0.3"/>
    <row r="21332" spans="1:43" ht="14.4" x14ac:dyDescent="0.3"/>
    <row r="21333" spans="1:43" ht="14.4" x14ac:dyDescent="0.3"/>
    <row r="21334" spans="1:43" ht="14.4" x14ac:dyDescent="0.3"/>
    <row r="21335" spans="1:43" ht="14.4" x14ac:dyDescent="0.3"/>
    <row r="21336" spans="1:43" ht="14.4" x14ac:dyDescent="0.3"/>
    <row r="21337" spans="1:43" ht="14.4" hidden="1" x14ac:dyDescent="0.3">
      <c r="A21337" t="s">
        <v>3288</v>
      </c>
      <c r="B21337">
        <v>4892145</v>
      </c>
      <c r="C21337" t="s">
        <v>842</v>
      </c>
      <c r="D21337" t="s">
        <v>843</v>
      </c>
      <c r="E21337" t="s">
        <v>864</v>
      </c>
      <c r="F21337" t="s">
        <v>959</v>
      </c>
      <c r="H21337" t="s">
        <v>229</v>
      </c>
      <c r="J21337" t="s">
        <v>140</v>
      </c>
      <c r="K21337">
        <v>161068.47</v>
      </c>
      <c r="L21337">
        <v>383286.63</v>
      </c>
      <c r="M21337">
        <v>1</v>
      </c>
      <c r="N21337" t="s">
        <v>3289</v>
      </c>
      <c r="O21337" t="s">
        <v>1544</v>
      </c>
      <c r="P21337" t="s">
        <v>1986</v>
      </c>
      <c r="Q21337" t="s">
        <v>144</v>
      </c>
      <c r="S21337">
        <v>27</v>
      </c>
      <c r="T21337">
        <v>0</v>
      </c>
      <c r="V21337" t="s">
        <v>146</v>
      </c>
      <c r="W21337" t="s">
        <v>415</v>
      </c>
      <c r="X21337" t="s">
        <v>7</v>
      </c>
      <c r="Y21337" t="s">
        <v>3290</v>
      </c>
      <c r="Z21337" t="s">
        <v>1544</v>
      </c>
      <c r="AA21337" t="s">
        <v>752</v>
      </c>
      <c r="AB21337">
        <v>0</v>
      </c>
      <c r="AE21337" t="s">
        <v>1460</v>
      </c>
      <c r="AF21337" t="s">
        <v>1544</v>
      </c>
      <c r="AG21337" t="s">
        <v>1090</v>
      </c>
      <c r="AL21337" t="s">
        <v>3291</v>
      </c>
      <c r="AM21337" t="s">
        <v>3292</v>
      </c>
      <c r="AN21337" t="s">
        <v>3293</v>
      </c>
      <c r="AO21337" t="s">
        <v>3289</v>
      </c>
      <c r="AQ21337">
        <f>IF(ISBLANK(AP21337), IFERROR(IF(VLOOKUP(AO21337, Ellens_additions!$A$2:$B$252, 2, FALSE) = "", "", VLOOKUP(AO21337, Ellens_additions!$A$2:$B$252, 2, FALSE)), 0), AP21337)</f>
        <v>0</v>
      </c>
    </row>
    <row r="21338" spans="1:43" ht="14.4" x14ac:dyDescent="0.3"/>
    <row r="21339" spans="1:43" ht="14.4" x14ac:dyDescent="0.3"/>
    <row r="21340" spans="1:43" ht="14.4" x14ac:dyDescent="0.3"/>
    <row r="21341" spans="1:43" ht="14.4" x14ac:dyDescent="0.3"/>
    <row r="21342" spans="1:43" ht="14.4" x14ac:dyDescent="0.3"/>
    <row r="21343" spans="1:43" ht="14.4" x14ac:dyDescent="0.3"/>
    <row r="21344" spans="1:43" ht="14.4" x14ac:dyDescent="0.3"/>
    <row r="21345" ht="14.4" x14ac:dyDescent="0.3"/>
    <row r="21346" ht="14.4" x14ac:dyDescent="0.3"/>
    <row r="21347" ht="14.4" x14ac:dyDescent="0.3"/>
    <row r="21348" ht="14.4" x14ac:dyDescent="0.3"/>
    <row r="21349" ht="14.4" x14ac:dyDescent="0.3"/>
    <row r="21350" ht="14.4" x14ac:dyDescent="0.3"/>
    <row r="21351" ht="14.4" x14ac:dyDescent="0.3"/>
    <row r="21352" ht="14.4" x14ac:dyDescent="0.3"/>
    <row r="21353" ht="14.4" x14ac:dyDescent="0.3"/>
    <row r="21354" ht="14.4" x14ac:dyDescent="0.3"/>
    <row r="21355" ht="14.4" x14ac:dyDescent="0.3"/>
    <row r="21356" ht="14.4" x14ac:dyDescent="0.3"/>
    <row r="21357" ht="14.4" x14ac:dyDescent="0.3"/>
    <row r="21358" ht="14.4" x14ac:dyDescent="0.3"/>
    <row r="21359" ht="14.4" x14ac:dyDescent="0.3"/>
    <row r="21360" ht="14.4" x14ac:dyDescent="0.3"/>
    <row r="21361" ht="14.4" x14ac:dyDescent="0.3"/>
    <row r="21362" ht="14.4" x14ac:dyDescent="0.3"/>
    <row r="21363" ht="14.4" x14ac:dyDescent="0.3"/>
    <row r="21364" ht="14.4" x14ac:dyDescent="0.3"/>
    <row r="21365" ht="14.4" x14ac:dyDescent="0.3"/>
    <row r="21366" ht="14.4" x14ac:dyDescent="0.3"/>
    <row r="21367" ht="14.4" x14ac:dyDescent="0.3"/>
    <row r="21368" ht="14.4" x14ac:dyDescent="0.3"/>
    <row r="21369" ht="14.4" x14ac:dyDescent="0.3"/>
    <row r="21370" ht="14.4" x14ac:dyDescent="0.3"/>
    <row r="21371" ht="14.4" x14ac:dyDescent="0.3"/>
    <row r="21372" ht="14.4" x14ac:dyDescent="0.3"/>
    <row r="21373" ht="14.4" x14ac:dyDescent="0.3"/>
    <row r="21374" ht="14.4" x14ac:dyDescent="0.3"/>
    <row r="21375" ht="14.4" x14ac:dyDescent="0.3"/>
    <row r="21376" ht="14.4" x14ac:dyDescent="0.3"/>
    <row r="21377" spans="1:43" ht="14.4" x14ac:dyDescent="0.3"/>
    <row r="21378" spans="1:43" ht="14.4" x14ac:dyDescent="0.3"/>
    <row r="21379" spans="1:43" ht="14.4" x14ac:dyDescent="0.3"/>
    <row r="21380" spans="1:43" ht="14.4" x14ac:dyDescent="0.3"/>
    <row r="21381" spans="1:43" ht="14.4" x14ac:dyDescent="0.3"/>
    <row r="21382" spans="1:43" ht="14.4" x14ac:dyDescent="0.3"/>
    <row r="21383" spans="1:43" ht="14.4" x14ac:dyDescent="0.3"/>
    <row r="21384" spans="1:43" ht="14.4" x14ac:dyDescent="0.3"/>
    <row r="21385" spans="1:43" ht="14.4" x14ac:dyDescent="0.3"/>
    <row r="21386" spans="1:43" ht="14.4" x14ac:dyDescent="0.3"/>
    <row r="21387" spans="1:43" ht="14.4" x14ac:dyDescent="0.3"/>
    <row r="21388" spans="1:43" ht="14.4" hidden="1" x14ac:dyDescent="0.3">
      <c r="A21388" t="s">
        <v>3294</v>
      </c>
      <c r="B21388">
        <v>4892271</v>
      </c>
      <c r="C21388" t="s">
        <v>842</v>
      </c>
      <c r="D21388" t="s">
        <v>843</v>
      </c>
      <c r="E21388" t="s">
        <v>864</v>
      </c>
      <c r="F21388" t="s">
        <v>1084</v>
      </c>
      <c r="H21388" t="s">
        <v>177</v>
      </c>
      <c r="J21388" t="s">
        <v>140</v>
      </c>
      <c r="K21388">
        <v>161072.587</v>
      </c>
      <c r="L21388">
        <v>383437.576</v>
      </c>
      <c r="M21388">
        <v>3</v>
      </c>
      <c r="N21388" t="s">
        <v>2049</v>
      </c>
      <c r="O21388" t="s">
        <v>3295</v>
      </c>
      <c r="P21388" t="s">
        <v>770</v>
      </c>
      <c r="Q21388" t="s">
        <v>761</v>
      </c>
      <c r="R21388" t="s">
        <v>145</v>
      </c>
      <c r="S21388">
        <v>36</v>
      </c>
      <c r="T21388">
        <v>0</v>
      </c>
      <c r="V21388" t="s">
        <v>848</v>
      </c>
      <c r="W21388" t="s">
        <v>415</v>
      </c>
      <c r="X21388" t="s">
        <v>7</v>
      </c>
      <c r="Y21388" t="s">
        <v>3296</v>
      </c>
      <c r="Z21388" t="s">
        <v>736</v>
      </c>
      <c r="AA21388" t="s">
        <v>519</v>
      </c>
      <c r="AB21388">
        <v>0</v>
      </c>
      <c r="AC21388" t="s">
        <v>3297</v>
      </c>
      <c r="AE21388" t="s">
        <v>1496</v>
      </c>
      <c r="AF21388" t="s">
        <v>736</v>
      </c>
      <c r="AG21388" t="s">
        <v>519</v>
      </c>
      <c r="AL21388" t="s">
        <v>3298</v>
      </c>
      <c r="AM21388" t="s">
        <v>3299</v>
      </c>
      <c r="AN21388" t="s">
        <v>3300</v>
      </c>
      <c r="AO21388" t="s">
        <v>2049</v>
      </c>
      <c r="AQ21388" t="str">
        <f>IF(ISBLANK(AP21388), IFERROR(IF(VLOOKUP(AO21388, Ellens_additions!$A$2:$B$252, 2, FALSE) = "", "", VLOOKUP(AO21388, Ellens_additions!$A$2:$B$252, 2, FALSE)), 0), AP21388)</f>
        <v/>
      </c>
    </row>
    <row r="21389" spans="1:43" ht="14.4" hidden="1" x14ac:dyDescent="0.3">
      <c r="A21389" t="s">
        <v>3294</v>
      </c>
      <c r="B21389">
        <v>4892272</v>
      </c>
      <c r="C21389" t="s">
        <v>842</v>
      </c>
      <c r="D21389" t="s">
        <v>843</v>
      </c>
      <c r="E21389" t="s">
        <v>864</v>
      </c>
      <c r="F21389" t="s">
        <v>1084</v>
      </c>
      <c r="H21389" t="s">
        <v>177</v>
      </c>
      <c r="J21389" t="s">
        <v>140</v>
      </c>
      <c r="K21389">
        <v>161072.587</v>
      </c>
      <c r="L21389">
        <v>383437.576</v>
      </c>
      <c r="M21389">
        <v>1</v>
      </c>
      <c r="N21389" t="s">
        <v>1261</v>
      </c>
      <c r="O21389" t="s">
        <v>1548</v>
      </c>
      <c r="P21389" t="s">
        <v>3301</v>
      </c>
      <c r="Q21389" t="s">
        <v>761</v>
      </c>
      <c r="R21389" t="s">
        <v>145</v>
      </c>
      <c r="S21389">
        <v>58</v>
      </c>
      <c r="T21389">
        <v>5150</v>
      </c>
      <c r="V21389" t="s">
        <v>848</v>
      </c>
      <c r="W21389" t="s">
        <v>415</v>
      </c>
      <c r="X21389" t="s">
        <v>7</v>
      </c>
      <c r="Y21389" t="s">
        <v>3296</v>
      </c>
      <c r="Z21389" t="s">
        <v>736</v>
      </c>
      <c r="AA21389" t="s">
        <v>519</v>
      </c>
      <c r="AB21389">
        <v>0</v>
      </c>
      <c r="AC21389" t="s">
        <v>3297</v>
      </c>
      <c r="AE21389" t="s">
        <v>1496</v>
      </c>
      <c r="AF21389" t="s">
        <v>736</v>
      </c>
      <c r="AG21389" t="s">
        <v>519</v>
      </c>
      <c r="AL21389" t="s">
        <v>3298</v>
      </c>
      <c r="AM21389" t="s">
        <v>3299</v>
      </c>
      <c r="AN21389" t="s">
        <v>3300</v>
      </c>
      <c r="AO21389" t="s">
        <v>1261</v>
      </c>
      <c r="AP21389" t="s">
        <v>158</v>
      </c>
      <c r="AQ21389" t="str">
        <f>IF(ISBLANK(AP21389), IFERROR(IF(VLOOKUP(AO21389, Ellens_additions!$A$2:$B$252, 2, FALSE) = "", "", VLOOKUP(AO21389, Ellens_additions!$A$2:$B$252, 2, FALSE)), 0), AP21389)</f>
        <v>3000</v>
      </c>
    </row>
    <row r="21390" spans="1:43" ht="14.4" hidden="1" x14ac:dyDescent="0.3">
      <c r="A21390" t="s">
        <v>3294</v>
      </c>
      <c r="B21390">
        <v>4892273</v>
      </c>
      <c r="C21390" t="s">
        <v>842</v>
      </c>
      <c r="D21390" t="s">
        <v>843</v>
      </c>
      <c r="E21390" t="s">
        <v>864</v>
      </c>
      <c r="F21390" t="s">
        <v>1084</v>
      </c>
      <c r="H21390" t="s">
        <v>177</v>
      </c>
      <c r="J21390" t="s">
        <v>140</v>
      </c>
      <c r="K21390">
        <v>161072.587</v>
      </c>
      <c r="L21390">
        <v>383437.576</v>
      </c>
      <c r="M21390">
        <v>2</v>
      </c>
      <c r="N21390" t="s">
        <v>1261</v>
      </c>
      <c r="O21390" t="s">
        <v>1548</v>
      </c>
      <c r="P21390" t="s">
        <v>3301</v>
      </c>
      <c r="Q21390" t="s">
        <v>761</v>
      </c>
      <c r="R21390" t="s">
        <v>145</v>
      </c>
      <c r="S21390">
        <v>58</v>
      </c>
      <c r="T21390">
        <v>5150</v>
      </c>
      <c r="V21390" t="s">
        <v>848</v>
      </c>
      <c r="W21390" t="s">
        <v>415</v>
      </c>
      <c r="X21390" t="s">
        <v>7</v>
      </c>
      <c r="Y21390" t="s">
        <v>3296</v>
      </c>
      <c r="Z21390" t="s">
        <v>736</v>
      </c>
      <c r="AA21390" t="s">
        <v>519</v>
      </c>
      <c r="AB21390">
        <v>0</v>
      </c>
      <c r="AC21390" t="s">
        <v>3297</v>
      </c>
      <c r="AE21390" t="s">
        <v>1496</v>
      </c>
      <c r="AF21390" t="s">
        <v>736</v>
      </c>
      <c r="AG21390" t="s">
        <v>519</v>
      </c>
      <c r="AL21390" t="s">
        <v>3298</v>
      </c>
      <c r="AM21390" t="s">
        <v>3299</v>
      </c>
      <c r="AN21390" t="s">
        <v>3300</v>
      </c>
      <c r="AO21390" t="s">
        <v>1261</v>
      </c>
      <c r="AP21390" t="s">
        <v>158</v>
      </c>
      <c r="AQ21390" t="str">
        <f>IF(ISBLANK(AP21390), IFERROR(IF(VLOOKUP(AO21390, Ellens_additions!$A$2:$B$252, 2, FALSE) = "", "", VLOOKUP(AO21390, Ellens_additions!$A$2:$B$252, 2, FALSE)), 0), AP21390)</f>
        <v>3000</v>
      </c>
    </row>
    <row r="21391" spans="1:43" ht="14.4" hidden="1" x14ac:dyDescent="0.3">
      <c r="A21391" t="s">
        <v>3302</v>
      </c>
      <c r="B21391">
        <v>4892274</v>
      </c>
      <c r="C21391" t="s">
        <v>842</v>
      </c>
      <c r="D21391" t="s">
        <v>843</v>
      </c>
      <c r="E21391" t="s">
        <v>864</v>
      </c>
      <c r="F21391" t="s">
        <v>1084</v>
      </c>
      <c r="H21391" t="s">
        <v>262</v>
      </c>
      <c r="J21391" t="s">
        <v>140</v>
      </c>
      <c r="K21391">
        <v>161070.764</v>
      </c>
      <c r="L21391">
        <v>383441.087</v>
      </c>
      <c r="M21391">
        <v>1</v>
      </c>
      <c r="N21391" t="s">
        <v>1856</v>
      </c>
      <c r="O21391" t="s">
        <v>216</v>
      </c>
      <c r="P21391" t="s">
        <v>3303</v>
      </c>
      <c r="Q21391" t="s">
        <v>761</v>
      </c>
      <c r="R21391" t="s">
        <v>145</v>
      </c>
      <c r="S21391">
        <v>58</v>
      </c>
      <c r="T21391">
        <v>0</v>
      </c>
      <c r="V21391" t="s">
        <v>848</v>
      </c>
      <c r="W21391" t="s">
        <v>415</v>
      </c>
      <c r="X21391" t="s">
        <v>7</v>
      </c>
      <c r="Y21391" t="s">
        <v>3296</v>
      </c>
      <c r="Z21391" t="s">
        <v>736</v>
      </c>
      <c r="AA21391" t="s">
        <v>519</v>
      </c>
      <c r="AB21391">
        <v>0</v>
      </c>
      <c r="AC21391" t="s">
        <v>3297</v>
      </c>
      <c r="AE21391" t="s">
        <v>1496</v>
      </c>
      <c r="AF21391" t="s">
        <v>736</v>
      </c>
      <c r="AG21391" t="s">
        <v>519</v>
      </c>
      <c r="AL21391" t="s">
        <v>3304</v>
      </c>
      <c r="AM21391" t="s">
        <v>3305</v>
      </c>
      <c r="AN21391" t="s">
        <v>3306</v>
      </c>
      <c r="AO21391" t="s">
        <v>1856</v>
      </c>
      <c r="AQ21391" t="str">
        <f>IF(ISBLANK(AP21391), IFERROR(IF(VLOOKUP(AO21391, Ellens_additions!$A$2:$B$252, 2, FALSE) = "", "", VLOOKUP(AO21391, Ellens_additions!$A$2:$B$252, 2, FALSE)), 0), AP21391)</f>
        <v/>
      </c>
    </row>
    <row r="21392" spans="1:43" ht="14.4" hidden="1" x14ac:dyDescent="0.3">
      <c r="A21392" t="s">
        <v>3307</v>
      </c>
      <c r="B21392">
        <v>4892281</v>
      </c>
      <c r="C21392" t="s">
        <v>842</v>
      </c>
      <c r="D21392" t="s">
        <v>843</v>
      </c>
      <c r="E21392" t="s">
        <v>864</v>
      </c>
      <c r="F21392" t="s">
        <v>1084</v>
      </c>
      <c r="H21392" t="s">
        <v>300</v>
      </c>
      <c r="J21392" t="s">
        <v>140</v>
      </c>
      <c r="K21392">
        <v>161065.02600000001</v>
      </c>
      <c r="L21392">
        <v>383448.44799999997</v>
      </c>
      <c r="M21392">
        <v>2</v>
      </c>
      <c r="N21392" t="s">
        <v>1856</v>
      </c>
      <c r="O21392" t="s">
        <v>216</v>
      </c>
      <c r="P21392" t="s">
        <v>3303</v>
      </c>
      <c r="Q21392" t="s">
        <v>761</v>
      </c>
      <c r="R21392" t="s">
        <v>145</v>
      </c>
      <c r="S21392">
        <v>58</v>
      </c>
      <c r="T21392">
        <v>0</v>
      </c>
      <c r="V21392" t="s">
        <v>848</v>
      </c>
      <c r="W21392" t="s">
        <v>415</v>
      </c>
      <c r="X21392" t="s">
        <v>7</v>
      </c>
      <c r="Y21392" t="s">
        <v>3296</v>
      </c>
      <c r="Z21392" t="s">
        <v>736</v>
      </c>
      <c r="AA21392" t="s">
        <v>519</v>
      </c>
      <c r="AB21392">
        <v>0</v>
      </c>
      <c r="AC21392" t="s">
        <v>3297</v>
      </c>
      <c r="AE21392" t="s">
        <v>1496</v>
      </c>
      <c r="AF21392" t="s">
        <v>736</v>
      </c>
      <c r="AG21392" t="s">
        <v>519</v>
      </c>
      <c r="AL21392" t="s">
        <v>3308</v>
      </c>
      <c r="AM21392" t="s">
        <v>3309</v>
      </c>
      <c r="AN21392" t="s">
        <v>3310</v>
      </c>
      <c r="AO21392" t="s">
        <v>1856</v>
      </c>
      <c r="AQ21392" t="str">
        <f>IF(ISBLANK(AP21392), IFERROR(IF(VLOOKUP(AO21392, Ellens_additions!$A$2:$B$252, 2, FALSE) = "", "", VLOOKUP(AO21392, Ellens_additions!$A$2:$B$252, 2, FALSE)), 0), AP21392)</f>
        <v/>
      </c>
    </row>
    <row r="21393" spans="1:43" ht="14.4" hidden="1" x14ac:dyDescent="0.3">
      <c r="A21393" t="s">
        <v>3311</v>
      </c>
      <c r="B21393">
        <v>4892283</v>
      </c>
      <c r="C21393" t="s">
        <v>842</v>
      </c>
      <c r="D21393" t="s">
        <v>843</v>
      </c>
      <c r="E21393" t="s">
        <v>864</v>
      </c>
      <c r="F21393" t="s">
        <v>1084</v>
      </c>
      <c r="H21393" t="s">
        <v>753</v>
      </c>
      <c r="J21393" t="s">
        <v>140</v>
      </c>
      <c r="K21393">
        <v>161076.09700000001</v>
      </c>
      <c r="L21393">
        <v>383447.098</v>
      </c>
      <c r="M21393">
        <v>1</v>
      </c>
      <c r="N21393" t="s">
        <v>1856</v>
      </c>
      <c r="O21393" t="s">
        <v>216</v>
      </c>
      <c r="P21393" t="s">
        <v>3303</v>
      </c>
      <c r="Q21393" t="s">
        <v>761</v>
      </c>
      <c r="R21393" t="s">
        <v>145</v>
      </c>
      <c r="S21393">
        <v>58</v>
      </c>
      <c r="T21393">
        <v>0</v>
      </c>
      <c r="V21393" t="s">
        <v>848</v>
      </c>
      <c r="W21393" t="s">
        <v>415</v>
      </c>
      <c r="X21393" t="s">
        <v>7</v>
      </c>
      <c r="Y21393" t="s">
        <v>3296</v>
      </c>
      <c r="Z21393" t="s">
        <v>736</v>
      </c>
      <c r="AA21393" t="s">
        <v>519</v>
      </c>
      <c r="AB21393">
        <v>0</v>
      </c>
      <c r="AC21393" t="s">
        <v>3297</v>
      </c>
      <c r="AE21393" t="s">
        <v>1496</v>
      </c>
      <c r="AF21393" t="s">
        <v>736</v>
      </c>
      <c r="AG21393" t="s">
        <v>519</v>
      </c>
      <c r="AL21393" t="s">
        <v>3312</v>
      </c>
      <c r="AM21393" t="s">
        <v>3313</v>
      </c>
      <c r="AN21393" t="s">
        <v>3314</v>
      </c>
      <c r="AO21393" t="s">
        <v>1856</v>
      </c>
      <c r="AQ21393" t="str">
        <f>IF(ISBLANK(AP21393), IFERROR(IF(VLOOKUP(AO21393, Ellens_additions!$A$2:$B$252, 2, FALSE) = "", "", VLOOKUP(AO21393, Ellens_additions!$A$2:$B$252, 2, FALSE)), 0), AP21393)</f>
        <v/>
      </c>
    </row>
    <row r="21394" spans="1:43" ht="14.4" hidden="1" x14ac:dyDescent="0.3">
      <c r="A21394" t="s">
        <v>3315</v>
      </c>
      <c r="B21394">
        <v>4892291</v>
      </c>
      <c r="C21394" t="s">
        <v>842</v>
      </c>
      <c r="D21394" t="s">
        <v>843</v>
      </c>
      <c r="E21394" t="s">
        <v>864</v>
      </c>
      <c r="F21394" t="s">
        <v>1084</v>
      </c>
      <c r="H21394" t="s">
        <v>302</v>
      </c>
      <c r="J21394" t="s">
        <v>140</v>
      </c>
      <c r="K21394">
        <v>161079</v>
      </c>
      <c r="L21394">
        <v>383454.66100000002</v>
      </c>
      <c r="M21394">
        <v>3</v>
      </c>
      <c r="N21394" t="s">
        <v>871</v>
      </c>
      <c r="O21394" t="s">
        <v>216</v>
      </c>
      <c r="P21394" t="s">
        <v>3303</v>
      </c>
      <c r="Q21394" t="s">
        <v>761</v>
      </c>
      <c r="R21394" t="s">
        <v>145</v>
      </c>
      <c r="S21394">
        <v>36</v>
      </c>
      <c r="T21394">
        <v>3350</v>
      </c>
      <c r="V21394" t="s">
        <v>848</v>
      </c>
      <c r="W21394" t="s">
        <v>415</v>
      </c>
      <c r="X21394" t="s">
        <v>7</v>
      </c>
      <c r="Y21394" t="s">
        <v>3296</v>
      </c>
      <c r="Z21394" t="s">
        <v>736</v>
      </c>
      <c r="AA21394" t="s">
        <v>519</v>
      </c>
      <c r="AB21394">
        <v>0</v>
      </c>
      <c r="AC21394" t="s">
        <v>3297</v>
      </c>
      <c r="AE21394" t="s">
        <v>1496</v>
      </c>
      <c r="AF21394" t="s">
        <v>736</v>
      </c>
      <c r="AG21394" t="s">
        <v>519</v>
      </c>
      <c r="AL21394" t="s">
        <v>3316</v>
      </c>
      <c r="AM21394" t="s">
        <v>3317</v>
      </c>
      <c r="AN21394" t="s">
        <v>3318</v>
      </c>
      <c r="AO21394" t="s">
        <v>871</v>
      </c>
      <c r="AQ21394" t="str">
        <f>IF(ISBLANK(AP21394), IFERROR(IF(VLOOKUP(AO21394, Ellens_additions!$A$2:$B$252, 2, FALSE) = "", "", VLOOKUP(AO21394, Ellens_additions!$A$2:$B$252, 2, FALSE)), 0), AP21394)</f>
        <v/>
      </c>
    </row>
    <row r="21395" spans="1:43" ht="14.4" hidden="1" x14ac:dyDescent="0.3">
      <c r="A21395" t="s">
        <v>3319</v>
      </c>
      <c r="B21395">
        <v>4892292</v>
      </c>
      <c r="C21395" t="s">
        <v>842</v>
      </c>
      <c r="D21395" t="s">
        <v>843</v>
      </c>
      <c r="E21395" t="s">
        <v>864</v>
      </c>
      <c r="F21395" t="s">
        <v>1084</v>
      </c>
      <c r="H21395" t="s">
        <v>483</v>
      </c>
      <c r="J21395" t="s">
        <v>140</v>
      </c>
      <c r="K21395">
        <v>161080.35</v>
      </c>
      <c r="L21395">
        <v>383458.17200000002</v>
      </c>
      <c r="M21395">
        <v>1</v>
      </c>
      <c r="N21395" t="s">
        <v>1856</v>
      </c>
      <c r="O21395" t="s">
        <v>216</v>
      </c>
      <c r="P21395" t="s">
        <v>3303</v>
      </c>
      <c r="Q21395" t="s">
        <v>761</v>
      </c>
      <c r="R21395" t="s">
        <v>145</v>
      </c>
      <c r="S21395">
        <v>58</v>
      </c>
      <c r="T21395">
        <v>0</v>
      </c>
      <c r="V21395" t="s">
        <v>848</v>
      </c>
      <c r="W21395" t="s">
        <v>415</v>
      </c>
      <c r="X21395" t="s">
        <v>7</v>
      </c>
      <c r="Y21395" t="s">
        <v>3296</v>
      </c>
      <c r="Z21395" t="s">
        <v>736</v>
      </c>
      <c r="AA21395" t="s">
        <v>519</v>
      </c>
      <c r="AB21395">
        <v>0</v>
      </c>
      <c r="AC21395" t="s">
        <v>3297</v>
      </c>
      <c r="AE21395" t="s">
        <v>1496</v>
      </c>
      <c r="AF21395" t="s">
        <v>736</v>
      </c>
      <c r="AG21395" t="s">
        <v>519</v>
      </c>
      <c r="AL21395" t="s">
        <v>3320</v>
      </c>
      <c r="AM21395" t="s">
        <v>3321</v>
      </c>
      <c r="AN21395" t="s">
        <v>3322</v>
      </c>
      <c r="AO21395" t="s">
        <v>1856</v>
      </c>
      <c r="AQ21395" t="str">
        <f>IF(ISBLANK(AP21395), IFERROR(IF(VLOOKUP(AO21395, Ellens_additions!$A$2:$B$252, 2, FALSE) = "", "", VLOOKUP(AO21395, Ellens_additions!$A$2:$B$252, 2, FALSE)), 0), AP21395)</f>
        <v/>
      </c>
    </row>
    <row r="21396" spans="1:43" ht="14.4" hidden="1" x14ac:dyDescent="0.3">
      <c r="A21396" t="s">
        <v>3323</v>
      </c>
      <c r="B21396">
        <v>4892299</v>
      </c>
      <c r="C21396" t="s">
        <v>842</v>
      </c>
      <c r="D21396" t="s">
        <v>843</v>
      </c>
      <c r="E21396" t="s">
        <v>864</v>
      </c>
      <c r="F21396" t="s">
        <v>1084</v>
      </c>
      <c r="H21396" t="s">
        <v>301</v>
      </c>
      <c r="J21396" t="s">
        <v>140</v>
      </c>
      <c r="K21396">
        <v>161070.427</v>
      </c>
      <c r="L21396">
        <v>383452.09499999997</v>
      </c>
      <c r="M21396">
        <v>2</v>
      </c>
      <c r="N21396" t="s">
        <v>1856</v>
      </c>
      <c r="O21396" t="s">
        <v>216</v>
      </c>
      <c r="P21396" t="s">
        <v>3303</v>
      </c>
      <c r="Q21396" t="s">
        <v>761</v>
      </c>
      <c r="R21396" t="s">
        <v>145</v>
      </c>
      <c r="S21396">
        <v>58</v>
      </c>
      <c r="T21396">
        <v>0</v>
      </c>
      <c r="V21396" t="s">
        <v>848</v>
      </c>
      <c r="W21396" t="s">
        <v>415</v>
      </c>
      <c r="X21396" t="s">
        <v>7</v>
      </c>
      <c r="Y21396" t="s">
        <v>3296</v>
      </c>
      <c r="Z21396" t="s">
        <v>736</v>
      </c>
      <c r="AA21396" t="s">
        <v>519</v>
      </c>
      <c r="AB21396">
        <v>0</v>
      </c>
      <c r="AC21396" t="s">
        <v>3297</v>
      </c>
      <c r="AE21396" t="s">
        <v>1496</v>
      </c>
      <c r="AF21396" t="s">
        <v>736</v>
      </c>
      <c r="AG21396" t="s">
        <v>519</v>
      </c>
      <c r="AL21396" t="s">
        <v>3324</v>
      </c>
      <c r="AM21396" t="s">
        <v>3325</v>
      </c>
      <c r="AN21396" t="s">
        <v>3326</v>
      </c>
      <c r="AO21396" t="s">
        <v>1856</v>
      </c>
      <c r="AQ21396" t="str">
        <f>IF(ISBLANK(AP21396), IFERROR(IF(VLOOKUP(AO21396, Ellens_additions!$A$2:$B$252, 2, FALSE) = "", "", VLOOKUP(AO21396, Ellens_additions!$A$2:$B$252, 2, FALSE)), 0), AP21396)</f>
        <v/>
      </c>
    </row>
    <row r="21397" spans="1:43" ht="14.4" hidden="1" x14ac:dyDescent="0.3">
      <c r="A21397" t="s">
        <v>3323</v>
      </c>
      <c r="B21397">
        <v>4892300</v>
      </c>
      <c r="C21397" t="s">
        <v>842</v>
      </c>
      <c r="D21397" t="s">
        <v>843</v>
      </c>
      <c r="E21397" t="s">
        <v>864</v>
      </c>
      <c r="F21397" t="s">
        <v>1084</v>
      </c>
      <c r="H21397" t="s">
        <v>301</v>
      </c>
      <c r="J21397" t="s">
        <v>140</v>
      </c>
      <c r="K21397">
        <v>161070.427</v>
      </c>
      <c r="L21397">
        <v>383452.09499999997</v>
      </c>
      <c r="M21397">
        <v>3</v>
      </c>
      <c r="N21397" t="s">
        <v>871</v>
      </c>
      <c r="O21397" t="s">
        <v>216</v>
      </c>
      <c r="P21397" t="s">
        <v>3303</v>
      </c>
      <c r="Q21397" t="s">
        <v>761</v>
      </c>
      <c r="R21397" t="s">
        <v>145</v>
      </c>
      <c r="S21397">
        <v>36</v>
      </c>
      <c r="T21397">
        <v>3350</v>
      </c>
      <c r="V21397" t="s">
        <v>848</v>
      </c>
      <c r="W21397" t="s">
        <v>415</v>
      </c>
      <c r="X21397" t="s">
        <v>7</v>
      </c>
      <c r="Y21397" t="s">
        <v>3296</v>
      </c>
      <c r="Z21397" t="s">
        <v>736</v>
      </c>
      <c r="AA21397" t="s">
        <v>519</v>
      </c>
      <c r="AB21397">
        <v>0</v>
      </c>
      <c r="AC21397" t="s">
        <v>3297</v>
      </c>
      <c r="AE21397" t="s">
        <v>1496</v>
      </c>
      <c r="AF21397" t="s">
        <v>736</v>
      </c>
      <c r="AG21397" t="s">
        <v>519</v>
      </c>
      <c r="AL21397" t="s">
        <v>3324</v>
      </c>
      <c r="AM21397" t="s">
        <v>3325</v>
      </c>
      <c r="AN21397" t="s">
        <v>3326</v>
      </c>
      <c r="AO21397" t="s">
        <v>871</v>
      </c>
      <c r="AQ21397" t="str">
        <f>IF(ISBLANK(AP21397), IFERROR(IF(VLOOKUP(AO21397, Ellens_additions!$A$2:$B$252, 2, FALSE) = "", "", VLOOKUP(AO21397, Ellens_additions!$A$2:$B$252, 2, FALSE)), 0), AP21397)</f>
        <v/>
      </c>
    </row>
    <row r="21398" spans="1:43" ht="14.4" x14ac:dyDescent="0.3"/>
    <row r="21399" spans="1:43" ht="14.4" x14ac:dyDescent="0.3"/>
    <row r="21400" spans="1:43" ht="14.4" x14ac:dyDescent="0.3"/>
    <row r="21401" spans="1:43" ht="14.4" x14ac:dyDescent="0.3"/>
    <row r="21402" spans="1:43" ht="14.4" x14ac:dyDescent="0.3"/>
    <row r="21403" spans="1:43" ht="14.4" x14ac:dyDescent="0.3"/>
    <row r="21404" spans="1:43" ht="14.4" x14ac:dyDescent="0.3"/>
    <row r="21405" spans="1:43" ht="14.4" x14ac:dyDescent="0.3"/>
    <row r="21406" spans="1:43" ht="14.4" x14ac:dyDescent="0.3"/>
    <row r="21407" spans="1:43" ht="14.4" x14ac:dyDescent="0.3"/>
    <row r="21408" spans="1:43" ht="14.4" x14ac:dyDescent="0.3"/>
    <row r="21409" spans="1:43" ht="14.4" x14ac:dyDescent="0.3"/>
    <row r="21410" spans="1:43" ht="14.4" x14ac:dyDescent="0.3"/>
    <row r="21411" spans="1:43" ht="14.4" x14ac:dyDescent="0.3"/>
    <row r="21412" spans="1:43" ht="14.4" x14ac:dyDescent="0.3"/>
    <row r="21413" spans="1:43" ht="14.4" x14ac:dyDescent="0.3"/>
    <row r="21414" spans="1:43" ht="14.4" x14ac:dyDescent="0.3"/>
    <row r="21415" spans="1:43" ht="14.4" x14ac:dyDescent="0.3"/>
    <row r="21416" spans="1:43" ht="14.4" x14ac:dyDescent="0.3"/>
    <row r="21417" spans="1:43" ht="14.4" x14ac:dyDescent="0.3"/>
    <row r="21418" spans="1:43" ht="14.4" x14ac:dyDescent="0.3"/>
    <row r="21419" spans="1:43" ht="14.4" x14ac:dyDescent="0.3"/>
    <row r="21420" spans="1:43" ht="14.4" x14ac:dyDescent="0.3"/>
    <row r="21421" spans="1:43" ht="14.4" x14ac:dyDescent="0.3"/>
    <row r="21422" spans="1:43" ht="14.4" x14ac:dyDescent="0.3"/>
    <row r="21423" spans="1:43" ht="14.4" hidden="1" x14ac:dyDescent="0.3">
      <c r="A21423" t="s">
        <v>3327</v>
      </c>
      <c r="B21423">
        <v>4892359</v>
      </c>
      <c r="C21423" t="s">
        <v>842</v>
      </c>
      <c r="D21423" t="s">
        <v>843</v>
      </c>
      <c r="E21423" t="s">
        <v>844</v>
      </c>
      <c r="F21423" t="s">
        <v>1962</v>
      </c>
      <c r="H21423" t="s">
        <v>272</v>
      </c>
      <c r="J21423" t="s">
        <v>140</v>
      </c>
      <c r="K21423">
        <v>161517.39499999999</v>
      </c>
      <c r="L21423">
        <v>382933.86300000001</v>
      </c>
      <c r="M21423">
        <v>1</v>
      </c>
      <c r="N21423" t="s">
        <v>871</v>
      </c>
      <c r="O21423" t="s">
        <v>1074</v>
      </c>
      <c r="P21423" t="s">
        <v>180</v>
      </c>
      <c r="Q21423" t="s">
        <v>761</v>
      </c>
      <c r="R21423" t="s">
        <v>145</v>
      </c>
      <c r="S21423">
        <v>36</v>
      </c>
      <c r="T21423">
        <v>3350</v>
      </c>
      <c r="V21423" t="s">
        <v>848</v>
      </c>
      <c r="W21423" t="s">
        <v>415</v>
      </c>
      <c r="X21423" t="s">
        <v>7</v>
      </c>
      <c r="Y21423" t="s">
        <v>1376</v>
      </c>
      <c r="Z21423" t="s">
        <v>3267</v>
      </c>
      <c r="AA21423" t="s">
        <v>1535</v>
      </c>
      <c r="AB21423">
        <v>80</v>
      </c>
      <c r="AC21423" t="s">
        <v>150</v>
      </c>
      <c r="AE21423" t="s">
        <v>550</v>
      </c>
      <c r="AF21423" t="s">
        <v>3267</v>
      </c>
      <c r="AG21423" t="s">
        <v>488</v>
      </c>
      <c r="AL21423" t="s">
        <v>3328</v>
      </c>
      <c r="AM21423" t="s">
        <v>3329</v>
      </c>
      <c r="AN21423" t="s">
        <v>3330</v>
      </c>
      <c r="AO21423" t="s">
        <v>871</v>
      </c>
      <c r="AQ21423" t="str">
        <f>IF(ISBLANK(AP21423), IFERROR(IF(VLOOKUP(AO21423, Ellens_additions!$A$2:$B$252, 2, FALSE) = "", "", VLOOKUP(AO21423, Ellens_additions!$A$2:$B$252, 2, FALSE)), 0), AP21423)</f>
        <v/>
      </c>
    </row>
    <row r="21424" spans="1:43" ht="14.4" hidden="1" x14ac:dyDescent="0.3">
      <c r="A21424" t="s">
        <v>3331</v>
      </c>
      <c r="B21424">
        <v>4892361</v>
      </c>
      <c r="C21424" t="s">
        <v>842</v>
      </c>
      <c r="D21424" t="s">
        <v>843</v>
      </c>
      <c r="E21424" t="s">
        <v>844</v>
      </c>
      <c r="F21424" t="s">
        <v>1962</v>
      </c>
      <c r="H21424" t="s">
        <v>349</v>
      </c>
      <c r="J21424" t="s">
        <v>140</v>
      </c>
      <c r="K21424">
        <v>161519.59400000001</v>
      </c>
      <c r="L21424">
        <v>382931.24300000002</v>
      </c>
      <c r="M21424">
        <v>1</v>
      </c>
      <c r="N21424" t="s">
        <v>871</v>
      </c>
      <c r="O21424" t="s">
        <v>1074</v>
      </c>
      <c r="P21424" t="s">
        <v>180</v>
      </c>
      <c r="Q21424" t="s">
        <v>761</v>
      </c>
      <c r="R21424" t="s">
        <v>145</v>
      </c>
      <c r="S21424">
        <v>36</v>
      </c>
      <c r="T21424">
        <v>3350</v>
      </c>
      <c r="V21424" t="s">
        <v>848</v>
      </c>
      <c r="W21424" t="s">
        <v>415</v>
      </c>
      <c r="X21424" t="s">
        <v>7</v>
      </c>
      <c r="Y21424" t="s">
        <v>1376</v>
      </c>
      <c r="Z21424" t="s">
        <v>3267</v>
      </c>
      <c r="AA21424" t="s">
        <v>1535</v>
      </c>
      <c r="AB21424">
        <v>80</v>
      </c>
      <c r="AC21424" t="s">
        <v>150</v>
      </c>
      <c r="AE21424" t="s">
        <v>550</v>
      </c>
      <c r="AF21424" t="s">
        <v>3267</v>
      </c>
      <c r="AG21424" t="s">
        <v>488</v>
      </c>
      <c r="AL21424" t="s">
        <v>3332</v>
      </c>
      <c r="AM21424" t="s">
        <v>3333</v>
      </c>
      <c r="AN21424" t="s">
        <v>3334</v>
      </c>
      <c r="AO21424" t="s">
        <v>871</v>
      </c>
      <c r="AQ21424" t="str">
        <f>IF(ISBLANK(AP21424), IFERROR(IF(VLOOKUP(AO21424, Ellens_additions!$A$2:$B$252, 2, FALSE) = "", "", VLOOKUP(AO21424, Ellens_additions!$A$2:$B$252, 2, FALSE)), 0), AP21424)</f>
        <v/>
      </c>
    </row>
    <row r="21425" ht="14.4" x14ac:dyDescent="0.3"/>
    <row r="21426" ht="14.4" x14ac:dyDescent="0.3"/>
    <row r="21427" ht="14.4" x14ac:dyDescent="0.3"/>
    <row r="21428" ht="14.4" x14ac:dyDescent="0.3"/>
    <row r="21429" ht="14.4" x14ac:dyDescent="0.3"/>
    <row r="21430" ht="14.4" x14ac:dyDescent="0.3"/>
    <row r="21431" ht="14.4" x14ac:dyDescent="0.3"/>
    <row r="21432" ht="14.4" x14ac:dyDescent="0.3"/>
    <row r="21433" ht="14.4" x14ac:dyDescent="0.3"/>
    <row r="21434" ht="14.4" x14ac:dyDescent="0.3"/>
    <row r="21435" ht="14.4" x14ac:dyDescent="0.3"/>
    <row r="21436" ht="14.4" x14ac:dyDescent="0.3"/>
    <row r="21437" ht="14.4" x14ac:dyDescent="0.3"/>
    <row r="21438" ht="14.4" x14ac:dyDescent="0.3"/>
    <row r="21439" ht="14.4" x14ac:dyDescent="0.3"/>
    <row r="21440" ht="14.4" x14ac:dyDescent="0.3"/>
    <row r="21441" ht="14.4" x14ac:dyDescent="0.3"/>
    <row r="21442" ht="14.4" x14ac:dyDescent="0.3"/>
    <row r="21443" ht="14.4" x14ac:dyDescent="0.3"/>
    <row r="21444" ht="14.4" x14ac:dyDescent="0.3"/>
    <row r="21445" ht="14.4" x14ac:dyDescent="0.3"/>
    <row r="21446" ht="14.4" x14ac:dyDescent="0.3"/>
    <row r="21447" ht="14.4" x14ac:dyDescent="0.3"/>
    <row r="21448" ht="14.4" x14ac:dyDescent="0.3"/>
    <row r="21449" ht="14.4" x14ac:dyDescent="0.3"/>
    <row r="21450" ht="14.4" x14ac:dyDescent="0.3"/>
    <row r="21451" ht="14.4" x14ac:dyDescent="0.3"/>
    <row r="21452" ht="14.4" x14ac:dyDescent="0.3"/>
    <row r="21453" ht="14.4" x14ac:dyDescent="0.3"/>
    <row r="21454" ht="14.4" x14ac:dyDescent="0.3"/>
    <row r="21455" ht="14.4" x14ac:dyDescent="0.3"/>
    <row r="21456" ht="14.4" x14ac:dyDescent="0.3"/>
    <row r="21457" ht="14.4" x14ac:dyDescent="0.3"/>
    <row r="21458" ht="14.4" x14ac:dyDescent="0.3"/>
    <row r="21459" ht="14.4" x14ac:dyDescent="0.3"/>
    <row r="21460" ht="14.4" x14ac:dyDescent="0.3"/>
    <row r="21461" ht="14.4" x14ac:dyDescent="0.3"/>
    <row r="21462" ht="14.4" x14ac:dyDescent="0.3"/>
    <row r="21463" ht="14.4" x14ac:dyDescent="0.3"/>
    <row r="21464" ht="14.4" x14ac:dyDescent="0.3"/>
    <row r="21465" ht="14.4" x14ac:dyDescent="0.3"/>
    <row r="21466" ht="14.4" x14ac:dyDescent="0.3"/>
    <row r="21467" ht="14.4" x14ac:dyDescent="0.3"/>
    <row r="21468" ht="14.4" x14ac:dyDescent="0.3"/>
    <row r="21469" ht="14.4" x14ac:dyDescent="0.3"/>
    <row r="21470" ht="14.4" x14ac:dyDescent="0.3"/>
    <row r="21471" ht="14.4" x14ac:dyDescent="0.3"/>
    <row r="21472" ht="14.4" x14ac:dyDescent="0.3"/>
    <row r="21473" ht="14.4" x14ac:dyDescent="0.3"/>
    <row r="21474" ht="14.4" x14ac:dyDescent="0.3"/>
    <row r="21475" ht="14.4" x14ac:dyDescent="0.3"/>
    <row r="21476" ht="14.4" x14ac:dyDescent="0.3"/>
    <row r="21477" ht="14.4" x14ac:dyDescent="0.3"/>
    <row r="21478" ht="14.4" x14ac:dyDescent="0.3"/>
    <row r="21479" ht="14.4" x14ac:dyDescent="0.3"/>
    <row r="21480" ht="14.4" x14ac:dyDescent="0.3"/>
    <row r="21481" ht="14.4" x14ac:dyDescent="0.3"/>
    <row r="21482" ht="14.4" x14ac:dyDescent="0.3"/>
    <row r="21483" ht="14.4" x14ac:dyDescent="0.3"/>
    <row r="21484" ht="14.4" x14ac:dyDescent="0.3"/>
    <row r="21485" ht="14.4" x14ac:dyDescent="0.3"/>
    <row r="21486" ht="14.4" x14ac:dyDescent="0.3"/>
    <row r="21487" ht="14.4" x14ac:dyDescent="0.3"/>
    <row r="21488" ht="14.4" x14ac:dyDescent="0.3"/>
    <row r="21489" ht="14.4" x14ac:dyDescent="0.3"/>
    <row r="21490" ht="14.4" x14ac:dyDescent="0.3"/>
    <row r="21491" ht="14.4" x14ac:dyDescent="0.3"/>
    <row r="21492" ht="14.4" x14ac:dyDescent="0.3"/>
    <row r="21493" ht="14.4" x14ac:dyDescent="0.3"/>
    <row r="21494" ht="14.4" x14ac:dyDescent="0.3"/>
    <row r="21495" ht="14.4" x14ac:dyDescent="0.3"/>
    <row r="21496" ht="14.4" x14ac:dyDescent="0.3"/>
    <row r="21497" ht="14.4" x14ac:dyDescent="0.3"/>
    <row r="21498" ht="14.4" x14ac:dyDescent="0.3"/>
    <row r="21499" ht="14.4" x14ac:dyDescent="0.3"/>
    <row r="21500" ht="14.4" x14ac:dyDescent="0.3"/>
    <row r="21501" ht="14.4" x14ac:dyDescent="0.3"/>
    <row r="21502" ht="14.4" x14ac:dyDescent="0.3"/>
    <row r="21503" ht="14.4" x14ac:dyDescent="0.3"/>
    <row r="21504" ht="14.4" x14ac:dyDescent="0.3"/>
    <row r="21505" ht="14.4" x14ac:dyDescent="0.3"/>
    <row r="21506" ht="14.4" x14ac:dyDescent="0.3"/>
    <row r="21507" ht="14.4" x14ac:dyDescent="0.3"/>
    <row r="21508" ht="14.4" x14ac:dyDescent="0.3"/>
    <row r="21509" ht="14.4" x14ac:dyDescent="0.3"/>
    <row r="21510" ht="14.4" x14ac:dyDescent="0.3"/>
    <row r="21511" ht="14.4" x14ac:dyDescent="0.3"/>
    <row r="21512" ht="14.4" x14ac:dyDescent="0.3"/>
    <row r="21513" ht="14.4" x14ac:dyDescent="0.3"/>
    <row r="21514" ht="14.4" x14ac:dyDescent="0.3"/>
    <row r="21515" ht="14.4" x14ac:dyDescent="0.3"/>
    <row r="21516" ht="14.4" x14ac:dyDescent="0.3"/>
    <row r="21517" ht="14.4" x14ac:dyDescent="0.3"/>
    <row r="21518" ht="14.4" x14ac:dyDescent="0.3"/>
    <row r="21519" ht="14.4" x14ac:dyDescent="0.3"/>
    <row r="21520" ht="14.4" x14ac:dyDescent="0.3"/>
    <row r="21521" ht="14.4" x14ac:dyDescent="0.3"/>
    <row r="21522" ht="14.4" x14ac:dyDescent="0.3"/>
    <row r="21523" ht="14.4" x14ac:dyDescent="0.3"/>
    <row r="21524" ht="14.4" x14ac:dyDescent="0.3"/>
    <row r="21525" ht="14.4" x14ac:dyDescent="0.3"/>
    <row r="21526" ht="14.4" x14ac:dyDescent="0.3"/>
    <row r="21527" ht="14.4" x14ac:dyDescent="0.3"/>
    <row r="21528" ht="14.4" x14ac:dyDescent="0.3"/>
    <row r="21529" ht="14.4" x14ac:dyDescent="0.3"/>
    <row r="21530" ht="14.4" x14ac:dyDescent="0.3"/>
    <row r="21531" ht="14.4" x14ac:dyDescent="0.3"/>
    <row r="21532" ht="14.4" x14ac:dyDescent="0.3"/>
    <row r="21533" ht="14.4" x14ac:dyDescent="0.3"/>
    <row r="21534" ht="14.4" x14ac:dyDescent="0.3"/>
    <row r="21535" ht="14.4" x14ac:dyDescent="0.3"/>
    <row r="21536" ht="14.4" x14ac:dyDescent="0.3"/>
    <row r="21537" ht="14.4" x14ac:dyDescent="0.3"/>
    <row r="21538" ht="14.4" x14ac:dyDescent="0.3"/>
    <row r="21539" ht="14.4" x14ac:dyDescent="0.3"/>
    <row r="21540" ht="14.4" x14ac:dyDescent="0.3"/>
    <row r="21541" ht="14.4" x14ac:dyDescent="0.3"/>
    <row r="21542" ht="14.4" x14ac:dyDescent="0.3"/>
    <row r="21543" ht="14.4" x14ac:dyDescent="0.3"/>
    <row r="21544" ht="14.4" x14ac:dyDescent="0.3"/>
    <row r="21545" ht="14.4" x14ac:dyDescent="0.3"/>
    <row r="21546" ht="14.4" x14ac:dyDescent="0.3"/>
    <row r="21547" ht="14.4" x14ac:dyDescent="0.3"/>
    <row r="21548" ht="14.4" x14ac:dyDescent="0.3"/>
    <row r="21549" ht="14.4" x14ac:dyDescent="0.3"/>
    <row r="21550" ht="14.4" x14ac:dyDescent="0.3"/>
    <row r="21551" ht="14.4" x14ac:dyDescent="0.3"/>
    <row r="21552" ht="14.4" x14ac:dyDescent="0.3"/>
    <row r="21553" ht="14.4" x14ac:dyDescent="0.3"/>
    <row r="21554" ht="14.4" x14ac:dyDescent="0.3"/>
    <row r="21555" ht="14.4" x14ac:dyDescent="0.3"/>
    <row r="21556" ht="14.4" x14ac:dyDescent="0.3"/>
    <row r="21557" ht="14.4" x14ac:dyDescent="0.3"/>
    <row r="21558" ht="14.4" x14ac:dyDescent="0.3"/>
    <row r="21559" ht="14.4" x14ac:dyDescent="0.3"/>
    <row r="21560" ht="14.4" x14ac:dyDescent="0.3"/>
    <row r="21561" ht="14.4" x14ac:dyDescent="0.3"/>
    <row r="21562" ht="14.4" x14ac:dyDescent="0.3"/>
    <row r="21563" ht="14.4" x14ac:dyDescent="0.3"/>
    <row r="21564" ht="14.4" x14ac:dyDescent="0.3"/>
    <row r="21565" ht="14.4" x14ac:dyDescent="0.3"/>
    <row r="21566" ht="14.4" x14ac:dyDescent="0.3"/>
    <row r="21567" ht="14.4" x14ac:dyDescent="0.3"/>
    <row r="21568" ht="14.4" x14ac:dyDescent="0.3"/>
    <row r="21569" ht="14.4" x14ac:dyDescent="0.3"/>
    <row r="21570" ht="14.4" x14ac:dyDescent="0.3"/>
    <row r="21571" ht="14.4" x14ac:dyDescent="0.3"/>
    <row r="21572" ht="14.4" x14ac:dyDescent="0.3"/>
    <row r="21573" ht="14.4" x14ac:dyDescent="0.3"/>
    <row r="21574" ht="14.4" x14ac:dyDescent="0.3"/>
    <row r="21575" ht="14.4" x14ac:dyDescent="0.3"/>
    <row r="21576" ht="14.4" x14ac:dyDescent="0.3"/>
    <row r="21577" ht="14.4" x14ac:dyDescent="0.3"/>
    <row r="21578" ht="14.4" x14ac:dyDescent="0.3"/>
    <row r="21579" ht="14.4" x14ac:dyDescent="0.3"/>
    <row r="21580" ht="14.4" x14ac:dyDescent="0.3"/>
    <row r="21581" ht="14.4" x14ac:dyDescent="0.3"/>
    <row r="21582" ht="14.4" x14ac:dyDescent="0.3"/>
    <row r="21583" ht="14.4" x14ac:dyDescent="0.3"/>
    <row r="21584" ht="14.4" x14ac:dyDescent="0.3"/>
    <row r="21585" ht="14.4" x14ac:dyDescent="0.3"/>
    <row r="21586" ht="14.4" x14ac:dyDescent="0.3"/>
    <row r="21587" ht="14.4" x14ac:dyDescent="0.3"/>
    <row r="21588" ht="14.4" x14ac:dyDescent="0.3"/>
    <row r="21589" ht="14.4" x14ac:dyDescent="0.3"/>
    <row r="21590" ht="14.4" x14ac:dyDescent="0.3"/>
    <row r="21591" ht="14.4" x14ac:dyDescent="0.3"/>
    <row r="21592" ht="14.4" x14ac:dyDescent="0.3"/>
    <row r="21593" ht="14.4" x14ac:dyDescent="0.3"/>
    <row r="21594" ht="14.4" x14ac:dyDescent="0.3"/>
    <row r="21595" ht="14.4" x14ac:dyDescent="0.3"/>
    <row r="21596" ht="14.4" x14ac:dyDescent="0.3"/>
    <row r="21597" ht="14.4" x14ac:dyDescent="0.3"/>
    <row r="21598" ht="14.4" x14ac:dyDescent="0.3"/>
    <row r="21599" ht="14.4" x14ac:dyDescent="0.3"/>
    <row r="21600" ht="14.4" x14ac:dyDescent="0.3"/>
    <row r="21601" ht="14.4" x14ac:dyDescent="0.3"/>
    <row r="21602" ht="14.4" x14ac:dyDescent="0.3"/>
    <row r="21603" ht="14.4" x14ac:dyDescent="0.3"/>
    <row r="21604" ht="14.4" x14ac:dyDescent="0.3"/>
    <row r="21605" ht="14.4" x14ac:dyDescent="0.3"/>
    <row r="21606" ht="14.4" x14ac:dyDescent="0.3"/>
    <row r="21607" ht="14.4" x14ac:dyDescent="0.3"/>
    <row r="21608" ht="14.4" x14ac:dyDescent="0.3"/>
    <row r="21609" ht="14.4" x14ac:dyDescent="0.3"/>
    <row r="21610" ht="14.4" x14ac:dyDescent="0.3"/>
    <row r="21611" ht="14.4" x14ac:dyDescent="0.3"/>
    <row r="21612" ht="14.4" x14ac:dyDescent="0.3"/>
    <row r="21613" ht="14.4" x14ac:dyDescent="0.3"/>
    <row r="21614" ht="14.4" x14ac:dyDescent="0.3"/>
    <row r="21615" ht="14.4" x14ac:dyDescent="0.3"/>
    <row r="21616" ht="14.4" x14ac:dyDescent="0.3"/>
    <row r="21617" ht="14.4" x14ac:dyDescent="0.3"/>
    <row r="21618" ht="14.4" x14ac:dyDescent="0.3"/>
    <row r="21619" ht="14.4" x14ac:dyDescent="0.3"/>
    <row r="21620" ht="14.4" x14ac:dyDescent="0.3"/>
    <row r="21621" ht="14.4" x14ac:dyDescent="0.3"/>
    <row r="21622" ht="14.4" x14ac:dyDescent="0.3"/>
    <row r="21623" ht="14.4" x14ac:dyDescent="0.3"/>
    <row r="21624" ht="14.4" x14ac:dyDescent="0.3"/>
    <row r="21625" ht="14.4" x14ac:dyDescent="0.3"/>
    <row r="21626" ht="14.4" x14ac:dyDescent="0.3"/>
    <row r="21627" ht="14.4" x14ac:dyDescent="0.3"/>
    <row r="21628" ht="14.4" x14ac:dyDescent="0.3"/>
    <row r="21629" ht="14.4" x14ac:dyDescent="0.3"/>
    <row r="21630" ht="14.4" x14ac:dyDescent="0.3"/>
    <row r="21631" ht="14.4" x14ac:dyDescent="0.3"/>
    <row r="21632" ht="14.4" x14ac:dyDescent="0.3"/>
    <row r="21633" ht="14.4" x14ac:dyDescent="0.3"/>
    <row r="21634" ht="14.4" x14ac:dyDescent="0.3"/>
    <row r="21635" ht="14.4" x14ac:dyDescent="0.3"/>
    <row r="21636" ht="14.4" x14ac:dyDescent="0.3"/>
    <row r="21637" ht="14.4" x14ac:dyDescent="0.3"/>
    <row r="21638" ht="14.4" x14ac:dyDescent="0.3"/>
    <row r="21639" ht="14.4" x14ac:dyDescent="0.3"/>
    <row r="21640" ht="14.4" x14ac:dyDescent="0.3"/>
    <row r="21641" ht="14.4" x14ac:dyDescent="0.3"/>
    <row r="21642" ht="14.4" x14ac:dyDescent="0.3"/>
    <row r="21643" ht="14.4" x14ac:dyDescent="0.3"/>
    <row r="21644" ht="14.4" x14ac:dyDescent="0.3"/>
    <row r="21645" ht="14.4" x14ac:dyDescent="0.3"/>
    <row r="21646" ht="14.4" x14ac:dyDescent="0.3"/>
    <row r="21647" ht="14.4" x14ac:dyDescent="0.3"/>
    <row r="21648" ht="14.4" x14ac:dyDescent="0.3"/>
    <row r="21649" ht="14.4" x14ac:dyDescent="0.3"/>
    <row r="21650" ht="14.4" x14ac:dyDescent="0.3"/>
    <row r="21651" ht="14.4" x14ac:dyDescent="0.3"/>
    <row r="21652" ht="14.4" x14ac:dyDescent="0.3"/>
    <row r="21653" ht="14.4" x14ac:dyDescent="0.3"/>
    <row r="21654" ht="14.4" x14ac:dyDescent="0.3"/>
    <row r="21655" ht="14.4" x14ac:dyDescent="0.3"/>
    <row r="21656" ht="14.4" x14ac:dyDescent="0.3"/>
    <row r="21657" ht="14.4" x14ac:dyDescent="0.3"/>
    <row r="21658" ht="14.4" x14ac:dyDescent="0.3"/>
    <row r="21659" ht="14.4" x14ac:dyDescent="0.3"/>
    <row r="21660" ht="14.4" x14ac:dyDescent="0.3"/>
    <row r="21661" ht="14.4" x14ac:dyDescent="0.3"/>
    <row r="21662" ht="14.4" x14ac:dyDescent="0.3"/>
    <row r="21663" ht="14.4" x14ac:dyDescent="0.3"/>
    <row r="21664" ht="14.4" x14ac:dyDescent="0.3"/>
    <row r="21665" ht="14.4" x14ac:dyDescent="0.3"/>
    <row r="21666" ht="14.4" x14ac:dyDescent="0.3"/>
    <row r="21667" ht="14.4" x14ac:dyDescent="0.3"/>
    <row r="21668" ht="14.4" x14ac:dyDescent="0.3"/>
    <row r="21669" ht="14.4" x14ac:dyDescent="0.3"/>
    <row r="21670" ht="14.4" x14ac:dyDescent="0.3"/>
    <row r="21671" ht="14.4" x14ac:dyDescent="0.3"/>
    <row r="21672" ht="14.4" x14ac:dyDescent="0.3"/>
    <row r="21673" ht="14.4" x14ac:dyDescent="0.3"/>
    <row r="21674" ht="14.4" x14ac:dyDescent="0.3"/>
    <row r="21675" ht="14.4" x14ac:dyDescent="0.3"/>
    <row r="21676" ht="14.4" x14ac:dyDescent="0.3"/>
    <row r="21677" ht="14.4" x14ac:dyDescent="0.3"/>
    <row r="21678" ht="14.4" x14ac:dyDescent="0.3"/>
    <row r="21679" ht="14.4" x14ac:dyDescent="0.3"/>
    <row r="21680" ht="14.4" x14ac:dyDescent="0.3"/>
    <row r="21681" ht="14.4" x14ac:dyDescent="0.3"/>
    <row r="21682" ht="14.4" x14ac:dyDescent="0.3"/>
    <row r="21683" ht="14.4" x14ac:dyDescent="0.3"/>
    <row r="21684" ht="14.4" x14ac:dyDescent="0.3"/>
    <row r="21685" ht="14.4" x14ac:dyDescent="0.3"/>
    <row r="21686" ht="14.4" x14ac:dyDescent="0.3"/>
    <row r="21687" ht="14.4" x14ac:dyDescent="0.3"/>
    <row r="21688" ht="14.4" x14ac:dyDescent="0.3"/>
    <row r="21689" ht="14.4" x14ac:dyDescent="0.3"/>
    <row r="21690" ht="14.4" x14ac:dyDescent="0.3"/>
    <row r="21691" ht="14.4" x14ac:dyDescent="0.3"/>
    <row r="21692" ht="14.4" x14ac:dyDescent="0.3"/>
    <row r="21693" ht="14.4" x14ac:dyDescent="0.3"/>
    <row r="21694" ht="14.4" x14ac:dyDescent="0.3"/>
    <row r="21695" ht="14.4" x14ac:dyDescent="0.3"/>
    <row r="21696" ht="14.4" x14ac:dyDescent="0.3"/>
    <row r="21697" spans="1:43" ht="14.4" x14ac:dyDescent="0.3"/>
    <row r="21698" spans="1:43" ht="14.4" x14ac:dyDescent="0.3"/>
    <row r="21699" spans="1:43" ht="14.4" x14ac:dyDescent="0.3"/>
    <row r="21700" spans="1:43" ht="14.4" x14ac:dyDescent="0.3"/>
    <row r="21701" spans="1:43" ht="14.4" x14ac:dyDescent="0.3"/>
    <row r="21702" spans="1:43" ht="14.4" x14ac:dyDescent="0.3"/>
    <row r="21703" spans="1:43" ht="14.4" x14ac:dyDescent="0.3"/>
    <row r="21704" spans="1:43" ht="14.4" hidden="1" x14ac:dyDescent="0.3">
      <c r="A21704" t="s">
        <v>3335</v>
      </c>
      <c r="B21704">
        <v>4907658</v>
      </c>
      <c r="C21704" t="s">
        <v>135</v>
      </c>
      <c r="D21704" t="s">
        <v>136</v>
      </c>
      <c r="E21704" t="s">
        <v>369</v>
      </c>
      <c r="F21704" t="s">
        <v>3336</v>
      </c>
      <c r="H21704" t="s">
        <v>482</v>
      </c>
      <c r="J21704" t="s">
        <v>140</v>
      </c>
      <c r="K21704">
        <v>157272.68</v>
      </c>
      <c r="L21704">
        <v>382697.15</v>
      </c>
      <c r="M21704">
        <v>1</v>
      </c>
      <c r="N21704" t="s">
        <v>3337</v>
      </c>
      <c r="O21704" t="s">
        <v>1244</v>
      </c>
      <c r="P21704" t="s">
        <v>1555</v>
      </c>
      <c r="Q21704" t="s">
        <v>144</v>
      </c>
      <c r="R21704" t="s">
        <v>145</v>
      </c>
      <c r="S21704">
        <v>291</v>
      </c>
      <c r="T21704">
        <v>8488</v>
      </c>
      <c r="V21704" t="s">
        <v>146</v>
      </c>
      <c r="W21704" t="s">
        <v>184</v>
      </c>
      <c r="X21704" t="s">
        <v>7</v>
      </c>
      <c r="Y21704" t="s">
        <v>3338</v>
      </c>
      <c r="Z21704" t="s">
        <v>1244</v>
      </c>
      <c r="AA21704" t="s">
        <v>3339</v>
      </c>
      <c r="AB21704">
        <v>60</v>
      </c>
      <c r="AE21704" t="s">
        <v>1960</v>
      </c>
      <c r="AF21704" t="s">
        <v>1244</v>
      </c>
      <c r="AG21704" t="s">
        <v>3340</v>
      </c>
      <c r="AL21704" t="s">
        <v>3341</v>
      </c>
      <c r="AM21704" t="s">
        <v>3342</v>
      </c>
      <c r="AN21704" t="s">
        <v>3343</v>
      </c>
      <c r="AO21704" t="s">
        <v>3337</v>
      </c>
      <c r="AQ21704" t="str">
        <f>IF(ISBLANK(AP21704), IFERROR(IF(VLOOKUP(AO21704, Ellens_additions!$A$2:$B$252, 2, FALSE) = "", "", VLOOKUP(AO21704, Ellens_additions!$A$2:$B$252, 2, FALSE)), 0), AP21704)</f>
        <v/>
      </c>
    </row>
    <row r="21705" spans="1:43" ht="14.4" x14ac:dyDescent="0.3"/>
    <row r="21706" spans="1:43" ht="14.4" x14ac:dyDescent="0.3"/>
    <row r="21707" spans="1:43" ht="14.4" x14ac:dyDescent="0.3"/>
    <row r="21708" spans="1:43" ht="14.4" x14ac:dyDescent="0.3"/>
    <row r="21709" spans="1:43" ht="14.4" x14ac:dyDescent="0.3"/>
    <row r="21710" spans="1:43" ht="14.4" x14ac:dyDescent="0.3"/>
    <row r="21711" spans="1:43" ht="14.4" x14ac:dyDescent="0.3"/>
    <row r="21712" spans="1:43" ht="14.4" x14ac:dyDescent="0.3"/>
    <row r="21713" ht="14.4" x14ac:dyDescent="0.3"/>
    <row r="21714" ht="14.4" x14ac:dyDescent="0.3"/>
    <row r="21715" ht="14.4" x14ac:dyDescent="0.3"/>
    <row r="21716" ht="14.4" x14ac:dyDescent="0.3"/>
    <row r="21717" ht="14.4" x14ac:dyDescent="0.3"/>
    <row r="21718" ht="14.4" x14ac:dyDescent="0.3"/>
    <row r="21719" ht="14.4" x14ac:dyDescent="0.3"/>
    <row r="21720" ht="14.4" x14ac:dyDescent="0.3"/>
    <row r="21721" ht="14.4" x14ac:dyDescent="0.3"/>
    <row r="21722" ht="14.4" x14ac:dyDescent="0.3"/>
    <row r="21723" ht="14.4" x14ac:dyDescent="0.3"/>
    <row r="21724" ht="14.4" x14ac:dyDescent="0.3"/>
    <row r="21725" ht="14.4" x14ac:dyDescent="0.3"/>
    <row r="21726" ht="14.4" x14ac:dyDescent="0.3"/>
    <row r="21727" ht="14.4" x14ac:dyDescent="0.3"/>
    <row r="21728" ht="14.4" x14ac:dyDescent="0.3"/>
    <row r="21729" ht="14.4" x14ac:dyDescent="0.3"/>
    <row r="21730" ht="14.4" x14ac:dyDescent="0.3"/>
    <row r="21731" ht="14.4" x14ac:dyDescent="0.3"/>
    <row r="21732" ht="14.4" x14ac:dyDescent="0.3"/>
    <row r="21733" ht="14.4" x14ac:dyDescent="0.3"/>
    <row r="21734" ht="14.4" x14ac:dyDescent="0.3"/>
    <row r="21735" ht="14.4" x14ac:dyDescent="0.3"/>
    <row r="21736" ht="14.4" x14ac:dyDescent="0.3"/>
    <row r="21737" ht="14.4" x14ac:dyDescent="0.3"/>
    <row r="21738" ht="14.4" x14ac:dyDescent="0.3"/>
    <row r="21739" ht="14.4" x14ac:dyDescent="0.3"/>
    <row r="21740" ht="14.4" x14ac:dyDescent="0.3"/>
    <row r="21741" ht="14.4" x14ac:dyDescent="0.3"/>
    <row r="21742" ht="14.4" x14ac:dyDescent="0.3"/>
    <row r="21743" ht="14.4" x14ac:dyDescent="0.3"/>
    <row r="21744" ht="14.4" x14ac:dyDescent="0.3"/>
    <row r="21745" ht="14.4" x14ac:dyDescent="0.3"/>
    <row r="21746" ht="14.4" x14ac:dyDescent="0.3"/>
    <row r="21747" ht="14.4" x14ac:dyDescent="0.3"/>
    <row r="21748" ht="14.4" x14ac:dyDescent="0.3"/>
    <row r="21749" ht="14.4" x14ac:dyDescent="0.3"/>
    <row r="21750" ht="14.4" x14ac:dyDescent="0.3"/>
    <row r="21751" ht="14.4" x14ac:dyDescent="0.3"/>
    <row r="21752" ht="14.4" x14ac:dyDescent="0.3"/>
    <row r="21753" ht="14.4" x14ac:dyDescent="0.3"/>
    <row r="21754" ht="14.4" x14ac:dyDescent="0.3"/>
    <row r="21755" ht="14.4" x14ac:dyDescent="0.3"/>
    <row r="21756" ht="14.4" x14ac:dyDescent="0.3"/>
    <row r="21757" ht="14.4" x14ac:dyDescent="0.3"/>
    <row r="21758" ht="14.4" x14ac:dyDescent="0.3"/>
    <row r="21759" ht="14.4" x14ac:dyDescent="0.3"/>
    <row r="21760" ht="14.4" x14ac:dyDescent="0.3"/>
    <row r="21761" ht="14.4" x14ac:dyDescent="0.3"/>
    <row r="21762" ht="14.4" x14ac:dyDescent="0.3"/>
    <row r="21763" ht="14.4" x14ac:dyDescent="0.3"/>
    <row r="21764" ht="14.4" x14ac:dyDescent="0.3"/>
    <row r="21765" ht="14.4" x14ac:dyDescent="0.3"/>
    <row r="21766" ht="14.4" x14ac:dyDescent="0.3"/>
    <row r="21767" ht="14.4" x14ac:dyDescent="0.3"/>
    <row r="21768" ht="14.4" x14ac:dyDescent="0.3"/>
    <row r="21769" ht="14.4" x14ac:dyDescent="0.3"/>
    <row r="21770" ht="14.4" x14ac:dyDescent="0.3"/>
    <row r="21771" ht="14.4" x14ac:dyDescent="0.3"/>
    <row r="21772" ht="14.4" x14ac:dyDescent="0.3"/>
    <row r="21773" ht="14.4" x14ac:dyDescent="0.3"/>
    <row r="21774" ht="14.4" x14ac:dyDescent="0.3"/>
    <row r="21775" ht="14.4" x14ac:dyDescent="0.3"/>
    <row r="21776" ht="14.4" x14ac:dyDescent="0.3"/>
    <row r="21777" ht="14.4" x14ac:dyDescent="0.3"/>
    <row r="21778" ht="14.4" x14ac:dyDescent="0.3"/>
    <row r="21779" ht="14.4" x14ac:dyDescent="0.3"/>
    <row r="21780" ht="14.4" x14ac:dyDescent="0.3"/>
    <row r="21781" ht="14.4" x14ac:dyDescent="0.3"/>
    <row r="21782" ht="14.4" x14ac:dyDescent="0.3"/>
    <row r="21783" ht="14.4" x14ac:dyDescent="0.3"/>
    <row r="21784" ht="14.4" x14ac:dyDescent="0.3"/>
    <row r="21785" ht="14.4" x14ac:dyDescent="0.3"/>
    <row r="21786" ht="14.4" x14ac:dyDescent="0.3"/>
    <row r="21787" ht="14.4" x14ac:dyDescent="0.3"/>
    <row r="21788" ht="14.4" x14ac:dyDescent="0.3"/>
    <row r="21789" ht="14.4" x14ac:dyDescent="0.3"/>
    <row r="21790" ht="14.4" x14ac:dyDescent="0.3"/>
    <row r="21791" ht="14.4" x14ac:dyDescent="0.3"/>
    <row r="21792" ht="14.4" x14ac:dyDescent="0.3"/>
    <row r="21793" ht="14.4" x14ac:dyDescent="0.3"/>
    <row r="21794" ht="14.4" x14ac:dyDescent="0.3"/>
    <row r="21795" ht="14.4" x14ac:dyDescent="0.3"/>
    <row r="21796" ht="14.4" x14ac:dyDescent="0.3"/>
    <row r="21797" ht="14.4" x14ac:dyDescent="0.3"/>
    <row r="21798" ht="14.4" x14ac:dyDescent="0.3"/>
    <row r="21799" ht="14.4" x14ac:dyDescent="0.3"/>
    <row r="21800" ht="14.4" x14ac:dyDescent="0.3"/>
    <row r="21801" ht="14.4" x14ac:dyDescent="0.3"/>
    <row r="21802" ht="14.4" x14ac:dyDescent="0.3"/>
    <row r="21803" ht="14.4" x14ac:dyDescent="0.3"/>
    <row r="21804" ht="14.4" x14ac:dyDescent="0.3"/>
    <row r="21805" ht="14.4" x14ac:dyDescent="0.3"/>
    <row r="21806" ht="14.4" x14ac:dyDescent="0.3"/>
    <row r="21807" ht="14.4" x14ac:dyDescent="0.3"/>
    <row r="21808" ht="14.4" x14ac:dyDescent="0.3"/>
    <row r="21809" ht="14.4" x14ac:dyDescent="0.3"/>
    <row r="21810" ht="14.4" x14ac:dyDescent="0.3"/>
    <row r="21811" ht="14.4" x14ac:dyDescent="0.3"/>
    <row r="21812" ht="14.4" x14ac:dyDescent="0.3"/>
    <row r="21813" ht="14.4" x14ac:dyDescent="0.3"/>
    <row r="21814" ht="14.4" x14ac:dyDescent="0.3"/>
    <row r="21815" ht="14.4" x14ac:dyDescent="0.3"/>
    <row r="21816" ht="14.4" x14ac:dyDescent="0.3"/>
    <row r="21817" ht="14.4" x14ac:dyDescent="0.3"/>
    <row r="21818" ht="14.4" x14ac:dyDescent="0.3"/>
    <row r="21819" ht="14.4" x14ac:dyDescent="0.3"/>
    <row r="21820" ht="14.4" x14ac:dyDescent="0.3"/>
    <row r="21821" ht="14.4" x14ac:dyDescent="0.3"/>
    <row r="21822" ht="14.4" x14ac:dyDescent="0.3"/>
    <row r="21823" ht="14.4" x14ac:dyDescent="0.3"/>
    <row r="21824" ht="14.4" x14ac:dyDescent="0.3"/>
    <row r="21825" ht="14.4" x14ac:dyDescent="0.3"/>
    <row r="21826" ht="14.4" x14ac:dyDescent="0.3"/>
    <row r="21827" ht="14.4" x14ac:dyDescent="0.3"/>
    <row r="21828" ht="14.4" x14ac:dyDescent="0.3"/>
    <row r="21829" ht="14.4" x14ac:dyDescent="0.3"/>
    <row r="21830" ht="14.4" x14ac:dyDescent="0.3"/>
    <row r="21831" ht="14.4" x14ac:dyDescent="0.3"/>
    <row r="21832" ht="14.4" x14ac:dyDescent="0.3"/>
    <row r="21833" ht="14.4" x14ac:dyDescent="0.3"/>
    <row r="21834" ht="14.4" x14ac:dyDescent="0.3"/>
    <row r="21835" ht="14.4" x14ac:dyDescent="0.3"/>
    <row r="21836" ht="14.4" x14ac:dyDescent="0.3"/>
    <row r="21837" ht="14.4" x14ac:dyDescent="0.3"/>
    <row r="21838" ht="14.4" x14ac:dyDescent="0.3"/>
    <row r="21839" ht="14.4" x14ac:dyDescent="0.3"/>
    <row r="21840" ht="14.4" x14ac:dyDescent="0.3"/>
    <row r="21841" ht="14.4" x14ac:dyDescent="0.3"/>
    <row r="21842" ht="14.4" x14ac:dyDescent="0.3"/>
    <row r="21843" ht="14.4" x14ac:dyDescent="0.3"/>
    <row r="21844" ht="14.4" x14ac:dyDescent="0.3"/>
    <row r="21845" ht="14.4" x14ac:dyDescent="0.3"/>
    <row r="21846" ht="14.4" x14ac:dyDescent="0.3"/>
    <row r="21847" ht="14.4" x14ac:dyDescent="0.3"/>
    <row r="21848" ht="14.4" x14ac:dyDescent="0.3"/>
    <row r="21849" ht="14.4" x14ac:dyDescent="0.3"/>
    <row r="21850" ht="14.4" x14ac:dyDescent="0.3"/>
    <row r="21851" ht="14.4" x14ac:dyDescent="0.3"/>
    <row r="21852" ht="14.4" x14ac:dyDescent="0.3"/>
    <row r="21853" ht="14.4" x14ac:dyDescent="0.3"/>
    <row r="21854" ht="14.4" x14ac:dyDescent="0.3"/>
    <row r="21855" ht="14.4" x14ac:dyDescent="0.3"/>
    <row r="21856" ht="14.4" x14ac:dyDescent="0.3"/>
    <row r="21857" ht="14.4" x14ac:dyDescent="0.3"/>
    <row r="21858" ht="14.4" x14ac:dyDescent="0.3"/>
    <row r="21859" ht="14.4" x14ac:dyDescent="0.3"/>
    <row r="21860" ht="14.4" x14ac:dyDescent="0.3"/>
    <row r="21861" ht="14.4" x14ac:dyDescent="0.3"/>
    <row r="21862" ht="14.4" x14ac:dyDescent="0.3"/>
    <row r="21863" ht="14.4" x14ac:dyDescent="0.3"/>
    <row r="21864" ht="14.4" x14ac:dyDescent="0.3"/>
    <row r="21865" ht="14.4" x14ac:dyDescent="0.3"/>
    <row r="21866" ht="14.4" x14ac:dyDescent="0.3"/>
    <row r="21867" ht="14.4" x14ac:dyDescent="0.3"/>
    <row r="21868" ht="14.4" x14ac:dyDescent="0.3"/>
    <row r="21869" ht="14.4" x14ac:dyDescent="0.3"/>
    <row r="21870" ht="14.4" x14ac:dyDescent="0.3"/>
    <row r="21871" ht="14.4" x14ac:dyDescent="0.3"/>
    <row r="21872" ht="14.4" x14ac:dyDescent="0.3"/>
    <row r="21873" ht="14.4" x14ac:dyDescent="0.3"/>
    <row r="21874" ht="14.4" x14ac:dyDescent="0.3"/>
    <row r="21875" ht="14.4" x14ac:dyDescent="0.3"/>
    <row r="21876" ht="14.4" x14ac:dyDescent="0.3"/>
    <row r="21877" ht="14.4" x14ac:dyDescent="0.3"/>
    <row r="21878" ht="14.4" x14ac:dyDescent="0.3"/>
    <row r="21879" ht="14.4" x14ac:dyDescent="0.3"/>
    <row r="21880" ht="14.4" x14ac:dyDescent="0.3"/>
    <row r="21881" ht="14.4" x14ac:dyDescent="0.3"/>
    <row r="21882" ht="14.4" x14ac:dyDescent="0.3"/>
    <row r="21883" ht="14.4" x14ac:dyDescent="0.3"/>
    <row r="21884" ht="14.4" x14ac:dyDescent="0.3"/>
    <row r="21885" ht="14.4" x14ac:dyDescent="0.3"/>
    <row r="21886" ht="14.4" x14ac:dyDescent="0.3"/>
    <row r="21887" ht="14.4" x14ac:dyDescent="0.3"/>
    <row r="21888" ht="14.4" x14ac:dyDescent="0.3"/>
    <row r="21889" ht="14.4" x14ac:dyDescent="0.3"/>
    <row r="21890" ht="14.4" x14ac:dyDescent="0.3"/>
    <row r="21891" ht="14.4" x14ac:dyDescent="0.3"/>
    <row r="21892" ht="14.4" x14ac:dyDescent="0.3"/>
    <row r="21893" ht="14.4" x14ac:dyDescent="0.3"/>
    <row r="21894" ht="14.4" x14ac:dyDescent="0.3"/>
    <row r="21895" ht="14.4" x14ac:dyDescent="0.3"/>
    <row r="21896" ht="14.4" x14ac:dyDescent="0.3"/>
    <row r="21897" ht="14.4" x14ac:dyDescent="0.3"/>
    <row r="21898" ht="14.4" x14ac:dyDescent="0.3"/>
    <row r="21899" ht="14.4" x14ac:dyDescent="0.3"/>
    <row r="21900" ht="14.4" x14ac:dyDescent="0.3"/>
    <row r="21901" ht="14.4" x14ac:dyDescent="0.3"/>
    <row r="21902" ht="14.4" x14ac:dyDescent="0.3"/>
    <row r="21903" ht="14.4" x14ac:dyDescent="0.3"/>
    <row r="21904" ht="14.4" x14ac:dyDescent="0.3"/>
    <row r="21905" ht="14.4" x14ac:dyDescent="0.3"/>
    <row r="21906" ht="14.4" x14ac:dyDescent="0.3"/>
    <row r="21907" ht="14.4" x14ac:dyDescent="0.3"/>
    <row r="21908" ht="14.4" x14ac:dyDescent="0.3"/>
    <row r="21909" ht="14.4" x14ac:dyDescent="0.3"/>
    <row r="21910" ht="14.4" x14ac:dyDescent="0.3"/>
    <row r="21911" ht="14.4" x14ac:dyDescent="0.3"/>
    <row r="21912" ht="14.4" x14ac:dyDescent="0.3"/>
    <row r="21913" ht="14.4" x14ac:dyDescent="0.3"/>
    <row r="21914" ht="14.4" x14ac:dyDescent="0.3"/>
    <row r="21915" ht="14.4" x14ac:dyDescent="0.3"/>
    <row r="21916" ht="14.4" x14ac:dyDescent="0.3"/>
    <row r="21917" ht="14.4" x14ac:dyDescent="0.3"/>
    <row r="21918" ht="14.4" x14ac:dyDescent="0.3"/>
    <row r="21919" ht="14.4" x14ac:dyDescent="0.3"/>
    <row r="21920" ht="14.4" x14ac:dyDescent="0.3"/>
    <row r="21921" ht="14.4" x14ac:dyDescent="0.3"/>
    <row r="21922" ht="14.4" x14ac:dyDescent="0.3"/>
    <row r="21923" ht="14.4" x14ac:dyDescent="0.3"/>
    <row r="21924" ht="14.4" x14ac:dyDescent="0.3"/>
    <row r="21925" ht="14.4" x14ac:dyDescent="0.3"/>
    <row r="21926" ht="14.4" x14ac:dyDescent="0.3"/>
    <row r="21927" ht="14.4" x14ac:dyDescent="0.3"/>
    <row r="21928" ht="14.4" x14ac:dyDescent="0.3"/>
    <row r="21929" ht="14.4" x14ac:dyDescent="0.3"/>
    <row r="21930" ht="14.4" x14ac:dyDescent="0.3"/>
    <row r="21931" ht="14.4" x14ac:dyDescent="0.3"/>
    <row r="21932" ht="14.4" x14ac:dyDescent="0.3"/>
    <row r="21933" ht="14.4" x14ac:dyDescent="0.3"/>
    <row r="21934" ht="14.4" x14ac:dyDescent="0.3"/>
    <row r="21935" ht="14.4" x14ac:dyDescent="0.3"/>
    <row r="21936" ht="14.4" x14ac:dyDescent="0.3"/>
    <row r="21937" ht="14.4" x14ac:dyDescent="0.3"/>
    <row r="21938" ht="14.4" x14ac:dyDescent="0.3"/>
    <row r="21939" ht="14.4" x14ac:dyDescent="0.3"/>
    <row r="21940" ht="14.4" x14ac:dyDescent="0.3"/>
    <row r="21941" ht="14.4" x14ac:dyDescent="0.3"/>
    <row r="21942" ht="14.4" x14ac:dyDescent="0.3"/>
    <row r="21943" ht="14.4" x14ac:dyDescent="0.3"/>
    <row r="21944" ht="14.4" x14ac:dyDescent="0.3"/>
    <row r="21945" ht="14.4" x14ac:dyDescent="0.3"/>
    <row r="21946" ht="14.4" x14ac:dyDescent="0.3"/>
    <row r="21947" ht="14.4" x14ac:dyDescent="0.3"/>
    <row r="21948" ht="14.4" x14ac:dyDescent="0.3"/>
    <row r="21949" ht="14.4" x14ac:dyDescent="0.3"/>
    <row r="21950" ht="14.4" x14ac:dyDescent="0.3"/>
    <row r="21951" ht="14.4" x14ac:dyDescent="0.3"/>
    <row r="21952" ht="14.4" x14ac:dyDescent="0.3"/>
    <row r="21953" spans="1:43" ht="14.4" x14ac:dyDescent="0.3"/>
    <row r="21954" spans="1:43" ht="14.4" hidden="1" x14ac:dyDescent="0.3">
      <c r="A21954" t="s">
        <v>3345</v>
      </c>
      <c r="B21954">
        <v>4892433</v>
      </c>
      <c r="C21954" t="s">
        <v>842</v>
      </c>
      <c r="D21954" t="s">
        <v>843</v>
      </c>
      <c r="E21954" t="s">
        <v>864</v>
      </c>
      <c r="F21954" t="s">
        <v>1084</v>
      </c>
      <c r="H21954" t="s">
        <v>422</v>
      </c>
      <c r="J21954" t="s">
        <v>140</v>
      </c>
      <c r="K21954">
        <v>161058.08900000001</v>
      </c>
      <c r="L21954">
        <v>383346.6</v>
      </c>
      <c r="M21954">
        <v>1</v>
      </c>
      <c r="N21954" t="s">
        <v>3346</v>
      </c>
      <c r="O21954" t="s">
        <v>542</v>
      </c>
      <c r="P21954" t="s">
        <v>801</v>
      </c>
      <c r="Q21954" t="s">
        <v>3347</v>
      </c>
      <c r="R21954" t="s">
        <v>145</v>
      </c>
      <c r="S21954">
        <v>35</v>
      </c>
      <c r="T21954">
        <v>2200</v>
      </c>
      <c r="V21954" t="s">
        <v>183</v>
      </c>
      <c r="W21954" t="s">
        <v>415</v>
      </c>
      <c r="X21954" t="s">
        <v>7</v>
      </c>
      <c r="Y21954" t="s">
        <v>3348</v>
      </c>
      <c r="Z21954" t="s">
        <v>736</v>
      </c>
      <c r="AA21954" t="s">
        <v>519</v>
      </c>
      <c r="AB21954">
        <v>50</v>
      </c>
      <c r="AC21954" t="s">
        <v>150</v>
      </c>
      <c r="AE21954" t="s">
        <v>1249</v>
      </c>
      <c r="AF21954" t="s">
        <v>736</v>
      </c>
      <c r="AG21954" t="s">
        <v>1523</v>
      </c>
      <c r="AL21954" t="s">
        <v>3349</v>
      </c>
      <c r="AM21954" t="s">
        <v>3350</v>
      </c>
      <c r="AN21954" t="s">
        <v>3351</v>
      </c>
      <c r="AO21954" t="s">
        <v>3346</v>
      </c>
      <c r="AQ21954">
        <f>IF(ISBLANK(AP21954), IFERROR(IF(VLOOKUP(AO21954, Ellens_additions!$A$2:$B$252, 2, FALSE) = "", "", VLOOKUP(AO21954, Ellens_additions!$A$2:$B$252, 2, FALSE)), 0), AP21954)</f>
        <v>0</v>
      </c>
    </row>
    <row r="21955" spans="1:43" ht="14.4" hidden="1" x14ac:dyDescent="0.3">
      <c r="A21955" t="s">
        <v>3352</v>
      </c>
      <c r="B21955">
        <v>4892434</v>
      </c>
      <c r="C21955" t="s">
        <v>842</v>
      </c>
      <c r="D21955" t="s">
        <v>843</v>
      </c>
      <c r="E21955" t="s">
        <v>864</v>
      </c>
      <c r="F21955" t="s">
        <v>1084</v>
      </c>
      <c r="H21955" t="s">
        <v>481</v>
      </c>
      <c r="J21955" t="s">
        <v>140</v>
      </c>
      <c r="K21955">
        <v>161058.764</v>
      </c>
      <c r="L21955">
        <v>383348.82799999998</v>
      </c>
      <c r="M21955">
        <v>1</v>
      </c>
      <c r="N21955" t="s">
        <v>3346</v>
      </c>
      <c r="O21955" t="s">
        <v>542</v>
      </c>
      <c r="P21955" t="s">
        <v>801</v>
      </c>
      <c r="Q21955" t="s">
        <v>3347</v>
      </c>
      <c r="R21955" t="s">
        <v>145</v>
      </c>
      <c r="S21955">
        <v>35</v>
      </c>
      <c r="T21955">
        <v>2200</v>
      </c>
      <c r="V21955" t="s">
        <v>183</v>
      </c>
      <c r="W21955" t="s">
        <v>415</v>
      </c>
      <c r="X21955" t="s">
        <v>7</v>
      </c>
      <c r="Y21955" t="s">
        <v>3348</v>
      </c>
      <c r="Z21955" t="s">
        <v>736</v>
      </c>
      <c r="AA21955" t="s">
        <v>519</v>
      </c>
      <c r="AB21955">
        <v>50</v>
      </c>
      <c r="AC21955" t="s">
        <v>150</v>
      </c>
      <c r="AE21955" t="s">
        <v>1249</v>
      </c>
      <c r="AF21955" t="s">
        <v>736</v>
      </c>
      <c r="AG21955" t="s">
        <v>1523</v>
      </c>
      <c r="AL21955" t="s">
        <v>3353</v>
      </c>
      <c r="AM21955" t="s">
        <v>3354</v>
      </c>
      <c r="AN21955" t="s">
        <v>3355</v>
      </c>
      <c r="AO21955" t="s">
        <v>3346</v>
      </c>
      <c r="AQ21955">
        <f>IF(ISBLANK(AP21955), IFERROR(IF(VLOOKUP(AO21955, Ellens_additions!$A$2:$B$252, 2, FALSE) = "", "", VLOOKUP(AO21955, Ellens_additions!$A$2:$B$252, 2, FALSE)), 0), AP21955)</f>
        <v>0</v>
      </c>
    </row>
    <row r="21956" spans="1:43" ht="14.4" hidden="1" x14ac:dyDescent="0.3">
      <c r="A21956" t="s">
        <v>3356</v>
      </c>
      <c r="B21956">
        <v>4892438</v>
      </c>
      <c r="C21956" t="s">
        <v>842</v>
      </c>
      <c r="D21956" t="s">
        <v>843</v>
      </c>
      <c r="E21956" t="s">
        <v>864</v>
      </c>
      <c r="F21956" t="s">
        <v>1084</v>
      </c>
      <c r="H21956" t="s">
        <v>793</v>
      </c>
      <c r="J21956" t="s">
        <v>140</v>
      </c>
      <c r="K21956">
        <v>161061.59899999999</v>
      </c>
      <c r="L21956">
        <v>383357.67499999999</v>
      </c>
      <c r="M21956">
        <v>1</v>
      </c>
      <c r="N21956" t="s">
        <v>3346</v>
      </c>
      <c r="O21956" t="s">
        <v>542</v>
      </c>
      <c r="P21956" t="s">
        <v>801</v>
      </c>
      <c r="Q21956" t="s">
        <v>3347</v>
      </c>
      <c r="R21956" t="s">
        <v>145</v>
      </c>
      <c r="S21956">
        <v>35</v>
      </c>
      <c r="T21956">
        <v>2200</v>
      </c>
      <c r="V21956" t="s">
        <v>183</v>
      </c>
      <c r="W21956" t="s">
        <v>415</v>
      </c>
      <c r="X21956" t="s">
        <v>7</v>
      </c>
      <c r="Y21956" t="s">
        <v>3348</v>
      </c>
      <c r="Z21956" t="s">
        <v>736</v>
      </c>
      <c r="AA21956" t="s">
        <v>519</v>
      </c>
      <c r="AB21956">
        <v>50</v>
      </c>
      <c r="AC21956" t="s">
        <v>150</v>
      </c>
      <c r="AE21956" t="s">
        <v>1249</v>
      </c>
      <c r="AF21956" t="s">
        <v>736</v>
      </c>
      <c r="AG21956" t="s">
        <v>1523</v>
      </c>
      <c r="AL21956" t="s">
        <v>3357</v>
      </c>
      <c r="AM21956" t="s">
        <v>3358</v>
      </c>
      <c r="AN21956" t="s">
        <v>3359</v>
      </c>
      <c r="AO21956" t="s">
        <v>3346</v>
      </c>
      <c r="AQ21956">
        <f>IF(ISBLANK(AP21956), IFERROR(IF(VLOOKUP(AO21956, Ellens_additions!$A$2:$B$252, 2, FALSE) = "", "", VLOOKUP(AO21956, Ellens_additions!$A$2:$B$252, 2, FALSE)), 0), AP21956)</f>
        <v>0</v>
      </c>
    </row>
    <row r="21957" spans="1:43" ht="14.4" hidden="1" x14ac:dyDescent="0.3">
      <c r="A21957" t="s">
        <v>3360</v>
      </c>
      <c r="B21957">
        <v>4892442</v>
      </c>
      <c r="C21957" t="s">
        <v>842</v>
      </c>
      <c r="D21957" t="s">
        <v>843</v>
      </c>
      <c r="E21957" t="s">
        <v>864</v>
      </c>
      <c r="F21957" t="s">
        <v>1084</v>
      </c>
      <c r="H21957" t="s">
        <v>419</v>
      </c>
      <c r="J21957" t="s">
        <v>140</v>
      </c>
      <c r="K21957">
        <v>161063.894</v>
      </c>
      <c r="L21957">
        <v>383364.96799999999</v>
      </c>
      <c r="M21957">
        <v>1</v>
      </c>
      <c r="N21957" t="s">
        <v>3346</v>
      </c>
      <c r="O21957" t="s">
        <v>542</v>
      </c>
      <c r="P21957" t="s">
        <v>801</v>
      </c>
      <c r="Q21957" t="s">
        <v>3347</v>
      </c>
      <c r="R21957" t="s">
        <v>145</v>
      </c>
      <c r="S21957">
        <v>35</v>
      </c>
      <c r="T21957">
        <v>2200</v>
      </c>
      <c r="V21957" t="s">
        <v>183</v>
      </c>
      <c r="W21957" t="s">
        <v>415</v>
      </c>
      <c r="X21957" t="s">
        <v>7</v>
      </c>
      <c r="Y21957" t="s">
        <v>3348</v>
      </c>
      <c r="Z21957" t="s">
        <v>736</v>
      </c>
      <c r="AA21957" t="s">
        <v>519</v>
      </c>
      <c r="AB21957">
        <v>50</v>
      </c>
      <c r="AC21957" t="s">
        <v>150</v>
      </c>
      <c r="AE21957" t="s">
        <v>1249</v>
      </c>
      <c r="AF21957" t="s">
        <v>736</v>
      </c>
      <c r="AG21957" t="s">
        <v>1523</v>
      </c>
      <c r="AL21957" t="s">
        <v>3361</v>
      </c>
      <c r="AM21957" t="s">
        <v>3362</v>
      </c>
      <c r="AN21957" t="s">
        <v>3363</v>
      </c>
      <c r="AO21957" t="s">
        <v>3346</v>
      </c>
      <c r="AQ21957">
        <f>IF(ISBLANK(AP21957), IFERROR(IF(VLOOKUP(AO21957, Ellens_additions!$A$2:$B$252, 2, FALSE) = "", "", VLOOKUP(AO21957, Ellens_additions!$A$2:$B$252, 2, FALSE)), 0), AP21957)</f>
        <v>0</v>
      </c>
    </row>
    <row r="21958" spans="1:43" ht="14.4" x14ac:dyDescent="0.3"/>
    <row r="21959" spans="1:43" ht="14.4" x14ac:dyDescent="0.3"/>
    <row r="21960" spans="1:43" ht="14.4" x14ac:dyDescent="0.3"/>
    <row r="21961" spans="1:43" ht="14.4" x14ac:dyDescent="0.3"/>
    <row r="21962" spans="1:43" ht="14.4" x14ac:dyDescent="0.3"/>
    <row r="21963" spans="1:43" ht="14.4" x14ac:dyDescent="0.3"/>
    <row r="21964" spans="1:43" ht="14.4" x14ac:dyDescent="0.3"/>
    <row r="21965" spans="1:43" ht="14.4" x14ac:dyDescent="0.3"/>
    <row r="21966" spans="1:43" ht="14.4" x14ac:dyDescent="0.3"/>
    <row r="21967" spans="1:43" ht="14.4" x14ac:dyDescent="0.3"/>
    <row r="21968" spans="1:43" ht="14.4" x14ac:dyDescent="0.3"/>
    <row r="21969" spans="1:43" ht="14.4" x14ac:dyDescent="0.3"/>
    <row r="21970" spans="1:43" ht="14.4" x14ac:dyDescent="0.3"/>
    <row r="21971" spans="1:43" ht="14.4" x14ac:dyDescent="0.3"/>
    <row r="21972" spans="1:43" ht="14.4" x14ac:dyDescent="0.3"/>
    <row r="21973" spans="1:43" ht="14.4" x14ac:dyDescent="0.3"/>
    <row r="21974" spans="1:43" ht="14.4" hidden="1" x14ac:dyDescent="0.3">
      <c r="A21974" t="s">
        <v>3364</v>
      </c>
      <c r="B21974">
        <v>4892485</v>
      </c>
      <c r="C21974" t="s">
        <v>842</v>
      </c>
      <c r="D21974" t="s">
        <v>843</v>
      </c>
      <c r="E21974" t="s">
        <v>844</v>
      </c>
      <c r="F21974" t="s">
        <v>2027</v>
      </c>
      <c r="H21974" t="s">
        <v>464</v>
      </c>
      <c r="J21974" t="s">
        <v>140</v>
      </c>
      <c r="K21974">
        <v>161556.6</v>
      </c>
      <c r="L21974">
        <v>383174.49</v>
      </c>
      <c r="M21974">
        <v>1</v>
      </c>
      <c r="N21974" t="s">
        <v>382</v>
      </c>
      <c r="O21974" t="s">
        <v>683</v>
      </c>
      <c r="P21974" t="s">
        <v>1452</v>
      </c>
      <c r="Q21974" t="s">
        <v>358</v>
      </c>
      <c r="R21974" t="s">
        <v>145</v>
      </c>
      <c r="S21974">
        <v>35</v>
      </c>
      <c r="T21974">
        <v>3300</v>
      </c>
      <c r="V21974" t="s">
        <v>359</v>
      </c>
      <c r="W21974" t="s">
        <v>415</v>
      </c>
      <c r="X21974" t="s">
        <v>7</v>
      </c>
      <c r="Y21974" t="s">
        <v>3365</v>
      </c>
      <c r="Z21974" t="s">
        <v>575</v>
      </c>
      <c r="AA21974" t="s">
        <v>1939</v>
      </c>
      <c r="AB21974">
        <v>90</v>
      </c>
      <c r="AC21974" t="s">
        <v>150</v>
      </c>
      <c r="AE21974" t="s">
        <v>3366</v>
      </c>
      <c r="AF21974" t="s">
        <v>575</v>
      </c>
      <c r="AG21974" t="s">
        <v>1939</v>
      </c>
      <c r="AL21974" t="s">
        <v>3367</v>
      </c>
      <c r="AM21974" t="s">
        <v>3368</v>
      </c>
      <c r="AN21974" t="s">
        <v>3369</v>
      </c>
      <c r="AO21974" t="s">
        <v>382</v>
      </c>
      <c r="AQ21974" t="str">
        <f>IF(ISBLANK(AP21974), IFERROR(IF(VLOOKUP(AO21974, Ellens_additions!$A$2:$B$252, 2, FALSE) = "", "", VLOOKUP(AO21974, Ellens_additions!$A$2:$B$252, 2, FALSE)), 0), AP21974)</f>
        <v/>
      </c>
    </row>
    <row r="21975" spans="1:43" ht="14.4" hidden="1" x14ac:dyDescent="0.3">
      <c r="A21975" t="s">
        <v>3370</v>
      </c>
      <c r="B21975">
        <v>4892495</v>
      </c>
      <c r="C21975" t="s">
        <v>842</v>
      </c>
      <c r="D21975" t="s">
        <v>843</v>
      </c>
      <c r="E21975" t="s">
        <v>844</v>
      </c>
      <c r="F21975" t="s">
        <v>1959</v>
      </c>
      <c r="H21975" t="s">
        <v>817</v>
      </c>
      <c r="J21975" t="s">
        <v>140</v>
      </c>
      <c r="K21975">
        <v>161597.97899999999</v>
      </c>
      <c r="L21975">
        <v>383173.12900000002</v>
      </c>
      <c r="M21975">
        <v>1</v>
      </c>
      <c r="N21975" t="s">
        <v>1246</v>
      </c>
      <c r="O21975" t="s">
        <v>845</v>
      </c>
      <c r="P21975" t="s">
        <v>1378</v>
      </c>
      <c r="Q21975" t="s">
        <v>761</v>
      </c>
      <c r="R21975" t="s">
        <v>145</v>
      </c>
      <c r="S21975">
        <v>18</v>
      </c>
      <c r="T21975">
        <v>0</v>
      </c>
      <c r="V21975" t="s">
        <v>848</v>
      </c>
      <c r="W21975" t="s">
        <v>415</v>
      </c>
      <c r="X21975" t="s">
        <v>19</v>
      </c>
      <c r="Y21975" t="s">
        <v>3371</v>
      </c>
      <c r="Z21975" t="s">
        <v>1549</v>
      </c>
      <c r="AA21975" t="s">
        <v>1857</v>
      </c>
      <c r="AB21975">
        <v>30</v>
      </c>
      <c r="AC21975" t="s">
        <v>150</v>
      </c>
      <c r="AE21975" t="s">
        <v>3252</v>
      </c>
      <c r="AF21975" t="s">
        <v>1549</v>
      </c>
      <c r="AG21975" t="s">
        <v>1851</v>
      </c>
      <c r="AL21975" t="s">
        <v>3372</v>
      </c>
      <c r="AM21975" t="s">
        <v>3373</v>
      </c>
      <c r="AN21975" t="s">
        <v>3374</v>
      </c>
      <c r="AO21975" t="s">
        <v>1246</v>
      </c>
      <c r="AQ21975" t="str">
        <f>IF(ISBLANK(AP21975), IFERROR(IF(VLOOKUP(AO21975, Ellens_additions!$A$2:$B$252, 2, FALSE) = "", "", VLOOKUP(AO21975, Ellens_additions!$A$2:$B$252, 2, FALSE)), 0), AP21975)</f>
        <v/>
      </c>
    </row>
    <row r="21976" spans="1:43" ht="14.4" hidden="1" x14ac:dyDescent="0.3">
      <c r="A21976" t="s">
        <v>3370</v>
      </c>
      <c r="B21976">
        <v>4892499</v>
      </c>
      <c r="C21976" t="s">
        <v>842</v>
      </c>
      <c r="D21976" t="s">
        <v>843</v>
      </c>
      <c r="E21976" t="s">
        <v>844</v>
      </c>
      <c r="F21976" t="s">
        <v>1959</v>
      </c>
      <c r="H21976" t="s">
        <v>817</v>
      </c>
      <c r="J21976" t="s">
        <v>140</v>
      </c>
      <c r="K21976">
        <v>161597.97899999999</v>
      </c>
      <c r="L21976">
        <v>383173.12900000002</v>
      </c>
      <c r="M21976">
        <v>1</v>
      </c>
      <c r="N21976" t="s">
        <v>1246</v>
      </c>
      <c r="O21976" t="s">
        <v>845</v>
      </c>
      <c r="P21976" t="s">
        <v>1378</v>
      </c>
      <c r="Q21976" t="s">
        <v>761</v>
      </c>
      <c r="R21976" t="s">
        <v>145</v>
      </c>
      <c r="S21976">
        <v>18</v>
      </c>
      <c r="T21976">
        <v>0</v>
      </c>
      <c r="V21976" t="s">
        <v>848</v>
      </c>
      <c r="W21976" t="s">
        <v>415</v>
      </c>
      <c r="X21976" t="s">
        <v>11</v>
      </c>
      <c r="Y21976" t="s">
        <v>3371</v>
      </c>
      <c r="Z21976" t="s">
        <v>1549</v>
      </c>
      <c r="AA21976" t="s">
        <v>1857</v>
      </c>
      <c r="AB21976">
        <v>30</v>
      </c>
      <c r="AC21976" t="s">
        <v>150</v>
      </c>
      <c r="AE21976" t="s">
        <v>3252</v>
      </c>
      <c r="AF21976" t="s">
        <v>1549</v>
      </c>
      <c r="AG21976" t="s">
        <v>1851</v>
      </c>
      <c r="AL21976" t="s">
        <v>3372</v>
      </c>
      <c r="AM21976" t="s">
        <v>3373</v>
      </c>
      <c r="AN21976" t="s">
        <v>3374</v>
      </c>
      <c r="AO21976" t="s">
        <v>1246</v>
      </c>
      <c r="AQ21976" t="str">
        <f>IF(ISBLANK(AP21976), IFERROR(IF(VLOOKUP(AO21976, Ellens_additions!$A$2:$B$252, 2, FALSE) = "", "", VLOOKUP(AO21976, Ellens_additions!$A$2:$B$252, 2, FALSE)), 0), AP21976)</f>
        <v/>
      </c>
    </row>
    <row r="21977" spans="1:43" ht="14.4" x14ac:dyDescent="0.3"/>
    <row r="21978" spans="1:43" ht="14.4" x14ac:dyDescent="0.3"/>
    <row r="21979" spans="1:43" ht="14.4" x14ac:dyDescent="0.3"/>
    <row r="21980" spans="1:43" ht="14.4" x14ac:dyDescent="0.3"/>
    <row r="21981" spans="1:43" ht="14.4" x14ac:dyDescent="0.3"/>
    <row r="21982" spans="1:43" ht="14.4" x14ac:dyDescent="0.3"/>
    <row r="21983" spans="1:43" ht="14.4" x14ac:dyDescent="0.3"/>
    <row r="21984" spans="1:43" ht="14.4" x14ac:dyDescent="0.3"/>
    <row r="21985" ht="14.4" x14ac:dyDescent="0.3"/>
    <row r="21986" ht="14.4" x14ac:dyDescent="0.3"/>
    <row r="21987" ht="14.4" x14ac:dyDescent="0.3"/>
    <row r="21988" ht="14.4" x14ac:dyDescent="0.3"/>
    <row r="21989" ht="14.4" x14ac:dyDescent="0.3"/>
    <row r="21990" ht="14.4" x14ac:dyDescent="0.3"/>
    <row r="21991" ht="14.4" x14ac:dyDescent="0.3"/>
    <row r="21992" ht="14.4" x14ac:dyDescent="0.3"/>
    <row r="21993" ht="14.4" x14ac:dyDescent="0.3"/>
    <row r="21994" ht="14.4" x14ac:dyDescent="0.3"/>
    <row r="21995" ht="14.4" x14ac:dyDescent="0.3"/>
    <row r="21996" ht="14.4" x14ac:dyDescent="0.3"/>
    <row r="21997" ht="14.4" x14ac:dyDescent="0.3"/>
    <row r="21998" ht="14.4" x14ac:dyDescent="0.3"/>
    <row r="21999" ht="14.4" x14ac:dyDescent="0.3"/>
    <row r="22000" ht="14.4" x14ac:dyDescent="0.3"/>
    <row r="22001" ht="14.4" x14ac:dyDescent="0.3"/>
    <row r="22002" ht="14.4" x14ac:dyDescent="0.3"/>
    <row r="22003" ht="14.4" x14ac:dyDescent="0.3"/>
    <row r="22004" ht="14.4" x14ac:dyDescent="0.3"/>
    <row r="22005" ht="14.4" x14ac:dyDescent="0.3"/>
    <row r="22006" ht="14.4" x14ac:dyDescent="0.3"/>
    <row r="22007" ht="14.4" x14ac:dyDescent="0.3"/>
    <row r="22008" ht="14.4" x14ac:dyDescent="0.3"/>
    <row r="22009" ht="14.4" x14ac:dyDescent="0.3"/>
    <row r="22010" ht="14.4" x14ac:dyDescent="0.3"/>
    <row r="22011" ht="14.4" x14ac:dyDescent="0.3"/>
    <row r="22012" ht="14.4" x14ac:dyDescent="0.3"/>
    <row r="22013" ht="14.4" x14ac:dyDescent="0.3"/>
    <row r="22014" ht="14.4" x14ac:dyDescent="0.3"/>
    <row r="22015" ht="14.4" x14ac:dyDescent="0.3"/>
    <row r="22016" ht="14.4" x14ac:dyDescent="0.3"/>
    <row r="22017" spans="1:43" ht="14.4" x14ac:dyDescent="0.3"/>
    <row r="22018" spans="1:43" ht="14.4" x14ac:dyDescent="0.3"/>
    <row r="22019" spans="1:43" ht="14.4" x14ac:dyDescent="0.3"/>
    <row r="22020" spans="1:43" ht="14.4" hidden="1" x14ac:dyDescent="0.3">
      <c r="A22020" t="s">
        <v>3375</v>
      </c>
      <c r="B22020">
        <v>4892627</v>
      </c>
      <c r="C22020" t="s">
        <v>842</v>
      </c>
      <c r="D22020" t="s">
        <v>843</v>
      </c>
      <c r="E22020" t="s">
        <v>844</v>
      </c>
      <c r="F22020" t="s">
        <v>1962</v>
      </c>
      <c r="H22020" t="s">
        <v>667</v>
      </c>
      <c r="I22020" t="s">
        <v>2029</v>
      </c>
      <c r="J22020" t="s">
        <v>140</v>
      </c>
      <c r="K22020">
        <v>161581.36300000001</v>
      </c>
      <c r="L22020">
        <v>382922.86700000003</v>
      </c>
      <c r="M22020">
        <v>1</v>
      </c>
      <c r="N22020" t="s">
        <v>3376</v>
      </c>
      <c r="O22020" t="s">
        <v>364</v>
      </c>
      <c r="P22020" t="s">
        <v>490</v>
      </c>
      <c r="S22020">
        <v>5</v>
      </c>
      <c r="T22020">
        <v>250</v>
      </c>
      <c r="V22020" t="s">
        <v>3377</v>
      </c>
      <c r="W22020" t="s">
        <v>415</v>
      </c>
      <c r="X22020" t="s">
        <v>7</v>
      </c>
      <c r="Y22020" t="s">
        <v>3378</v>
      </c>
      <c r="Z22020" t="s">
        <v>3379</v>
      </c>
      <c r="AA22020" t="s">
        <v>3380</v>
      </c>
      <c r="AB22020">
        <v>100</v>
      </c>
      <c r="AC22020" t="s">
        <v>150</v>
      </c>
      <c r="AE22020" t="s">
        <v>3381</v>
      </c>
      <c r="AF22020" t="s">
        <v>2024</v>
      </c>
      <c r="AG22020" t="s">
        <v>2025</v>
      </c>
      <c r="AL22020" t="s">
        <v>3382</v>
      </c>
      <c r="AM22020" t="s">
        <v>3383</v>
      </c>
      <c r="AN22020" t="s">
        <v>3384</v>
      </c>
      <c r="AO22020" t="s">
        <v>3376</v>
      </c>
      <c r="AQ22020">
        <f>IF(ISBLANK(AP22020), IFERROR(IF(VLOOKUP(AO22020, Ellens_additions!$A$2:$B$252, 2, FALSE) = "", "", VLOOKUP(AO22020, Ellens_additions!$A$2:$B$252, 2, FALSE)), 0), AP22020)</f>
        <v>0</v>
      </c>
    </row>
    <row r="22021" spans="1:43" ht="14.4" x14ac:dyDescent="0.3"/>
    <row r="22022" spans="1:43" ht="14.4" x14ac:dyDescent="0.3"/>
    <row r="22023" spans="1:43" ht="14.4" x14ac:dyDescent="0.3"/>
    <row r="22024" spans="1:43" ht="14.4" x14ac:dyDescent="0.3"/>
    <row r="22025" spans="1:43" ht="14.4" x14ac:dyDescent="0.3"/>
    <row r="22026" spans="1:43" ht="14.4" x14ac:dyDescent="0.3"/>
    <row r="22027" spans="1:43" ht="14.4" x14ac:dyDescent="0.3"/>
    <row r="22028" spans="1:43" ht="14.4" x14ac:dyDescent="0.3"/>
    <row r="22029" spans="1:43" ht="14.4" x14ac:dyDescent="0.3"/>
    <row r="22030" spans="1:43" ht="14.4" x14ac:dyDescent="0.3"/>
    <row r="22031" spans="1:43" ht="14.4" x14ac:dyDescent="0.3"/>
    <row r="22032" spans="1:43" ht="14.4" x14ac:dyDescent="0.3"/>
    <row r="22033" spans="1:43" ht="14.4" x14ac:dyDescent="0.3"/>
    <row r="22034" spans="1:43" ht="14.4" x14ac:dyDescent="0.3"/>
    <row r="22035" spans="1:43" ht="14.4" x14ac:dyDescent="0.3"/>
    <row r="22036" spans="1:43" ht="14.4" x14ac:dyDescent="0.3"/>
    <row r="22037" spans="1:43" ht="14.4" x14ac:dyDescent="0.3"/>
    <row r="22038" spans="1:43" ht="14.4" x14ac:dyDescent="0.3"/>
    <row r="22039" spans="1:43" ht="14.4" x14ac:dyDescent="0.3"/>
    <row r="22040" spans="1:43" ht="14.4" x14ac:dyDescent="0.3"/>
    <row r="22041" spans="1:43" ht="14.4" x14ac:dyDescent="0.3"/>
    <row r="22042" spans="1:43" ht="14.4" x14ac:dyDescent="0.3"/>
    <row r="22043" spans="1:43" ht="14.4" x14ac:dyDescent="0.3"/>
    <row r="22044" spans="1:43" ht="14.4" x14ac:dyDescent="0.3"/>
    <row r="22045" spans="1:43" ht="14.4" x14ac:dyDescent="0.3"/>
    <row r="22046" spans="1:43" ht="14.4" hidden="1" x14ac:dyDescent="0.3">
      <c r="A22046" t="s">
        <v>3385</v>
      </c>
      <c r="B22046">
        <v>4892707</v>
      </c>
      <c r="C22046" t="s">
        <v>842</v>
      </c>
      <c r="D22046" t="s">
        <v>843</v>
      </c>
      <c r="E22046" t="s">
        <v>846</v>
      </c>
      <c r="F22046" t="s">
        <v>3386</v>
      </c>
      <c r="H22046" t="s">
        <v>256</v>
      </c>
      <c r="J22046" t="s">
        <v>140</v>
      </c>
      <c r="K22046">
        <v>161131.55600000001</v>
      </c>
      <c r="L22046">
        <v>383827.48599999998</v>
      </c>
      <c r="M22046">
        <v>1</v>
      </c>
      <c r="N22046" t="s">
        <v>871</v>
      </c>
      <c r="O22046" t="s">
        <v>1076</v>
      </c>
      <c r="P22046" t="s">
        <v>1882</v>
      </c>
      <c r="Q22046" t="s">
        <v>761</v>
      </c>
      <c r="R22046" t="s">
        <v>145</v>
      </c>
      <c r="S22046">
        <v>36</v>
      </c>
      <c r="T22046">
        <v>3350</v>
      </c>
      <c r="V22046" t="s">
        <v>848</v>
      </c>
      <c r="W22046" t="s">
        <v>415</v>
      </c>
      <c r="X22046" t="s">
        <v>7</v>
      </c>
      <c r="Y22046" t="s">
        <v>1948</v>
      </c>
      <c r="Z22046" t="s">
        <v>462</v>
      </c>
      <c r="AA22046" t="s">
        <v>527</v>
      </c>
      <c r="AB22046">
        <v>100</v>
      </c>
      <c r="AC22046" t="s">
        <v>150</v>
      </c>
      <c r="AE22046" t="s">
        <v>1960</v>
      </c>
      <c r="AF22046" t="s">
        <v>462</v>
      </c>
      <c r="AG22046" t="s">
        <v>421</v>
      </c>
      <c r="AL22046" t="s">
        <v>3387</v>
      </c>
      <c r="AM22046" t="s">
        <v>3388</v>
      </c>
      <c r="AN22046" t="s">
        <v>3389</v>
      </c>
      <c r="AO22046" t="s">
        <v>871</v>
      </c>
      <c r="AQ22046" t="str">
        <f>IF(ISBLANK(AP22046), IFERROR(IF(VLOOKUP(AO22046, Ellens_additions!$A$2:$B$252, 2, FALSE) = "", "", VLOOKUP(AO22046, Ellens_additions!$A$2:$B$252, 2, FALSE)), 0), AP22046)</f>
        <v/>
      </c>
    </row>
    <row r="22047" spans="1:43" ht="14.4" x14ac:dyDescent="0.3"/>
    <row r="22048" spans="1:43" ht="14.4" hidden="1" x14ac:dyDescent="0.3">
      <c r="A22048" t="s">
        <v>3390</v>
      </c>
      <c r="B22048">
        <v>4892709</v>
      </c>
      <c r="C22048" t="s">
        <v>842</v>
      </c>
      <c r="D22048" t="s">
        <v>843</v>
      </c>
      <c r="E22048" t="s">
        <v>864</v>
      </c>
      <c r="F22048" t="s">
        <v>1084</v>
      </c>
      <c r="H22048" t="s">
        <v>1956</v>
      </c>
      <c r="J22048" t="s">
        <v>140</v>
      </c>
      <c r="K22048">
        <v>161061.505</v>
      </c>
      <c r="L22048">
        <v>383439.91899999999</v>
      </c>
      <c r="M22048">
        <v>3</v>
      </c>
      <c r="N22048" t="s">
        <v>2049</v>
      </c>
      <c r="O22048" t="s">
        <v>3295</v>
      </c>
      <c r="P22048" t="s">
        <v>770</v>
      </c>
      <c r="Q22048" t="s">
        <v>761</v>
      </c>
      <c r="R22048" t="s">
        <v>145</v>
      </c>
      <c r="S22048">
        <v>36</v>
      </c>
      <c r="T22048">
        <v>0</v>
      </c>
      <c r="V22048" t="s">
        <v>848</v>
      </c>
      <c r="W22048" t="s">
        <v>415</v>
      </c>
      <c r="X22048" t="s">
        <v>7</v>
      </c>
      <c r="Y22048" t="s">
        <v>3296</v>
      </c>
      <c r="Z22048" t="s">
        <v>736</v>
      </c>
      <c r="AA22048" t="s">
        <v>519</v>
      </c>
      <c r="AB22048">
        <v>0</v>
      </c>
      <c r="AC22048" t="s">
        <v>3297</v>
      </c>
      <c r="AE22048" t="s">
        <v>1496</v>
      </c>
      <c r="AF22048" t="s">
        <v>736</v>
      </c>
      <c r="AG22048" t="s">
        <v>519</v>
      </c>
      <c r="AL22048" t="s">
        <v>3391</v>
      </c>
      <c r="AM22048" t="s">
        <v>3392</v>
      </c>
      <c r="AN22048" t="s">
        <v>3393</v>
      </c>
      <c r="AO22048" t="s">
        <v>2049</v>
      </c>
      <c r="AQ22048" t="str">
        <f>IF(ISBLANK(AP22048), IFERROR(IF(VLOOKUP(AO22048, Ellens_additions!$A$2:$B$252, 2, FALSE) = "", "", VLOOKUP(AO22048, Ellens_additions!$A$2:$B$252, 2, FALSE)), 0), AP22048)</f>
        <v/>
      </c>
    </row>
    <row r="22049" spans="1:43" ht="14.4" hidden="1" x14ac:dyDescent="0.3">
      <c r="A22049" t="s">
        <v>3390</v>
      </c>
      <c r="B22049">
        <v>4892710</v>
      </c>
      <c r="C22049" t="s">
        <v>842</v>
      </c>
      <c r="D22049" t="s">
        <v>843</v>
      </c>
      <c r="E22049" t="s">
        <v>864</v>
      </c>
      <c r="F22049" t="s">
        <v>1084</v>
      </c>
      <c r="H22049" t="s">
        <v>1956</v>
      </c>
      <c r="J22049" t="s">
        <v>140</v>
      </c>
      <c r="K22049">
        <v>161061.505</v>
      </c>
      <c r="L22049">
        <v>383439.91899999999</v>
      </c>
      <c r="M22049">
        <v>1</v>
      </c>
      <c r="N22049" t="s">
        <v>1261</v>
      </c>
      <c r="O22049" t="s">
        <v>1548</v>
      </c>
      <c r="P22049" t="s">
        <v>3301</v>
      </c>
      <c r="Q22049" t="s">
        <v>761</v>
      </c>
      <c r="R22049" t="s">
        <v>145</v>
      </c>
      <c r="S22049">
        <v>58</v>
      </c>
      <c r="T22049">
        <v>5150</v>
      </c>
      <c r="V22049" t="s">
        <v>848</v>
      </c>
      <c r="W22049" t="s">
        <v>415</v>
      </c>
      <c r="X22049" t="s">
        <v>7</v>
      </c>
      <c r="Y22049" t="s">
        <v>3296</v>
      </c>
      <c r="Z22049" t="s">
        <v>736</v>
      </c>
      <c r="AA22049" t="s">
        <v>519</v>
      </c>
      <c r="AB22049">
        <v>0</v>
      </c>
      <c r="AC22049" t="s">
        <v>3297</v>
      </c>
      <c r="AE22049" t="s">
        <v>1496</v>
      </c>
      <c r="AF22049" t="s">
        <v>736</v>
      </c>
      <c r="AG22049" t="s">
        <v>519</v>
      </c>
      <c r="AL22049" t="s">
        <v>3391</v>
      </c>
      <c r="AM22049" t="s">
        <v>3392</v>
      </c>
      <c r="AN22049" t="s">
        <v>3393</v>
      </c>
      <c r="AO22049" t="s">
        <v>1261</v>
      </c>
      <c r="AP22049" t="s">
        <v>158</v>
      </c>
      <c r="AQ22049" t="str">
        <f>IF(ISBLANK(AP22049), IFERROR(IF(VLOOKUP(AO22049, Ellens_additions!$A$2:$B$252, 2, FALSE) = "", "", VLOOKUP(AO22049, Ellens_additions!$A$2:$B$252, 2, FALSE)), 0), AP22049)</f>
        <v>3000</v>
      </c>
    </row>
    <row r="22050" spans="1:43" ht="14.4" hidden="1" x14ac:dyDescent="0.3">
      <c r="A22050" t="s">
        <v>3390</v>
      </c>
      <c r="B22050">
        <v>4892711</v>
      </c>
      <c r="C22050" t="s">
        <v>842</v>
      </c>
      <c r="D22050" t="s">
        <v>843</v>
      </c>
      <c r="E22050" t="s">
        <v>864</v>
      </c>
      <c r="F22050" t="s">
        <v>1084</v>
      </c>
      <c r="H22050" t="s">
        <v>1956</v>
      </c>
      <c r="J22050" t="s">
        <v>140</v>
      </c>
      <c r="K22050">
        <v>161061.505</v>
      </c>
      <c r="L22050">
        <v>383439.91899999999</v>
      </c>
      <c r="M22050">
        <v>2</v>
      </c>
      <c r="N22050" t="s">
        <v>1261</v>
      </c>
      <c r="O22050" t="s">
        <v>1548</v>
      </c>
      <c r="P22050" t="s">
        <v>3301</v>
      </c>
      <c r="Q22050" t="s">
        <v>761</v>
      </c>
      <c r="R22050" t="s">
        <v>145</v>
      </c>
      <c r="S22050">
        <v>58</v>
      </c>
      <c r="T22050">
        <v>5150</v>
      </c>
      <c r="V22050" t="s">
        <v>848</v>
      </c>
      <c r="W22050" t="s">
        <v>415</v>
      </c>
      <c r="X22050" t="s">
        <v>7</v>
      </c>
      <c r="Y22050" t="s">
        <v>3296</v>
      </c>
      <c r="Z22050" t="s">
        <v>736</v>
      </c>
      <c r="AA22050" t="s">
        <v>519</v>
      </c>
      <c r="AB22050">
        <v>0</v>
      </c>
      <c r="AC22050" t="s">
        <v>3297</v>
      </c>
      <c r="AE22050" t="s">
        <v>1496</v>
      </c>
      <c r="AF22050" t="s">
        <v>736</v>
      </c>
      <c r="AG22050" t="s">
        <v>519</v>
      </c>
      <c r="AL22050" t="s">
        <v>3391</v>
      </c>
      <c r="AM22050" t="s">
        <v>3392</v>
      </c>
      <c r="AN22050" t="s">
        <v>3393</v>
      </c>
      <c r="AO22050" t="s">
        <v>1261</v>
      </c>
      <c r="AP22050" t="s">
        <v>158</v>
      </c>
      <c r="AQ22050" t="str">
        <f>IF(ISBLANK(AP22050), IFERROR(IF(VLOOKUP(AO22050, Ellens_additions!$A$2:$B$252, 2, FALSE) = "", "", VLOOKUP(AO22050, Ellens_additions!$A$2:$B$252, 2, FALSE)), 0), AP22050)</f>
        <v>3000</v>
      </c>
    </row>
    <row r="22051" spans="1:43" ht="14.4" x14ac:dyDescent="0.3"/>
    <row r="22052" spans="1:43" ht="14.4" x14ac:dyDescent="0.3"/>
    <row r="22053" spans="1:43" ht="14.4" x14ac:dyDescent="0.3"/>
    <row r="22054" spans="1:43" ht="14.4" x14ac:dyDescent="0.3"/>
    <row r="22055" spans="1:43" ht="14.4" x14ac:dyDescent="0.3"/>
    <row r="22056" spans="1:43" ht="14.4" x14ac:dyDescent="0.3"/>
    <row r="22057" spans="1:43" ht="14.4" x14ac:dyDescent="0.3"/>
    <row r="22058" spans="1:43" ht="14.4" x14ac:dyDescent="0.3"/>
    <row r="22059" spans="1:43" ht="14.4" x14ac:dyDescent="0.3"/>
    <row r="22060" spans="1:43" ht="14.4" x14ac:dyDescent="0.3"/>
    <row r="22061" spans="1:43" ht="14.4" x14ac:dyDescent="0.3"/>
    <row r="22062" spans="1:43" ht="14.4" x14ac:dyDescent="0.3"/>
    <row r="22063" spans="1:43" ht="14.4" x14ac:dyDescent="0.3"/>
    <row r="22064" spans="1:43" ht="14.4" x14ac:dyDescent="0.3"/>
    <row r="22065" ht="14.4" x14ac:dyDescent="0.3"/>
    <row r="22066" ht="14.4" x14ac:dyDescent="0.3"/>
    <row r="22067" ht="14.4" x14ac:dyDescent="0.3"/>
    <row r="22068" ht="14.4" x14ac:dyDescent="0.3"/>
    <row r="22069" ht="14.4" x14ac:dyDescent="0.3"/>
    <row r="22070" ht="14.4" x14ac:dyDescent="0.3"/>
    <row r="22071" ht="14.4" x14ac:dyDescent="0.3"/>
    <row r="22072" ht="14.4" x14ac:dyDescent="0.3"/>
    <row r="22073" ht="14.4" x14ac:dyDescent="0.3"/>
    <row r="22074" ht="14.4" x14ac:dyDescent="0.3"/>
    <row r="22075" ht="14.4" x14ac:dyDescent="0.3"/>
    <row r="22076" ht="14.4" x14ac:dyDescent="0.3"/>
    <row r="22077" ht="14.4" x14ac:dyDescent="0.3"/>
    <row r="22078" ht="14.4" x14ac:dyDescent="0.3"/>
    <row r="22079" ht="14.4" x14ac:dyDescent="0.3"/>
    <row r="22080" ht="14.4" x14ac:dyDescent="0.3"/>
    <row r="22081" ht="14.4" x14ac:dyDescent="0.3"/>
    <row r="22082" ht="14.4" x14ac:dyDescent="0.3"/>
    <row r="22083" ht="14.4" x14ac:dyDescent="0.3"/>
    <row r="22084" ht="14.4" x14ac:dyDescent="0.3"/>
    <row r="22085" ht="14.4" x14ac:dyDescent="0.3"/>
    <row r="22086" ht="14.4" x14ac:dyDescent="0.3"/>
    <row r="22087" ht="14.4" x14ac:dyDescent="0.3"/>
    <row r="22088" ht="14.4" x14ac:dyDescent="0.3"/>
    <row r="22089" ht="14.4" x14ac:dyDescent="0.3"/>
    <row r="22090" ht="14.4" x14ac:dyDescent="0.3"/>
    <row r="22091" ht="14.4" x14ac:dyDescent="0.3"/>
    <row r="22092" ht="14.4" x14ac:dyDescent="0.3"/>
    <row r="22093" ht="14.4" x14ac:dyDescent="0.3"/>
    <row r="22094" ht="14.4" x14ac:dyDescent="0.3"/>
    <row r="22095" ht="14.4" x14ac:dyDescent="0.3"/>
    <row r="22096" ht="14.4" x14ac:dyDescent="0.3"/>
    <row r="22097" ht="14.4" x14ac:dyDescent="0.3"/>
    <row r="22098" ht="14.4" x14ac:dyDescent="0.3"/>
    <row r="22099" ht="14.4" x14ac:dyDescent="0.3"/>
    <row r="22100" ht="14.4" x14ac:dyDescent="0.3"/>
    <row r="22101" ht="14.4" x14ac:dyDescent="0.3"/>
    <row r="22102" ht="14.4" x14ac:dyDescent="0.3"/>
    <row r="22103" ht="14.4" x14ac:dyDescent="0.3"/>
    <row r="22104" ht="14.4" x14ac:dyDescent="0.3"/>
    <row r="22105" ht="14.4" x14ac:dyDescent="0.3"/>
    <row r="22106" ht="14.4" x14ac:dyDescent="0.3"/>
    <row r="22107" ht="14.4" x14ac:dyDescent="0.3"/>
    <row r="22108" ht="14.4" x14ac:dyDescent="0.3"/>
    <row r="22109" ht="14.4" x14ac:dyDescent="0.3"/>
    <row r="22110" ht="14.4" x14ac:dyDescent="0.3"/>
    <row r="22111" ht="14.4" x14ac:dyDescent="0.3"/>
    <row r="22112" ht="14.4" x14ac:dyDescent="0.3"/>
    <row r="22113" ht="14.4" x14ac:dyDescent="0.3"/>
    <row r="22114" ht="14.4" x14ac:dyDescent="0.3"/>
    <row r="22115" ht="14.4" x14ac:dyDescent="0.3"/>
    <row r="22116" ht="14.4" x14ac:dyDescent="0.3"/>
    <row r="22117" ht="14.4" x14ac:dyDescent="0.3"/>
    <row r="22118" ht="14.4" x14ac:dyDescent="0.3"/>
    <row r="22119" ht="14.4" x14ac:dyDescent="0.3"/>
    <row r="22120" ht="14.4" x14ac:dyDescent="0.3"/>
    <row r="22121" ht="14.4" x14ac:dyDescent="0.3"/>
    <row r="22122" ht="14.4" x14ac:dyDescent="0.3"/>
    <row r="22123" ht="14.4" x14ac:dyDescent="0.3"/>
    <row r="22124" ht="14.4" x14ac:dyDescent="0.3"/>
    <row r="22125" ht="14.4" x14ac:dyDescent="0.3"/>
    <row r="22126" ht="14.4" x14ac:dyDescent="0.3"/>
    <row r="22127" ht="14.4" x14ac:dyDescent="0.3"/>
    <row r="22128" ht="14.4" x14ac:dyDescent="0.3"/>
    <row r="22129" ht="14.4" x14ac:dyDescent="0.3"/>
    <row r="22130" ht="14.4" x14ac:dyDescent="0.3"/>
    <row r="22131" ht="14.4" x14ac:dyDescent="0.3"/>
    <row r="22132" ht="14.4" x14ac:dyDescent="0.3"/>
    <row r="22133" ht="14.4" x14ac:dyDescent="0.3"/>
    <row r="22134" ht="14.4" x14ac:dyDescent="0.3"/>
    <row r="22135" ht="14.4" x14ac:dyDescent="0.3"/>
    <row r="22136" ht="14.4" x14ac:dyDescent="0.3"/>
    <row r="22137" ht="14.4" x14ac:dyDescent="0.3"/>
    <row r="22138" ht="14.4" x14ac:dyDescent="0.3"/>
    <row r="22139" ht="14.4" x14ac:dyDescent="0.3"/>
    <row r="22140" ht="14.4" x14ac:dyDescent="0.3"/>
    <row r="22141" ht="14.4" x14ac:dyDescent="0.3"/>
    <row r="22142" ht="14.4" x14ac:dyDescent="0.3"/>
    <row r="22143" ht="14.4" x14ac:dyDescent="0.3"/>
    <row r="22144" ht="14.4" x14ac:dyDescent="0.3"/>
    <row r="22145" ht="14.4" x14ac:dyDescent="0.3"/>
    <row r="22146" ht="14.4" x14ac:dyDescent="0.3"/>
    <row r="22147" ht="14.4" x14ac:dyDescent="0.3"/>
    <row r="22148" ht="14.4" x14ac:dyDescent="0.3"/>
    <row r="22149" ht="14.4" x14ac:dyDescent="0.3"/>
    <row r="22150" ht="14.4" x14ac:dyDescent="0.3"/>
    <row r="22151" ht="14.4" x14ac:dyDescent="0.3"/>
    <row r="22152" ht="14.4" x14ac:dyDescent="0.3"/>
    <row r="22153" ht="14.4" x14ac:dyDescent="0.3"/>
    <row r="22154" ht="14.4" x14ac:dyDescent="0.3"/>
    <row r="22155" ht="14.4" x14ac:dyDescent="0.3"/>
    <row r="22156" ht="14.4" x14ac:dyDescent="0.3"/>
    <row r="22157" ht="14.4" x14ac:dyDescent="0.3"/>
    <row r="22158" ht="14.4" x14ac:dyDescent="0.3"/>
    <row r="22159" ht="14.4" x14ac:dyDescent="0.3"/>
    <row r="22160" ht="14.4" x14ac:dyDescent="0.3"/>
    <row r="22161" ht="14.4" x14ac:dyDescent="0.3"/>
    <row r="22162" ht="14.4" x14ac:dyDescent="0.3"/>
    <row r="22163" ht="14.4" x14ac:dyDescent="0.3"/>
    <row r="22164" ht="14.4" x14ac:dyDescent="0.3"/>
    <row r="22165" ht="14.4" x14ac:dyDescent="0.3"/>
    <row r="22166" ht="14.4" x14ac:dyDescent="0.3"/>
    <row r="22167" ht="14.4" x14ac:dyDescent="0.3"/>
    <row r="22168" ht="14.4" x14ac:dyDescent="0.3"/>
    <row r="22169" ht="14.4" x14ac:dyDescent="0.3"/>
    <row r="22170" ht="14.4" x14ac:dyDescent="0.3"/>
    <row r="22171" ht="14.4" x14ac:dyDescent="0.3"/>
    <row r="22172" ht="14.4" x14ac:dyDescent="0.3"/>
    <row r="22173" ht="14.4" x14ac:dyDescent="0.3"/>
    <row r="22174" ht="14.4" x14ac:dyDescent="0.3"/>
    <row r="22175" ht="14.4" x14ac:dyDescent="0.3"/>
    <row r="22176" ht="14.4" x14ac:dyDescent="0.3"/>
    <row r="22177" ht="14.4" x14ac:dyDescent="0.3"/>
    <row r="22178" ht="14.4" x14ac:dyDescent="0.3"/>
    <row r="22179" ht="14.4" x14ac:dyDescent="0.3"/>
    <row r="22180" ht="14.4" x14ac:dyDescent="0.3"/>
    <row r="22181" ht="14.4" x14ac:dyDescent="0.3"/>
    <row r="22182" ht="14.4" x14ac:dyDescent="0.3"/>
    <row r="22183" ht="14.4" x14ac:dyDescent="0.3"/>
    <row r="22184" ht="14.4" x14ac:dyDescent="0.3"/>
    <row r="22185" ht="14.4" x14ac:dyDescent="0.3"/>
    <row r="22186" ht="14.4" x14ac:dyDescent="0.3"/>
    <row r="22187" ht="14.4" x14ac:dyDescent="0.3"/>
    <row r="22188" ht="14.4" x14ac:dyDescent="0.3"/>
    <row r="22189" ht="14.4" x14ac:dyDescent="0.3"/>
    <row r="22190" ht="14.4" x14ac:dyDescent="0.3"/>
    <row r="22191" ht="14.4" x14ac:dyDescent="0.3"/>
    <row r="22192" ht="14.4" x14ac:dyDescent="0.3"/>
    <row r="22193" ht="14.4" x14ac:dyDescent="0.3"/>
    <row r="22194" ht="14.4" x14ac:dyDescent="0.3"/>
    <row r="22195" ht="14.4" x14ac:dyDescent="0.3"/>
    <row r="22196" ht="14.4" x14ac:dyDescent="0.3"/>
    <row r="22197" ht="14.4" x14ac:dyDescent="0.3"/>
    <row r="22198" ht="14.4" x14ac:dyDescent="0.3"/>
    <row r="22199" ht="14.4" x14ac:dyDescent="0.3"/>
    <row r="22200" ht="14.4" x14ac:dyDescent="0.3"/>
    <row r="22201" ht="14.4" x14ac:dyDescent="0.3"/>
    <row r="22202" ht="14.4" x14ac:dyDescent="0.3"/>
    <row r="22203" ht="14.4" x14ac:dyDescent="0.3"/>
    <row r="22204" ht="14.4" x14ac:dyDescent="0.3"/>
    <row r="22205" ht="14.4" x14ac:dyDescent="0.3"/>
    <row r="22206" ht="14.4" x14ac:dyDescent="0.3"/>
    <row r="22207" ht="14.4" x14ac:dyDescent="0.3"/>
    <row r="22208" ht="14.4" x14ac:dyDescent="0.3"/>
    <row r="22209" ht="14.4" x14ac:dyDescent="0.3"/>
    <row r="22210" ht="14.4" x14ac:dyDescent="0.3"/>
    <row r="22211" ht="14.4" x14ac:dyDescent="0.3"/>
    <row r="22212" ht="14.4" x14ac:dyDescent="0.3"/>
    <row r="22213" ht="14.4" x14ac:dyDescent="0.3"/>
    <row r="22214" ht="14.4" x14ac:dyDescent="0.3"/>
    <row r="22215" ht="14.4" x14ac:dyDescent="0.3"/>
    <row r="22216" ht="14.4" x14ac:dyDescent="0.3"/>
    <row r="22217" ht="14.4" x14ac:dyDescent="0.3"/>
    <row r="22218" ht="14.4" x14ac:dyDescent="0.3"/>
    <row r="22219" ht="14.4" x14ac:dyDescent="0.3"/>
    <row r="22220" ht="14.4" x14ac:dyDescent="0.3"/>
    <row r="22221" ht="14.4" x14ac:dyDescent="0.3"/>
    <row r="22222" ht="14.4" x14ac:dyDescent="0.3"/>
    <row r="22223" ht="14.4" x14ac:dyDescent="0.3"/>
    <row r="22224" ht="14.4" x14ac:dyDescent="0.3"/>
    <row r="22225" ht="14.4" x14ac:dyDescent="0.3"/>
    <row r="22226" ht="14.4" x14ac:dyDescent="0.3"/>
    <row r="22227" ht="14.4" x14ac:dyDescent="0.3"/>
    <row r="22228" ht="14.4" x14ac:dyDescent="0.3"/>
    <row r="22229" ht="14.4" x14ac:dyDescent="0.3"/>
    <row r="22230" ht="14.4" x14ac:dyDescent="0.3"/>
    <row r="22231" ht="14.4" x14ac:dyDescent="0.3"/>
    <row r="22232" ht="14.4" x14ac:dyDescent="0.3"/>
    <row r="22233" ht="14.4" x14ac:dyDescent="0.3"/>
    <row r="22234" ht="14.4" x14ac:dyDescent="0.3"/>
    <row r="22235" ht="14.4" x14ac:dyDescent="0.3"/>
    <row r="22236" ht="14.4" x14ac:dyDescent="0.3"/>
    <row r="22237" ht="14.4" x14ac:dyDescent="0.3"/>
    <row r="22238" ht="14.4" x14ac:dyDescent="0.3"/>
    <row r="22239" ht="14.4" x14ac:dyDescent="0.3"/>
    <row r="22240" ht="14.4" x14ac:dyDescent="0.3"/>
    <row r="22241" ht="14.4" x14ac:dyDescent="0.3"/>
    <row r="22242" ht="14.4" x14ac:dyDescent="0.3"/>
    <row r="22243" ht="14.4" x14ac:dyDescent="0.3"/>
    <row r="22244" ht="14.4" x14ac:dyDescent="0.3"/>
    <row r="22245" ht="14.4" x14ac:dyDescent="0.3"/>
    <row r="22246" ht="14.4" x14ac:dyDescent="0.3"/>
    <row r="22247" ht="14.4" x14ac:dyDescent="0.3"/>
    <row r="22248" ht="14.4" x14ac:dyDescent="0.3"/>
    <row r="22249" ht="14.4" x14ac:dyDescent="0.3"/>
    <row r="22250" ht="14.4" x14ac:dyDescent="0.3"/>
    <row r="22251" ht="14.4" x14ac:dyDescent="0.3"/>
    <row r="22252" ht="14.4" x14ac:dyDescent="0.3"/>
    <row r="22253" ht="14.4" x14ac:dyDescent="0.3"/>
    <row r="22254" ht="14.4" x14ac:dyDescent="0.3"/>
    <row r="22255" ht="14.4" x14ac:dyDescent="0.3"/>
    <row r="22256" ht="14.4" x14ac:dyDescent="0.3"/>
    <row r="22257" ht="14.4" x14ac:dyDescent="0.3"/>
    <row r="22258" ht="14.4" x14ac:dyDescent="0.3"/>
    <row r="22259" ht="14.4" x14ac:dyDescent="0.3"/>
    <row r="22260" ht="14.4" x14ac:dyDescent="0.3"/>
    <row r="22261" ht="14.4" x14ac:dyDescent="0.3"/>
    <row r="22262" ht="14.4" x14ac:dyDescent="0.3"/>
    <row r="22263" ht="14.4" x14ac:dyDescent="0.3"/>
    <row r="22264" ht="14.4" x14ac:dyDescent="0.3"/>
    <row r="22265" ht="14.4" x14ac:dyDescent="0.3"/>
    <row r="22266" ht="14.4" x14ac:dyDescent="0.3"/>
    <row r="22267" ht="14.4" x14ac:dyDescent="0.3"/>
    <row r="22268" ht="14.4" x14ac:dyDescent="0.3"/>
    <row r="22269" ht="14.4" x14ac:dyDescent="0.3"/>
    <row r="22270" ht="14.4" x14ac:dyDescent="0.3"/>
    <row r="22271" ht="14.4" x14ac:dyDescent="0.3"/>
    <row r="22272" ht="14.4" x14ac:dyDescent="0.3"/>
    <row r="22273" ht="14.4" x14ac:dyDescent="0.3"/>
    <row r="22274" ht="14.4" x14ac:dyDescent="0.3"/>
    <row r="22275" ht="14.4" x14ac:dyDescent="0.3"/>
    <row r="22276" ht="14.4" x14ac:dyDescent="0.3"/>
    <row r="22277" ht="14.4" x14ac:dyDescent="0.3"/>
    <row r="22278" ht="14.4" x14ac:dyDescent="0.3"/>
    <row r="22279" ht="14.4" x14ac:dyDescent="0.3"/>
    <row r="22280" ht="14.4" x14ac:dyDescent="0.3"/>
    <row r="22281" ht="14.4" x14ac:dyDescent="0.3"/>
    <row r="22282" ht="14.4" x14ac:dyDescent="0.3"/>
    <row r="22283" ht="14.4" x14ac:dyDescent="0.3"/>
    <row r="22284" ht="14.4" x14ac:dyDescent="0.3"/>
    <row r="22285" ht="14.4" x14ac:dyDescent="0.3"/>
    <row r="22286" ht="14.4" x14ac:dyDescent="0.3"/>
    <row r="22287" ht="14.4" x14ac:dyDescent="0.3"/>
    <row r="22288" ht="14.4" x14ac:dyDescent="0.3"/>
    <row r="22289" ht="14.4" x14ac:dyDescent="0.3"/>
    <row r="22290" ht="14.4" x14ac:dyDescent="0.3"/>
    <row r="22291" ht="14.4" x14ac:dyDescent="0.3"/>
    <row r="22292" ht="14.4" x14ac:dyDescent="0.3"/>
    <row r="22293" ht="14.4" x14ac:dyDescent="0.3"/>
    <row r="22294" ht="14.4" x14ac:dyDescent="0.3"/>
    <row r="22295" ht="14.4" x14ac:dyDescent="0.3"/>
    <row r="22296" ht="14.4" x14ac:dyDescent="0.3"/>
    <row r="22297" ht="14.4" x14ac:dyDescent="0.3"/>
    <row r="22298" ht="14.4" x14ac:dyDescent="0.3"/>
    <row r="22299" ht="14.4" x14ac:dyDescent="0.3"/>
    <row r="22300" ht="14.4" x14ac:dyDescent="0.3"/>
    <row r="22301" ht="14.4" x14ac:dyDescent="0.3"/>
    <row r="22302" ht="14.4" x14ac:dyDescent="0.3"/>
    <row r="22303" ht="14.4" x14ac:dyDescent="0.3"/>
    <row r="22304" ht="14.4" x14ac:dyDescent="0.3"/>
    <row r="22305" ht="14.4" x14ac:dyDescent="0.3"/>
    <row r="22306" ht="14.4" x14ac:dyDescent="0.3"/>
    <row r="22307" ht="14.4" x14ac:dyDescent="0.3"/>
    <row r="22308" ht="14.4" x14ac:dyDescent="0.3"/>
    <row r="22309" ht="14.4" x14ac:dyDescent="0.3"/>
    <row r="22310" ht="14.4" x14ac:dyDescent="0.3"/>
    <row r="22311" ht="14.4" x14ac:dyDescent="0.3"/>
    <row r="22312" ht="14.4" x14ac:dyDescent="0.3"/>
    <row r="22313" ht="14.4" x14ac:dyDescent="0.3"/>
    <row r="22314" ht="14.4" x14ac:dyDescent="0.3"/>
    <row r="22315" ht="14.4" x14ac:dyDescent="0.3"/>
    <row r="22316" ht="14.4" x14ac:dyDescent="0.3"/>
    <row r="22317" ht="14.4" x14ac:dyDescent="0.3"/>
    <row r="22318" ht="14.4" x14ac:dyDescent="0.3"/>
    <row r="22319" ht="14.4" x14ac:dyDescent="0.3"/>
    <row r="22320" ht="14.4" x14ac:dyDescent="0.3"/>
    <row r="22321" ht="14.4" x14ac:dyDescent="0.3"/>
    <row r="22322" ht="14.4" x14ac:dyDescent="0.3"/>
    <row r="22323" ht="14.4" x14ac:dyDescent="0.3"/>
    <row r="22324" ht="14.4" x14ac:dyDescent="0.3"/>
    <row r="22325" ht="14.4" x14ac:dyDescent="0.3"/>
    <row r="22326" ht="14.4" x14ac:dyDescent="0.3"/>
    <row r="22327" ht="14.4" x14ac:dyDescent="0.3"/>
    <row r="22328" ht="14.4" x14ac:dyDescent="0.3"/>
    <row r="22329" ht="14.4" x14ac:dyDescent="0.3"/>
    <row r="22330" ht="14.4" x14ac:dyDescent="0.3"/>
    <row r="22331" ht="14.4" x14ac:dyDescent="0.3"/>
    <row r="22332" ht="14.4" x14ac:dyDescent="0.3"/>
    <row r="22333" ht="14.4" x14ac:dyDescent="0.3"/>
    <row r="22334" ht="14.4" x14ac:dyDescent="0.3"/>
    <row r="22335" ht="14.4" x14ac:dyDescent="0.3"/>
    <row r="22336" ht="14.4" x14ac:dyDescent="0.3"/>
    <row r="22337" ht="14.4" x14ac:dyDescent="0.3"/>
    <row r="22338" ht="14.4" x14ac:dyDescent="0.3"/>
    <row r="22339" ht="14.4" x14ac:dyDescent="0.3"/>
    <row r="22340" ht="14.4" x14ac:dyDescent="0.3"/>
    <row r="22341" ht="14.4" x14ac:dyDescent="0.3"/>
    <row r="22342" ht="14.4" x14ac:dyDescent="0.3"/>
    <row r="22343" ht="14.4" x14ac:dyDescent="0.3"/>
    <row r="22344" ht="14.4" x14ac:dyDescent="0.3"/>
    <row r="22345" ht="14.4" x14ac:dyDescent="0.3"/>
    <row r="22346" ht="14.4" x14ac:dyDescent="0.3"/>
    <row r="22347" ht="14.4" x14ac:dyDescent="0.3"/>
    <row r="22348" ht="14.4" x14ac:dyDescent="0.3"/>
    <row r="22349" ht="14.4" x14ac:dyDescent="0.3"/>
    <row r="22350" ht="14.4" x14ac:dyDescent="0.3"/>
    <row r="22351" ht="14.4" x14ac:dyDescent="0.3"/>
    <row r="22352" ht="14.4" x14ac:dyDescent="0.3"/>
    <row r="22353" ht="14.4" x14ac:dyDescent="0.3"/>
    <row r="22354" ht="14.4" x14ac:dyDescent="0.3"/>
    <row r="22355" ht="14.4" x14ac:dyDescent="0.3"/>
    <row r="22356" ht="14.4" x14ac:dyDescent="0.3"/>
    <row r="22357" ht="14.4" x14ac:dyDescent="0.3"/>
    <row r="22358" ht="14.4" x14ac:dyDescent="0.3"/>
    <row r="22359" ht="14.4" x14ac:dyDescent="0.3"/>
    <row r="22360" ht="14.4" x14ac:dyDescent="0.3"/>
    <row r="22361" ht="14.4" x14ac:dyDescent="0.3"/>
    <row r="22362" ht="14.4" x14ac:dyDescent="0.3"/>
    <row r="22363" ht="14.4" x14ac:dyDescent="0.3"/>
    <row r="22364" ht="14.4" x14ac:dyDescent="0.3"/>
    <row r="22365" ht="14.4" x14ac:dyDescent="0.3"/>
    <row r="22366" ht="14.4" x14ac:dyDescent="0.3"/>
    <row r="22367" ht="14.4" x14ac:dyDescent="0.3"/>
    <row r="22368" ht="14.4" x14ac:dyDescent="0.3"/>
    <row r="22369" ht="14.4" x14ac:dyDescent="0.3"/>
    <row r="22370" ht="14.4" x14ac:dyDescent="0.3"/>
    <row r="22371" ht="14.4" x14ac:dyDescent="0.3"/>
    <row r="22372" ht="14.4" x14ac:dyDescent="0.3"/>
    <row r="22373" ht="14.4" x14ac:dyDescent="0.3"/>
    <row r="22374" ht="14.4" x14ac:dyDescent="0.3"/>
    <row r="22375" ht="14.4" x14ac:dyDescent="0.3"/>
    <row r="22376" ht="14.4" x14ac:dyDescent="0.3"/>
    <row r="22377" ht="14.4" x14ac:dyDescent="0.3"/>
    <row r="22378" ht="14.4" x14ac:dyDescent="0.3"/>
    <row r="22379" ht="14.4" x14ac:dyDescent="0.3"/>
    <row r="22380" ht="14.4" x14ac:dyDescent="0.3"/>
    <row r="22381" ht="14.4" x14ac:dyDescent="0.3"/>
    <row r="22382" ht="14.4" x14ac:dyDescent="0.3"/>
    <row r="22383" ht="14.4" x14ac:dyDescent="0.3"/>
    <row r="22384" ht="14.4" x14ac:dyDescent="0.3"/>
    <row r="22385" ht="14.4" x14ac:dyDescent="0.3"/>
    <row r="22386" ht="14.4" x14ac:dyDescent="0.3"/>
    <row r="22387" ht="14.4" x14ac:dyDescent="0.3"/>
    <row r="22388" ht="14.4" x14ac:dyDescent="0.3"/>
    <row r="22389" ht="14.4" x14ac:dyDescent="0.3"/>
    <row r="22390" ht="14.4" x14ac:dyDescent="0.3"/>
    <row r="22391" ht="14.4" x14ac:dyDescent="0.3"/>
    <row r="22392" ht="14.4" x14ac:dyDescent="0.3"/>
    <row r="22393" ht="14.4" x14ac:dyDescent="0.3"/>
    <row r="22394" ht="14.4" x14ac:dyDescent="0.3"/>
    <row r="22395" ht="14.4" x14ac:dyDescent="0.3"/>
    <row r="22396" ht="14.4" x14ac:dyDescent="0.3"/>
    <row r="22397" ht="14.4" x14ac:dyDescent="0.3"/>
    <row r="22398" ht="14.4" x14ac:dyDescent="0.3"/>
    <row r="22399" ht="14.4" x14ac:dyDescent="0.3"/>
    <row r="22400" ht="14.4" x14ac:dyDescent="0.3"/>
    <row r="22401" ht="14.4" x14ac:dyDescent="0.3"/>
    <row r="22402" ht="14.4" x14ac:dyDescent="0.3"/>
    <row r="22403" ht="14.4" x14ac:dyDescent="0.3"/>
    <row r="22404" ht="14.4" x14ac:dyDescent="0.3"/>
    <row r="22405" ht="14.4" x14ac:dyDescent="0.3"/>
    <row r="22406" ht="14.4" x14ac:dyDescent="0.3"/>
    <row r="22407" ht="14.4" x14ac:dyDescent="0.3"/>
    <row r="22408" ht="14.4" x14ac:dyDescent="0.3"/>
    <row r="22409" ht="14.4" x14ac:dyDescent="0.3"/>
    <row r="22410" ht="14.4" x14ac:dyDescent="0.3"/>
    <row r="22411" ht="14.4" x14ac:dyDescent="0.3"/>
    <row r="22412" ht="14.4" x14ac:dyDescent="0.3"/>
    <row r="22413" ht="14.4" x14ac:dyDescent="0.3"/>
    <row r="22414" ht="14.4" x14ac:dyDescent="0.3"/>
    <row r="22415" ht="14.4" x14ac:dyDescent="0.3"/>
    <row r="22416" ht="14.4" x14ac:dyDescent="0.3"/>
    <row r="22417" ht="14.4" x14ac:dyDescent="0.3"/>
    <row r="22418" ht="14.4" x14ac:dyDescent="0.3"/>
    <row r="22419" ht="14.4" x14ac:dyDescent="0.3"/>
    <row r="22420" ht="14.4" x14ac:dyDescent="0.3"/>
    <row r="22421" ht="14.4" x14ac:dyDescent="0.3"/>
    <row r="22422" ht="14.4" x14ac:dyDescent="0.3"/>
    <row r="22423" ht="14.4" x14ac:dyDescent="0.3"/>
    <row r="22424" ht="14.4" x14ac:dyDescent="0.3"/>
    <row r="22425" ht="14.4" x14ac:dyDescent="0.3"/>
    <row r="22426" ht="14.4" x14ac:dyDescent="0.3"/>
    <row r="22427" ht="14.4" x14ac:dyDescent="0.3"/>
    <row r="22428" ht="14.4" x14ac:dyDescent="0.3"/>
    <row r="22429" ht="14.4" x14ac:dyDescent="0.3"/>
    <row r="22430" ht="14.4" x14ac:dyDescent="0.3"/>
    <row r="22431" ht="14.4" x14ac:dyDescent="0.3"/>
    <row r="22432" ht="14.4" x14ac:dyDescent="0.3"/>
    <row r="22433" ht="14.4" x14ac:dyDescent="0.3"/>
    <row r="22434" ht="14.4" x14ac:dyDescent="0.3"/>
    <row r="22435" ht="14.4" x14ac:dyDescent="0.3"/>
    <row r="22436" ht="14.4" x14ac:dyDescent="0.3"/>
    <row r="22437" ht="14.4" x14ac:dyDescent="0.3"/>
    <row r="22438" ht="14.4" x14ac:dyDescent="0.3"/>
    <row r="22439" ht="14.4" x14ac:dyDescent="0.3"/>
    <row r="22440" ht="14.4" x14ac:dyDescent="0.3"/>
    <row r="22441" ht="14.4" x14ac:dyDescent="0.3"/>
    <row r="22442" ht="14.4" x14ac:dyDescent="0.3"/>
    <row r="22443" ht="14.4" x14ac:dyDescent="0.3"/>
    <row r="22444" ht="14.4" x14ac:dyDescent="0.3"/>
    <row r="22445" ht="14.4" x14ac:dyDescent="0.3"/>
    <row r="22446" ht="14.4" x14ac:dyDescent="0.3"/>
    <row r="22447" ht="14.4" x14ac:dyDescent="0.3"/>
    <row r="22448" ht="14.4" x14ac:dyDescent="0.3"/>
    <row r="22449" ht="14.4" x14ac:dyDescent="0.3"/>
    <row r="22450" ht="14.4" x14ac:dyDescent="0.3"/>
    <row r="22451" ht="14.4" x14ac:dyDescent="0.3"/>
    <row r="22452" ht="14.4" x14ac:dyDescent="0.3"/>
    <row r="22453" ht="14.4" x14ac:dyDescent="0.3"/>
    <row r="22454" ht="14.4" x14ac:dyDescent="0.3"/>
    <row r="22455" ht="14.4" x14ac:dyDescent="0.3"/>
    <row r="22456" ht="14.4" x14ac:dyDescent="0.3"/>
    <row r="22457" ht="14.4" x14ac:dyDescent="0.3"/>
    <row r="22458" ht="14.4" x14ac:dyDescent="0.3"/>
    <row r="22459" ht="14.4" x14ac:dyDescent="0.3"/>
    <row r="22460" ht="14.4" x14ac:dyDescent="0.3"/>
    <row r="22461" ht="14.4" x14ac:dyDescent="0.3"/>
    <row r="22462" ht="14.4" x14ac:dyDescent="0.3"/>
    <row r="22463" ht="14.4" x14ac:dyDescent="0.3"/>
    <row r="22464" ht="14.4" x14ac:dyDescent="0.3"/>
    <row r="22465" ht="14.4" x14ac:dyDescent="0.3"/>
    <row r="22466" ht="14.4" x14ac:dyDescent="0.3"/>
    <row r="22467" ht="14.4" x14ac:dyDescent="0.3"/>
    <row r="22468" ht="14.4" x14ac:dyDescent="0.3"/>
    <row r="22469" ht="14.4" x14ac:dyDescent="0.3"/>
    <row r="22470" ht="14.4" x14ac:dyDescent="0.3"/>
    <row r="22471" ht="14.4" x14ac:dyDescent="0.3"/>
    <row r="22472" ht="14.4" x14ac:dyDescent="0.3"/>
    <row r="22473" ht="14.4" x14ac:dyDescent="0.3"/>
    <row r="22474" ht="14.4" x14ac:dyDescent="0.3"/>
    <row r="22475" ht="14.4" x14ac:dyDescent="0.3"/>
    <row r="22476" ht="14.4" x14ac:dyDescent="0.3"/>
    <row r="22477" ht="14.4" x14ac:dyDescent="0.3"/>
    <row r="22478" ht="14.4" x14ac:dyDescent="0.3"/>
    <row r="22479" ht="14.4" x14ac:dyDescent="0.3"/>
    <row r="22480" ht="14.4" x14ac:dyDescent="0.3"/>
    <row r="22481" ht="14.4" x14ac:dyDescent="0.3"/>
    <row r="22482" ht="14.4" x14ac:dyDescent="0.3"/>
    <row r="22483" ht="14.4" x14ac:dyDescent="0.3"/>
    <row r="22484" ht="14.4" x14ac:dyDescent="0.3"/>
    <row r="22485" ht="14.4" x14ac:dyDescent="0.3"/>
    <row r="22486" ht="14.4" x14ac:dyDescent="0.3"/>
    <row r="22487" ht="14.4" x14ac:dyDescent="0.3"/>
    <row r="22488" ht="14.4" x14ac:dyDescent="0.3"/>
    <row r="22489" ht="14.4" x14ac:dyDescent="0.3"/>
    <row r="22490" ht="14.4" x14ac:dyDescent="0.3"/>
    <row r="22491" ht="14.4" x14ac:dyDescent="0.3"/>
    <row r="22492" ht="14.4" x14ac:dyDescent="0.3"/>
    <row r="22493" ht="14.4" x14ac:dyDescent="0.3"/>
    <row r="22494" ht="14.4" x14ac:dyDescent="0.3"/>
    <row r="22495" ht="14.4" x14ac:dyDescent="0.3"/>
    <row r="22496" ht="14.4" x14ac:dyDescent="0.3"/>
    <row r="22497" ht="14.4" x14ac:dyDescent="0.3"/>
    <row r="22498" ht="14.4" x14ac:dyDescent="0.3"/>
    <row r="22499" ht="14.4" x14ac:dyDescent="0.3"/>
    <row r="22500" ht="14.4" x14ac:dyDescent="0.3"/>
    <row r="22501" ht="14.4" x14ac:dyDescent="0.3"/>
    <row r="22502" ht="14.4" x14ac:dyDescent="0.3"/>
    <row r="22503" ht="14.4" x14ac:dyDescent="0.3"/>
    <row r="22504" ht="14.4" x14ac:dyDescent="0.3"/>
    <row r="22505" ht="14.4" x14ac:dyDescent="0.3"/>
    <row r="22506" ht="14.4" x14ac:dyDescent="0.3"/>
    <row r="22507" ht="14.4" x14ac:dyDescent="0.3"/>
    <row r="22508" ht="14.4" x14ac:dyDescent="0.3"/>
    <row r="22509" ht="14.4" x14ac:dyDescent="0.3"/>
    <row r="22510" ht="14.4" x14ac:dyDescent="0.3"/>
    <row r="22511" ht="14.4" x14ac:dyDescent="0.3"/>
    <row r="22512" ht="14.4" x14ac:dyDescent="0.3"/>
    <row r="22513" ht="14.4" x14ac:dyDescent="0.3"/>
    <row r="22514" ht="14.4" x14ac:dyDescent="0.3"/>
    <row r="22515" ht="14.4" x14ac:dyDescent="0.3"/>
    <row r="22516" ht="14.4" x14ac:dyDescent="0.3"/>
    <row r="22517" ht="14.4" x14ac:dyDescent="0.3"/>
    <row r="22518" ht="14.4" x14ac:dyDescent="0.3"/>
    <row r="22519" ht="14.4" x14ac:dyDescent="0.3"/>
    <row r="22520" ht="14.4" x14ac:dyDescent="0.3"/>
    <row r="22521" ht="14.4" x14ac:dyDescent="0.3"/>
    <row r="22522" ht="14.4" x14ac:dyDescent="0.3"/>
    <row r="22523" ht="14.4" x14ac:dyDescent="0.3"/>
    <row r="22524" ht="14.4" x14ac:dyDescent="0.3"/>
    <row r="22525" ht="14.4" x14ac:dyDescent="0.3"/>
    <row r="22526" ht="14.4" x14ac:dyDescent="0.3"/>
    <row r="22527" ht="14.4" x14ac:dyDescent="0.3"/>
    <row r="22528" ht="14.4" x14ac:dyDescent="0.3"/>
    <row r="22529" ht="14.4" x14ac:dyDescent="0.3"/>
    <row r="22530" ht="14.4" x14ac:dyDescent="0.3"/>
    <row r="22531" ht="14.4" x14ac:dyDescent="0.3"/>
    <row r="22532" ht="14.4" x14ac:dyDescent="0.3"/>
    <row r="22533" ht="14.4" x14ac:dyDescent="0.3"/>
    <row r="22534" ht="14.4" x14ac:dyDescent="0.3"/>
    <row r="22535" ht="14.4" x14ac:dyDescent="0.3"/>
    <row r="22536" ht="14.4" x14ac:dyDescent="0.3"/>
    <row r="22537" ht="14.4" x14ac:dyDescent="0.3"/>
    <row r="22538" ht="14.4" x14ac:dyDescent="0.3"/>
    <row r="22539" ht="14.4" x14ac:dyDescent="0.3"/>
    <row r="22540" ht="14.4" x14ac:dyDescent="0.3"/>
    <row r="22541" ht="14.4" x14ac:dyDescent="0.3"/>
    <row r="22542" ht="14.4" x14ac:dyDescent="0.3"/>
    <row r="22543" ht="14.4" x14ac:dyDescent="0.3"/>
    <row r="22544" ht="14.4" x14ac:dyDescent="0.3"/>
    <row r="22545" ht="14.4" x14ac:dyDescent="0.3"/>
    <row r="22546" ht="14.4" x14ac:dyDescent="0.3"/>
    <row r="22547" ht="14.4" x14ac:dyDescent="0.3"/>
    <row r="22548" ht="14.4" x14ac:dyDescent="0.3"/>
    <row r="22549" ht="14.4" x14ac:dyDescent="0.3"/>
    <row r="22550" ht="14.4" x14ac:dyDescent="0.3"/>
    <row r="22551" ht="14.4" x14ac:dyDescent="0.3"/>
    <row r="22552" ht="14.4" x14ac:dyDescent="0.3"/>
    <row r="22553" ht="14.4" x14ac:dyDescent="0.3"/>
    <row r="22554" ht="14.4" x14ac:dyDescent="0.3"/>
    <row r="22555" ht="14.4" x14ac:dyDescent="0.3"/>
    <row r="22556" ht="14.4" x14ac:dyDescent="0.3"/>
    <row r="22557" ht="14.4" x14ac:dyDescent="0.3"/>
    <row r="22558" ht="14.4" x14ac:dyDescent="0.3"/>
    <row r="22559" ht="14.4" x14ac:dyDescent="0.3"/>
    <row r="22560" ht="14.4" x14ac:dyDescent="0.3"/>
    <row r="22561" ht="14.4" x14ac:dyDescent="0.3"/>
    <row r="22562" ht="14.4" x14ac:dyDescent="0.3"/>
    <row r="22563" ht="14.4" x14ac:dyDescent="0.3"/>
    <row r="22564" ht="14.4" x14ac:dyDescent="0.3"/>
    <row r="22565" ht="14.4" x14ac:dyDescent="0.3"/>
    <row r="22566" ht="14.4" x14ac:dyDescent="0.3"/>
    <row r="22567" ht="14.4" x14ac:dyDescent="0.3"/>
    <row r="22568" ht="14.4" x14ac:dyDescent="0.3"/>
    <row r="22569" ht="14.4" x14ac:dyDescent="0.3"/>
    <row r="22570" ht="14.4" x14ac:dyDescent="0.3"/>
    <row r="22571" ht="14.4" x14ac:dyDescent="0.3"/>
    <row r="22572" ht="14.4" x14ac:dyDescent="0.3"/>
    <row r="22573" ht="14.4" x14ac:dyDescent="0.3"/>
    <row r="22574" ht="14.4" x14ac:dyDescent="0.3"/>
    <row r="22575" ht="14.4" x14ac:dyDescent="0.3"/>
    <row r="22576" ht="14.4" x14ac:dyDescent="0.3"/>
    <row r="22577" ht="14.4" x14ac:dyDescent="0.3"/>
    <row r="22578" ht="14.4" x14ac:dyDescent="0.3"/>
    <row r="22579" ht="14.4" x14ac:dyDescent="0.3"/>
    <row r="22580" ht="14.4" x14ac:dyDescent="0.3"/>
    <row r="22581" ht="14.4" x14ac:dyDescent="0.3"/>
    <row r="22582" ht="14.4" x14ac:dyDescent="0.3"/>
    <row r="22583" ht="14.4" x14ac:dyDescent="0.3"/>
    <row r="22584" ht="14.4" x14ac:dyDescent="0.3"/>
    <row r="22585" ht="14.4" x14ac:dyDescent="0.3"/>
    <row r="22586" ht="14.4" x14ac:dyDescent="0.3"/>
    <row r="22587" ht="14.4" x14ac:dyDescent="0.3"/>
    <row r="22588" ht="14.4" x14ac:dyDescent="0.3"/>
    <row r="22589" ht="14.4" x14ac:dyDescent="0.3"/>
    <row r="22590" ht="14.4" x14ac:dyDescent="0.3"/>
    <row r="22591" ht="14.4" x14ac:dyDescent="0.3"/>
    <row r="22592" ht="14.4" x14ac:dyDescent="0.3"/>
    <row r="22593" ht="14.4" x14ac:dyDescent="0.3"/>
    <row r="22594" ht="14.4" x14ac:dyDescent="0.3"/>
    <row r="22595" ht="14.4" x14ac:dyDescent="0.3"/>
    <row r="22596" ht="14.4" x14ac:dyDescent="0.3"/>
    <row r="22597" ht="14.4" x14ac:dyDescent="0.3"/>
    <row r="22598" ht="14.4" x14ac:dyDescent="0.3"/>
    <row r="22599" ht="14.4" x14ac:dyDescent="0.3"/>
    <row r="22600" ht="14.4" x14ac:dyDescent="0.3"/>
    <row r="22601" ht="14.4" x14ac:dyDescent="0.3"/>
    <row r="22602" ht="14.4" x14ac:dyDescent="0.3"/>
    <row r="22603" ht="14.4" x14ac:dyDescent="0.3"/>
    <row r="22604" ht="14.4" x14ac:dyDescent="0.3"/>
    <row r="22605" ht="14.4" x14ac:dyDescent="0.3"/>
    <row r="22606" ht="14.4" x14ac:dyDescent="0.3"/>
    <row r="22607" ht="14.4" x14ac:dyDescent="0.3"/>
    <row r="22608" ht="14.4" x14ac:dyDescent="0.3"/>
    <row r="22609" ht="14.4" x14ac:dyDescent="0.3"/>
    <row r="22610" ht="14.4" x14ac:dyDescent="0.3"/>
    <row r="22611" ht="14.4" x14ac:dyDescent="0.3"/>
    <row r="22612" ht="14.4" x14ac:dyDescent="0.3"/>
    <row r="22613" ht="14.4" x14ac:dyDescent="0.3"/>
    <row r="22614" ht="14.4" x14ac:dyDescent="0.3"/>
    <row r="22615" ht="14.4" x14ac:dyDescent="0.3"/>
    <row r="22616" ht="14.4" x14ac:dyDescent="0.3"/>
    <row r="22617" ht="14.4" x14ac:dyDescent="0.3"/>
    <row r="22618" ht="14.4" x14ac:dyDescent="0.3"/>
    <row r="22619" ht="14.4" x14ac:dyDescent="0.3"/>
    <row r="22620" ht="14.4" x14ac:dyDescent="0.3"/>
    <row r="22621" ht="14.4" x14ac:dyDescent="0.3"/>
    <row r="22622" ht="14.4" x14ac:dyDescent="0.3"/>
    <row r="22623" ht="14.4" x14ac:dyDescent="0.3"/>
    <row r="22624" ht="14.4" x14ac:dyDescent="0.3"/>
    <row r="22625" ht="14.4" x14ac:dyDescent="0.3"/>
    <row r="22626" ht="14.4" x14ac:dyDescent="0.3"/>
    <row r="22627" ht="14.4" x14ac:dyDescent="0.3"/>
    <row r="22628" ht="14.4" x14ac:dyDescent="0.3"/>
    <row r="22629" ht="14.4" x14ac:dyDescent="0.3"/>
    <row r="22630" ht="14.4" x14ac:dyDescent="0.3"/>
    <row r="22631" ht="14.4" x14ac:dyDescent="0.3"/>
    <row r="22632" ht="14.4" x14ac:dyDescent="0.3"/>
    <row r="22633" ht="14.4" x14ac:dyDescent="0.3"/>
    <row r="22634" ht="14.4" x14ac:dyDescent="0.3"/>
    <row r="22635" ht="14.4" x14ac:dyDescent="0.3"/>
    <row r="22636" ht="14.4" x14ac:dyDescent="0.3"/>
    <row r="22637" ht="14.4" x14ac:dyDescent="0.3"/>
    <row r="22638" ht="14.4" x14ac:dyDescent="0.3"/>
    <row r="22639" ht="14.4" x14ac:dyDescent="0.3"/>
    <row r="22640" ht="14.4" x14ac:dyDescent="0.3"/>
    <row r="22641" ht="14.4" x14ac:dyDescent="0.3"/>
    <row r="22642" ht="14.4" x14ac:dyDescent="0.3"/>
    <row r="22643" ht="14.4" x14ac:dyDescent="0.3"/>
    <row r="22644" ht="14.4" x14ac:dyDescent="0.3"/>
    <row r="22645" ht="14.4" x14ac:dyDescent="0.3"/>
    <row r="22646" ht="14.4" x14ac:dyDescent="0.3"/>
    <row r="22647" ht="14.4" x14ac:dyDescent="0.3"/>
    <row r="22648" ht="14.4" x14ac:dyDescent="0.3"/>
    <row r="22649" ht="14.4" x14ac:dyDescent="0.3"/>
    <row r="22650" ht="14.4" x14ac:dyDescent="0.3"/>
    <row r="22651" ht="14.4" x14ac:dyDescent="0.3"/>
    <row r="22652" ht="14.4" x14ac:dyDescent="0.3"/>
    <row r="22653" ht="14.4" x14ac:dyDescent="0.3"/>
    <row r="22654" ht="14.4" x14ac:dyDescent="0.3"/>
    <row r="22655" ht="14.4" x14ac:dyDescent="0.3"/>
    <row r="22656" ht="14.4" x14ac:dyDescent="0.3"/>
    <row r="22657" ht="14.4" x14ac:dyDescent="0.3"/>
    <row r="22658" ht="14.4" x14ac:dyDescent="0.3"/>
    <row r="22659" ht="14.4" x14ac:dyDescent="0.3"/>
    <row r="22660" ht="14.4" x14ac:dyDescent="0.3"/>
    <row r="22661" ht="14.4" x14ac:dyDescent="0.3"/>
    <row r="22662" ht="14.4" x14ac:dyDescent="0.3"/>
    <row r="22663" ht="14.4" x14ac:dyDescent="0.3"/>
    <row r="22664" ht="14.4" x14ac:dyDescent="0.3"/>
    <row r="22665" ht="14.4" x14ac:dyDescent="0.3"/>
    <row r="22666" ht="14.4" x14ac:dyDescent="0.3"/>
    <row r="22667" ht="14.4" x14ac:dyDescent="0.3"/>
    <row r="22668" ht="14.4" x14ac:dyDescent="0.3"/>
    <row r="22669" ht="14.4" x14ac:dyDescent="0.3"/>
    <row r="22670" ht="14.4" x14ac:dyDescent="0.3"/>
    <row r="22671" ht="14.4" x14ac:dyDescent="0.3"/>
    <row r="22672" ht="14.4" x14ac:dyDescent="0.3"/>
    <row r="22673" ht="14.4" x14ac:dyDescent="0.3"/>
    <row r="22674" ht="14.4" x14ac:dyDescent="0.3"/>
    <row r="22675" ht="14.4" x14ac:dyDescent="0.3"/>
    <row r="22676" ht="14.4" x14ac:dyDescent="0.3"/>
    <row r="22677" ht="14.4" x14ac:dyDescent="0.3"/>
    <row r="22678" ht="14.4" x14ac:dyDescent="0.3"/>
    <row r="22679" ht="14.4" x14ac:dyDescent="0.3"/>
    <row r="22680" ht="14.4" x14ac:dyDescent="0.3"/>
    <row r="22681" ht="14.4" x14ac:dyDescent="0.3"/>
    <row r="22682" ht="14.4" x14ac:dyDescent="0.3"/>
    <row r="22683" ht="14.4" x14ac:dyDescent="0.3"/>
    <row r="22684" ht="14.4" x14ac:dyDescent="0.3"/>
    <row r="22685" ht="14.4" x14ac:dyDescent="0.3"/>
    <row r="22686" ht="14.4" x14ac:dyDescent="0.3"/>
    <row r="22687" ht="14.4" x14ac:dyDescent="0.3"/>
    <row r="22688" ht="14.4" x14ac:dyDescent="0.3"/>
    <row r="22689" ht="14.4" x14ac:dyDescent="0.3"/>
    <row r="22690" ht="14.4" x14ac:dyDescent="0.3"/>
    <row r="22691" ht="14.4" x14ac:dyDescent="0.3"/>
    <row r="22692" ht="14.4" x14ac:dyDescent="0.3"/>
    <row r="22693" ht="14.4" x14ac:dyDescent="0.3"/>
    <row r="22694" ht="14.4" x14ac:dyDescent="0.3"/>
    <row r="22695" ht="14.4" x14ac:dyDescent="0.3"/>
    <row r="22696" ht="14.4" x14ac:dyDescent="0.3"/>
    <row r="22697" ht="14.4" x14ac:dyDescent="0.3"/>
    <row r="22698" ht="14.4" x14ac:dyDescent="0.3"/>
    <row r="22699" ht="14.4" x14ac:dyDescent="0.3"/>
    <row r="22700" ht="14.4" x14ac:dyDescent="0.3"/>
    <row r="22701" ht="14.4" x14ac:dyDescent="0.3"/>
    <row r="22702" ht="14.4" x14ac:dyDescent="0.3"/>
    <row r="22703" ht="14.4" x14ac:dyDescent="0.3"/>
    <row r="22704" ht="14.4" x14ac:dyDescent="0.3"/>
    <row r="22705" ht="14.4" x14ac:dyDescent="0.3"/>
    <row r="22706" ht="14.4" x14ac:dyDescent="0.3"/>
    <row r="22707" ht="14.4" x14ac:dyDescent="0.3"/>
    <row r="22708" ht="14.4" x14ac:dyDescent="0.3"/>
    <row r="22709" ht="14.4" x14ac:dyDescent="0.3"/>
    <row r="22710" ht="14.4" x14ac:dyDescent="0.3"/>
    <row r="22711" ht="14.4" x14ac:dyDescent="0.3"/>
    <row r="22712" ht="14.4" x14ac:dyDescent="0.3"/>
    <row r="22713" ht="14.4" x14ac:dyDescent="0.3"/>
    <row r="22714" ht="14.4" x14ac:dyDescent="0.3"/>
    <row r="22715" ht="14.4" x14ac:dyDescent="0.3"/>
    <row r="22716" ht="14.4" x14ac:dyDescent="0.3"/>
    <row r="22717" ht="14.4" x14ac:dyDescent="0.3"/>
    <row r="22718" ht="14.4" x14ac:dyDescent="0.3"/>
    <row r="22719" ht="14.4" x14ac:dyDescent="0.3"/>
    <row r="22720" ht="14.4" x14ac:dyDescent="0.3"/>
    <row r="22721" ht="14.4" x14ac:dyDescent="0.3"/>
    <row r="22722" ht="14.4" x14ac:dyDescent="0.3"/>
    <row r="22723" ht="14.4" x14ac:dyDescent="0.3"/>
    <row r="22724" ht="14.4" x14ac:dyDescent="0.3"/>
    <row r="22725" ht="14.4" x14ac:dyDescent="0.3"/>
    <row r="22726" ht="14.4" x14ac:dyDescent="0.3"/>
    <row r="22727" ht="14.4" x14ac:dyDescent="0.3"/>
    <row r="22728" ht="14.4" x14ac:dyDescent="0.3"/>
    <row r="22729" ht="14.4" x14ac:dyDescent="0.3"/>
    <row r="22730" ht="14.4" x14ac:dyDescent="0.3"/>
    <row r="22731" ht="14.4" x14ac:dyDescent="0.3"/>
    <row r="22732" ht="14.4" x14ac:dyDescent="0.3"/>
    <row r="22733" ht="14.4" x14ac:dyDescent="0.3"/>
    <row r="22734" ht="14.4" x14ac:dyDescent="0.3"/>
    <row r="22735" ht="14.4" x14ac:dyDescent="0.3"/>
    <row r="22736" ht="14.4" x14ac:dyDescent="0.3"/>
    <row r="22737" ht="14.4" x14ac:dyDescent="0.3"/>
    <row r="22738" ht="14.4" x14ac:dyDescent="0.3"/>
    <row r="22739" ht="14.4" x14ac:dyDescent="0.3"/>
    <row r="22740" ht="14.4" x14ac:dyDescent="0.3"/>
    <row r="22741" ht="14.4" x14ac:dyDescent="0.3"/>
    <row r="22742" ht="14.4" x14ac:dyDescent="0.3"/>
    <row r="22743" ht="14.4" x14ac:dyDescent="0.3"/>
    <row r="22744" ht="14.4" x14ac:dyDescent="0.3"/>
    <row r="22745" ht="14.4" x14ac:dyDescent="0.3"/>
    <row r="22746" ht="14.4" x14ac:dyDescent="0.3"/>
    <row r="22747" ht="14.4" x14ac:dyDescent="0.3"/>
    <row r="22748" ht="14.4" x14ac:dyDescent="0.3"/>
    <row r="22749" ht="14.4" x14ac:dyDescent="0.3"/>
    <row r="22750" ht="14.4" x14ac:dyDescent="0.3"/>
    <row r="22751" ht="14.4" x14ac:dyDescent="0.3"/>
    <row r="22752" ht="14.4" x14ac:dyDescent="0.3"/>
    <row r="22753" ht="14.4" x14ac:dyDescent="0.3"/>
    <row r="22754" ht="14.4" x14ac:dyDescent="0.3"/>
    <row r="22755" ht="14.4" x14ac:dyDescent="0.3"/>
    <row r="22756" ht="14.4" x14ac:dyDescent="0.3"/>
    <row r="22757" ht="14.4" x14ac:dyDescent="0.3"/>
    <row r="22758" ht="14.4" x14ac:dyDescent="0.3"/>
    <row r="22759" ht="14.4" x14ac:dyDescent="0.3"/>
    <row r="22760" ht="14.4" x14ac:dyDescent="0.3"/>
    <row r="22761" ht="14.4" x14ac:dyDescent="0.3"/>
    <row r="22762" ht="14.4" x14ac:dyDescent="0.3"/>
    <row r="22763" ht="14.4" x14ac:dyDescent="0.3"/>
    <row r="22764" ht="14.4" x14ac:dyDescent="0.3"/>
    <row r="22765" ht="14.4" x14ac:dyDescent="0.3"/>
    <row r="22766" ht="14.4" x14ac:dyDescent="0.3"/>
    <row r="22767" ht="14.4" x14ac:dyDescent="0.3"/>
    <row r="22768" ht="14.4" x14ac:dyDescent="0.3"/>
    <row r="22769" ht="14.4" x14ac:dyDescent="0.3"/>
    <row r="22770" ht="14.4" x14ac:dyDescent="0.3"/>
    <row r="22771" ht="14.4" x14ac:dyDescent="0.3"/>
    <row r="22772" ht="14.4" x14ac:dyDescent="0.3"/>
    <row r="22773" ht="14.4" x14ac:dyDescent="0.3"/>
    <row r="22774" ht="14.4" x14ac:dyDescent="0.3"/>
    <row r="22775" ht="14.4" x14ac:dyDescent="0.3"/>
    <row r="22776" ht="14.4" x14ac:dyDescent="0.3"/>
    <row r="22777" ht="14.4" x14ac:dyDescent="0.3"/>
    <row r="22778" ht="14.4" x14ac:dyDescent="0.3"/>
    <row r="22779" ht="14.4" x14ac:dyDescent="0.3"/>
    <row r="22780" ht="14.4" x14ac:dyDescent="0.3"/>
    <row r="22781" ht="14.4" x14ac:dyDescent="0.3"/>
    <row r="22782" ht="14.4" x14ac:dyDescent="0.3"/>
    <row r="22783" ht="14.4" x14ac:dyDescent="0.3"/>
    <row r="22784" ht="14.4" x14ac:dyDescent="0.3"/>
    <row r="22785" ht="14.4" x14ac:dyDescent="0.3"/>
    <row r="22786" ht="14.4" x14ac:dyDescent="0.3"/>
    <row r="22787" ht="14.4" x14ac:dyDescent="0.3"/>
    <row r="22788" ht="14.4" x14ac:dyDescent="0.3"/>
    <row r="22789" ht="14.4" x14ac:dyDescent="0.3"/>
    <row r="22790" ht="14.4" x14ac:dyDescent="0.3"/>
    <row r="22791" ht="14.4" x14ac:dyDescent="0.3"/>
    <row r="22792" ht="14.4" x14ac:dyDescent="0.3"/>
    <row r="22793" ht="14.4" x14ac:dyDescent="0.3"/>
    <row r="22794" ht="14.4" x14ac:dyDescent="0.3"/>
    <row r="22795" ht="14.4" x14ac:dyDescent="0.3"/>
    <row r="22796" ht="14.4" x14ac:dyDescent="0.3"/>
    <row r="22797" ht="14.4" x14ac:dyDescent="0.3"/>
    <row r="22798" ht="14.4" x14ac:dyDescent="0.3"/>
    <row r="22799" ht="14.4" x14ac:dyDescent="0.3"/>
    <row r="22800" ht="14.4" x14ac:dyDescent="0.3"/>
    <row r="22801" ht="14.4" x14ac:dyDescent="0.3"/>
    <row r="22802" ht="14.4" x14ac:dyDescent="0.3"/>
    <row r="22803" ht="14.4" x14ac:dyDescent="0.3"/>
    <row r="22804" ht="14.4" x14ac:dyDescent="0.3"/>
    <row r="22805" ht="14.4" x14ac:dyDescent="0.3"/>
    <row r="22806" ht="14.4" x14ac:dyDescent="0.3"/>
    <row r="22807" ht="14.4" x14ac:dyDescent="0.3"/>
    <row r="22808" ht="14.4" x14ac:dyDescent="0.3"/>
    <row r="22809" ht="14.4" x14ac:dyDescent="0.3"/>
    <row r="22810" ht="14.4" x14ac:dyDescent="0.3"/>
    <row r="22811" ht="14.4" x14ac:dyDescent="0.3"/>
    <row r="22812" ht="14.4" x14ac:dyDescent="0.3"/>
    <row r="22813" ht="14.4" x14ac:dyDescent="0.3"/>
    <row r="22814" ht="14.4" x14ac:dyDescent="0.3"/>
    <row r="22815" ht="14.4" x14ac:dyDescent="0.3"/>
    <row r="22816" ht="14.4" x14ac:dyDescent="0.3"/>
    <row r="22817" ht="14.4" x14ac:dyDescent="0.3"/>
    <row r="22818" ht="14.4" x14ac:dyDescent="0.3"/>
    <row r="22819" ht="14.4" x14ac:dyDescent="0.3"/>
    <row r="22820" ht="14.4" x14ac:dyDescent="0.3"/>
    <row r="22821" ht="14.4" x14ac:dyDescent="0.3"/>
    <row r="22822" ht="14.4" x14ac:dyDescent="0.3"/>
    <row r="22823" ht="14.4" x14ac:dyDescent="0.3"/>
    <row r="22824" ht="14.4" x14ac:dyDescent="0.3"/>
    <row r="22825" ht="14.4" x14ac:dyDescent="0.3"/>
    <row r="22826" ht="14.4" x14ac:dyDescent="0.3"/>
    <row r="22827" ht="14.4" x14ac:dyDescent="0.3"/>
    <row r="22828" ht="14.4" x14ac:dyDescent="0.3"/>
    <row r="22829" ht="14.4" x14ac:dyDescent="0.3"/>
    <row r="22830" ht="14.4" x14ac:dyDescent="0.3"/>
    <row r="22831" ht="14.4" x14ac:dyDescent="0.3"/>
    <row r="22832" ht="14.4" x14ac:dyDescent="0.3"/>
    <row r="22833" ht="14.4" x14ac:dyDescent="0.3"/>
    <row r="22834" ht="14.4" x14ac:dyDescent="0.3"/>
    <row r="22835" ht="14.4" x14ac:dyDescent="0.3"/>
    <row r="22836" ht="14.4" x14ac:dyDescent="0.3"/>
    <row r="22837" ht="14.4" x14ac:dyDescent="0.3"/>
    <row r="22838" ht="14.4" x14ac:dyDescent="0.3"/>
    <row r="22839" ht="14.4" x14ac:dyDescent="0.3"/>
    <row r="22840" ht="14.4" x14ac:dyDescent="0.3"/>
    <row r="22841" ht="14.4" x14ac:dyDescent="0.3"/>
    <row r="22842" ht="14.4" x14ac:dyDescent="0.3"/>
    <row r="22843" ht="14.4" x14ac:dyDescent="0.3"/>
    <row r="22844" ht="14.4" x14ac:dyDescent="0.3"/>
    <row r="22845" ht="14.4" x14ac:dyDescent="0.3"/>
    <row r="22846" ht="14.4" x14ac:dyDescent="0.3"/>
    <row r="22847" ht="14.4" x14ac:dyDescent="0.3"/>
    <row r="22848" ht="14.4" x14ac:dyDescent="0.3"/>
    <row r="22849" ht="14.4" x14ac:dyDescent="0.3"/>
    <row r="22850" ht="14.4" x14ac:dyDescent="0.3"/>
    <row r="22851" ht="14.4" x14ac:dyDescent="0.3"/>
    <row r="22852" ht="14.4" x14ac:dyDescent="0.3"/>
    <row r="22853" ht="14.4" x14ac:dyDescent="0.3"/>
    <row r="22854" ht="14.4" x14ac:dyDescent="0.3"/>
    <row r="22855" ht="14.4" x14ac:dyDescent="0.3"/>
    <row r="22856" ht="14.4" x14ac:dyDescent="0.3"/>
    <row r="22857" ht="14.4" x14ac:dyDescent="0.3"/>
    <row r="22858" ht="14.4" x14ac:dyDescent="0.3"/>
    <row r="22859" ht="14.4" x14ac:dyDescent="0.3"/>
    <row r="22860" ht="14.4" x14ac:dyDescent="0.3"/>
    <row r="22861" ht="14.4" x14ac:dyDescent="0.3"/>
    <row r="22862" ht="14.4" x14ac:dyDescent="0.3"/>
    <row r="22863" ht="14.4" x14ac:dyDescent="0.3"/>
    <row r="22864" ht="14.4" x14ac:dyDescent="0.3"/>
    <row r="22865" ht="14.4" x14ac:dyDescent="0.3"/>
    <row r="22866" ht="14.4" x14ac:dyDescent="0.3"/>
    <row r="22867" ht="14.4" x14ac:dyDescent="0.3"/>
    <row r="22868" ht="14.4" x14ac:dyDescent="0.3"/>
    <row r="22869" ht="14.4" x14ac:dyDescent="0.3"/>
    <row r="22870" ht="14.4" x14ac:dyDescent="0.3"/>
    <row r="22871" ht="14.4" x14ac:dyDescent="0.3"/>
    <row r="22872" ht="14.4" x14ac:dyDescent="0.3"/>
    <row r="22873" ht="14.4" x14ac:dyDescent="0.3"/>
    <row r="22874" ht="14.4" x14ac:dyDescent="0.3"/>
    <row r="22875" ht="14.4" x14ac:dyDescent="0.3"/>
    <row r="22876" ht="14.4" x14ac:dyDescent="0.3"/>
    <row r="22877" ht="14.4" x14ac:dyDescent="0.3"/>
    <row r="22878" ht="14.4" x14ac:dyDescent="0.3"/>
    <row r="22879" ht="14.4" x14ac:dyDescent="0.3"/>
    <row r="22880" ht="14.4" x14ac:dyDescent="0.3"/>
    <row r="22881" ht="14.4" x14ac:dyDescent="0.3"/>
    <row r="22882" ht="14.4" x14ac:dyDescent="0.3"/>
    <row r="22883" ht="14.4" x14ac:dyDescent="0.3"/>
    <row r="22884" ht="14.4" x14ac:dyDescent="0.3"/>
    <row r="22885" ht="14.4" x14ac:dyDescent="0.3"/>
    <row r="22886" ht="14.4" x14ac:dyDescent="0.3"/>
    <row r="22887" ht="14.4" x14ac:dyDescent="0.3"/>
    <row r="22888" ht="14.4" x14ac:dyDescent="0.3"/>
    <row r="22889" ht="14.4" x14ac:dyDescent="0.3"/>
    <row r="22890" ht="14.4" x14ac:dyDescent="0.3"/>
    <row r="22891" ht="14.4" x14ac:dyDescent="0.3"/>
    <row r="22892" ht="14.4" x14ac:dyDescent="0.3"/>
    <row r="22893" ht="14.4" x14ac:dyDescent="0.3"/>
    <row r="22894" ht="14.4" x14ac:dyDescent="0.3"/>
    <row r="22895" ht="14.4" x14ac:dyDescent="0.3"/>
    <row r="22896" ht="14.4" x14ac:dyDescent="0.3"/>
    <row r="22897" ht="14.4" x14ac:dyDescent="0.3"/>
    <row r="22898" ht="14.4" x14ac:dyDescent="0.3"/>
    <row r="22899" ht="14.4" x14ac:dyDescent="0.3"/>
    <row r="22900" ht="14.4" x14ac:dyDescent="0.3"/>
    <row r="22901" ht="14.4" x14ac:dyDescent="0.3"/>
    <row r="22902" ht="14.4" x14ac:dyDescent="0.3"/>
    <row r="22903" ht="14.4" x14ac:dyDescent="0.3"/>
    <row r="22904" ht="14.4" x14ac:dyDescent="0.3"/>
    <row r="22905" ht="14.4" x14ac:dyDescent="0.3"/>
    <row r="22906" ht="14.4" x14ac:dyDescent="0.3"/>
    <row r="22907" ht="14.4" x14ac:dyDescent="0.3"/>
    <row r="22908" ht="14.4" x14ac:dyDescent="0.3"/>
    <row r="22909" ht="14.4" x14ac:dyDescent="0.3"/>
    <row r="22910" ht="14.4" x14ac:dyDescent="0.3"/>
    <row r="22911" ht="14.4" x14ac:dyDescent="0.3"/>
    <row r="22912" ht="14.4" x14ac:dyDescent="0.3"/>
    <row r="22913" ht="14.4" x14ac:dyDescent="0.3"/>
    <row r="22914" ht="14.4" x14ac:dyDescent="0.3"/>
    <row r="22915" ht="14.4" x14ac:dyDescent="0.3"/>
    <row r="22916" ht="14.4" x14ac:dyDescent="0.3"/>
    <row r="22917" ht="14.4" x14ac:dyDescent="0.3"/>
    <row r="22918" ht="14.4" x14ac:dyDescent="0.3"/>
    <row r="22919" ht="14.4" x14ac:dyDescent="0.3"/>
    <row r="22920" ht="14.4" x14ac:dyDescent="0.3"/>
    <row r="22921" ht="14.4" x14ac:dyDescent="0.3"/>
    <row r="22922" ht="14.4" x14ac:dyDescent="0.3"/>
    <row r="22923" ht="14.4" x14ac:dyDescent="0.3"/>
    <row r="22924" ht="14.4" x14ac:dyDescent="0.3"/>
    <row r="22925" ht="14.4" x14ac:dyDescent="0.3"/>
    <row r="22926" ht="14.4" x14ac:dyDescent="0.3"/>
    <row r="22927" ht="14.4" x14ac:dyDescent="0.3"/>
    <row r="22928" ht="14.4" x14ac:dyDescent="0.3"/>
    <row r="22929" ht="14.4" x14ac:dyDescent="0.3"/>
    <row r="22930" ht="14.4" x14ac:dyDescent="0.3"/>
    <row r="22931" ht="14.4" x14ac:dyDescent="0.3"/>
    <row r="22932" ht="14.4" x14ac:dyDescent="0.3"/>
    <row r="22933" ht="14.4" x14ac:dyDescent="0.3"/>
    <row r="22934" ht="14.4" x14ac:dyDescent="0.3"/>
    <row r="22935" ht="14.4" x14ac:dyDescent="0.3"/>
    <row r="22936" ht="14.4" x14ac:dyDescent="0.3"/>
    <row r="22937" ht="14.4" x14ac:dyDescent="0.3"/>
    <row r="22938" ht="14.4" x14ac:dyDescent="0.3"/>
    <row r="22939" ht="14.4" x14ac:dyDescent="0.3"/>
    <row r="22940" ht="14.4" x14ac:dyDescent="0.3"/>
    <row r="22941" ht="14.4" x14ac:dyDescent="0.3"/>
    <row r="22942" ht="14.4" x14ac:dyDescent="0.3"/>
    <row r="22943" ht="14.4" x14ac:dyDescent="0.3"/>
    <row r="22944" ht="14.4" x14ac:dyDescent="0.3"/>
    <row r="22945" ht="14.4" x14ac:dyDescent="0.3"/>
    <row r="22946" ht="14.4" x14ac:dyDescent="0.3"/>
    <row r="22947" ht="14.4" x14ac:dyDescent="0.3"/>
    <row r="22948" ht="14.4" x14ac:dyDescent="0.3"/>
    <row r="22949" ht="14.4" x14ac:dyDescent="0.3"/>
    <row r="22950" ht="14.4" x14ac:dyDescent="0.3"/>
    <row r="22951" ht="14.4" x14ac:dyDescent="0.3"/>
    <row r="22952" ht="14.4" x14ac:dyDescent="0.3"/>
    <row r="22953" ht="14.4" x14ac:dyDescent="0.3"/>
    <row r="22954" ht="14.4" x14ac:dyDescent="0.3"/>
    <row r="22955" ht="14.4" x14ac:dyDescent="0.3"/>
    <row r="22956" ht="14.4" x14ac:dyDescent="0.3"/>
    <row r="22957" ht="14.4" x14ac:dyDescent="0.3"/>
    <row r="22958" ht="14.4" x14ac:dyDescent="0.3"/>
    <row r="22959" ht="14.4" x14ac:dyDescent="0.3"/>
    <row r="22960" ht="14.4" x14ac:dyDescent="0.3"/>
    <row r="22961" ht="14.4" x14ac:dyDescent="0.3"/>
    <row r="22962" ht="14.4" x14ac:dyDescent="0.3"/>
    <row r="22963" ht="14.4" x14ac:dyDescent="0.3"/>
    <row r="22964" ht="14.4" x14ac:dyDescent="0.3"/>
    <row r="22965" ht="14.4" x14ac:dyDescent="0.3"/>
    <row r="22966" ht="14.4" x14ac:dyDescent="0.3"/>
    <row r="22967" ht="14.4" x14ac:dyDescent="0.3"/>
    <row r="22968" ht="14.4" x14ac:dyDescent="0.3"/>
    <row r="22969" ht="14.4" x14ac:dyDescent="0.3"/>
    <row r="22970" ht="14.4" x14ac:dyDescent="0.3"/>
    <row r="22971" ht="14.4" x14ac:dyDescent="0.3"/>
    <row r="22972" ht="14.4" x14ac:dyDescent="0.3"/>
    <row r="22973" ht="14.4" x14ac:dyDescent="0.3"/>
    <row r="22974" ht="14.4" x14ac:dyDescent="0.3"/>
    <row r="22975" ht="14.4" x14ac:dyDescent="0.3"/>
    <row r="22976" ht="14.4" x14ac:dyDescent="0.3"/>
    <row r="22977" ht="14.4" x14ac:dyDescent="0.3"/>
    <row r="22978" ht="14.4" x14ac:dyDescent="0.3"/>
    <row r="22979" ht="14.4" x14ac:dyDescent="0.3"/>
    <row r="22980" ht="14.4" x14ac:dyDescent="0.3"/>
    <row r="22981" ht="14.4" x14ac:dyDescent="0.3"/>
    <row r="22982" ht="14.4" x14ac:dyDescent="0.3"/>
    <row r="22983" ht="14.4" x14ac:dyDescent="0.3"/>
    <row r="22984" ht="14.4" x14ac:dyDescent="0.3"/>
    <row r="22985" ht="14.4" x14ac:dyDescent="0.3"/>
    <row r="22986" ht="14.4" x14ac:dyDescent="0.3"/>
    <row r="22987" ht="14.4" x14ac:dyDescent="0.3"/>
    <row r="22988" ht="14.4" x14ac:dyDescent="0.3"/>
    <row r="22989" ht="14.4" x14ac:dyDescent="0.3"/>
    <row r="22990" ht="14.4" x14ac:dyDescent="0.3"/>
    <row r="22991" ht="14.4" x14ac:dyDescent="0.3"/>
    <row r="22992" ht="14.4" x14ac:dyDescent="0.3"/>
    <row r="22993" ht="14.4" x14ac:dyDescent="0.3"/>
    <row r="22994" ht="14.4" x14ac:dyDescent="0.3"/>
    <row r="22995" ht="14.4" x14ac:dyDescent="0.3"/>
    <row r="22996" ht="14.4" x14ac:dyDescent="0.3"/>
    <row r="22997" ht="14.4" x14ac:dyDescent="0.3"/>
    <row r="22998" ht="14.4" x14ac:dyDescent="0.3"/>
    <row r="22999" ht="14.4" x14ac:dyDescent="0.3"/>
    <row r="23000" ht="14.4" x14ac:dyDescent="0.3"/>
    <row r="23001" ht="14.4" x14ac:dyDescent="0.3"/>
    <row r="23002" ht="14.4" x14ac:dyDescent="0.3"/>
    <row r="23003" ht="14.4" x14ac:dyDescent="0.3"/>
    <row r="23004" ht="14.4" x14ac:dyDescent="0.3"/>
    <row r="23005" ht="14.4" x14ac:dyDescent="0.3"/>
    <row r="23006" ht="14.4" x14ac:dyDescent="0.3"/>
    <row r="23007" ht="14.4" x14ac:dyDescent="0.3"/>
    <row r="23008" ht="14.4" x14ac:dyDescent="0.3"/>
    <row r="23009" ht="14.4" x14ac:dyDescent="0.3"/>
    <row r="23010" ht="14.4" x14ac:dyDescent="0.3"/>
    <row r="23011" ht="14.4" x14ac:dyDescent="0.3"/>
    <row r="23012" ht="14.4" x14ac:dyDescent="0.3"/>
    <row r="23013" ht="14.4" x14ac:dyDescent="0.3"/>
    <row r="23014" ht="14.4" x14ac:dyDescent="0.3"/>
    <row r="23015" ht="14.4" x14ac:dyDescent="0.3"/>
    <row r="23016" ht="14.4" x14ac:dyDescent="0.3"/>
    <row r="23017" ht="14.4" x14ac:dyDescent="0.3"/>
    <row r="23018" ht="14.4" x14ac:dyDescent="0.3"/>
    <row r="23019" ht="14.4" x14ac:dyDescent="0.3"/>
    <row r="23020" ht="14.4" x14ac:dyDescent="0.3"/>
    <row r="23021" ht="14.4" x14ac:dyDescent="0.3"/>
    <row r="23022" ht="14.4" x14ac:dyDescent="0.3"/>
    <row r="23023" ht="14.4" x14ac:dyDescent="0.3"/>
    <row r="23024" ht="14.4" x14ac:dyDescent="0.3"/>
    <row r="23025" ht="14.4" x14ac:dyDescent="0.3"/>
    <row r="23026" ht="14.4" x14ac:dyDescent="0.3"/>
    <row r="23027" ht="14.4" x14ac:dyDescent="0.3"/>
    <row r="23028" ht="14.4" x14ac:dyDescent="0.3"/>
    <row r="23029" ht="14.4" x14ac:dyDescent="0.3"/>
    <row r="23030" ht="14.4" x14ac:dyDescent="0.3"/>
    <row r="23031" ht="14.4" x14ac:dyDescent="0.3"/>
    <row r="23032" ht="14.4" x14ac:dyDescent="0.3"/>
    <row r="23033" ht="14.4" x14ac:dyDescent="0.3"/>
    <row r="23034" ht="14.4" x14ac:dyDescent="0.3"/>
    <row r="23035" ht="14.4" x14ac:dyDescent="0.3"/>
    <row r="23036" ht="14.4" x14ac:dyDescent="0.3"/>
    <row r="23037" ht="14.4" x14ac:dyDescent="0.3"/>
    <row r="23038" ht="14.4" x14ac:dyDescent="0.3"/>
    <row r="23039" ht="14.4" x14ac:dyDescent="0.3"/>
    <row r="23040" ht="14.4" x14ac:dyDescent="0.3"/>
    <row r="23041" ht="14.4" x14ac:dyDescent="0.3"/>
    <row r="23042" ht="14.4" x14ac:dyDescent="0.3"/>
    <row r="23043" ht="14.4" x14ac:dyDescent="0.3"/>
    <row r="23044" ht="14.4" x14ac:dyDescent="0.3"/>
    <row r="23045" ht="14.4" x14ac:dyDescent="0.3"/>
    <row r="23046" ht="14.4" x14ac:dyDescent="0.3"/>
    <row r="23047" ht="14.4" x14ac:dyDescent="0.3"/>
    <row r="23048" ht="14.4" x14ac:dyDescent="0.3"/>
    <row r="23049" ht="14.4" x14ac:dyDescent="0.3"/>
    <row r="23050" ht="14.4" x14ac:dyDescent="0.3"/>
    <row r="23051" ht="14.4" x14ac:dyDescent="0.3"/>
    <row r="23052" ht="14.4" x14ac:dyDescent="0.3"/>
    <row r="23053" ht="14.4" x14ac:dyDescent="0.3"/>
    <row r="23054" ht="14.4" x14ac:dyDescent="0.3"/>
    <row r="23055" ht="14.4" x14ac:dyDescent="0.3"/>
    <row r="23056" ht="14.4" x14ac:dyDescent="0.3"/>
    <row r="23057" ht="14.4" x14ac:dyDescent="0.3"/>
    <row r="23058" ht="14.4" x14ac:dyDescent="0.3"/>
    <row r="23059" ht="14.4" x14ac:dyDescent="0.3"/>
    <row r="23060" ht="14.4" x14ac:dyDescent="0.3"/>
    <row r="23061" ht="14.4" x14ac:dyDescent="0.3"/>
    <row r="23062" ht="14.4" x14ac:dyDescent="0.3"/>
    <row r="23063" ht="14.4" x14ac:dyDescent="0.3"/>
    <row r="23064" ht="14.4" x14ac:dyDescent="0.3"/>
    <row r="23065" ht="14.4" x14ac:dyDescent="0.3"/>
    <row r="23066" ht="14.4" x14ac:dyDescent="0.3"/>
    <row r="23067" ht="14.4" x14ac:dyDescent="0.3"/>
    <row r="23068" ht="14.4" x14ac:dyDescent="0.3"/>
    <row r="23069" ht="14.4" x14ac:dyDescent="0.3"/>
    <row r="23070" ht="14.4" x14ac:dyDescent="0.3"/>
    <row r="23071" ht="14.4" x14ac:dyDescent="0.3"/>
    <row r="23072" ht="14.4" x14ac:dyDescent="0.3"/>
    <row r="23073" ht="14.4" x14ac:dyDescent="0.3"/>
    <row r="23074" ht="14.4" x14ac:dyDescent="0.3"/>
    <row r="23075" ht="14.4" x14ac:dyDescent="0.3"/>
    <row r="23076" ht="14.4" x14ac:dyDescent="0.3"/>
    <row r="23077" ht="14.4" x14ac:dyDescent="0.3"/>
    <row r="23078" ht="14.4" x14ac:dyDescent="0.3"/>
    <row r="23079" ht="14.4" x14ac:dyDescent="0.3"/>
    <row r="23080" ht="14.4" x14ac:dyDescent="0.3"/>
    <row r="23081" ht="14.4" x14ac:dyDescent="0.3"/>
    <row r="23082" ht="14.4" x14ac:dyDescent="0.3"/>
    <row r="23083" ht="14.4" x14ac:dyDescent="0.3"/>
    <row r="23084" ht="14.4" x14ac:dyDescent="0.3"/>
    <row r="23085" ht="14.4" x14ac:dyDescent="0.3"/>
    <row r="23086" ht="14.4" x14ac:dyDescent="0.3"/>
    <row r="23087" ht="14.4" x14ac:dyDescent="0.3"/>
    <row r="23088" ht="14.4" x14ac:dyDescent="0.3"/>
    <row r="23089" ht="14.4" x14ac:dyDescent="0.3"/>
    <row r="23090" ht="14.4" x14ac:dyDescent="0.3"/>
    <row r="23091" ht="14.4" x14ac:dyDescent="0.3"/>
    <row r="23092" ht="14.4" x14ac:dyDescent="0.3"/>
    <row r="23093" ht="14.4" x14ac:dyDescent="0.3"/>
    <row r="23094" ht="14.4" x14ac:dyDescent="0.3"/>
    <row r="23095" ht="14.4" x14ac:dyDescent="0.3"/>
    <row r="23096" ht="14.4" x14ac:dyDescent="0.3"/>
    <row r="23097" ht="14.4" x14ac:dyDescent="0.3"/>
    <row r="23098" ht="14.4" x14ac:dyDescent="0.3"/>
    <row r="23099" ht="14.4" x14ac:dyDescent="0.3"/>
    <row r="23100" ht="14.4" x14ac:dyDescent="0.3"/>
    <row r="23101" ht="14.4" x14ac:dyDescent="0.3"/>
    <row r="23102" ht="14.4" x14ac:dyDescent="0.3"/>
    <row r="23103" ht="14.4" x14ac:dyDescent="0.3"/>
    <row r="23104" ht="14.4" x14ac:dyDescent="0.3"/>
    <row r="23105" ht="14.4" x14ac:dyDescent="0.3"/>
    <row r="23106" ht="14.4" x14ac:dyDescent="0.3"/>
    <row r="23107" ht="14.4" x14ac:dyDescent="0.3"/>
    <row r="23108" ht="14.4" x14ac:dyDescent="0.3"/>
    <row r="23109" ht="14.4" x14ac:dyDescent="0.3"/>
    <row r="23110" ht="14.4" x14ac:dyDescent="0.3"/>
    <row r="23111" ht="14.4" x14ac:dyDescent="0.3"/>
    <row r="23112" ht="14.4" x14ac:dyDescent="0.3"/>
    <row r="23113" ht="14.4" x14ac:dyDescent="0.3"/>
    <row r="23114" ht="14.4" x14ac:dyDescent="0.3"/>
    <row r="23115" ht="14.4" x14ac:dyDescent="0.3"/>
    <row r="23116" ht="14.4" x14ac:dyDescent="0.3"/>
    <row r="23117" ht="14.4" x14ac:dyDescent="0.3"/>
    <row r="23118" ht="14.4" x14ac:dyDescent="0.3"/>
    <row r="23119" ht="14.4" x14ac:dyDescent="0.3"/>
    <row r="23120" ht="14.4" x14ac:dyDescent="0.3"/>
    <row r="23121" ht="14.4" x14ac:dyDescent="0.3"/>
    <row r="23122" ht="14.4" x14ac:dyDescent="0.3"/>
    <row r="23123" ht="14.4" x14ac:dyDescent="0.3"/>
    <row r="23124" ht="14.4" x14ac:dyDescent="0.3"/>
    <row r="23125" ht="14.4" x14ac:dyDescent="0.3"/>
    <row r="23126" ht="14.4" x14ac:dyDescent="0.3"/>
    <row r="23127" ht="14.4" x14ac:dyDescent="0.3"/>
    <row r="23128" ht="14.4" x14ac:dyDescent="0.3"/>
    <row r="23129" ht="14.4" x14ac:dyDescent="0.3"/>
    <row r="23130" ht="14.4" x14ac:dyDescent="0.3"/>
    <row r="23131" ht="14.4" x14ac:dyDescent="0.3"/>
    <row r="23132" ht="14.4" x14ac:dyDescent="0.3"/>
    <row r="23133" ht="14.4" x14ac:dyDescent="0.3"/>
    <row r="23134" ht="14.4" x14ac:dyDescent="0.3"/>
    <row r="23135" ht="14.4" x14ac:dyDescent="0.3"/>
    <row r="23136" ht="14.4" x14ac:dyDescent="0.3"/>
    <row r="23137" ht="14.4" x14ac:dyDescent="0.3"/>
    <row r="23138" ht="14.4" x14ac:dyDescent="0.3"/>
    <row r="23139" ht="14.4" x14ac:dyDescent="0.3"/>
    <row r="23140" ht="14.4" x14ac:dyDescent="0.3"/>
    <row r="23141" ht="14.4" x14ac:dyDescent="0.3"/>
    <row r="23142" ht="14.4" x14ac:dyDescent="0.3"/>
    <row r="23143" ht="14.4" x14ac:dyDescent="0.3"/>
    <row r="23144" ht="14.4" x14ac:dyDescent="0.3"/>
    <row r="23145" ht="14.4" x14ac:dyDescent="0.3"/>
    <row r="23146" ht="14.4" x14ac:dyDescent="0.3"/>
    <row r="23147" ht="14.4" x14ac:dyDescent="0.3"/>
    <row r="23148" ht="14.4" x14ac:dyDescent="0.3"/>
    <row r="23149" ht="14.4" x14ac:dyDescent="0.3"/>
    <row r="23150" ht="14.4" x14ac:dyDescent="0.3"/>
    <row r="23151" ht="14.4" x14ac:dyDescent="0.3"/>
    <row r="23152" ht="14.4" x14ac:dyDescent="0.3"/>
    <row r="23153" ht="14.4" x14ac:dyDescent="0.3"/>
    <row r="23154" ht="14.4" x14ac:dyDescent="0.3"/>
    <row r="23155" ht="14.4" x14ac:dyDescent="0.3"/>
    <row r="23156" ht="14.4" x14ac:dyDescent="0.3"/>
    <row r="23157" ht="14.4" x14ac:dyDescent="0.3"/>
    <row r="23158" ht="14.4" x14ac:dyDescent="0.3"/>
    <row r="23159" ht="14.4" x14ac:dyDescent="0.3"/>
    <row r="23160" ht="14.4" x14ac:dyDescent="0.3"/>
    <row r="23161" ht="14.4" x14ac:dyDescent="0.3"/>
    <row r="23162" ht="14.4" x14ac:dyDescent="0.3"/>
    <row r="23163" ht="14.4" x14ac:dyDescent="0.3"/>
    <row r="23164" ht="14.4" x14ac:dyDescent="0.3"/>
    <row r="23165" ht="14.4" x14ac:dyDescent="0.3"/>
    <row r="23166" ht="14.4" x14ac:dyDescent="0.3"/>
    <row r="23167" ht="14.4" x14ac:dyDescent="0.3"/>
    <row r="23168" ht="14.4" x14ac:dyDescent="0.3"/>
    <row r="23169" ht="14.4" x14ac:dyDescent="0.3"/>
    <row r="23170" ht="14.4" x14ac:dyDescent="0.3"/>
    <row r="23171" ht="14.4" x14ac:dyDescent="0.3"/>
    <row r="23172" ht="14.4" x14ac:dyDescent="0.3"/>
    <row r="23173" ht="14.4" x14ac:dyDescent="0.3"/>
    <row r="23174" ht="14.4" x14ac:dyDescent="0.3"/>
    <row r="23175" ht="14.4" x14ac:dyDescent="0.3"/>
    <row r="23176" ht="14.4" x14ac:dyDescent="0.3"/>
    <row r="23177" ht="14.4" x14ac:dyDescent="0.3"/>
    <row r="23178" ht="14.4" x14ac:dyDescent="0.3"/>
    <row r="23179" ht="14.4" x14ac:dyDescent="0.3"/>
    <row r="23180" ht="14.4" x14ac:dyDescent="0.3"/>
    <row r="23181" ht="14.4" x14ac:dyDescent="0.3"/>
    <row r="23182" ht="14.4" x14ac:dyDescent="0.3"/>
    <row r="23183" ht="14.4" x14ac:dyDescent="0.3"/>
    <row r="23184" ht="14.4" x14ac:dyDescent="0.3"/>
    <row r="23185" ht="14.4" x14ac:dyDescent="0.3"/>
    <row r="23186" ht="14.4" x14ac:dyDescent="0.3"/>
    <row r="23187" ht="14.4" x14ac:dyDescent="0.3"/>
    <row r="23188" ht="14.4" x14ac:dyDescent="0.3"/>
    <row r="23189" ht="14.4" x14ac:dyDescent="0.3"/>
    <row r="23190" ht="14.4" x14ac:dyDescent="0.3"/>
    <row r="23191" ht="14.4" x14ac:dyDescent="0.3"/>
    <row r="23192" ht="14.4" x14ac:dyDescent="0.3"/>
    <row r="23193" ht="14.4" x14ac:dyDescent="0.3"/>
    <row r="23194" ht="14.4" x14ac:dyDescent="0.3"/>
    <row r="23195" ht="14.4" x14ac:dyDescent="0.3"/>
    <row r="23196" ht="14.4" x14ac:dyDescent="0.3"/>
    <row r="23197" ht="14.4" x14ac:dyDescent="0.3"/>
    <row r="23198" ht="14.4" x14ac:dyDescent="0.3"/>
    <row r="23199" ht="14.4" x14ac:dyDescent="0.3"/>
    <row r="23200" ht="14.4" x14ac:dyDescent="0.3"/>
    <row r="23201" ht="14.4" x14ac:dyDescent="0.3"/>
    <row r="23202" ht="14.4" x14ac:dyDescent="0.3"/>
    <row r="23203" ht="14.4" x14ac:dyDescent="0.3"/>
    <row r="23204" ht="14.4" x14ac:dyDescent="0.3"/>
    <row r="23205" ht="14.4" x14ac:dyDescent="0.3"/>
    <row r="23206" ht="14.4" x14ac:dyDescent="0.3"/>
    <row r="23207" ht="14.4" x14ac:dyDescent="0.3"/>
    <row r="23208" ht="14.4" x14ac:dyDescent="0.3"/>
    <row r="23209" ht="14.4" x14ac:dyDescent="0.3"/>
    <row r="23210" ht="14.4" x14ac:dyDescent="0.3"/>
    <row r="23211" ht="14.4" x14ac:dyDescent="0.3"/>
    <row r="23212" ht="14.4" x14ac:dyDescent="0.3"/>
    <row r="23213" ht="14.4" x14ac:dyDescent="0.3"/>
    <row r="23214" ht="14.4" x14ac:dyDescent="0.3"/>
    <row r="23215" ht="14.4" x14ac:dyDescent="0.3"/>
    <row r="23216" ht="14.4" x14ac:dyDescent="0.3"/>
    <row r="23217" ht="14.4" x14ac:dyDescent="0.3"/>
    <row r="23218" ht="14.4" x14ac:dyDescent="0.3"/>
    <row r="23219" ht="14.4" x14ac:dyDescent="0.3"/>
    <row r="23220" ht="14.4" x14ac:dyDescent="0.3"/>
    <row r="23221" ht="14.4" x14ac:dyDescent="0.3"/>
    <row r="23222" ht="14.4" x14ac:dyDescent="0.3"/>
    <row r="23223" ht="14.4" x14ac:dyDescent="0.3"/>
    <row r="23224" ht="14.4" x14ac:dyDescent="0.3"/>
    <row r="23225" ht="14.4" x14ac:dyDescent="0.3"/>
    <row r="23226" ht="14.4" x14ac:dyDescent="0.3"/>
    <row r="23227" ht="14.4" x14ac:dyDescent="0.3"/>
    <row r="23228" ht="14.4" x14ac:dyDescent="0.3"/>
    <row r="23229" ht="14.4" x14ac:dyDescent="0.3"/>
    <row r="23230" ht="14.4" x14ac:dyDescent="0.3"/>
    <row r="23231" ht="14.4" x14ac:dyDescent="0.3"/>
    <row r="23232" ht="14.4" x14ac:dyDescent="0.3"/>
    <row r="23233" ht="14.4" x14ac:dyDescent="0.3"/>
    <row r="23234" ht="14.4" x14ac:dyDescent="0.3"/>
    <row r="23235" ht="14.4" x14ac:dyDescent="0.3"/>
    <row r="23236" ht="14.4" x14ac:dyDescent="0.3"/>
    <row r="23237" ht="14.4" x14ac:dyDescent="0.3"/>
    <row r="23238" ht="14.4" x14ac:dyDescent="0.3"/>
    <row r="23239" ht="14.4" x14ac:dyDescent="0.3"/>
    <row r="23240" ht="14.4" x14ac:dyDescent="0.3"/>
    <row r="23241" ht="14.4" x14ac:dyDescent="0.3"/>
    <row r="23242" ht="14.4" x14ac:dyDescent="0.3"/>
    <row r="23243" ht="14.4" x14ac:dyDescent="0.3"/>
    <row r="23244" ht="14.4" x14ac:dyDescent="0.3"/>
    <row r="23245" ht="14.4" x14ac:dyDescent="0.3"/>
    <row r="23246" ht="14.4" x14ac:dyDescent="0.3"/>
    <row r="23247" ht="14.4" x14ac:dyDescent="0.3"/>
    <row r="23248" ht="14.4" x14ac:dyDescent="0.3"/>
    <row r="23249" ht="14.4" x14ac:dyDescent="0.3"/>
    <row r="23250" ht="14.4" x14ac:dyDescent="0.3"/>
    <row r="23251" ht="14.4" x14ac:dyDescent="0.3"/>
    <row r="23252" ht="14.4" x14ac:dyDescent="0.3"/>
    <row r="23253" ht="14.4" x14ac:dyDescent="0.3"/>
    <row r="23254" ht="14.4" x14ac:dyDescent="0.3"/>
    <row r="23255" ht="14.4" x14ac:dyDescent="0.3"/>
    <row r="23256" ht="14.4" x14ac:dyDescent="0.3"/>
    <row r="23257" ht="14.4" x14ac:dyDescent="0.3"/>
    <row r="23258" ht="14.4" x14ac:dyDescent="0.3"/>
    <row r="23259" ht="14.4" x14ac:dyDescent="0.3"/>
    <row r="23260" ht="14.4" x14ac:dyDescent="0.3"/>
    <row r="23261" ht="14.4" x14ac:dyDescent="0.3"/>
    <row r="23262" ht="14.4" x14ac:dyDescent="0.3"/>
    <row r="23263" ht="14.4" x14ac:dyDescent="0.3"/>
    <row r="23264" ht="14.4" x14ac:dyDescent="0.3"/>
    <row r="23265" ht="14.4" x14ac:dyDescent="0.3"/>
    <row r="23266" ht="14.4" x14ac:dyDescent="0.3"/>
    <row r="23267" ht="14.4" x14ac:dyDescent="0.3"/>
    <row r="23268" ht="14.4" x14ac:dyDescent="0.3"/>
    <row r="23269" ht="14.4" x14ac:dyDescent="0.3"/>
    <row r="23270" ht="14.4" x14ac:dyDescent="0.3"/>
    <row r="23271" ht="14.4" x14ac:dyDescent="0.3"/>
    <row r="23272" ht="14.4" x14ac:dyDescent="0.3"/>
    <row r="23273" ht="14.4" x14ac:dyDescent="0.3"/>
    <row r="23274" ht="14.4" x14ac:dyDescent="0.3"/>
    <row r="23275" ht="14.4" x14ac:dyDescent="0.3"/>
    <row r="23276" ht="14.4" x14ac:dyDescent="0.3"/>
    <row r="23277" ht="14.4" x14ac:dyDescent="0.3"/>
    <row r="23278" ht="14.4" x14ac:dyDescent="0.3"/>
    <row r="23279" ht="14.4" x14ac:dyDescent="0.3"/>
    <row r="23280" ht="14.4" x14ac:dyDescent="0.3"/>
    <row r="23281" ht="14.4" x14ac:dyDescent="0.3"/>
    <row r="23282" ht="14.4" x14ac:dyDescent="0.3"/>
    <row r="23283" ht="14.4" x14ac:dyDescent="0.3"/>
    <row r="23284" ht="14.4" x14ac:dyDescent="0.3"/>
    <row r="23285" ht="14.4" x14ac:dyDescent="0.3"/>
    <row r="23286" ht="14.4" x14ac:dyDescent="0.3"/>
    <row r="23287" ht="14.4" x14ac:dyDescent="0.3"/>
    <row r="23288" ht="14.4" x14ac:dyDescent="0.3"/>
    <row r="23289" ht="14.4" x14ac:dyDescent="0.3"/>
    <row r="23290" ht="14.4" x14ac:dyDescent="0.3"/>
    <row r="23291" ht="14.4" x14ac:dyDescent="0.3"/>
    <row r="23292" ht="14.4" x14ac:dyDescent="0.3"/>
    <row r="23293" ht="14.4" x14ac:dyDescent="0.3"/>
    <row r="23294" ht="14.4" x14ac:dyDescent="0.3"/>
    <row r="23295" ht="14.4" x14ac:dyDescent="0.3"/>
    <row r="23296" ht="14.4" x14ac:dyDescent="0.3"/>
    <row r="23297" spans="1:43" ht="14.4" x14ac:dyDescent="0.3"/>
    <row r="23298" spans="1:43" ht="14.4" x14ac:dyDescent="0.3"/>
    <row r="23299" spans="1:43" ht="14.4" x14ac:dyDescent="0.3"/>
    <row r="23300" spans="1:43" ht="14.4" x14ac:dyDescent="0.3"/>
    <row r="23301" spans="1:43" ht="14.4" x14ac:dyDescent="0.3"/>
    <row r="23302" spans="1:43" ht="14.4" x14ac:dyDescent="0.3"/>
    <row r="23303" spans="1:43" ht="14.4" x14ac:dyDescent="0.3"/>
    <row r="23304" spans="1:43" ht="14.4" x14ac:dyDescent="0.3"/>
    <row r="23305" spans="1:43" ht="14.4" x14ac:dyDescent="0.3"/>
    <row r="23306" spans="1:43" ht="14.4" hidden="1" x14ac:dyDescent="0.3">
      <c r="A23306" t="s">
        <v>3399</v>
      </c>
      <c r="B23306">
        <v>4938495</v>
      </c>
      <c r="C23306" t="s">
        <v>135</v>
      </c>
      <c r="D23306" t="s">
        <v>174</v>
      </c>
      <c r="E23306" t="s">
        <v>261</v>
      </c>
      <c r="F23306" t="s">
        <v>695</v>
      </c>
      <c r="H23306" t="s">
        <v>281</v>
      </c>
      <c r="J23306" t="s">
        <v>140</v>
      </c>
      <c r="K23306">
        <v>159054.06</v>
      </c>
      <c r="L23306">
        <v>384625.53</v>
      </c>
      <c r="M23306">
        <v>1</v>
      </c>
      <c r="N23306" t="s">
        <v>696</v>
      </c>
      <c r="O23306" t="s">
        <v>528</v>
      </c>
      <c r="P23306" t="s">
        <v>697</v>
      </c>
      <c r="Q23306" t="s">
        <v>144</v>
      </c>
      <c r="S23306">
        <v>6.8</v>
      </c>
      <c r="T23306">
        <v>800</v>
      </c>
      <c r="V23306" t="s">
        <v>146</v>
      </c>
      <c r="W23306" t="s">
        <v>184</v>
      </c>
      <c r="X23306" t="s">
        <v>7</v>
      </c>
      <c r="Y23306" t="s">
        <v>698</v>
      </c>
      <c r="Z23306" t="s">
        <v>528</v>
      </c>
      <c r="AA23306" t="s">
        <v>312</v>
      </c>
      <c r="AB23306">
        <v>0</v>
      </c>
      <c r="AE23306" t="s">
        <v>550</v>
      </c>
      <c r="AF23306" t="s">
        <v>528</v>
      </c>
      <c r="AG23306" t="s">
        <v>313</v>
      </c>
      <c r="AI23306" t="s">
        <v>699</v>
      </c>
      <c r="AJ23306" t="s">
        <v>528</v>
      </c>
      <c r="AK23306" t="s">
        <v>313</v>
      </c>
      <c r="AL23306" t="s">
        <v>3400</v>
      </c>
      <c r="AM23306" t="s">
        <v>3401</v>
      </c>
      <c r="AN23306" t="s">
        <v>3402</v>
      </c>
      <c r="AO23306" t="s">
        <v>696</v>
      </c>
      <c r="AP23306" t="s">
        <v>158</v>
      </c>
      <c r="AQ23306" t="str">
        <f>IF(ISBLANK(AP23306), IFERROR(IF(VLOOKUP(AO23306, Ellens_additions!$A$2:$B$252, 2, FALSE) = "", "", VLOOKUP(AO23306, Ellens_additions!$A$2:$B$252, 2, FALSE)), 0), AP23306)</f>
        <v>3000</v>
      </c>
    </row>
    <row r="23307" spans="1:43" ht="14.4" x14ac:dyDescent="0.3"/>
    <row r="23308" spans="1:43" ht="14.4" hidden="1" x14ac:dyDescent="0.3">
      <c r="A23308" t="s">
        <v>3403</v>
      </c>
      <c r="B23308">
        <v>4938500</v>
      </c>
      <c r="C23308" t="s">
        <v>135</v>
      </c>
      <c r="D23308" t="s">
        <v>136</v>
      </c>
      <c r="E23308" t="s">
        <v>318</v>
      </c>
      <c r="F23308" t="s">
        <v>537</v>
      </c>
      <c r="H23308" t="s">
        <v>3404</v>
      </c>
      <c r="J23308" t="s">
        <v>140</v>
      </c>
      <c r="K23308">
        <v>155638.07</v>
      </c>
      <c r="L23308">
        <v>385641.32</v>
      </c>
      <c r="N23308" t="s">
        <v>3405</v>
      </c>
      <c r="O23308" t="s">
        <v>1041</v>
      </c>
      <c r="P23308" t="s">
        <v>745</v>
      </c>
      <c r="Q23308" t="s">
        <v>144</v>
      </c>
      <c r="S23308">
        <v>14.8</v>
      </c>
      <c r="T23308">
        <v>1600</v>
      </c>
      <c r="V23308" t="s">
        <v>146</v>
      </c>
      <c r="W23308" t="s">
        <v>3406</v>
      </c>
      <c r="Y23308" t="s">
        <v>283</v>
      </c>
      <c r="Z23308" t="s">
        <v>1041</v>
      </c>
      <c r="AA23308" t="s">
        <v>1347</v>
      </c>
      <c r="AB23308">
        <v>0</v>
      </c>
      <c r="AE23308" t="s">
        <v>442</v>
      </c>
      <c r="AF23308" t="s">
        <v>1041</v>
      </c>
      <c r="AG23308" t="s">
        <v>1042</v>
      </c>
      <c r="AI23308" t="s">
        <v>626</v>
      </c>
      <c r="AJ23308" t="s">
        <v>1041</v>
      </c>
      <c r="AK23308" t="s">
        <v>1042</v>
      </c>
      <c r="AL23308" t="s">
        <v>3407</v>
      </c>
      <c r="AM23308" t="s">
        <v>3408</v>
      </c>
      <c r="AN23308" t="s">
        <v>3409</v>
      </c>
      <c r="AO23308" t="s">
        <v>3405</v>
      </c>
      <c r="AP23308" t="s">
        <v>158</v>
      </c>
      <c r="AQ23308" t="str">
        <f>IF(ISBLANK(AP23308), IFERROR(IF(VLOOKUP(AO23308, Ellens_additions!$A$2:$B$252, 2, FALSE) = "", "", VLOOKUP(AO23308, Ellens_additions!$A$2:$B$252, 2, FALSE)), 0), AP23308)</f>
        <v>3000</v>
      </c>
    </row>
    <row r="23309" spans="1:43" ht="14.4" x14ac:dyDescent="0.3"/>
    <row r="23310" spans="1:43" ht="14.4" hidden="1" x14ac:dyDescent="0.3">
      <c r="A23310" t="s">
        <v>3410</v>
      </c>
      <c r="B23310">
        <v>4938504</v>
      </c>
      <c r="C23310" t="s">
        <v>135</v>
      </c>
      <c r="D23310" t="s">
        <v>174</v>
      </c>
      <c r="E23310" t="s">
        <v>175</v>
      </c>
      <c r="F23310" t="s">
        <v>394</v>
      </c>
      <c r="H23310" t="s">
        <v>676</v>
      </c>
      <c r="J23310" t="s">
        <v>140</v>
      </c>
      <c r="K23310">
        <v>157249.45499999999</v>
      </c>
      <c r="L23310">
        <v>386903.54</v>
      </c>
      <c r="N23310" t="s">
        <v>708</v>
      </c>
      <c r="O23310" t="s">
        <v>548</v>
      </c>
      <c r="P23310" t="s">
        <v>709</v>
      </c>
      <c r="S23310">
        <v>6.9</v>
      </c>
      <c r="T23310">
        <v>600</v>
      </c>
      <c r="V23310" t="s">
        <v>146</v>
      </c>
      <c r="W23310" t="s">
        <v>147</v>
      </c>
      <c r="X23310" t="s">
        <v>7</v>
      </c>
      <c r="Y23310" t="s">
        <v>396</v>
      </c>
      <c r="Z23310" t="s">
        <v>548</v>
      </c>
      <c r="AA23310" t="s">
        <v>710</v>
      </c>
      <c r="AB23310">
        <v>0</v>
      </c>
      <c r="AE23310" t="s">
        <v>444</v>
      </c>
      <c r="AF23310" t="s">
        <v>548</v>
      </c>
      <c r="AG23310" t="s">
        <v>711</v>
      </c>
      <c r="AI23310" t="s">
        <v>443</v>
      </c>
      <c r="AJ23310" t="s">
        <v>548</v>
      </c>
      <c r="AK23310" t="s">
        <v>711</v>
      </c>
      <c r="AL23310" t="s">
        <v>3411</v>
      </c>
      <c r="AM23310" t="s">
        <v>3412</v>
      </c>
      <c r="AN23310" t="s">
        <v>3413</v>
      </c>
      <c r="AO23310" t="s">
        <v>708</v>
      </c>
      <c r="AP23310" t="s">
        <v>158</v>
      </c>
      <c r="AQ23310" t="str">
        <f>IF(ISBLANK(AP23310), IFERROR(IF(VLOOKUP(AO23310, Ellens_additions!$A$2:$B$252, 2, FALSE) = "", "", VLOOKUP(AO23310, Ellens_additions!$A$2:$B$252, 2, FALSE)), 0), AP23310)</f>
        <v>3000</v>
      </c>
    </row>
    <row r="23311" spans="1:43" ht="14.4" hidden="1" x14ac:dyDescent="0.3">
      <c r="A23311" t="s">
        <v>3414</v>
      </c>
      <c r="B23311">
        <v>4938506</v>
      </c>
      <c r="C23311" t="s">
        <v>135</v>
      </c>
      <c r="D23311" t="s">
        <v>174</v>
      </c>
      <c r="E23311" t="s">
        <v>175</v>
      </c>
      <c r="F23311" t="s">
        <v>394</v>
      </c>
      <c r="H23311" t="s">
        <v>328</v>
      </c>
      <c r="J23311" t="s">
        <v>140</v>
      </c>
      <c r="K23311">
        <v>157185.78899999999</v>
      </c>
      <c r="L23311">
        <v>386980.70199999999</v>
      </c>
      <c r="N23311" t="s">
        <v>708</v>
      </c>
      <c r="O23311" t="s">
        <v>548</v>
      </c>
      <c r="P23311" t="s">
        <v>709</v>
      </c>
      <c r="S23311">
        <v>6.9</v>
      </c>
      <c r="T23311">
        <v>600</v>
      </c>
      <c r="V23311" t="s">
        <v>146</v>
      </c>
      <c r="W23311" t="s">
        <v>147</v>
      </c>
      <c r="X23311" t="s">
        <v>7</v>
      </c>
      <c r="Y23311" t="s">
        <v>396</v>
      </c>
      <c r="Z23311" t="s">
        <v>548</v>
      </c>
      <c r="AA23311" t="s">
        <v>710</v>
      </c>
      <c r="AB23311">
        <v>0</v>
      </c>
      <c r="AE23311" t="s">
        <v>444</v>
      </c>
      <c r="AF23311" t="s">
        <v>548</v>
      </c>
      <c r="AG23311" t="s">
        <v>711</v>
      </c>
      <c r="AI23311" t="s">
        <v>443</v>
      </c>
      <c r="AJ23311" t="s">
        <v>548</v>
      </c>
      <c r="AK23311" t="s">
        <v>711</v>
      </c>
      <c r="AL23311" t="s">
        <v>3415</v>
      </c>
      <c r="AM23311" t="s">
        <v>3416</v>
      </c>
      <c r="AN23311" t="s">
        <v>3417</v>
      </c>
      <c r="AO23311" t="s">
        <v>708</v>
      </c>
      <c r="AP23311" t="s">
        <v>158</v>
      </c>
      <c r="AQ23311" t="str">
        <f>IF(ISBLANK(AP23311), IFERROR(IF(VLOOKUP(AO23311, Ellens_additions!$A$2:$B$252, 2, FALSE) = "", "", VLOOKUP(AO23311, Ellens_additions!$A$2:$B$252, 2, FALSE)), 0), AP23311)</f>
        <v>3000</v>
      </c>
    </row>
    <row r="23312" spans="1:43" ht="14.4" hidden="1" x14ac:dyDescent="0.3">
      <c r="A23312" t="s">
        <v>3418</v>
      </c>
      <c r="B23312">
        <v>4938511</v>
      </c>
      <c r="C23312" t="s">
        <v>135</v>
      </c>
      <c r="D23312" t="s">
        <v>174</v>
      </c>
      <c r="E23312" t="s">
        <v>175</v>
      </c>
      <c r="F23312" t="s">
        <v>394</v>
      </c>
      <c r="H23312" t="s">
        <v>330</v>
      </c>
      <c r="J23312" t="s">
        <v>140</v>
      </c>
      <c r="K23312">
        <v>157054.557</v>
      </c>
      <c r="L23312">
        <v>387143.72200000001</v>
      </c>
      <c r="N23312" t="s">
        <v>708</v>
      </c>
      <c r="O23312" t="s">
        <v>548</v>
      </c>
      <c r="P23312" t="s">
        <v>709</v>
      </c>
      <c r="S23312">
        <v>6.9</v>
      </c>
      <c r="T23312">
        <v>600</v>
      </c>
      <c r="V23312" t="s">
        <v>146</v>
      </c>
      <c r="W23312" t="s">
        <v>147</v>
      </c>
      <c r="X23312" t="s">
        <v>7</v>
      </c>
      <c r="Y23312" t="s">
        <v>396</v>
      </c>
      <c r="Z23312" t="s">
        <v>548</v>
      </c>
      <c r="AA23312" t="s">
        <v>710</v>
      </c>
      <c r="AB23312">
        <v>0</v>
      </c>
      <c r="AE23312" t="s">
        <v>444</v>
      </c>
      <c r="AF23312" t="s">
        <v>548</v>
      </c>
      <c r="AG23312" t="s">
        <v>711</v>
      </c>
      <c r="AI23312" t="s">
        <v>443</v>
      </c>
      <c r="AJ23312" t="s">
        <v>548</v>
      </c>
      <c r="AK23312" t="s">
        <v>711</v>
      </c>
      <c r="AL23312" t="s">
        <v>3419</v>
      </c>
      <c r="AM23312" t="s">
        <v>3420</v>
      </c>
      <c r="AN23312" t="s">
        <v>3421</v>
      </c>
      <c r="AO23312" t="s">
        <v>708</v>
      </c>
      <c r="AP23312" t="s">
        <v>158</v>
      </c>
      <c r="AQ23312" t="str">
        <f>IF(ISBLANK(AP23312), IFERROR(IF(VLOOKUP(AO23312, Ellens_additions!$A$2:$B$252, 2, FALSE) = "", "", VLOOKUP(AO23312, Ellens_additions!$A$2:$B$252, 2, FALSE)), 0), AP23312)</f>
        <v>3000</v>
      </c>
    </row>
    <row r="23313" spans="1:43" ht="14.4" hidden="1" x14ac:dyDescent="0.3">
      <c r="A23313" t="s">
        <v>3422</v>
      </c>
      <c r="B23313">
        <v>4938512</v>
      </c>
      <c r="C23313" t="s">
        <v>135</v>
      </c>
      <c r="D23313" t="s">
        <v>174</v>
      </c>
      <c r="E23313" t="s">
        <v>175</v>
      </c>
      <c r="F23313" t="s">
        <v>394</v>
      </c>
      <c r="H23313" t="s">
        <v>678</v>
      </c>
      <c r="J23313" t="s">
        <v>140</v>
      </c>
      <c r="K23313">
        <v>157005.68299999999</v>
      </c>
      <c r="L23313">
        <v>387192.70799999998</v>
      </c>
      <c r="N23313" t="s">
        <v>708</v>
      </c>
      <c r="O23313" t="s">
        <v>548</v>
      </c>
      <c r="P23313" t="s">
        <v>709</v>
      </c>
      <c r="S23313">
        <v>6.9</v>
      </c>
      <c r="T23313">
        <v>600</v>
      </c>
      <c r="V23313" t="s">
        <v>146</v>
      </c>
      <c r="W23313" t="s">
        <v>147</v>
      </c>
      <c r="X23313" t="s">
        <v>7</v>
      </c>
      <c r="Y23313" t="s">
        <v>396</v>
      </c>
      <c r="Z23313" t="s">
        <v>548</v>
      </c>
      <c r="AA23313" t="s">
        <v>710</v>
      </c>
      <c r="AB23313">
        <v>0</v>
      </c>
      <c r="AE23313" t="s">
        <v>444</v>
      </c>
      <c r="AF23313" t="s">
        <v>548</v>
      </c>
      <c r="AG23313" t="s">
        <v>711</v>
      </c>
      <c r="AI23313" t="s">
        <v>443</v>
      </c>
      <c r="AJ23313" t="s">
        <v>548</v>
      </c>
      <c r="AK23313" t="s">
        <v>711</v>
      </c>
      <c r="AL23313" t="s">
        <v>3423</v>
      </c>
      <c r="AM23313" t="s">
        <v>3424</v>
      </c>
      <c r="AN23313" t="s">
        <v>3425</v>
      </c>
      <c r="AO23313" t="s">
        <v>708</v>
      </c>
      <c r="AP23313" t="s">
        <v>158</v>
      </c>
      <c r="AQ23313" t="str">
        <f>IF(ISBLANK(AP23313), IFERROR(IF(VLOOKUP(AO23313, Ellens_additions!$A$2:$B$252, 2, FALSE) = "", "", VLOOKUP(AO23313, Ellens_additions!$A$2:$B$252, 2, FALSE)), 0), AP23313)</f>
        <v>3000</v>
      </c>
    </row>
    <row r="23314" spans="1:43" ht="14.4" hidden="1" x14ac:dyDescent="0.3">
      <c r="A23314" t="s">
        <v>3426</v>
      </c>
      <c r="B23314">
        <v>4938513</v>
      </c>
      <c r="C23314" t="s">
        <v>135</v>
      </c>
      <c r="D23314" t="s">
        <v>174</v>
      </c>
      <c r="E23314" t="s">
        <v>175</v>
      </c>
      <c r="F23314" t="s">
        <v>394</v>
      </c>
      <c r="H23314" t="s">
        <v>331</v>
      </c>
      <c r="J23314" t="s">
        <v>140</v>
      </c>
      <c r="K23314">
        <v>156981.01</v>
      </c>
      <c r="L23314">
        <v>387216.52500000002</v>
      </c>
      <c r="N23314" t="s">
        <v>708</v>
      </c>
      <c r="O23314" t="s">
        <v>548</v>
      </c>
      <c r="P23314" t="s">
        <v>709</v>
      </c>
      <c r="S23314">
        <v>6.9</v>
      </c>
      <c r="T23314">
        <v>600</v>
      </c>
      <c r="V23314" t="s">
        <v>146</v>
      </c>
      <c r="W23314" t="s">
        <v>147</v>
      </c>
      <c r="X23314" t="s">
        <v>7</v>
      </c>
      <c r="Y23314" t="s">
        <v>396</v>
      </c>
      <c r="Z23314" t="s">
        <v>548</v>
      </c>
      <c r="AA23314" t="s">
        <v>710</v>
      </c>
      <c r="AB23314">
        <v>0</v>
      </c>
      <c r="AE23314" t="s">
        <v>444</v>
      </c>
      <c r="AF23314" t="s">
        <v>548</v>
      </c>
      <c r="AG23314" t="s">
        <v>711</v>
      </c>
      <c r="AI23314" t="s">
        <v>443</v>
      </c>
      <c r="AJ23314" t="s">
        <v>548</v>
      </c>
      <c r="AK23314" t="s">
        <v>711</v>
      </c>
      <c r="AL23314" t="s">
        <v>3427</v>
      </c>
      <c r="AM23314" t="s">
        <v>3428</v>
      </c>
      <c r="AN23314" t="s">
        <v>3429</v>
      </c>
      <c r="AO23314" t="s">
        <v>708</v>
      </c>
      <c r="AP23314" t="s">
        <v>158</v>
      </c>
      <c r="AQ23314" t="str">
        <f>IF(ISBLANK(AP23314), IFERROR(IF(VLOOKUP(AO23314, Ellens_additions!$A$2:$B$252, 2, FALSE) = "", "", VLOOKUP(AO23314, Ellens_additions!$A$2:$B$252, 2, FALSE)), 0), AP23314)</f>
        <v>3000</v>
      </c>
    </row>
    <row r="23315" spans="1:43" ht="14.4" x14ac:dyDescent="0.3"/>
    <row r="23316" spans="1:43" ht="14.4" x14ac:dyDescent="0.3"/>
    <row r="23317" spans="1:43" ht="14.4" x14ac:dyDescent="0.3"/>
    <row r="23318" spans="1:43" ht="14.4" x14ac:dyDescent="0.3"/>
    <row r="23319" spans="1:43" ht="14.4" x14ac:dyDescent="0.3"/>
    <row r="23320" spans="1:43" ht="14.4" x14ac:dyDescent="0.3"/>
    <row r="23321" spans="1:43" ht="14.4" x14ac:dyDescent="0.3"/>
    <row r="23322" spans="1:43" ht="14.4" x14ac:dyDescent="0.3"/>
    <row r="23323" spans="1:43" ht="14.4" x14ac:dyDescent="0.3"/>
    <row r="23324" spans="1:43" ht="14.4" x14ac:dyDescent="0.3"/>
    <row r="23325" spans="1:43" ht="14.4" x14ac:dyDescent="0.3"/>
    <row r="23326" spans="1:43" ht="14.4" x14ac:dyDescent="0.3"/>
    <row r="23327" spans="1:43" ht="14.4" x14ac:dyDescent="0.3"/>
    <row r="23328" spans="1:43" ht="14.4" x14ac:dyDescent="0.3"/>
    <row r="23329" ht="14.4" x14ac:dyDescent="0.3"/>
    <row r="23330" ht="14.4" x14ac:dyDescent="0.3"/>
    <row r="23331" ht="14.4" x14ac:dyDescent="0.3"/>
    <row r="23332" ht="14.4" x14ac:dyDescent="0.3"/>
    <row r="23333" ht="14.4" x14ac:dyDescent="0.3"/>
    <row r="23334" ht="14.4" x14ac:dyDescent="0.3"/>
    <row r="23335" ht="14.4" x14ac:dyDescent="0.3"/>
    <row r="23336" ht="14.4" x14ac:dyDescent="0.3"/>
    <row r="23337" ht="14.4" x14ac:dyDescent="0.3"/>
    <row r="23338" ht="14.4" x14ac:dyDescent="0.3"/>
    <row r="23339" ht="14.4" x14ac:dyDescent="0.3"/>
    <row r="23340" ht="14.4" x14ac:dyDescent="0.3"/>
    <row r="23341" ht="14.4" x14ac:dyDescent="0.3"/>
    <row r="23342" ht="14.4" x14ac:dyDescent="0.3"/>
    <row r="23343" ht="14.4" x14ac:dyDescent="0.3"/>
    <row r="23344" ht="14.4" x14ac:dyDescent="0.3"/>
    <row r="23345" ht="14.4" x14ac:dyDescent="0.3"/>
    <row r="23346" ht="14.4" x14ac:dyDescent="0.3"/>
    <row r="23347" ht="14.4" x14ac:dyDescent="0.3"/>
    <row r="23348" ht="14.4" x14ac:dyDescent="0.3"/>
    <row r="23349" ht="14.4" x14ac:dyDescent="0.3"/>
    <row r="23350" ht="14.4" x14ac:dyDescent="0.3"/>
    <row r="23351" ht="14.4" x14ac:dyDescent="0.3"/>
    <row r="23352" ht="14.4" x14ac:dyDescent="0.3"/>
    <row r="23353" ht="14.4" x14ac:dyDescent="0.3"/>
    <row r="23354" ht="14.4" x14ac:dyDescent="0.3"/>
    <row r="23355" ht="14.4" x14ac:dyDescent="0.3"/>
    <row r="23356" ht="14.4" x14ac:dyDescent="0.3"/>
    <row r="23357" ht="14.4" x14ac:dyDescent="0.3"/>
    <row r="23358" ht="14.4" x14ac:dyDescent="0.3"/>
    <row r="23359" ht="14.4" x14ac:dyDescent="0.3"/>
    <row r="23360" ht="14.4" x14ac:dyDescent="0.3"/>
    <row r="23361" ht="14.4" x14ac:dyDescent="0.3"/>
    <row r="23362" ht="14.4" x14ac:dyDescent="0.3"/>
    <row r="23363" ht="14.4" x14ac:dyDescent="0.3"/>
    <row r="23364" ht="14.4" x14ac:dyDescent="0.3"/>
    <row r="23365" ht="14.4" x14ac:dyDescent="0.3"/>
    <row r="23366" ht="14.4" x14ac:dyDescent="0.3"/>
    <row r="23367" ht="14.4" x14ac:dyDescent="0.3"/>
    <row r="23368" ht="14.4" x14ac:dyDescent="0.3"/>
    <row r="23369" ht="14.4" x14ac:dyDescent="0.3"/>
    <row r="23370" ht="14.4" x14ac:dyDescent="0.3"/>
    <row r="23371" ht="14.4" x14ac:dyDescent="0.3"/>
    <row r="23372" ht="14.4" x14ac:dyDescent="0.3"/>
    <row r="23373" ht="14.4" x14ac:dyDescent="0.3"/>
    <row r="23374" ht="14.4" x14ac:dyDescent="0.3"/>
    <row r="23375" ht="14.4" x14ac:dyDescent="0.3"/>
    <row r="23376" ht="14.4" x14ac:dyDescent="0.3"/>
    <row r="23377" ht="14.4" x14ac:dyDescent="0.3"/>
    <row r="23378" ht="14.4" x14ac:dyDescent="0.3"/>
    <row r="23379" ht="14.4" x14ac:dyDescent="0.3"/>
    <row r="23380" ht="14.4" x14ac:dyDescent="0.3"/>
    <row r="23381" ht="14.4" x14ac:dyDescent="0.3"/>
    <row r="23382" ht="14.4" x14ac:dyDescent="0.3"/>
    <row r="23383" ht="14.4" x14ac:dyDescent="0.3"/>
    <row r="23384" ht="14.4" x14ac:dyDescent="0.3"/>
    <row r="23385" ht="14.4" x14ac:dyDescent="0.3"/>
    <row r="23386" ht="14.4" x14ac:dyDescent="0.3"/>
    <row r="23387" ht="14.4" x14ac:dyDescent="0.3"/>
    <row r="23388" ht="14.4" x14ac:dyDescent="0.3"/>
    <row r="23389" ht="14.4" x14ac:dyDescent="0.3"/>
    <row r="23390" ht="14.4" x14ac:dyDescent="0.3"/>
    <row r="23391" ht="14.4" x14ac:dyDescent="0.3"/>
    <row r="23392" ht="14.4" x14ac:dyDescent="0.3"/>
    <row r="23393" ht="14.4" x14ac:dyDescent="0.3"/>
    <row r="23394" ht="14.4" x14ac:dyDescent="0.3"/>
    <row r="23395" ht="14.4" x14ac:dyDescent="0.3"/>
    <row r="23396" ht="14.4" x14ac:dyDescent="0.3"/>
    <row r="23397" ht="14.4" x14ac:dyDescent="0.3"/>
    <row r="23398" ht="14.4" x14ac:dyDescent="0.3"/>
    <row r="23399" ht="14.4" x14ac:dyDescent="0.3"/>
    <row r="23400" ht="14.4" x14ac:dyDescent="0.3"/>
    <row r="23401" ht="14.4" x14ac:dyDescent="0.3"/>
    <row r="23402" ht="14.4" x14ac:dyDescent="0.3"/>
    <row r="23403" ht="14.4" x14ac:dyDescent="0.3"/>
    <row r="23404" ht="14.4" x14ac:dyDescent="0.3"/>
    <row r="23405" ht="14.4" x14ac:dyDescent="0.3"/>
    <row r="23406" ht="14.4" x14ac:dyDescent="0.3"/>
    <row r="23407" ht="14.4" x14ac:dyDescent="0.3"/>
    <row r="23408" ht="14.4" x14ac:dyDescent="0.3"/>
    <row r="23409" ht="14.4" x14ac:dyDescent="0.3"/>
    <row r="23410" ht="14.4" x14ac:dyDescent="0.3"/>
    <row r="23411" ht="14.4" x14ac:dyDescent="0.3"/>
    <row r="23412" ht="14.4" x14ac:dyDescent="0.3"/>
    <row r="23413" ht="14.4" x14ac:dyDescent="0.3"/>
    <row r="23414" ht="14.4" x14ac:dyDescent="0.3"/>
    <row r="23415" ht="14.4" x14ac:dyDescent="0.3"/>
    <row r="23416" ht="14.4" x14ac:dyDescent="0.3"/>
    <row r="23417" ht="14.4" x14ac:dyDescent="0.3"/>
    <row r="23418" ht="14.4" x14ac:dyDescent="0.3"/>
    <row r="23419" ht="14.4" x14ac:dyDescent="0.3"/>
    <row r="23420" ht="14.4" x14ac:dyDescent="0.3"/>
    <row r="23421" ht="14.4" x14ac:dyDescent="0.3"/>
    <row r="23422" ht="14.4" x14ac:dyDescent="0.3"/>
    <row r="23423" ht="14.4" x14ac:dyDescent="0.3"/>
    <row r="23424" ht="14.4" x14ac:dyDescent="0.3"/>
    <row r="23425" ht="14.4" x14ac:dyDescent="0.3"/>
    <row r="23426" ht="14.4" x14ac:dyDescent="0.3"/>
    <row r="23427" ht="14.4" x14ac:dyDescent="0.3"/>
    <row r="23428" ht="14.4" x14ac:dyDescent="0.3"/>
    <row r="23429" ht="14.4" x14ac:dyDescent="0.3"/>
    <row r="23430" ht="14.4" x14ac:dyDescent="0.3"/>
    <row r="23431" ht="14.4" x14ac:dyDescent="0.3"/>
    <row r="23432" ht="14.4" x14ac:dyDescent="0.3"/>
    <row r="23433" ht="14.4" x14ac:dyDescent="0.3"/>
    <row r="23434" ht="14.4" x14ac:dyDescent="0.3"/>
    <row r="23435" ht="14.4" x14ac:dyDescent="0.3"/>
    <row r="23436" ht="14.4" x14ac:dyDescent="0.3"/>
    <row r="23437" ht="14.4" x14ac:dyDescent="0.3"/>
    <row r="23438" ht="14.4" x14ac:dyDescent="0.3"/>
    <row r="23439" ht="14.4" x14ac:dyDescent="0.3"/>
    <row r="23440" ht="14.4" x14ac:dyDescent="0.3"/>
    <row r="23441" ht="14.4" x14ac:dyDescent="0.3"/>
    <row r="23442" ht="14.4" x14ac:dyDescent="0.3"/>
    <row r="23443" ht="14.4" x14ac:dyDescent="0.3"/>
    <row r="23444" ht="14.4" x14ac:dyDescent="0.3"/>
    <row r="23445" ht="14.4" x14ac:dyDescent="0.3"/>
    <row r="23446" ht="14.4" x14ac:dyDescent="0.3"/>
    <row r="23447" ht="14.4" x14ac:dyDescent="0.3"/>
    <row r="23448" ht="14.4" x14ac:dyDescent="0.3"/>
    <row r="23449" ht="14.4" x14ac:dyDescent="0.3"/>
    <row r="23450" ht="14.4" x14ac:dyDescent="0.3"/>
    <row r="23451" ht="14.4" x14ac:dyDescent="0.3"/>
    <row r="23452" ht="14.4" x14ac:dyDescent="0.3"/>
    <row r="23453" ht="14.4" x14ac:dyDescent="0.3"/>
    <row r="23454" ht="14.4" x14ac:dyDescent="0.3"/>
    <row r="23455" ht="14.4" x14ac:dyDescent="0.3"/>
    <row r="23456" ht="14.4" x14ac:dyDescent="0.3"/>
    <row r="23457" ht="14.4" x14ac:dyDescent="0.3"/>
    <row r="23458" ht="14.4" x14ac:dyDescent="0.3"/>
    <row r="23459" ht="14.4" x14ac:dyDescent="0.3"/>
    <row r="23460" ht="14.4" x14ac:dyDescent="0.3"/>
    <row r="23461" ht="14.4" x14ac:dyDescent="0.3"/>
    <row r="23462" ht="14.4" x14ac:dyDescent="0.3"/>
    <row r="23463" ht="14.4" x14ac:dyDescent="0.3"/>
    <row r="23464" ht="14.4" x14ac:dyDescent="0.3"/>
    <row r="23465" ht="14.4" x14ac:dyDescent="0.3"/>
    <row r="23466" ht="14.4" x14ac:dyDescent="0.3"/>
    <row r="23467" ht="14.4" x14ac:dyDescent="0.3"/>
    <row r="23468" ht="14.4" x14ac:dyDescent="0.3"/>
    <row r="23469" ht="14.4" x14ac:dyDescent="0.3"/>
    <row r="23470" ht="14.4" x14ac:dyDescent="0.3"/>
    <row r="23471" ht="14.4" x14ac:dyDescent="0.3"/>
    <row r="23472" ht="14.4" x14ac:dyDescent="0.3"/>
    <row r="23473" ht="14.4" x14ac:dyDescent="0.3"/>
    <row r="23474" ht="14.4" x14ac:dyDescent="0.3"/>
    <row r="23475" ht="14.4" x14ac:dyDescent="0.3"/>
    <row r="23476" ht="14.4" x14ac:dyDescent="0.3"/>
    <row r="23477" ht="14.4" x14ac:dyDescent="0.3"/>
    <row r="23478" ht="14.4" x14ac:dyDescent="0.3"/>
    <row r="23479" ht="14.4" x14ac:dyDescent="0.3"/>
    <row r="23480" ht="14.4" x14ac:dyDescent="0.3"/>
    <row r="23481" ht="14.4" x14ac:dyDescent="0.3"/>
    <row r="23482" ht="14.4" x14ac:dyDescent="0.3"/>
    <row r="23483" ht="14.4" x14ac:dyDescent="0.3"/>
    <row r="23484" ht="14.4" x14ac:dyDescent="0.3"/>
    <row r="23485" ht="14.4" x14ac:dyDescent="0.3"/>
    <row r="23486" ht="14.4" x14ac:dyDescent="0.3"/>
    <row r="23487" ht="14.4" x14ac:dyDescent="0.3"/>
    <row r="23488" ht="14.4" x14ac:dyDescent="0.3"/>
    <row r="23489" ht="14.4" x14ac:dyDescent="0.3"/>
    <row r="23490" ht="14.4" x14ac:dyDescent="0.3"/>
    <row r="23491" ht="14.4" x14ac:dyDescent="0.3"/>
    <row r="23492" ht="14.4" x14ac:dyDescent="0.3"/>
    <row r="23493" ht="14.4" x14ac:dyDescent="0.3"/>
    <row r="23494" ht="14.4" x14ac:dyDescent="0.3"/>
    <row r="23495" ht="14.4" x14ac:dyDescent="0.3"/>
    <row r="23496" ht="14.4" x14ac:dyDescent="0.3"/>
    <row r="23497" ht="14.4" x14ac:dyDescent="0.3"/>
    <row r="23498" ht="14.4" x14ac:dyDescent="0.3"/>
    <row r="23499" ht="14.4" x14ac:dyDescent="0.3"/>
    <row r="23500" ht="14.4" x14ac:dyDescent="0.3"/>
    <row r="23501" ht="14.4" x14ac:dyDescent="0.3"/>
    <row r="23502" ht="14.4" x14ac:dyDescent="0.3"/>
    <row r="23503" ht="14.4" x14ac:dyDescent="0.3"/>
    <row r="23504" ht="14.4" x14ac:dyDescent="0.3"/>
    <row r="23505" ht="14.4" x14ac:dyDescent="0.3"/>
    <row r="23506" ht="14.4" x14ac:dyDescent="0.3"/>
    <row r="23507" ht="14.4" x14ac:dyDescent="0.3"/>
    <row r="23508" ht="14.4" x14ac:dyDescent="0.3"/>
    <row r="23509" ht="14.4" x14ac:dyDescent="0.3"/>
    <row r="23510" ht="14.4" x14ac:dyDescent="0.3"/>
    <row r="23511" ht="14.4" x14ac:dyDescent="0.3"/>
    <row r="23512" ht="14.4" x14ac:dyDescent="0.3"/>
    <row r="23513" ht="14.4" x14ac:dyDescent="0.3"/>
    <row r="23514" ht="14.4" x14ac:dyDescent="0.3"/>
    <row r="23515" ht="14.4" x14ac:dyDescent="0.3"/>
    <row r="23516" ht="14.4" x14ac:dyDescent="0.3"/>
    <row r="23517" ht="14.4" x14ac:dyDescent="0.3"/>
    <row r="23518" ht="14.4" x14ac:dyDescent="0.3"/>
    <row r="23519" ht="14.4" x14ac:dyDescent="0.3"/>
    <row r="23520" ht="14.4" x14ac:dyDescent="0.3"/>
    <row r="23521" ht="14.4" x14ac:dyDescent="0.3"/>
    <row r="23522" ht="14.4" x14ac:dyDescent="0.3"/>
    <row r="23523" ht="14.4" x14ac:dyDescent="0.3"/>
    <row r="23524" ht="14.4" x14ac:dyDescent="0.3"/>
    <row r="23525" ht="14.4" x14ac:dyDescent="0.3"/>
    <row r="23526" ht="14.4" x14ac:dyDescent="0.3"/>
    <row r="23527" ht="14.4" x14ac:dyDescent="0.3"/>
    <row r="23528" ht="14.4" x14ac:dyDescent="0.3"/>
    <row r="23529" ht="14.4" x14ac:dyDescent="0.3"/>
    <row r="23530" ht="14.4" x14ac:dyDescent="0.3"/>
    <row r="23531" ht="14.4" x14ac:dyDescent="0.3"/>
    <row r="23532" ht="14.4" x14ac:dyDescent="0.3"/>
    <row r="23533" ht="14.4" x14ac:dyDescent="0.3"/>
    <row r="23534" ht="14.4" x14ac:dyDescent="0.3"/>
    <row r="23535" ht="14.4" x14ac:dyDescent="0.3"/>
    <row r="23536" ht="14.4" x14ac:dyDescent="0.3"/>
    <row r="23537" ht="14.4" x14ac:dyDescent="0.3"/>
    <row r="23538" ht="14.4" x14ac:dyDescent="0.3"/>
    <row r="23539" ht="14.4" x14ac:dyDescent="0.3"/>
    <row r="23540" ht="14.4" x14ac:dyDescent="0.3"/>
    <row r="23541" ht="14.4" x14ac:dyDescent="0.3"/>
    <row r="23542" ht="14.4" x14ac:dyDescent="0.3"/>
    <row r="23543" ht="14.4" x14ac:dyDescent="0.3"/>
    <row r="23544" ht="14.4" x14ac:dyDescent="0.3"/>
    <row r="23545" ht="14.4" x14ac:dyDescent="0.3"/>
    <row r="23546" ht="14.4" x14ac:dyDescent="0.3"/>
    <row r="23547" ht="14.4" x14ac:dyDescent="0.3"/>
    <row r="23548" ht="14.4" x14ac:dyDescent="0.3"/>
    <row r="23549" ht="14.4" x14ac:dyDescent="0.3"/>
    <row r="23550" ht="14.4" x14ac:dyDescent="0.3"/>
    <row r="23551" ht="14.4" x14ac:dyDescent="0.3"/>
    <row r="23552" ht="14.4" x14ac:dyDescent="0.3"/>
    <row r="23553" ht="14.4" x14ac:dyDescent="0.3"/>
    <row r="23554" ht="14.4" x14ac:dyDescent="0.3"/>
    <row r="23555" ht="14.4" x14ac:dyDescent="0.3"/>
    <row r="23556" ht="14.4" x14ac:dyDescent="0.3"/>
    <row r="23557" ht="14.4" x14ac:dyDescent="0.3"/>
    <row r="23558" ht="14.4" x14ac:dyDescent="0.3"/>
    <row r="23559" ht="14.4" x14ac:dyDescent="0.3"/>
    <row r="23560" ht="14.4" x14ac:dyDescent="0.3"/>
    <row r="23561" ht="14.4" x14ac:dyDescent="0.3"/>
    <row r="23562" ht="14.4" x14ac:dyDescent="0.3"/>
    <row r="23563" ht="14.4" x14ac:dyDescent="0.3"/>
    <row r="23564" ht="14.4" x14ac:dyDescent="0.3"/>
    <row r="23565" ht="14.4" x14ac:dyDescent="0.3"/>
    <row r="23566" ht="14.4" x14ac:dyDescent="0.3"/>
    <row r="23567" ht="14.4" x14ac:dyDescent="0.3"/>
    <row r="23568" ht="14.4" x14ac:dyDescent="0.3"/>
    <row r="23569" ht="14.4" x14ac:dyDescent="0.3"/>
    <row r="23570" ht="14.4" x14ac:dyDescent="0.3"/>
    <row r="23571" ht="14.4" x14ac:dyDescent="0.3"/>
    <row r="23572" ht="14.4" x14ac:dyDescent="0.3"/>
    <row r="23573" ht="14.4" x14ac:dyDescent="0.3"/>
    <row r="23574" ht="14.4" x14ac:dyDescent="0.3"/>
    <row r="23575" ht="14.4" x14ac:dyDescent="0.3"/>
    <row r="23576" ht="14.4" x14ac:dyDescent="0.3"/>
    <row r="23577" ht="14.4" x14ac:dyDescent="0.3"/>
    <row r="23578" ht="14.4" x14ac:dyDescent="0.3"/>
    <row r="23579" ht="14.4" x14ac:dyDescent="0.3"/>
    <row r="23580" ht="14.4" x14ac:dyDescent="0.3"/>
    <row r="23581" ht="14.4" x14ac:dyDescent="0.3"/>
    <row r="23582" ht="14.4" x14ac:dyDescent="0.3"/>
    <row r="23583" ht="14.4" x14ac:dyDescent="0.3"/>
    <row r="23584" ht="14.4" x14ac:dyDescent="0.3"/>
    <row r="23585" ht="14.4" x14ac:dyDescent="0.3"/>
    <row r="23586" ht="14.4" x14ac:dyDescent="0.3"/>
    <row r="23587" ht="14.4" x14ac:dyDescent="0.3"/>
    <row r="23588" ht="14.4" x14ac:dyDescent="0.3"/>
    <row r="23589" ht="14.4" x14ac:dyDescent="0.3"/>
    <row r="23590" ht="14.4" x14ac:dyDescent="0.3"/>
    <row r="23591" ht="14.4" x14ac:dyDescent="0.3"/>
    <row r="23592" ht="14.4" x14ac:dyDescent="0.3"/>
    <row r="23593" ht="14.4" x14ac:dyDescent="0.3"/>
    <row r="23594" ht="14.4" x14ac:dyDescent="0.3"/>
    <row r="23595" ht="14.4" x14ac:dyDescent="0.3"/>
    <row r="23596" ht="14.4" x14ac:dyDescent="0.3"/>
    <row r="23597" ht="14.4" x14ac:dyDescent="0.3"/>
    <row r="23598" ht="14.4" x14ac:dyDescent="0.3"/>
    <row r="23599" ht="14.4" x14ac:dyDescent="0.3"/>
    <row r="23600" ht="14.4" x14ac:dyDescent="0.3"/>
    <row r="23601" ht="14.4" x14ac:dyDescent="0.3"/>
    <row r="23602" ht="14.4" x14ac:dyDescent="0.3"/>
    <row r="23603" ht="14.4" x14ac:dyDescent="0.3"/>
    <row r="23604" ht="14.4" x14ac:dyDescent="0.3"/>
    <row r="23605" ht="14.4" x14ac:dyDescent="0.3"/>
    <row r="23606" ht="14.4" x14ac:dyDescent="0.3"/>
    <row r="23607" ht="14.4" x14ac:dyDescent="0.3"/>
    <row r="23608" ht="14.4" x14ac:dyDescent="0.3"/>
    <row r="23609" ht="14.4" x14ac:dyDescent="0.3"/>
    <row r="23610" ht="14.4" x14ac:dyDescent="0.3"/>
    <row r="23611" ht="14.4" x14ac:dyDescent="0.3"/>
    <row r="23612" ht="14.4" x14ac:dyDescent="0.3"/>
    <row r="23613" ht="14.4" x14ac:dyDescent="0.3"/>
    <row r="23614" ht="14.4" x14ac:dyDescent="0.3"/>
    <row r="23615" ht="14.4" x14ac:dyDescent="0.3"/>
    <row r="23616" ht="14.4" x14ac:dyDescent="0.3"/>
    <row r="23617" ht="14.4" x14ac:dyDescent="0.3"/>
    <row r="23618" ht="14.4" x14ac:dyDescent="0.3"/>
    <row r="23619" ht="14.4" x14ac:dyDescent="0.3"/>
    <row r="23620" ht="14.4" x14ac:dyDescent="0.3"/>
    <row r="23621" ht="14.4" x14ac:dyDescent="0.3"/>
    <row r="23622" ht="14.4" x14ac:dyDescent="0.3"/>
    <row r="23623" ht="14.4" x14ac:dyDescent="0.3"/>
    <row r="23624" ht="14.4" x14ac:dyDescent="0.3"/>
    <row r="23625" ht="14.4" x14ac:dyDescent="0.3"/>
    <row r="23626" ht="14.4" x14ac:dyDescent="0.3"/>
    <row r="23627" ht="14.4" x14ac:dyDescent="0.3"/>
    <row r="23628" ht="14.4" x14ac:dyDescent="0.3"/>
    <row r="23629" ht="14.4" x14ac:dyDescent="0.3"/>
    <row r="23630" ht="14.4" x14ac:dyDescent="0.3"/>
    <row r="23631" ht="14.4" x14ac:dyDescent="0.3"/>
    <row r="23632" ht="14.4" x14ac:dyDescent="0.3"/>
    <row r="23633" ht="14.4" x14ac:dyDescent="0.3"/>
    <row r="23634" ht="14.4" x14ac:dyDescent="0.3"/>
    <row r="23635" ht="14.4" x14ac:dyDescent="0.3"/>
    <row r="23636" ht="14.4" x14ac:dyDescent="0.3"/>
    <row r="23637" ht="14.4" x14ac:dyDescent="0.3"/>
    <row r="23638" ht="14.4" x14ac:dyDescent="0.3"/>
    <row r="23639" ht="14.4" x14ac:dyDescent="0.3"/>
    <row r="23640" ht="14.4" x14ac:dyDescent="0.3"/>
    <row r="23641" ht="14.4" x14ac:dyDescent="0.3"/>
    <row r="23642" ht="14.4" x14ac:dyDescent="0.3"/>
    <row r="23643" ht="14.4" x14ac:dyDescent="0.3"/>
    <row r="23644" ht="14.4" x14ac:dyDescent="0.3"/>
    <row r="23645" ht="14.4" x14ac:dyDescent="0.3"/>
    <row r="23646" ht="14.4" x14ac:dyDescent="0.3"/>
    <row r="23647" ht="14.4" x14ac:dyDescent="0.3"/>
    <row r="23648" ht="14.4" x14ac:dyDescent="0.3"/>
    <row r="23649" ht="14.4" x14ac:dyDescent="0.3"/>
    <row r="23650" ht="14.4" x14ac:dyDescent="0.3"/>
    <row r="23651" ht="14.4" x14ac:dyDescent="0.3"/>
    <row r="23652" ht="14.4" x14ac:dyDescent="0.3"/>
    <row r="23653" ht="14.4" x14ac:dyDescent="0.3"/>
    <row r="23654" ht="14.4" x14ac:dyDescent="0.3"/>
    <row r="23655" ht="14.4" x14ac:dyDescent="0.3"/>
    <row r="23656" ht="14.4" x14ac:dyDescent="0.3"/>
    <row r="23657" ht="14.4" x14ac:dyDescent="0.3"/>
    <row r="23658" ht="14.4" x14ac:dyDescent="0.3"/>
    <row r="23659" ht="14.4" x14ac:dyDescent="0.3"/>
    <row r="23660" ht="14.4" x14ac:dyDescent="0.3"/>
    <row r="23661" ht="14.4" x14ac:dyDescent="0.3"/>
    <row r="23662" ht="14.4" x14ac:dyDescent="0.3"/>
    <row r="23663" ht="14.4" x14ac:dyDescent="0.3"/>
    <row r="23664" ht="14.4" x14ac:dyDescent="0.3"/>
    <row r="23665" ht="14.4" x14ac:dyDescent="0.3"/>
    <row r="23666" ht="14.4" x14ac:dyDescent="0.3"/>
    <row r="23667" ht="14.4" x14ac:dyDescent="0.3"/>
    <row r="23668" ht="14.4" x14ac:dyDescent="0.3"/>
    <row r="23669" ht="14.4" x14ac:dyDescent="0.3"/>
    <row r="23670" ht="14.4" x14ac:dyDescent="0.3"/>
    <row r="23671" ht="14.4" x14ac:dyDescent="0.3"/>
    <row r="23672" ht="14.4" x14ac:dyDescent="0.3"/>
    <row r="23673" ht="14.4" x14ac:dyDescent="0.3"/>
    <row r="23674" ht="14.4" x14ac:dyDescent="0.3"/>
    <row r="23675" ht="14.4" x14ac:dyDescent="0.3"/>
    <row r="23676" ht="14.4" x14ac:dyDescent="0.3"/>
    <row r="23677" ht="14.4" x14ac:dyDescent="0.3"/>
    <row r="23678" ht="14.4" x14ac:dyDescent="0.3"/>
    <row r="23679" ht="14.4" x14ac:dyDescent="0.3"/>
    <row r="23680" ht="14.4" x14ac:dyDescent="0.3"/>
    <row r="23681" ht="14.4" x14ac:dyDescent="0.3"/>
    <row r="23682" ht="14.4" x14ac:dyDescent="0.3"/>
    <row r="23683" ht="14.4" x14ac:dyDescent="0.3"/>
    <row r="23684" ht="14.4" x14ac:dyDescent="0.3"/>
    <row r="23685" ht="14.4" x14ac:dyDescent="0.3"/>
    <row r="23686" ht="14.4" x14ac:dyDescent="0.3"/>
    <row r="23687" ht="14.4" x14ac:dyDescent="0.3"/>
    <row r="23688" ht="14.4" x14ac:dyDescent="0.3"/>
    <row r="23689" ht="14.4" x14ac:dyDescent="0.3"/>
    <row r="23690" ht="14.4" x14ac:dyDescent="0.3"/>
    <row r="23691" ht="14.4" x14ac:dyDescent="0.3"/>
    <row r="23692" ht="14.4" x14ac:dyDescent="0.3"/>
    <row r="23693" ht="14.4" x14ac:dyDescent="0.3"/>
    <row r="23694" ht="14.4" x14ac:dyDescent="0.3"/>
    <row r="23695" ht="14.4" x14ac:dyDescent="0.3"/>
    <row r="23696" ht="14.4" x14ac:dyDescent="0.3"/>
    <row r="23697" ht="14.4" x14ac:dyDescent="0.3"/>
    <row r="23698" ht="14.4" x14ac:dyDescent="0.3"/>
    <row r="23699" ht="14.4" x14ac:dyDescent="0.3"/>
    <row r="23700" ht="14.4" x14ac:dyDescent="0.3"/>
    <row r="23701" ht="14.4" x14ac:dyDescent="0.3"/>
    <row r="23702" ht="14.4" x14ac:dyDescent="0.3"/>
    <row r="23703" ht="14.4" x14ac:dyDescent="0.3"/>
    <row r="23704" ht="14.4" x14ac:dyDescent="0.3"/>
    <row r="23705" ht="14.4" x14ac:dyDescent="0.3"/>
    <row r="23706" ht="14.4" x14ac:dyDescent="0.3"/>
    <row r="23707" ht="14.4" x14ac:dyDescent="0.3"/>
    <row r="23708" ht="14.4" x14ac:dyDescent="0.3"/>
    <row r="23709" ht="14.4" x14ac:dyDescent="0.3"/>
    <row r="23710" ht="14.4" x14ac:dyDescent="0.3"/>
    <row r="23711" ht="14.4" x14ac:dyDescent="0.3"/>
    <row r="23712" ht="14.4" x14ac:dyDescent="0.3"/>
    <row r="23713" ht="14.4" x14ac:dyDescent="0.3"/>
    <row r="23714" ht="14.4" x14ac:dyDescent="0.3"/>
    <row r="23715" ht="14.4" x14ac:dyDescent="0.3"/>
    <row r="23716" ht="14.4" x14ac:dyDescent="0.3"/>
    <row r="23717" ht="14.4" x14ac:dyDescent="0.3"/>
    <row r="23718" ht="14.4" x14ac:dyDescent="0.3"/>
    <row r="23719" ht="14.4" x14ac:dyDescent="0.3"/>
    <row r="23720" ht="14.4" x14ac:dyDescent="0.3"/>
    <row r="23721" ht="14.4" x14ac:dyDescent="0.3"/>
    <row r="23722" ht="14.4" x14ac:dyDescent="0.3"/>
    <row r="23723" ht="14.4" x14ac:dyDescent="0.3"/>
    <row r="23724" ht="14.4" x14ac:dyDescent="0.3"/>
    <row r="23725" ht="14.4" x14ac:dyDescent="0.3"/>
    <row r="23726" ht="14.4" x14ac:dyDescent="0.3"/>
    <row r="23727" ht="14.4" x14ac:dyDescent="0.3"/>
    <row r="23728" ht="14.4" x14ac:dyDescent="0.3"/>
    <row r="23729" ht="14.4" x14ac:dyDescent="0.3"/>
    <row r="23730" ht="14.4" x14ac:dyDescent="0.3"/>
    <row r="23731" ht="14.4" x14ac:dyDescent="0.3"/>
    <row r="23732" ht="14.4" x14ac:dyDescent="0.3"/>
    <row r="23733" ht="14.4" x14ac:dyDescent="0.3"/>
    <row r="23734" ht="14.4" x14ac:dyDescent="0.3"/>
    <row r="23735" ht="14.4" x14ac:dyDescent="0.3"/>
    <row r="23736" ht="14.4" x14ac:dyDescent="0.3"/>
    <row r="23737" ht="14.4" x14ac:dyDescent="0.3"/>
    <row r="23738" ht="14.4" x14ac:dyDescent="0.3"/>
    <row r="23739" ht="14.4" x14ac:dyDescent="0.3"/>
    <row r="23740" ht="14.4" x14ac:dyDescent="0.3"/>
    <row r="23741" ht="14.4" x14ac:dyDescent="0.3"/>
    <row r="23742" ht="14.4" x14ac:dyDescent="0.3"/>
    <row r="23743" ht="14.4" x14ac:dyDescent="0.3"/>
    <row r="23744" ht="14.4" x14ac:dyDescent="0.3"/>
    <row r="23745" ht="14.4" x14ac:dyDescent="0.3"/>
    <row r="23746" ht="14.4" x14ac:dyDescent="0.3"/>
    <row r="23747" ht="14.4" x14ac:dyDescent="0.3"/>
    <row r="23748" ht="14.4" x14ac:dyDescent="0.3"/>
    <row r="23749" ht="14.4" x14ac:dyDescent="0.3"/>
    <row r="23750" ht="14.4" x14ac:dyDescent="0.3"/>
    <row r="23751" ht="14.4" x14ac:dyDescent="0.3"/>
    <row r="23752" ht="14.4" x14ac:dyDescent="0.3"/>
    <row r="23753" ht="14.4" x14ac:dyDescent="0.3"/>
    <row r="23754" ht="14.4" x14ac:dyDescent="0.3"/>
    <row r="23755" ht="14.4" x14ac:dyDescent="0.3"/>
    <row r="23756" ht="14.4" x14ac:dyDescent="0.3"/>
    <row r="23757" ht="14.4" x14ac:dyDescent="0.3"/>
    <row r="23758" ht="14.4" x14ac:dyDescent="0.3"/>
    <row r="23759" ht="14.4" x14ac:dyDescent="0.3"/>
    <row r="23760" ht="14.4" x14ac:dyDescent="0.3"/>
    <row r="23761" ht="14.4" x14ac:dyDescent="0.3"/>
    <row r="23762" ht="14.4" x14ac:dyDescent="0.3"/>
    <row r="23763" ht="14.4" x14ac:dyDescent="0.3"/>
    <row r="23764" ht="14.4" x14ac:dyDescent="0.3"/>
    <row r="23765" ht="14.4" x14ac:dyDescent="0.3"/>
    <row r="23766" ht="14.4" x14ac:dyDescent="0.3"/>
    <row r="23767" ht="14.4" x14ac:dyDescent="0.3"/>
    <row r="23768" ht="14.4" x14ac:dyDescent="0.3"/>
    <row r="23769" ht="14.4" x14ac:dyDescent="0.3"/>
    <row r="23770" ht="14.4" x14ac:dyDescent="0.3"/>
    <row r="23771" ht="14.4" x14ac:dyDescent="0.3"/>
    <row r="23772" ht="14.4" x14ac:dyDescent="0.3"/>
    <row r="23773" ht="14.4" x14ac:dyDescent="0.3"/>
    <row r="23774" ht="14.4" x14ac:dyDescent="0.3"/>
    <row r="23775" ht="14.4" x14ac:dyDescent="0.3"/>
    <row r="23776" ht="14.4" x14ac:dyDescent="0.3"/>
    <row r="23777" ht="14.4" x14ac:dyDescent="0.3"/>
    <row r="23778" ht="14.4" x14ac:dyDescent="0.3"/>
    <row r="23779" ht="14.4" x14ac:dyDescent="0.3"/>
    <row r="23780" ht="14.4" x14ac:dyDescent="0.3"/>
    <row r="23781" ht="14.4" x14ac:dyDescent="0.3"/>
    <row r="23782" ht="14.4" x14ac:dyDescent="0.3"/>
    <row r="23783" ht="14.4" x14ac:dyDescent="0.3"/>
    <row r="23784" ht="14.4" x14ac:dyDescent="0.3"/>
    <row r="23785" ht="14.4" x14ac:dyDescent="0.3"/>
    <row r="23786" ht="14.4" x14ac:dyDescent="0.3"/>
    <row r="23787" ht="14.4" x14ac:dyDescent="0.3"/>
    <row r="23788" ht="14.4" x14ac:dyDescent="0.3"/>
    <row r="23789" ht="14.4" x14ac:dyDescent="0.3"/>
    <row r="23790" ht="14.4" x14ac:dyDescent="0.3"/>
    <row r="23791" ht="14.4" x14ac:dyDescent="0.3"/>
    <row r="23792" ht="14.4" x14ac:dyDescent="0.3"/>
    <row r="23793" ht="14.4" x14ac:dyDescent="0.3"/>
    <row r="23794" ht="14.4" x14ac:dyDescent="0.3"/>
    <row r="23795" ht="14.4" x14ac:dyDescent="0.3"/>
    <row r="23796" ht="14.4" x14ac:dyDescent="0.3"/>
    <row r="23797" ht="14.4" x14ac:dyDescent="0.3"/>
    <row r="23798" ht="14.4" x14ac:dyDescent="0.3"/>
    <row r="23799" ht="14.4" x14ac:dyDescent="0.3"/>
    <row r="23800" ht="14.4" x14ac:dyDescent="0.3"/>
    <row r="23801" ht="14.4" x14ac:dyDescent="0.3"/>
    <row r="23802" ht="14.4" x14ac:dyDescent="0.3"/>
    <row r="23803" ht="14.4" x14ac:dyDescent="0.3"/>
    <row r="23804" ht="14.4" x14ac:dyDescent="0.3"/>
    <row r="23805" ht="14.4" x14ac:dyDescent="0.3"/>
    <row r="23806" ht="14.4" x14ac:dyDescent="0.3"/>
    <row r="23807" ht="14.4" x14ac:dyDescent="0.3"/>
    <row r="23808" ht="14.4" x14ac:dyDescent="0.3"/>
    <row r="23809" ht="14.4" x14ac:dyDescent="0.3"/>
    <row r="23810" ht="14.4" x14ac:dyDescent="0.3"/>
    <row r="23811" ht="14.4" x14ac:dyDescent="0.3"/>
    <row r="23812" ht="14.4" x14ac:dyDescent="0.3"/>
    <row r="23813" ht="14.4" x14ac:dyDescent="0.3"/>
    <row r="23814" ht="14.4" x14ac:dyDescent="0.3"/>
    <row r="23815" ht="14.4" x14ac:dyDescent="0.3"/>
    <row r="23816" ht="14.4" x14ac:dyDescent="0.3"/>
    <row r="23817" ht="14.4" x14ac:dyDescent="0.3"/>
    <row r="23818" ht="14.4" x14ac:dyDescent="0.3"/>
    <row r="23819" ht="14.4" x14ac:dyDescent="0.3"/>
    <row r="23820" ht="14.4" x14ac:dyDescent="0.3"/>
    <row r="23821" ht="14.4" x14ac:dyDescent="0.3"/>
    <row r="23822" ht="14.4" x14ac:dyDescent="0.3"/>
    <row r="23823" ht="14.4" x14ac:dyDescent="0.3"/>
    <row r="23824" ht="14.4" x14ac:dyDescent="0.3"/>
    <row r="23825" ht="14.4" x14ac:dyDescent="0.3"/>
    <row r="23826" ht="14.4" x14ac:dyDescent="0.3"/>
    <row r="23827" ht="14.4" x14ac:dyDescent="0.3"/>
    <row r="23828" ht="14.4" x14ac:dyDescent="0.3"/>
    <row r="23829" ht="14.4" x14ac:dyDescent="0.3"/>
    <row r="23830" ht="14.4" x14ac:dyDescent="0.3"/>
    <row r="23831" ht="14.4" x14ac:dyDescent="0.3"/>
    <row r="23832" ht="14.4" x14ac:dyDescent="0.3"/>
    <row r="23833" ht="14.4" x14ac:dyDescent="0.3"/>
    <row r="23834" ht="14.4" x14ac:dyDescent="0.3"/>
    <row r="23835" ht="14.4" x14ac:dyDescent="0.3"/>
    <row r="23836" ht="14.4" x14ac:dyDescent="0.3"/>
    <row r="23837" ht="14.4" x14ac:dyDescent="0.3"/>
    <row r="23838" ht="14.4" x14ac:dyDescent="0.3"/>
    <row r="23839" ht="14.4" x14ac:dyDescent="0.3"/>
    <row r="23840" ht="14.4" x14ac:dyDescent="0.3"/>
    <row r="23841" spans="1:43" ht="14.4" x14ac:dyDescent="0.3"/>
    <row r="23842" spans="1:43" ht="14.4" x14ac:dyDescent="0.3"/>
    <row r="23843" spans="1:43" ht="14.4" x14ac:dyDescent="0.3"/>
    <row r="23844" spans="1:43" ht="14.4" x14ac:dyDescent="0.3"/>
    <row r="23845" spans="1:43" ht="14.4" x14ac:dyDescent="0.3"/>
    <row r="23846" spans="1:43" ht="14.4" x14ac:dyDescent="0.3"/>
    <row r="23847" spans="1:43" ht="14.4" x14ac:dyDescent="0.3"/>
    <row r="23848" spans="1:43" ht="14.4" hidden="1" x14ac:dyDescent="0.3">
      <c r="A23848" t="s">
        <v>3431</v>
      </c>
      <c r="B23848">
        <v>4940175</v>
      </c>
      <c r="C23848" t="s">
        <v>538</v>
      </c>
      <c r="D23848" t="s">
        <v>563</v>
      </c>
      <c r="E23848" t="s">
        <v>3188</v>
      </c>
      <c r="F23848" t="s">
        <v>3432</v>
      </c>
      <c r="H23848" t="s">
        <v>212</v>
      </c>
      <c r="J23848" t="s">
        <v>140</v>
      </c>
      <c r="K23848">
        <v>164751.64000000001</v>
      </c>
      <c r="L23848">
        <v>382808.46</v>
      </c>
      <c r="M23848">
        <v>1</v>
      </c>
      <c r="N23848" t="s">
        <v>3433</v>
      </c>
      <c r="O23848" t="s">
        <v>786</v>
      </c>
      <c r="P23848" t="s">
        <v>3394</v>
      </c>
      <c r="Q23848" t="s">
        <v>839</v>
      </c>
      <c r="R23848" t="s">
        <v>259</v>
      </c>
      <c r="S23848">
        <v>91</v>
      </c>
      <c r="T23848">
        <v>17400</v>
      </c>
      <c r="U23848">
        <v>25</v>
      </c>
      <c r="V23848" t="s">
        <v>260</v>
      </c>
      <c r="W23848" t="s">
        <v>184</v>
      </c>
      <c r="X23848" t="s">
        <v>7</v>
      </c>
      <c r="Y23848" t="s">
        <v>3434</v>
      </c>
      <c r="Z23848" t="s">
        <v>825</v>
      </c>
      <c r="AA23848" t="s">
        <v>3344</v>
      </c>
      <c r="AB23848">
        <v>0</v>
      </c>
      <c r="AE23848" t="s">
        <v>188</v>
      </c>
      <c r="AF23848" t="s">
        <v>410</v>
      </c>
      <c r="AG23848" t="s">
        <v>3435</v>
      </c>
      <c r="AI23848" t="s">
        <v>239</v>
      </c>
      <c r="AJ23848" t="s">
        <v>410</v>
      </c>
      <c r="AK23848" t="s">
        <v>3435</v>
      </c>
      <c r="AL23848" t="s">
        <v>3436</v>
      </c>
      <c r="AM23848" t="s">
        <v>3437</v>
      </c>
      <c r="AN23848" t="s">
        <v>3438</v>
      </c>
      <c r="AO23848" t="s">
        <v>3433</v>
      </c>
      <c r="AQ23848">
        <f>IF(ISBLANK(AP23848), IFERROR(IF(VLOOKUP(AO23848, Ellens_additions!$A$2:$B$252, 2, FALSE) = "", "", VLOOKUP(AO23848, Ellens_additions!$A$2:$B$252, 2, FALSE)), 0), AP23848)</f>
        <v>1800</v>
      </c>
    </row>
    <row r="23849" spans="1:43" ht="14.4" x14ac:dyDescent="0.3"/>
    <row r="23850" spans="1:43" ht="14.4" x14ac:dyDescent="0.3"/>
    <row r="23851" spans="1:43" ht="14.4" hidden="1" x14ac:dyDescent="0.3">
      <c r="A23851" t="s">
        <v>3439</v>
      </c>
      <c r="B23851">
        <v>4940181</v>
      </c>
      <c r="C23851" t="s">
        <v>538</v>
      </c>
      <c r="D23851" t="s">
        <v>539</v>
      </c>
      <c r="E23851" t="s">
        <v>571</v>
      </c>
      <c r="F23851" t="s">
        <v>574</v>
      </c>
      <c r="H23851" t="s">
        <v>277</v>
      </c>
      <c r="J23851" t="s">
        <v>140</v>
      </c>
      <c r="K23851">
        <v>164115.80499999999</v>
      </c>
      <c r="L23851">
        <v>384500.05379999999</v>
      </c>
      <c r="M23851">
        <v>1</v>
      </c>
      <c r="N23851" t="s">
        <v>744</v>
      </c>
      <c r="O23851" t="s">
        <v>746</v>
      </c>
      <c r="P23851" t="s">
        <v>879</v>
      </c>
      <c r="Q23851" t="s">
        <v>144</v>
      </c>
      <c r="S23851">
        <v>38</v>
      </c>
      <c r="T23851">
        <v>5000</v>
      </c>
      <c r="U23851">
        <v>80</v>
      </c>
      <c r="V23851" t="s">
        <v>146</v>
      </c>
      <c r="W23851" t="s">
        <v>147</v>
      </c>
      <c r="X23851" t="s">
        <v>7</v>
      </c>
      <c r="Y23851" t="s">
        <v>148</v>
      </c>
      <c r="Z23851" t="s">
        <v>746</v>
      </c>
      <c r="AA23851" t="s">
        <v>747</v>
      </c>
      <c r="AB23851">
        <v>0</v>
      </c>
      <c r="AE23851" t="s">
        <v>444</v>
      </c>
      <c r="AF23851" t="s">
        <v>746</v>
      </c>
      <c r="AG23851" t="s">
        <v>748</v>
      </c>
      <c r="AI23851" t="s">
        <v>749</v>
      </c>
      <c r="AJ23851" t="s">
        <v>746</v>
      </c>
      <c r="AK23851" t="s">
        <v>747</v>
      </c>
      <c r="AL23851" t="s">
        <v>3440</v>
      </c>
      <c r="AM23851" t="s">
        <v>3441</v>
      </c>
      <c r="AN23851" t="s">
        <v>3442</v>
      </c>
      <c r="AO23851" t="s">
        <v>744</v>
      </c>
      <c r="AP23851" t="s">
        <v>158</v>
      </c>
      <c r="AQ23851" t="str">
        <f>IF(ISBLANK(AP23851), IFERROR(IF(VLOOKUP(AO23851, Ellens_additions!$A$2:$B$252, 2, FALSE) = "", "", VLOOKUP(AO23851, Ellens_additions!$A$2:$B$252, 2, FALSE)), 0), AP23851)</f>
        <v>3000</v>
      </c>
    </row>
    <row r="23852" spans="1:43" ht="14.4" hidden="1" x14ac:dyDescent="0.3">
      <c r="A23852" t="s">
        <v>3443</v>
      </c>
      <c r="B23852">
        <v>4940182</v>
      </c>
      <c r="C23852" t="s">
        <v>538</v>
      </c>
      <c r="D23852" t="s">
        <v>539</v>
      </c>
      <c r="E23852" t="s">
        <v>571</v>
      </c>
      <c r="F23852" t="s">
        <v>574</v>
      </c>
      <c r="H23852" t="s">
        <v>407</v>
      </c>
      <c r="J23852" t="s">
        <v>140</v>
      </c>
      <c r="K23852">
        <v>164144.78080000001</v>
      </c>
      <c r="L23852">
        <v>384493.63459999999</v>
      </c>
      <c r="M23852">
        <v>1</v>
      </c>
      <c r="N23852" t="s">
        <v>744</v>
      </c>
      <c r="O23852" t="s">
        <v>746</v>
      </c>
      <c r="P23852" t="s">
        <v>879</v>
      </c>
      <c r="Q23852" t="s">
        <v>144</v>
      </c>
      <c r="S23852">
        <v>38</v>
      </c>
      <c r="T23852">
        <v>5000</v>
      </c>
      <c r="U23852">
        <v>80</v>
      </c>
      <c r="V23852" t="s">
        <v>146</v>
      </c>
      <c r="W23852" t="s">
        <v>147</v>
      </c>
      <c r="X23852" t="s">
        <v>7</v>
      </c>
      <c r="Y23852" t="s">
        <v>148</v>
      </c>
      <c r="Z23852" t="s">
        <v>746</v>
      </c>
      <c r="AA23852" t="s">
        <v>747</v>
      </c>
      <c r="AB23852">
        <v>0</v>
      </c>
      <c r="AE23852" t="s">
        <v>444</v>
      </c>
      <c r="AF23852" t="s">
        <v>746</v>
      </c>
      <c r="AG23852" t="s">
        <v>748</v>
      </c>
      <c r="AI23852" t="s">
        <v>749</v>
      </c>
      <c r="AJ23852" t="s">
        <v>746</v>
      </c>
      <c r="AK23852" t="s">
        <v>747</v>
      </c>
      <c r="AL23852" t="s">
        <v>3444</v>
      </c>
      <c r="AM23852" t="s">
        <v>3445</v>
      </c>
      <c r="AN23852" t="s">
        <v>3446</v>
      </c>
      <c r="AO23852" t="s">
        <v>744</v>
      </c>
      <c r="AP23852" t="s">
        <v>158</v>
      </c>
      <c r="AQ23852" t="str">
        <f>IF(ISBLANK(AP23852), IFERROR(IF(VLOOKUP(AO23852, Ellens_additions!$A$2:$B$252, 2, FALSE) = "", "", VLOOKUP(AO23852, Ellens_additions!$A$2:$B$252, 2, FALSE)), 0), AP23852)</f>
        <v>3000</v>
      </c>
    </row>
    <row r="23853" spans="1:43" ht="14.4" hidden="1" x14ac:dyDescent="0.3">
      <c r="A23853" t="s">
        <v>3447</v>
      </c>
      <c r="B23853">
        <v>4940184</v>
      </c>
      <c r="C23853" t="s">
        <v>538</v>
      </c>
      <c r="D23853" t="s">
        <v>539</v>
      </c>
      <c r="E23853" t="s">
        <v>571</v>
      </c>
      <c r="F23853" t="s">
        <v>574</v>
      </c>
      <c r="H23853" t="s">
        <v>280</v>
      </c>
      <c r="J23853" t="s">
        <v>140</v>
      </c>
      <c r="K23853">
        <v>164198.45120000001</v>
      </c>
      <c r="L23853">
        <v>384502.98469999997</v>
      </c>
      <c r="M23853">
        <v>1</v>
      </c>
      <c r="N23853" t="s">
        <v>744</v>
      </c>
      <c r="O23853" t="s">
        <v>746</v>
      </c>
      <c r="P23853" t="s">
        <v>879</v>
      </c>
      <c r="Q23853" t="s">
        <v>144</v>
      </c>
      <c r="S23853">
        <v>38</v>
      </c>
      <c r="T23853">
        <v>5000</v>
      </c>
      <c r="U23853">
        <v>80</v>
      </c>
      <c r="V23853" t="s">
        <v>146</v>
      </c>
      <c r="W23853" t="s">
        <v>147</v>
      </c>
      <c r="X23853" t="s">
        <v>7</v>
      </c>
      <c r="Y23853" t="s">
        <v>148</v>
      </c>
      <c r="Z23853" t="s">
        <v>746</v>
      </c>
      <c r="AA23853" t="s">
        <v>747</v>
      </c>
      <c r="AB23853">
        <v>0</v>
      </c>
      <c r="AE23853" t="s">
        <v>444</v>
      </c>
      <c r="AF23853" t="s">
        <v>746</v>
      </c>
      <c r="AG23853" t="s">
        <v>748</v>
      </c>
      <c r="AI23853" t="s">
        <v>749</v>
      </c>
      <c r="AJ23853" t="s">
        <v>746</v>
      </c>
      <c r="AK23853" t="s">
        <v>747</v>
      </c>
      <c r="AL23853" t="s">
        <v>3448</v>
      </c>
      <c r="AM23853" t="s">
        <v>3449</v>
      </c>
      <c r="AN23853" t="s">
        <v>3450</v>
      </c>
      <c r="AO23853" t="s">
        <v>744</v>
      </c>
      <c r="AP23853" t="s">
        <v>158</v>
      </c>
      <c r="AQ23853" t="str">
        <f>IF(ISBLANK(AP23853), IFERROR(IF(VLOOKUP(AO23853, Ellens_additions!$A$2:$B$252, 2, FALSE) = "", "", VLOOKUP(AO23853, Ellens_additions!$A$2:$B$252, 2, FALSE)), 0), AP23853)</f>
        <v>3000</v>
      </c>
    </row>
    <row r="23854" spans="1:43" ht="14.4" hidden="1" x14ac:dyDescent="0.3">
      <c r="A23854" t="s">
        <v>3451</v>
      </c>
      <c r="B23854">
        <v>4940187</v>
      </c>
      <c r="C23854" t="s">
        <v>538</v>
      </c>
      <c r="D23854" t="s">
        <v>539</v>
      </c>
      <c r="E23854" t="s">
        <v>571</v>
      </c>
      <c r="F23854" t="s">
        <v>583</v>
      </c>
      <c r="H23854" t="s">
        <v>377</v>
      </c>
      <c r="J23854" t="s">
        <v>140</v>
      </c>
      <c r="K23854">
        <v>164286.56330000001</v>
      </c>
      <c r="L23854">
        <v>384520.67660000001</v>
      </c>
      <c r="M23854">
        <v>1</v>
      </c>
      <c r="N23854" t="s">
        <v>744</v>
      </c>
      <c r="O23854" t="s">
        <v>746</v>
      </c>
      <c r="P23854" t="s">
        <v>879</v>
      </c>
      <c r="Q23854" t="s">
        <v>144</v>
      </c>
      <c r="S23854">
        <v>38</v>
      </c>
      <c r="T23854">
        <v>5000</v>
      </c>
      <c r="U23854">
        <v>80</v>
      </c>
      <c r="V23854" t="s">
        <v>146</v>
      </c>
      <c r="W23854" t="s">
        <v>147</v>
      </c>
      <c r="X23854" t="s">
        <v>7</v>
      </c>
      <c r="Y23854" t="s">
        <v>148</v>
      </c>
      <c r="Z23854" t="s">
        <v>746</v>
      </c>
      <c r="AA23854" t="s">
        <v>747</v>
      </c>
      <c r="AB23854">
        <v>0</v>
      </c>
      <c r="AE23854" t="s">
        <v>444</v>
      </c>
      <c r="AF23854" t="s">
        <v>746</v>
      </c>
      <c r="AG23854" t="s">
        <v>748</v>
      </c>
      <c r="AI23854" t="s">
        <v>749</v>
      </c>
      <c r="AJ23854" t="s">
        <v>746</v>
      </c>
      <c r="AK23854" t="s">
        <v>747</v>
      </c>
      <c r="AL23854" t="s">
        <v>3452</v>
      </c>
      <c r="AM23854" t="s">
        <v>3453</v>
      </c>
      <c r="AN23854" t="s">
        <v>3454</v>
      </c>
      <c r="AO23854" t="s">
        <v>744</v>
      </c>
      <c r="AP23854" t="s">
        <v>158</v>
      </c>
      <c r="AQ23854" t="str">
        <f>IF(ISBLANK(AP23854), IFERROR(IF(VLOOKUP(AO23854, Ellens_additions!$A$2:$B$252, 2, FALSE) = "", "", VLOOKUP(AO23854, Ellens_additions!$A$2:$B$252, 2, FALSE)), 0), AP23854)</f>
        <v>3000</v>
      </c>
    </row>
    <row r="23855" spans="1:43" ht="14.4" hidden="1" x14ac:dyDescent="0.3">
      <c r="A23855" t="s">
        <v>3455</v>
      </c>
      <c r="B23855">
        <v>4940200</v>
      </c>
      <c r="C23855" t="s">
        <v>538</v>
      </c>
      <c r="D23855" t="s">
        <v>539</v>
      </c>
      <c r="E23855" t="s">
        <v>571</v>
      </c>
      <c r="F23855" t="s">
        <v>896</v>
      </c>
      <c r="H23855" t="s">
        <v>256</v>
      </c>
      <c r="J23855" t="s">
        <v>140</v>
      </c>
      <c r="K23855">
        <v>164466.8285</v>
      </c>
      <c r="L23855">
        <v>384579.00939999998</v>
      </c>
      <c r="N23855" t="s">
        <v>897</v>
      </c>
      <c r="O23855" t="s">
        <v>898</v>
      </c>
      <c r="P23855" t="s">
        <v>580</v>
      </c>
      <c r="Q23855" t="s">
        <v>144</v>
      </c>
      <c r="S23855">
        <v>23</v>
      </c>
      <c r="T23855">
        <v>3724</v>
      </c>
      <c r="U23855">
        <v>70</v>
      </c>
      <c r="V23855" t="s">
        <v>146</v>
      </c>
      <c r="W23855" t="s">
        <v>899</v>
      </c>
      <c r="X23855" t="s">
        <v>7</v>
      </c>
      <c r="Y23855" t="s">
        <v>900</v>
      </c>
      <c r="Z23855" t="s">
        <v>898</v>
      </c>
      <c r="AA23855" t="s">
        <v>901</v>
      </c>
      <c r="AB23855">
        <v>0</v>
      </c>
      <c r="AI23855" t="s">
        <v>904</v>
      </c>
      <c r="AJ23855" t="s">
        <v>898</v>
      </c>
      <c r="AK23855" t="s">
        <v>901</v>
      </c>
      <c r="AL23855" t="s">
        <v>3456</v>
      </c>
      <c r="AM23855" t="s">
        <v>3457</v>
      </c>
      <c r="AN23855" t="s">
        <v>3458</v>
      </c>
      <c r="AO23855" t="s">
        <v>897</v>
      </c>
      <c r="AQ23855">
        <f>IF(ISBLANK(AP23855), IFERROR(IF(VLOOKUP(AO23855, Ellens_additions!$A$2:$B$252, 2, FALSE) = "", "", VLOOKUP(AO23855, Ellens_additions!$A$2:$B$252, 2, FALSE)), 0), AP23855)</f>
        <v>0</v>
      </c>
    </row>
    <row r="23856" spans="1:43" ht="14.4" hidden="1" x14ac:dyDescent="0.3">
      <c r="A23856" t="s">
        <v>932</v>
      </c>
      <c r="B23856">
        <v>4940202</v>
      </c>
      <c r="C23856" t="s">
        <v>538</v>
      </c>
      <c r="D23856" t="s">
        <v>539</v>
      </c>
      <c r="E23856" t="s">
        <v>571</v>
      </c>
      <c r="F23856" t="s">
        <v>896</v>
      </c>
      <c r="H23856" t="s">
        <v>278</v>
      </c>
      <c r="J23856" t="s">
        <v>140</v>
      </c>
      <c r="K23856">
        <v>164492.3124</v>
      </c>
      <c r="L23856">
        <v>384586.47649999999</v>
      </c>
      <c r="N23856" t="s">
        <v>897</v>
      </c>
      <c r="O23856" t="s">
        <v>898</v>
      </c>
      <c r="P23856" t="s">
        <v>580</v>
      </c>
      <c r="Q23856" t="s">
        <v>144</v>
      </c>
      <c r="S23856">
        <v>23</v>
      </c>
      <c r="T23856">
        <v>3724</v>
      </c>
      <c r="U23856">
        <v>70</v>
      </c>
      <c r="V23856" t="s">
        <v>146</v>
      </c>
      <c r="W23856" t="s">
        <v>899</v>
      </c>
      <c r="X23856" t="s">
        <v>7</v>
      </c>
      <c r="Y23856" t="s">
        <v>900</v>
      </c>
      <c r="Z23856" t="s">
        <v>898</v>
      </c>
      <c r="AA23856" t="s">
        <v>901</v>
      </c>
      <c r="AB23856">
        <v>0</v>
      </c>
      <c r="AI23856" t="s">
        <v>904</v>
      </c>
      <c r="AJ23856" t="s">
        <v>898</v>
      </c>
      <c r="AK23856" t="s">
        <v>901</v>
      </c>
      <c r="AL23856" t="s">
        <v>933</v>
      </c>
      <c r="AM23856" t="s">
        <v>934</v>
      </c>
      <c r="AN23856" t="s">
        <v>935</v>
      </c>
      <c r="AO23856" t="s">
        <v>897</v>
      </c>
      <c r="AQ23856">
        <f>IF(ISBLANK(AP23856), IFERROR(IF(VLOOKUP(AO23856, Ellens_additions!$A$2:$B$252, 2, FALSE) = "", "", VLOOKUP(AO23856, Ellens_additions!$A$2:$B$252, 2, FALSE)), 0), AP23856)</f>
        <v>0</v>
      </c>
    </row>
    <row r="23857" spans="1:43" ht="14.4" hidden="1" x14ac:dyDescent="0.3">
      <c r="A23857" t="s">
        <v>3459</v>
      </c>
      <c r="B23857">
        <v>4940206</v>
      </c>
      <c r="C23857" t="s">
        <v>538</v>
      </c>
      <c r="D23857" t="s">
        <v>539</v>
      </c>
      <c r="E23857" t="s">
        <v>571</v>
      </c>
      <c r="F23857" t="s">
        <v>896</v>
      </c>
      <c r="H23857" t="s">
        <v>295</v>
      </c>
      <c r="J23857" t="s">
        <v>140</v>
      </c>
      <c r="K23857">
        <v>164550.3504</v>
      </c>
      <c r="L23857">
        <v>384602.3334</v>
      </c>
      <c r="N23857" t="s">
        <v>897</v>
      </c>
      <c r="O23857" t="s">
        <v>1226</v>
      </c>
      <c r="P23857" t="s">
        <v>1043</v>
      </c>
      <c r="Q23857" t="s">
        <v>144</v>
      </c>
      <c r="S23857">
        <v>23</v>
      </c>
      <c r="T23857">
        <v>3724</v>
      </c>
      <c r="U23857">
        <v>70</v>
      </c>
      <c r="V23857" t="s">
        <v>146</v>
      </c>
      <c r="W23857" t="s">
        <v>899</v>
      </c>
      <c r="X23857" t="s">
        <v>7</v>
      </c>
      <c r="Y23857" t="s">
        <v>900</v>
      </c>
      <c r="Z23857" t="s">
        <v>1226</v>
      </c>
      <c r="AA23857" t="s">
        <v>570</v>
      </c>
      <c r="AB23857">
        <v>0</v>
      </c>
      <c r="AI23857" t="s">
        <v>904</v>
      </c>
      <c r="AJ23857" t="s">
        <v>1226</v>
      </c>
      <c r="AK23857" t="s">
        <v>570</v>
      </c>
      <c r="AL23857" t="s">
        <v>3460</v>
      </c>
      <c r="AM23857" t="s">
        <v>3461</v>
      </c>
      <c r="AN23857" t="s">
        <v>3462</v>
      </c>
      <c r="AO23857" t="s">
        <v>897</v>
      </c>
      <c r="AQ23857">
        <f>IF(ISBLANK(AP23857), IFERROR(IF(VLOOKUP(AO23857, Ellens_additions!$A$2:$B$252, 2, FALSE) = "", "", VLOOKUP(AO23857, Ellens_additions!$A$2:$B$252, 2, FALSE)), 0), AP23857)</f>
        <v>0</v>
      </c>
    </row>
    <row r="23858" spans="1:43" ht="14.4" hidden="1" x14ac:dyDescent="0.3">
      <c r="A23858" t="s">
        <v>3463</v>
      </c>
      <c r="B23858">
        <v>4940208</v>
      </c>
      <c r="C23858" t="s">
        <v>538</v>
      </c>
      <c r="D23858" t="s">
        <v>539</v>
      </c>
      <c r="E23858" t="s">
        <v>571</v>
      </c>
      <c r="F23858" t="s">
        <v>896</v>
      </c>
      <c r="H23858" t="s">
        <v>277</v>
      </c>
      <c r="J23858" t="s">
        <v>140</v>
      </c>
      <c r="K23858">
        <v>164565.63380000001</v>
      </c>
      <c r="L23858">
        <v>384607.2573</v>
      </c>
      <c r="N23858" t="s">
        <v>897</v>
      </c>
      <c r="O23858" t="s">
        <v>796</v>
      </c>
      <c r="P23858" t="s">
        <v>659</v>
      </c>
      <c r="Q23858" t="s">
        <v>144</v>
      </c>
      <c r="S23858">
        <v>12</v>
      </c>
      <c r="T23858">
        <v>3724</v>
      </c>
      <c r="U23858">
        <v>70</v>
      </c>
      <c r="V23858" t="s">
        <v>146</v>
      </c>
      <c r="W23858" t="s">
        <v>899</v>
      </c>
      <c r="Y23858" t="s">
        <v>900</v>
      </c>
      <c r="Z23858" t="s">
        <v>796</v>
      </c>
      <c r="AA23858" t="s">
        <v>655</v>
      </c>
      <c r="AB23858">
        <v>0</v>
      </c>
      <c r="AE23858" t="s">
        <v>902</v>
      </c>
      <c r="AF23858" t="s">
        <v>796</v>
      </c>
      <c r="AG23858" t="s">
        <v>938</v>
      </c>
      <c r="AI23858" t="s">
        <v>904</v>
      </c>
      <c r="AJ23858" t="s">
        <v>796</v>
      </c>
      <c r="AK23858" t="s">
        <v>655</v>
      </c>
      <c r="AL23858" t="s">
        <v>3464</v>
      </c>
      <c r="AM23858" t="s">
        <v>3465</v>
      </c>
      <c r="AN23858" t="s">
        <v>3466</v>
      </c>
      <c r="AO23858" t="s">
        <v>897</v>
      </c>
      <c r="AQ23858">
        <f>IF(ISBLANK(AP23858), IFERROR(IF(VLOOKUP(AO23858, Ellens_additions!$A$2:$B$252, 2, FALSE) = "", "", VLOOKUP(AO23858, Ellens_additions!$A$2:$B$252, 2, FALSE)), 0), AP23858)</f>
        <v>0</v>
      </c>
    </row>
    <row r="23859" spans="1:43" ht="14.4" hidden="1" x14ac:dyDescent="0.3">
      <c r="A23859" t="s">
        <v>3467</v>
      </c>
      <c r="B23859">
        <v>4940215</v>
      </c>
      <c r="C23859" t="s">
        <v>538</v>
      </c>
      <c r="D23859" t="s">
        <v>539</v>
      </c>
      <c r="E23859" t="s">
        <v>571</v>
      </c>
      <c r="F23859" t="s">
        <v>896</v>
      </c>
      <c r="H23859" t="s">
        <v>281</v>
      </c>
      <c r="J23859" t="s">
        <v>140</v>
      </c>
      <c r="K23859">
        <v>164737.02590000001</v>
      </c>
      <c r="L23859">
        <v>384608.90480000002</v>
      </c>
      <c r="N23859" t="s">
        <v>897</v>
      </c>
      <c r="O23859" t="s">
        <v>1132</v>
      </c>
      <c r="P23859" t="s">
        <v>841</v>
      </c>
      <c r="Q23859" t="s">
        <v>144</v>
      </c>
      <c r="S23859">
        <v>12</v>
      </c>
      <c r="T23859">
        <v>3724</v>
      </c>
      <c r="U23859">
        <v>70</v>
      </c>
      <c r="V23859" t="s">
        <v>146</v>
      </c>
      <c r="W23859" t="s">
        <v>899</v>
      </c>
      <c r="Y23859" t="s">
        <v>900</v>
      </c>
      <c r="Z23859" t="s">
        <v>1132</v>
      </c>
      <c r="AA23859" t="s">
        <v>3468</v>
      </c>
      <c r="AB23859">
        <v>0</v>
      </c>
      <c r="AE23859" t="s">
        <v>902</v>
      </c>
      <c r="AF23859" t="s">
        <v>1132</v>
      </c>
      <c r="AG23859" t="s">
        <v>1133</v>
      </c>
      <c r="AI23859" t="s">
        <v>904</v>
      </c>
      <c r="AJ23859" t="s">
        <v>1132</v>
      </c>
      <c r="AK23859" t="s">
        <v>3468</v>
      </c>
      <c r="AL23859" t="s">
        <v>3469</v>
      </c>
      <c r="AM23859" t="s">
        <v>3470</v>
      </c>
      <c r="AN23859" t="s">
        <v>3471</v>
      </c>
      <c r="AO23859" t="s">
        <v>897</v>
      </c>
      <c r="AQ23859">
        <f>IF(ISBLANK(AP23859), IFERROR(IF(VLOOKUP(AO23859, Ellens_additions!$A$2:$B$252, 2, FALSE) = "", "", VLOOKUP(AO23859, Ellens_additions!$A$2:$B$252, 2, FALSE)), 0), AP23859)</f>
        <v>0</v>
      </c>
    </row>
    <row r="23860" spans="1:43" ht="14.4" hidden="1" x14ac:dyDescent="0.3">
      <c r="A23860" t="s">
        <v>3472</v>
      </c>
      <c r="B23860">
        <v>4940221</v>
      </c>
      <c r="C23860" t="s">
        <v>538</v>
      </c>
      <c r="D23860" t="s">
        <v>539</v>
      </c>
      <c r="E23860" t="s">
        <v>571</v>
      </c>
      <c r="F23860" t="s">
        <v>896</v>
      </c>
      <c r="H23860" t="s">
        <v>482</v>
      </c>
      <c r="J23860" t="s">
        <v>140</v>
      </c>
      <c r="K23860">
        <v>164905.84039999999</v>
      </c>
      <c r="L23860">
        <v>384565.35139999999</v>
      </c>
      <c r="N23860" t="s">
        <v>897</v>
      </c>
      <c r="O23860" t="s">
        <v>947</v>
      </c>
      <c r="P23860" t="s">
        <v>948</v>
      </c>
      <c r="Q23860" t="s">
        <v>144</v>
      </c>
      <c r="S23860">
        <v>12</v>
      </c>
      <c r="T23860">
        <v>3724</v>
      </c>
      <c r="U23860">
        <v>70</v>
      </c>
      <c r="V23860" t="s">
        <v>146</v>
      </c>
      <c r="W23860" t="s">
        <v>899</v>
      </c>
      <c r="Y23860" t="s">
        <v>900</v>
      </c>
      <c r="Z23860" t="s">
        <v>947</v>
      </c>
      <c r="AA23860" t="s">
        <v>949</v>
      </c>
      <c r="AB23860">
        <v>0</v>
      </c>
      <c r="AE23860" t="s">
        <v>902</v>
      </c>
      <c r="AF23860" t="s">
        <v>1520</v>
      </c>
      <c r="AG23860" t="s">
        <v>1521</v>
      </c>
      <c r="AI23860" t="s">
        <v>904</v>
      </c>
      <c r="AJ23860" t="s">
        <v>947</v>
      </c>
      <c r="AK23860" t="s">
        <v>949</v>
      </c>
      <c r="AL23860" t="s">
        <v>3473</v>
      </c>
      <c r="AM23860" t="s">
        <v>3474</v>
      </c>
      <c r="AN23860" t="s">
        <v>3475</v>
      </c>
      <c r="AO23860" t="s">
        <v>897</v>
      </c>
      <c r="AQ23860">
        <f>IF(ISBLANK(AP23860), IFERROR(IF(VLOOKUP(AO23860, Ellens_additions!$A$2:$B$252, 2, FALSE) = "", "", VLOOKUP(AO23860, Ellens_additions!$A$2:$B$252, 2, FALSE)), 0), AP23860)</f>
        <v>0</v>
      </c>
    </row>
    <row r="23861" spans="1:43" ht="14.4" hidden="1" x14ac:dyDescent="0.3">
      <c r="A23861" t="s">
        <v>3476</v>
      </c>
      <c r="B23861">
        <v>4940223</v>
      </c>
      <c r="C23861" t="s">
        <v>538</v>
      </c>
      <c r="D23861" t="s">
        <v>539</v>
      </c>
      <c r="E23861" t="s">
        <v>571</v>
      </c>
      <c r="F23861" t="s">
        <v>896</v>
      </c>
      <c r="H23861" t="s">
        <v>160</v>
      </c>
      <c r="J23861" t="s">
        <v>140</v>
      </c>
      <c r="K23861">
        <v>165080.20189999999</v>
      </c>
      <c r="L23861">
        <v>384433.6802</v>
      </c>
      <c r="N23861" t="s">
        <v>897</v>
      </c>
      <c r="O23861" t="s">
        <v>476</v>
      </c>
      <c r="P23861" t="s">
        <v>3477</v>
      </c>
      <c r="Q23861" t="s">
        <v>144</v>
      </c>
      <c r="S23861">
        <v>12</v>
      </c>
      <c r="T23861">
        <v>3724</v>
      </c>
      <c r="U23861">
        <v>70</v>
      </c>
      <c r="V23861" t="s">
        <v>146</v>
      </c>
      <c r="W23861" t="s">
        <v>899</v>
      </c>
      <c r="Y23861" t="s">
        <v>900</v>
      </c>
      <c r="Z23861" t="s">
        <v>476</v>
      </c>
      <c r="AA23861" t="s">
        <v>3478</v>
      </c>
      <c r="AB23861">
        <v>0</v>
      </c>
      <c r="AE23861" t="s">
        <v>902</v>
      </c>
      <c r="AF23861" t="s">
        <v>476</v>
      </c>
      <c r="AG23861" t="s">
        <v>3479</v>
      </c>
      <c r="AI23861" t="s">
        <v>904</v>
      </c>
      <c r="AJ23861" t="s">
        <v>476</v>
      </c>
      <c r="AK23861" t="s">
        <v>3478</v>
      </c>
      <c r="AL23861" t="s">
        <v>3480</v>
      </c>
      <c r="AM23861" t="s">
        <v>3481</v>
      </c>
      <c r="AN23861" t="s">
        <v>3482</v>
      </c>
      <c r="AO23861" t="s">
        <v>897</v>
      </c>
      <c r="AQ23861">
        <f>IF(ISBLANK(AP23861), IFERROR(IF(VLOOKUP(AO23861, Ellens_additions!$A$2:$B$252, 2, FALSE) = "", "", VLOOKUP(AO23861, Ellens_additions!$A$2:$B$252, 2, FALSE)), 0), AP23861)</f>
        <v>0</v>
      </c>
    </row>
    <row r="23862" spans="1:43" ht="14.4" x14ac:dyDescent="0.3"/>
    <row r="23863" spans="1:43" ht="14.4" x14ac:dyDescent="0.3"/>
    <row r="23864" spans="1:43" ht="14.4" x14ac:dyDescent="0.3"/>
    <row r="23865" spans="1:43" ht="14.4" x14ac:dyDescent="0.3"/>
    <row r="23866" spans="1:43" ht="14.4" x14ac:dyDescent="0.3"/>
    <row r="23867" spans="1:43" ht="14.4" x14ac:dyDescent="0.3"/>
    <row r="23868" spans="1:43" ht="14.4" x14ac:dyDescent="0.3"/>
    <row r="23869" spans="1:43" ht="14.4" x14ac:dyDescent="0.3"/>
    <row r="23870" spans="1:43" ht="14.4" x14ac:dyDescent="0.3"/>
    <row r="23871" spans="1:43" ht="14.4" x14ac:dyDescent="0.3"/>
    <row r="23872" spans="1:43" ht="14.4" x14ac:dyDescent="0.3"/>
    <row r="23873" ht="14.4" x14ac:dyDescent="0.3"/>
    <row r="23874" ht="14.4" x14ac:dyDescent="0.3"/>
    <row r="23875" ht="14.4" x14ac:dyDescent="0.3"/>
    <row r="23876" ht="14.4" x14ac:dyDescent="0.3"/>
    <row r="23877" ht="14.4" x14ac:dyDescent="0.3"/>
    <row r="23878" ht="14.4" x14ac:dyDescent="0.3"/>
    <row r="23879" ht="14.4" x14ac:dyDescent="0.3"/>
    <row r="23880" ht="14.4" x14ac:dyDescent="0.3"/>
    <row r="23881" ht="14.4" x14ac:dyDescent="0.3"/>
    <row r="23882" ht="14.4" x14ac:dyDescent="0.3"/>
    <row r="23883" ht="14.4" x14ac:dyDescent="0.3"/>
    <row r="23884" ht="14.4" x14ac:dyDescent="0.3"/>
    <row r="23885" ht="14.4" x14ac:dyDescent="0.3"/>
    <row r="23886" ht="14.4" x14ac:dyDescent="0.3"/>
    <row r="23887" ht="14.4" x14ac:dyDescent="0.3"/>
    <row r="23888" ht="14.4" x14ac:dyDescent="0.3"/>
    <row r="23889" ht="14.4" x14ac:dyDescent="0.3"/>
    <row r="23890" ht="14.4" x14ac:dyDescent="0.3"/>
    <row r="23891" ht="14.4" x14ac:dyDescent="0.3"/>
    <row r="23892" ht="14.4" x14ac:dyDescent="0.3"/>
    <row r="23893" ht="14.4" x14ac:dyDescent="0.3"/>
    <row r="23894" ht="14.4" x14ac:dyDescent="0.3"/>
    <row r="23895" ht="14.4" x14ac:dyDescent="0.3"/>
    <row r="23896" ht="14.4" x14ac:dyDescent="0.3"/>
    <row r="23897" ht="14.4" x14ac:dyDescent="0.3"/>
    <row r="23898" ht="14.4" x14ac:dyDescent="0.3"/>
    <row r="23899" ht="14.4" x14ac:dyDescent="0.3"/>
    <row r="23900" ht="14.4" x14ac:dyDescent="0.3"/>
    <row r="23901" ht="14.4" x14ac:dyDescent="0.3"/>
    <row r="23902" ht="14.4" x14ac:dyDescent="0.3"/>
    <row r="23903" ht="14.4" x14ac:dyDescent="0.3"/>
    <row r="23904" ht="14.4" x14ac:dyDescent="0.3"/>
    <row r="23905" ht="14.4" x14ac:dyDescent="0.3"/>
    <row r="23906" ht="14.4" x14ac:dyDescent="0.3"/>
    <row r="23907" ht="14.4" x14ac:dyDescent="0.3"/>
    <row r="23908" ht="14.4" x14ac:dyDescent="0.3"/>
    <row r="23909" ht="14.4" x14ac:dyDescent="0.3"/>
    <row r="23910" ht="14.4" x14ac:dyDescent="0.3"/>
    <row r="23911" ht="14.4" x14ac:dyDescent="0.3"/>
    <row r="23912" ht="14.4" x14ac:dyDescent="0.3"/>
    <row r="23913" ht="14.4" x14ac:dyDescent="0.3"/>
    <row r="23914" ht="14.4" x14ac:dyDescent="0.3"/>
    <row r="23915" ht="14.4" x14ac:dyDescent="0.3"/>
    <row r="23916" ht="14.4" x14ac:dyDescent="0.3"/>
    <row r="23917" ht="14.4" x14ac:dyDescent="0.3"/>
    <row r="23918" ht="14.4" x14ac:dyDescent="0.3"/>
    <row r="23919" ht="14.4" x14ac:dyDescent="0.3"/>
    <row r="23920" ht="14.4" x14ac:dyDescent="0.3"/>
    <row r="23921" ht="14.4" x14ac:dyDescent="0.3"/>
    <row r="23922" ht="14.4" x14ac:dyDescent="0.3"/>
    <row r="23923" ht="14.4" x14ac:dyDescent="0.3"/>
    <row r="23924" ht="14.4" x14ac:dyDescent="0.3"/>
    <row r="23925" ht="14.4" x14ac:dyDescent="0.3"/>
    <row r="23926" ht="14.4" x14ac:dyDescent="0.3"/>
    <row r="23927" ht="14.4" x14ac:dyDescent="0.3"/>
    <row r="23928" ht="14.4" x14ac:dyDescent="0.3"/>
    <row r="23929" ht="14.4" x14ac:dyDescent="0.3"/>
    <row r="23930" ht="14.4" x14ac:dyDescent="0.3"/>
    <row r="23931" ht="14.4" x14ac:dyDescent="0.3"/>
    <row r="23932" ht="14.4" x14ac:dyDescent="0.3"/>
    <row r="23933" ht="14.4" x14ac:dyDescent="0.3"/>
    <row r="23934" ht="14.4" x14ac:dyDescent="0.3"/>
    <row r="23935" ht="14.4" x14ac:dyDescent="0.3"/>
    <row r="23936" ht="14.4" x14ac:dyDescent="0.3"/>
    <row r="23937" ht="14.4" x14ac:dyDescent="0.3"/>
    <row r="23938" ht="14.4" x14ac:dyDescent="0.3"/>
    <row r="23939" ht="14.4" x14ac:dyDescent="0.3"/>
    <row r="23940" ht="14.4" x14ac:dyDescent="0.3"/>
    <row r="23941" ht="14.4" x14ac:dyDescent="0.3"/>
    <row r="23942" ht="14.4" x14ac:dyDescent="0.3"/>
    <row r="23943" ht="14.4" x14ac:dyDescent="0.3"/>
    <row r="23944" ht="14.4" x14ac:dyDescent="0.3"/>
    <row r="23945" ht="14.4" x14ac:dyDescent="0.3"/>
    <row r="23946" ht="14.4" x14ac:dyDescent="0.3"/>
    <row r="23947" ht="14.4" x14ac:dyDescent="0.3"/>
    <row r="23948" ht="14.4" x14ac:dyDescent="0.3"/>
    <row r="23949" ht="14.4" x14ac:dyDescent="0.3"/>
    <row r="23950" ht="14.4" x14ac:dyDescent="0.3"/>
    <row r="23951" ht="14.4" x14ac:dyDescent="0.3"/>
    <row r="23952" ht="14.4" x14ac:dyDescent="0.3"/>
    <row r="23953" ht="14.4" x14ac:dyDescent="0.3"/>
    <row r="23954" ht="14.4" x14ac:dyDescent="0.3"/>
    <row r="23955" ht="14.4" x14ac:dyDescent="0.3"/>
    <row r="23956" ht="14.4" x14ac:dyDescent="0.3"/>
    <row r="23957" ht="14.4" x14ac:dyDescent="0.3"/>
    <row r="23958" ht="14.4" x14ac:dyDescent="0.3"/>
    <row r="23959" ht="14.4" x14ac:dyDescent="0.3"/>
    <row r="23960" ht="14.4" x14ac:dyDescent="0.3"/>
    <row r="23961" ht="14.4" x14ac:dyDescent="0.3"/>
    <row r="23962" ht="14.4" x14ac:dyDescent="0.3"/>
    <row r="23963" ht="14.4" x14ac:dyDescent="0.3"/>
    <row r="23964" ht="14.4" x14ac:dyDescent="0.3"/>
    <row r="23965" ht="14.4" x14ac:dyDescent="0.3"/>
    <row r="23966" ht="14.4" x14ac:dyDescent="0.3"/>
    <row r="23967" ht="14.4" x14ac:dyDescent="0.3"/>
    <row r="23968" ht="14.4" x14ac:dyDescent="0.3"/>
    <row r="23969" ht="14.4" x14ac:dyDescent="0.3"/>
    <row r="23970" ht="14.4" x14ac:dyDescent="0.3"/>
    <row r="23971" ht="14.4" x14ac:dyDescent="0.3"/>
    <row r="23972" ht="14.4" x14ac:dyDescent="0.3"/>
    <row r="23973" ht="14.4" x14ac:dyDescent="0.3"/>
    <row r="23974" ht="14.4" x14ac:dyDescent="0.3"/>
    <row r="23975" ht="14.4" x14ac:dyDescent="0.3"/>
    <row r="23976" ht="14.4" x14ac:dyDescent="0.3"/>
    <row r="23977" ht="14.4" x14ac:dyDescent="0.3"/>
    <row r="23978" ht="14.4" x14ac:dyDescent="0.3"/>
    <row r="23979" ht="14.4" x14ac:dyDescent="0.3"/>
    <row r="23980" ht="14.4" x14ac:dyDescent="0.3"/>
    <row r="23981" ht="14.4" x14ac:dyDescent="0.3"/>
    <row r="23982" ht="14.4" x14ac:dyDescent="0.3"/>
    <row r="23983" ht="14.4" x14ac:dyDescent="0.3"/>
    <row r="23984" ht="14.4" x14ac:dyDescent="0.3"/>
    <row r="23985" ht="14.4" x14ac:dyDescent="0.3"/>
    <row r="23986" ht="14.4" x14ac:dyDescent="0.3"/>
    <row r="23987" ht="14.4" x14ac:dyDescent="0.3"/>
    <row r="23988" ht="14.4" x14ac:dyDescent="0.3"/>
    <row r="23989" ht="14.4" x14ac:dyDescent="0.3"/>
    <row r="23990" ht="14.4" x14ac:dyDescent="0.3"/>
    <row r="23991" ht="14.4" x14ac:dyDescent="0.3"/>
    <row r="23992" ht="14.4" x14ac:dyDescent="0.3"/>
    <row r="23993" ht="14.4" x14ac:dyDescent="0.3"/>
    <row r="23994" ht="14.4" x14ac:dyDescent="0.3"/>
    <row r="23995" ht="14.4" x14ac:dyDescent="0.3"/>
    <row r="23996" ht="14.4" x14ac:dyDescent="0.3"/>
    <row r="23997" ht="14.4" x14ac:dyDescent="0.3"/>
    <row r="23998" ht="14.4" x14ac:dyDescent="0.3"/>
    <row r="23999" ht="14.4" x14ac:dyDescent="0.3"/>
    <row r="24000" ht="14.4" x14ac:dyDescent="0.3"/>
    <row r="24001" ht="14.4" x14ac:dyDescent="0.3"/>
    <row r="24002" ht="14.4" x14ac:dyDescent="0.3"/>
    <row r="24003" ht="14.4" x14ac:dyDescent="0.3"/>
    <row r="24004" ht="14.4" x14ac:dyDescent="0.3"/>
    <row r="24005" ht="14.4" x14ac:dyDescent="0.3"/>
    <row r="24006" ht="14.4" x14ac:dyDescent="0.3"/>
    <row r="24007" ht="14.4" x14ac:dyDescent="0.3"/>
    <row r="24008" ht="14.4" x14ac:dyDescent="0.3"/>
    <row r="24009" ht="14.4" x14ac:dyDescent="0.3"/>
    <row r="24010" ht="14.4" x14ac:dyDescent="0.3"/>
    <row r="24011" ht="14.4" x14ac:dyDescent="0.3"/>
    <row r="24012" ht="14.4" x14ac:dyDescent="0.3"/>
    <row r="24013" ht="14.4" x14ac:dyDescent="0.3"/>
    <row r="24014" ht="14.4" x14ac:dyDescent="0.3"/>
    <row r="24015" ht="14.4" x14ac:dyDescent="0.3"/>
    <row r="24016" ht="14.4" x14ac:dyDescent="0.3"/>
    <row r="24017" ht="14.4" x14ac:dyDescent="0.3"/>
    <row r="24018" ht="14.4" x14ac:dyDescent="0.3"/>
    <row r="24019" ht="14.4" x14ac:dyDescent="0.3"/>
    <row r="24020" ht="14.4" x14ac:dyDescent="0.3"/>
    <row r="24021" ht="14.4" x14ac:dyDescent="0.3"/>
    <row r="24022" ht="14.4" x14ac:dyDescent="0.3"/>
    <row r="24023" ht="14.4" x14ac:dyDescent="0.3"/>
    <row r="24024" ht="14.4" x14ac:dyDescent="0.3"/>
    <row r="24025" ht="14.4" x14ac:dyDescent="0.3"/>
    <row r="24026" ht="14.4" x14ac:dyDescent="0.3"/>
    <row r="24027" ht="14.4" x14ac:dyDescent="0.3"/>
    <row r="24028" ht="14.4" x14ac:dyDescent="0.3"/>
    <row r="24029" ht="14.4" x14ac:dyDescent="0.3"/>
    <row r="24030" ht="14.4" x14ac:dyDescent="0.3"/>
    <row r="24031" ht="14.4" x14ac:dyDescent="0.3"/>
    <row r="24032" ht="14.4" x14ac:dyDescent="0.3"/>
    <row r="24033" ht="14.4" x14ac:dyDescent="0.3"/>
    <row r="24034" ht="14.4" x14ac:dyDescent="0.3"/>
    <row r="24035" ht="14.4" x14ac:dyDescent="0.3"/>
    <row r="24036" ht="14.4" x14ac:dyDescent="0.3"/>
    <row r="24037" ht="14.4" x14ac:dyDescent="0.3"/>
    <row r="24038" ht="14.4" x14ac:dyDescent="0.3"/>
    <row r="24039" ht="14.4" x14ac:dyDescent="0.3"/>
    <row r="24040" ht="14.4" x14ac:dyDescent="0.3"/>
    <row r="24041" ht="14.4" x14ac:dyDescent="0.3"/>
    <row r="24042" ht="14.4" x14ac:dyDescent="0.3"/>
    <row r="24043" ht="14.4" x14ac:dyDescent="0.3"/>
    <row r="24044" ht="14.4" x14ac:dyDescent="0.3"/>
    <row r="24045" ht="14.4" x14ac:dyDescent="0.3"/>
    <row r="24046" ht="14.4" x14ac:dyDescent="0.3"/>
    <row r="24047" ht="14.4" x14ac:dyDescent="0.3"/>
    <row r="24048" ht="14.4" x14ac:dyDescent="0.3"/>
    <row r="24049" ht="14.4" x14ac:dyDescent="0.3"/>
    <row r="24050" ht="14.4" x14ac:dyDescent="0.3"/>
    <row r="24051" ht="14.4" x14ac:dyDescent="0.3"/>
    <row r="24052" ht="14.4" x14ac:dyDescent="0.3"/>
    <row r="24053" ht="14.4" x14ac:dyDescent="0.3"/>
    <row r="24054" ht="14.4" x14ac:dyDescent="0.3"/>
    <row r="24055" ht="14.4" x14ac:dyDescent="0.3"/>
    <row r="24056" ht="14.4" x14ac:dyDescent="0.3"/>
    <row r="24057" ht="14.4" x14ac:dyDescent="0.3"/>
    <row r="24058" ht="14.4" x14ac:dyDescent="0.3"/>
    <row r="24059" ht="14.4" x14ac:dyDescent="0.3"/>
    <row r="24060" ht="14.4" x14ac:dyDescent="0.3"/>
    <row r="24061" ht="14.4" x14ac:dyDescent="0.3"/>
    <row r="24062" ht="14.4" x14ac:dyDescent="0.3"/>
    <row r="24063" ht="14.4" x14ac:dyDescent="0.3"/>
    <row r="24064" ht="14.4" x14ac:dyDescent="0.3"/>
    <row r="24065" ht="14.4" x14ac:dyDescent="0.3"/>
    <row r="24066" ht="14.4" x14ac:dyDescent="0.3"/>
    <row r="24067" ht="14.4" x14ac:dyDescent="0.3"/>
    <row r="24068" ht="14.4" x14ac:dyDescent="0.3"/>
    <row r="24069" ht="14.4" x14ac:dyDescent="0.3"/>
    <row r="24070" ht="14.4" x14ac:dyDescent="0.3"/>
    <row r="24071" ht="14.4" x14ac:dyDescent="0.3"/>
    <row r="24072" ht="14.4" x14ac:dyDescent="0.3"/>
    <row r="24073" ht="14.4" x14ac:dyDescent="0.3"/>
    <row r="24074" ht="14.4" x14ac:dyDescent="0.3"/>
    <row r="24075" ht="14.4" x14ac:dyDescent="0.3"/>
    <row r="24076" ht="14.4" x14ac:dyDescent="0.3"/>
    <row r="24077" ht="14.4" x14ac:dyDescent="0.3"/>
    <row r="24078" ht="14.4" x14ac:dyDescent="0.3"/>
    <row r="24079" ht="14.4" x14ac:dyDescent="0.3"/>
    <row r="24080" ht="14.4" x14ac:dyDescent="0.3"/>
    <row r="24081" ht="14.4" x14ac:dyDescent="0.3"/>
    <row r="24082" ht="14.4" x14ac:dyDescent="0.3"/>
    <row r="24083" ht="14.4" x14ac:dyDescent="0.3"/>
    <row r="24084" ht="14.4" x14ac:dyDescent="0.3"/>
    <row r="24085" ht="14.4" x14ac:dyDescent="0.3"/>
    <row r="24086" ht="14.4" x14ac:dyDescent="0.3"/>
    <row r="24087" ht="14.4" x14ac:dyDescent="0.3"/>
    <row r="24088" ht="14.4" x14ac:dyDescent="0.3"/>
    <row r="24089" ht="14.4" x14ac:dyDescent="0.3"/>
    <row r="24090" ht="14.4" x14ac:dyDescent="0.3"/>
    <row r="24091" ht="14.4" x14ac:dyDescent="0.3"/>
    <row r="24092" ht="14.4" x14ac:dyDescent="0.3"/>
    <row r="24093" ht="14.4" x14ac:dyDescent="0.3"/>
    <row r="24094" ht="14.4" x14ac:dyDescent="0.3"/>
    <row r="24095" ht="14.4" x14ac:dyDescent="0.3"/>
    <row r="24096" ht="14.4" x14ac:dyDescent="0.3"/>
    <row r="24097" ht="14.4" x14ac:dyDescent="0.3"/>
    <row r="24098" ht="14.4" x14ac:dyDescent="0.3"/>
    <row r="24099" ht="14.4" x14ac:dyDescent="0.3"/>
    <row r="24100" ht="14.4" x14ac:dyDescent="0.3"/>
    <row r="24101" ht="14.4" x14ac:dyDescent="0.3"/>
    <row r="24102" ht="14.4" x14ac:dyDescent="0.3"/>
    <row r="24103" ht="14.4" x14ac:dyDescent="0.3"/>
    <row r="24104" ht="14.4" x14ac:dyDescent="0.3"/>
    <row r="24105" ht="14.4" x14ac:dyDescent="0.3"/>
    <row r="24106" ht="14.4" x14ac:dyDescent="0.3"/>
    <row r="24107" ht="14.4" x14ac:dyDescent="0.3"/>
    <row r="24108" ht="14.4" x14ac:dyDescent="0.3"/>
    <row r="24109" ht="14.4" x14ac:dyDescent="0.3"/>
    <row r="24110" ht="14.4" x14ac:dyDescent="0.3"/>
    <row r="24111" ht="14.4" x14ac:dyDescent="0.3"/>
    <row r="24112" ht="14.4" x14ac:dyDescent="0.3"/>
    <row r="24113" ht="14.4" x14ac:dyDescent="0.3"/>
    <row r="24114" ht="14.4" x14ac:dyDescent="0.3"/>
    <row r="24115" ht="14.4" x14ac:dyDescent="0.3"/>
    <row r="24116" ht="14.4" x14ac:dyDescent="0.3"/>
    <row r="24117" ht="14.4" x14ac:dyDescent="0.3"/>
    <row r="24118" ht="14.4" x14ac:dyDescent="0.3"/>
    <row r="24119" ht="14.4" x14ac:dyDescent="0.3"/>
    <row r="24120" ht="14.4" x14ac:dyDescent="0.3"/>
    <row r="24121" ht="14.4" x14ac:dyDescent="0.3"/>
    <row r="24122" ht="14.4" x14ac:dyDescent="0.3"/>
    <row r="24123" ht="14.4" x14ac:dyDescent="0.3"/>
    <row r="24124" ht="14.4" x14ac:dyDescent="0.3"/>
    <row r="24125" ht="14.4" x14ac:dyDescent="0.3"/>
    <row r="24126" ht="14.4" x14ac:dyDescent="0.3"/>
    <row r="24127" ht="14.4" x14ac:dyDescent="0.3"/>
    <row r="24128" ht="14.4" x14ac:dyDescent="0.3"/>
    <row r="24129" ht="14.4" x14ac:dyDescent="0.3"/>
    <row r="24130" ht="14.4" x14ac:dyDescent="0.3"/>
    <row r="24131" ht="14.4" x14ac:dyDescent="0.3"/>
    <row r="24132" ht="14.4" x14ac:dyDescent="0.3"/>
    <row r="24133" ht="14.4" x14ac:dyDescent="0.3"/>
    <row r="24134" ht="14.4" x14ac:dyDescent="0.3"/>
    <row r="24135" ht="14.4" x14ac:dyDescent="0.3"/>
    <row r="24136" ht="14.4" x14ac:dyDescent="0.3"/>
    <row r="24137" ht="14.4" x14ac:dyDescent="0.3"/>
    <row r="24138" ht="14.4" x14ac:dyDescent="0.3"/>
    <row r="24139" ht="14.4" x14ac:dyDescent="0.3"/>
    <row r="24140" ht="14.4" x14ac:dyDescent="0.3"/>
    <row r="24141" ht="14.4" x14ac:dyDescent="0.3"/>
    <row r="24142" ht="14.4" x14ac:dyDescent="0.3"/>
    <row r="24143" ht="14.4" x14ac:dyDescent="0.3"/>
    <row r="24144" ht="14.4" x14ac:dyDescent="0.3"/>
    <row r="24145" ht="14.4" x14ac:dyDescent="0.3"/>
    <row r="24146" ht="14.4" x14ac:dyDescent="0.3"/>
    <row r="24147" ht="14.4" x14ac:dyDescent="0.3"/>
    <row r="24148" ht="14.4" x14ac:dyDescent="0.3"/>
    <row r="24149" ht="14.4" x14ac:dyDescent="0.3"/>
    <row r="24150" ht="14.4" x14ac:dyDescent="0.3"/>
    <row r="24151" ht="14.4" x14ac:dyDescent="0.3"/>
    <row r="24152" ht="14.4" x14ac:dyDescent="0.3"/>
    <row r="24153" ht="14.4" x14ac:dyDescent="0.3"/>
    <row r="24154" ht="14.4" x14ac:dyDescent="0.3"/>
    <row r="24155" ht="14.4" x14ac:dyDescent="0.3"/>
    <row r="24156" ht="14.4" x14ac:dyDescent="0.3"/>
    <row r="24157" ht="14.4" x14ac:dyDescent="0.3"/>
    <row r="24158" ht="14.4" x14ac:dyDescent="0.3"/>
    <row r="24159" ht="14.4" x14ac:dyDescent="0.3"/>
    <row r="24160" ht="14.4" x14ac:dyDescent="0.3"/>
    <row r="24161" ht="14.4" x14ac:dyDescent="0.3"/>
    <row r="24162" ht="14.4" x14ac:dyDescent="0.3"/>
    <row r="24163" ht="14.4" x14ac:dyDescent="0.3"/>
    <row r="24164" ht="14.4" x14ac:dyDescent="0.3"/>
    <row r="24165" ht="14.4" x14ac:dyDescent="0.3"/>
    <row r="24166" ht="14.4" x14ac:dyDescent="0.3"/>
    <row r="24167" ht="14.4" x14ac:dyDescent="0.3"/>
    <row r="24168" ht="14.4" x14ac:dyDescent="0.3"/>
    <row r="24169" ht="14.4" x14ac:dyDescent="0.3"/>
    <row r="24170" ht="14.4" x14ac:dyDescent="0.3"/>
    <row r="24171" ht="14.4" x14ac:dyDescent="0.3"/>
    <row r="24172" ht="14.4" x14ac:dyDescent="0.3"/>
    <row r="24173" ht="14.4" x14ac:dyDescent="0.3"/>
    <row r="24174" ht="14.4" x14ac:dyDescent="0.3"/>
    <row r="24175" ht="14.4" x14ac:dyDescent="0.3"/>
    <row r="24176" ht="14.4" x14ac:dyDescent="0.3"/>
    <row r="24177" ht="14.4" x14ac:dyDescent="0.3"/>
    <row r="24178" ht="14.4" x14ac:dyDescent="0.3"/>
    <row r="24179" ht="14.4" x14ac:dyDescent="0.3"/>
    <row r="24180" ht="14.4" x14ac:dyDescent="0.3"/>
    <row r="24181" ht="14.4" x14ac:dyDescent="0.3"/>
    <row r="24182" ht="14.4" x14ac:dyDescent="0.3"/>
    <row r="24183" ht="14.4" x14ac:dyDescent="0.3"/>
    <row r="24184" ht="14.4" x14ac:dyDescent="0.3"/>
    <row r="24185" ht="14.4" x14ac:dyDescent="0.3"/>
    <row r="24186" ht="14.4" x14ac:dyDescent="0.3"/>
    <row r="24187" ht="14.4" x14ac:dyDescent="0.3"/>
    <row r="24188" ht="14.4" x14ac:dyDescent="0.3"/>
    <row r="24189" ht="14.4" x14ac:dyDescent="0.3"/>
    <row r="24190" ht="14.4" x14ac:dyDescent="0.3"/>
    <row r="24191" ht="14.4" x14ac:dyDescent="0.3"/>
    <row r="24192" ht="14.4" x14ac:dyDescent="0.3"/>
    <row r="24193" ht="14.4" x14ac:dyDescent="0.3"/>
    <row r="24194" ht="14.4" x14ac:dyDescent="0.3"/>
    <row r="24195" ht="14.4" x14ac:dyDescent="0.3"/>
    <row r="24196" ht="14.4" x14ac:dyDescent="0.3"/>
    <row r="24197" ht="14.4" x14ac:dyDescent="0.3"/>
    <row r="24198" ht="14.4" x14ac:dyDescent="0.3"/>
    <row r="24199" ht="14.4" x14ac:dyDescent="0.3"/>
    <row r="24200" ht="14.4" x14ac:dyDescent="0.3"/>
    <row r="24201" ht="14.4" x14ac:dyDescent="0.3"/>
    <row r="24202" ht="14.4" x14ac:dyDescent="0.3"/>
    <row r="24203" ht="14.4" x14ac:dyDescent="0.3"/>
    <row r="24204" ht="14.4" x14ac:dyDescent="0.3"/>
    <row r="24205" ht="14.4" x14ac:dyDescent="0.3"/>
    <row r="24206" ht="14.4" x14ac:dyDescent="0.3"/>
    <row r="24207" ht="14.4" x14ac:dyDescent="0.3"/>
    <row r="24208" ht="14.4" x14ac:dyDescent="0.3"/>
    <row r="24209" ht="14.4" x14ac:dyDescent="0.3"/>
    <row r="24210" ht="14.4" x14ac:dyDescent="0.3"/>
    <row r="24211" ht="14.4" x14ac:dyDescent="0.3"/>
    <row r="24212" ht="14.4" x14ac:dyDescent="0.3"/>
    <row r="24213" ht="14.4" x14ac:dyDescent="0.3"/>
    <row r="24214" ht="14.4" x14ac:dyDescent="0.3"/>
    <row r="24215" ht="14.4" x14ac:dyDescent="0.3"/>
    <row r="24216" ht="14.4" x14ac:dyDescent="0.3"/>
    <row r="24217" ht="14.4" x14ac:dyDescent="0.3"/>
    <row r="24218" ht="14.4" x14ac:dyDescent="0.3"/>
    <row r="24219" ht="14.4" x14ac:dyDescent="0.3"/>
    <row r="24220" ht="14.4" x14ac:dyDescent="0.3"/>
    <row r="24221" ht="14.4" x14ac:dyDescent="0.3"/>
    <row r="24222" ht="14.4" x14ac:dyDescent="0.3"/>
    <row r="24223" ht="14.4" x14ac:dyDescent="0.3"/>
    <row r="24224" ht="14.4" x14ac:dyDescent="0.3"/>
    <row r="24225" ht="14.4" x14ac:dyDescent="0.3"/>
    <row r="24226" ht="14.4" x14ac:dyDescent="0.3"/>
    <row r="24227" ht="14.4" x14ac:dyDescent="0.3"/>
    <row r="24228" ht="14.4" x14ac:dyDescent="0.3"/>
    <row r="24229" ht="14.4" x14ac:dyDescent="0.3"/>
    <row r="24230" ht="14.4" x14ac:dyDescent="0.3"/>
    <row r="24231" ht="14.4" x14ac:dyDescent="0.3"/>
    <row r="24232" ht="14.4" x14ac:dyDescent="0.3"/>
    <row r="24233" ht="14.4" x14ac:dyDescent="0.3"/>
    <row r="24234" ht="14.4" x14ac:dyDescent="0.3"/>
    <row r="24235" ht="14.4" x14ac:dyDescent="0.3"/>
    <row r="24236" ht="14.4" x14ac:dyDescent="0.3"/>
    <row r="24237" ht="14.4" x14ac:dyDescent="0.3"/>
    <row r="24238" ht="14.4" x14ac:dyDescent="0.3"/>
    <row r="24239" ht="14.4" x14ac:dyDescent="0.3"/>
    <row r="24240" ht="14.4" x14ac:dyDescent="0.3"/>
    <row r="24241" ht="14.4" x14ac:dyDescent="0.3"/>
    <row r="24242" ht="14.4" x14ac:dyDescent="0.3"/>
    <row r="24243" ht="14.4" x14ac:dyDescent="0.3"/>
    <row r="24244" ht="14.4" x14ac:dyDescent="0.3"/>
    <row r="24245" ht="14.4" x14ac:dyDescent="0.3"/>
    <row r="24246" ht="14.4" x14ac:dyDescent="0.3"/>
    <row r="24247" ht="14.4" x14ac:dyDescent="0.3"/>
    <row r="24248" ht="14.4" x14ac:dyDescent="0.3"/>
    <row r="24249" ht="14.4" x14ac:dyDescent="0.3"/>
    <row r="24250" ht="14.4" x14ac:dyDescent="0.3"/>
    <row r="24251" ht="14.4" x14ac:dyDescent="0.3"/>
    <row r="24252" ht="14.4" x14ac:dyDescent="0.3"/>
    <row r="24253" ht="14.4" x14ac:dyDescent="0.3"/>
    <row r="24254" ht="14.4" x14ac:dyDescent="0.3"/>
    <row r="24255" ht="14.4" x14ac:dyDescent="0.3"/>
    <row r="24256" ht="14.4" x14ac:dyDescent="0.3"/>
    <row r="24257" ht="14.4" x14ac:dyDescent="0.3"/>
    <row r="24258" ht="14.4" x14ac:dyDescent="0.3"/>
    <row r="24259" ht="14.4" x14ac:dyDescent="0.3"/>
    <row r="24260" ht="14.4" x14ac:dyDescent="0.3"/>
    <row r="24261" ht="14.4" x14ac:dyDescent="0.3"/>
    <row r="24262" ht="14.4" x14ac:dyDescent="0.3"/>
    <row r="24263" ht="14.4" x14ac:dyDescent="0.3"/>
    <row r="24264" ht="14.4" x14ac:dyDescent="0.3"/>
    <row r="24265" ht="14.4" x14ac:dyDescent="0.3"/>
    <row r="24266" ht="14.4" x14ac:dyDescent="0.3"/>
    <row r="24267" ht="14.4" x14ac:dyDescent="0.3"/>
    <row r="24268" ht="14.4" x14ac:dyDescent="0.3"/>
    <row r="24269" ht="14.4" x14ac:dyDescent="0.3"/>
    <row r="24270" ht="14.4" x14ac:dyDescent="0.3"/>
    <row r="24271" ht="14.4" x14ac:dyDescent="0.3"/>
    <row r="24272" ht="14.4" x14ac:dyDescent="0.3"/>
    <row r="24273" ht="14.4" x14ac:dyDescent="0.3"/>
    <row r="24274" ht="14.4" x14ac:dyDescent="0.3"/>
    <row r="24275" ht="14.4" x14ac:dyDescent="0.3"/>
    <row r="24276" ht="14.4" x14ac:dyDescent="0.3"/>
    <row r="24277" ht="14.4" x14ac:dyDescent="0.3"/>
    <row r="24278" ht="14.4" x14ac:dyDescent="0.3"/>
    <row r="24279" ht="14.4" x14ac:dyDescent="0.3"/>
    <row r="24280" ht="14.4" x14ac:dyDescent="0.3"/>
    <row r="24281" ht="14.4" x14ac:dyDescent="0.3"/>
    <row r="24282" ht="14.4" x14ac:dyDescent="0.3"/>
    <row r="24283" ht="14.4" x14ac:dyDescent="0.3"/>
    <row r="24284" ht="14.4" x14ac:dyDescent="0.3"/>
    <row r="24285" ht="14.4" x14ac:dyDescent="0.3"/>
    <row r="24286" ht="14.4" x14ac:dyDescent="0.3"/>
    <row r="24287" ht="14.4" x14ac:dyDescent="0.3"/>
    <row r="24288" ht="14.4" x14ac:dyDescent="0.3"/>
    <row r="24289" ht="14.4" x14ac:dyDescent="0.3"/>
    <row r="24290" ht="14.4" x14ac:dyDescent="0.3"/>
    <row r="24291" ht="14.4" x14ac:dyDescent="0.3"/>
    <row r="24292" ht="14.4" x14ac:dyDescent="0.3"/>
    <row r="24293" ht="14.4" x14ac:dyDescent="0.3"/>
    <row r="24294" ht="14.4" x14ac:dyDescent="0.3"/>
    <row r="24295" ht="14.4" x14ac:dyDescent="0.3"/>
    <row r="24296" ht="14.4" x14ac:dyDescent="0.3"/>
    <row r="24297" ht="14.4" x14ac:dyDescent="0.3"/>
    <row r="24298" ht="14.4" x14ac:dyDescent="0.3"/>
    <row r="24299" ht="14.4" x14ac:dyDescent="0.3"/>
    <row r="24300" ht="14.4" x14ac:dyDescent="0.3"/>
    <row r="24301" ht="14.4" x14ac:dyDescent="0.3"/>
    <row r="24302" ht="14.4" x14ac:dyDescent="0.3"/>
    <row r="24303" ht="14.4" x14ac:dyDescent="0.3"/>
    <row r="24304" ht="14.4" x14ac:dyDescent="0.3"/>
    <row r="24305" ht="14.4" x14ac:dyDescent="0.3"/>
    <row r="24306" ht="14.4" x14ac:dyDescent="0.3"/>
    <row r="24307" ht="14.4" x14ac:dyDescent="0.3"/>
    <row r="24308" ht="14.4" x14ac:dyDescent="0.3"/>
    <row r="24309" ht="14.4" x14ac:dyDescent="0.3"/>
    <row r="24310" ht="14.4" x14ac:dyDescent="0.3"/>
    <row r="24311" ht="14.4" x14ac:dyDescent="0.3"/>
    <row r="24312" ht="14.4" x14ac:dyDescent="0.3"/>
    <row r="24313" ht="14.4" x14ac:dyDescent="0.3"/>
    <row r="24314" ht="14.4" x14ac:dyDescent="0.3"/>
    <row r="24315" ht="14.4" x14ac:dyDescent="0.3"/>
    <row r="24316" ht="14.4" x14ac:dyDescent="0.3"/>
    <row r="24317" ht="14.4" x14ac:dyDescent="0.3"/>
    <row r="24318" ht="14.4" x14ac:dyDescent="0.3"/>
    <row r="24319" ht="14.4" x14ac:dyDescent="0.3"/>
    <row r="24320" ht="14.4" x14ac:dyDescent="0.3"/>
    <row r="24321" ht="14.4" x14ac:dyDescent="0.3"/>
    <row r="24322" ht="14.4" x14ac:dyDescent="0.3"/>
    <row r="24323" ht="14.4" x14ac:dyDescent="0.3"/>
    <row r="24324" ht="14.4" x14ac:dyDescent="0.3"/>
    <row r="24325" ht="14.4" x14ac:dyDescent="0.3"/>
    <row r="24326" ht="14.4" x14ac:dyDescent="0.3"/>
    <row r="24327" ht="14.4" x14ac:dyDescent="0.3"/>
    <row r="24328" ht="14.4" x14ac:dyDescent="0.3"/>
    <row r="24329" ht="14.4" x14ac:dyDescent="0.3"/>
    <row r="24330" ht="14.4" x14ac:dyDescent="0.3"/>
    <row r="24331" ht="14.4" x14ac:dyDescent="0.3"/>
    <row r="24332" ht="14.4" x14ac:dyDescent="0.3"/>
    <row r="24333" ht="14.4" x14ac:dyDescent="0.3"/>
    <row r="24334" ht="14.4" x14ac:dyDescent="0.3"/>
    <row r="24335" ht="14.4" x14ac:dyDescent="0.3"/>
    <row r="24336" ht="14.4" x14ac:dyDescent="0.3"/>
    <row r="24337" ht="14.4" x14ac:dyDescent="0.3"/>
    <row r="24338" ht="14.4" x14ac:dyDescent="0.3"/>
    <row r="24339" ht="14.4" x14ac:dyDescent="0.3"/>
    <row r="24340" ht="14.4" x14ac:dyDescent="0.3"/>
    <row r="24341" ht="14.4" x14ac:dyDescent="0.3"/>
    <row r="24342" ht="14.4" x14ac:dyDescent="0.3"/>
    <row r="24343" ht="14.4" x14ac:dyDescent="0.3"/>
    <row r="24344" ht="14.4" x14ac:dyDescent="0.3"/>
    <row r="24345" ht="14.4" x14ac:dyDescent="0.3"/>
    <row r="24346" ht="14.4" x14ac:dyDescent="0.3"/>
    <row r="24347" ht="14.4" x14ac:dyDescent="0.3"/>
    <row r="24348" ht="14.4" x14ac:dyDescent="0.3"/>
    <row r="24349" ht="14.4" x14ac:dyDescent="0.3"/>
    <row r="24350" ht="14.4" x14ac:dyDescent="0.3"/>
    <row r="24351" ht="14.4" x14ac:dyDescent="0.3"/>
    <row r="24352" ht="14.4" x14ac:dyDescent="0.3"/>
    <row r="24353" ht="14.4" x14ac:dyDescent="0.3"/>
    <row r="24354" ht="14.4" x14ac:dyDescent="0.3"/>
    <row r="24355" ht="14.4" x14ac:dyDescent="0.3"/>
    <row r="24356" ht="14.4" x14ac:dyDescent="0.3"/>
    <row r="24357" ht="14.4" x14ac:dyDescent="0.3"/>
    <row r="24358" ht="14.4" x14ac:dyDescent="0.3"/>
    <row r="24359" ht="14.4" x14ac:dyDescent="0.3"/>
    <row r="24360" ht="14.4" x14ac:dyDescent="0.3"/>
    <row r="24361" ht="14.4" x14ac:dyDescent="0.3"/>
    <row r="24362" ht="14.4" x14ac:dyDescent="0.3"/>
    <row r="24363" ht="14.4" x14ac:dyDescent="0.3"/>
    <row r="24364" ht="14.4" x14ac:dyDescent="0.3"/>
    <row r="24365" ht="14.4" x14ac:dyDescent="0.3"/>
    <row r="24366" ht="14.4" x14ac:dyDescent="0.3"/>
    <row r="24367" ht="14.4" x14ac:dyDescent="0.3"/>
    <row r="24368" ht="14.4" x14ac:dyDescent="0.3"/>
    <row r="24369" spans="1:43" ht="14.4" x14ac:dyDescent="0.3"/>
    <row r="24370" spans="1:43" ht="14.4" x14ac:dyDescent="0.3"/>
    <row r="24371" spans="1:43" ht="14.4" x14ac:dyDescent="0.3"/>
    <row r="24372" spans="1:43" ht="14.4" x14ac:dyDescent="0.3"/>
    <row r="24373" spans="1:43" ht="14.4" hidden="1" x14ac:dyDescent="0.3">
      <c r="A24373" t="s">
        <v>3484</v>
      </c>
      <c r="B24373">
        <v>4892923</v>
      </c>
      <c r="C24373" t="s">
        <v>842</v>
      </c>
      <c r="D24373" t="s">
        <v>843</v>
      </c>
      <c r="E24373" t="s">
        <v>864</v>
      </c>
      <c r="F24373" t="s">
        <v>865</v>
      </c>
      <c r="H24373" t="s">
        <v>276</v>
      </c>
      <c r="J24373" t="s">
        <v>140</v>
      </c>
      <c r="K24373">
        <v>160889.079</v>
      </c>
      <c r="L24373">
        <v>383311.39299999998</v>
      </c>
      <c r="M24373">
        <v>1</v>
      </c>
      <c r="N24373" t="s">
        <v>1095</v>
      </c>
      <c r="O24373" t="s">
        <v>1096</v>
      </c>
      <c r="P24373" t="s">
        <v>632</v>
      </c>
      <c r="Q24373" t="s">
        <v>264</v>
      </c>
      <c r="S24373">
        <v>18</v>
      </c>
      <c r="T24373">
        <v>1200</v>
      </c>
      <c r="V24373" t="s">
        <v>1097</v>
      </c>
      <c r="W24373" t="s">
        <v>273</v>
      </c>
      <c r="X24373" t="s">
        <v>7</v>
      </c>
      <c r="Y24373" t="s">
        <v>1098</v>
      </c>
      <c r="Z24373" t="s">
        <v>1096</v>
      </c>
      <c r="AA24373" t="s">
        <v>1099</v>
      </c>
      <c r="AB24373">
        <v>80</v>
      </c>
      <c r="AE24373" t="s">
        <v>1100</v>
      </c>
      <c r="AF24373" t="s">
        <v>1096</v>
      </c>
      <c r="AG24373" t="s">
        <v>1099</v>
      </c>
      <c r="AL24373" t="s">
        <v>3485</v>
      </c>
      <c r="AM24373" t="s">
        <v>3486</v>
      </c>
      <c r="AN24373" t="s">
        <v>3487</v>
      </c>
      <c r="AO24373" t="s">
        <v>1095</v>
      </c>
      <c r="AP24373" t="s">
        <v>158</v>
      </c>
      <c r="AQ24373" t="str">
        <f>IF(ISBLANK(AP24373), IFERROR(IF(VLOOKUP(AO24373, Ellens_additions!$A$2:$B$252, 2, FALSE) = "", "", VLOOKUP(AO24373, Ellens_additions!$A$2:$B$252, 2, FALSE)), 0), AP24373)</f>
        <v>3000</v>
      </c>
    </row>
    <row r="24374" spans="1:43" ht="14.4" hidden="1" x14ac:dyDescent="0.3">
      <c r="A24374" t="s">
        <v>3488</v>
      </c>
      <c r="B24374">
        <v>4892925</v>
      </c>
      <c r="C24374" t="s">
        <v>842</v>
      </c>
      <c r="D24374" t="s">
        <v>843</v>
      </c>
      <c r="E24374" t="s">
        <v>864</v>
      </c>
      <c r="F24374" t="s">
        <v>865</v>
      </c>
      <c r="H24374" t="s">
        <v>407</v>
      </c>
      <c r="J24374" t="s">
        <v>140</v>
      </c>
      <c r="K24374">
        <v>160899.663</v>
      </c>
      <c r="L24374">
        <v>383343.93699999998</v>
      </c>
      <c r="M24374">
        <v>1</v>
      </c>
      <c r="N24374" t="s">
        <v>739</v>
      </c>
      <c r="O24374" t="s">
        <v>1119</v>
      </c>
      <c r="P24374" t="s">
        <v>1120</v>
      </c>
      <c r="Q24374" t="s">
        <v>264</v>
      </c>
      <c r="R24374" t="s">
        <v>145</v>
      </c>
      <c r="S24374">
        <v>32</v>
      </c>
      <c r="T24374">
        <v>2400</v>
      </c>
      <c r="V24374" t="s">
        <v>740</v>
      </c>
      <c r="W24374" t="s">
        <v>415</v>
      </c>
      <c r="X24374" t="s">
        <v>7</v>
      </c>
      <c r="Y24374" t="s">
        <v>867</v>
      </c>
      <c r="Z24374" t="s">
        <v>385</v>
      </c>
      <c r="AA24374" t="s">
        <v>386</v>
      </c>
      <c r="AB24374">
        <v>120</v>
      </c>
      <c r="AC24374" t="s">
        <v>150</v>
      </c>
      <c r="AE24374" t="s">
        <v>868</v>
      </c>
      <c r="AF24374" t="s">
        <v>385</v>
      </c>
      <c r="AG24374" t="s">
        <v>386</v>
      </c>
      <c r="AL24374" t="s">
        <v>3489</v>
      </c>
      <c r="AM24374" t="s">
        <v>3490</v>
      </c>
      <c r="AN24374" t="s">
        <v>3491</v>
      </c>
      <c r="AO24374" t="s">
        <v>739</v>
      </c>
      <c r="AQ24374">
        <f>IF(ISBLANK(AP24374), IFERROR(IF(VLOOKUP(AO24374, Ellens_additions!$A$2:$B$252, 2, FALSE) = "", "", VLOOKUP(AO24374, Ellens_additions!$A$2:$B$252, 2, FALSE)), 0), AP24374)</f>
        <v>3000</v>
      </c>
    </row>
    <row r="24375" spans="1:43" ht="14.4" x14ac:dyDescent="0.3"/>
    <row r="24376" spans="1:43" ht="14.4" x14ac:dyDescent="0.3"/>
    <row r="24377" spans="1:43" ht="14.4" x14ac:dyDescent="0.3"/>
    <row r="24378" spans="1:43" ht="14.4" x14ac:dyDescent="0.3"/>
    <row r="24379" spans="1:43" ht="14.4" x14ac:dyDescent="0.3"/>
    <row r="24380" spans="1:43" ht="14.4" x14ac:dyDescent="0.3"/>
    <row r="24381" spans="1:43" ht="14.4" x14ac:dyDescent="0.3"/>
    <row r="24382" spans="1:43" ht="14.4" x14ac:dyDescent="0.3"/>
    <row r="24383" spans="1:43" ht="14.4" x14ac:dyDescent="0.3"/>
    <row r="24384" spans="1:43" ht="14.4" x14ac:dyDescent="0.3"/>
    <row r="24385" ht="14.4" x14ac:dyDescent="0.3"/>
    <row r="24386" ht="14.4" x14ac:dyDescent="0.3"/>
    <row r="24387" ht="14.4" x14ac:dyDescent="0.3"/>
    <row r="24388" ht="14.4" x14ac:dyDescent="0.3"/>
    <row r="24389" ht="14.4" x14ac:dyDescent="0.3"/>
    <row r="24390" ht="14.4" x14ac:dyDescent="0.3"/>
    <row r="24391" ht="14.4" x14ac:dyDescent="0.3"/>
    <row r="24392" ht="14.4" x14ac:dyDescent="0.3"/>
    <row r="24393" ht="14.4" x14ac:dyDescent="0.3"/>
    <row r="24394" ht="14.4" x14ac:dyDescent="0.3"/>
    <row r="24395" ht="14.4" x14ac:dyDescent="0.3"/>
    <row r="24396" ht="14.4" x14ac:dyDescent="0.3"/>
    <row r="24397" ht="14.4" x14ac:dyDescent="0.3"/>
    <row r="24398" ht="14.4" x14ac:dyDescent="0.3"/>
    <row r="24399" ht="14.4" x14ac:dyDescent="0.3"/>
    <row r="24400" ht="14.4" x14ac:dyDescent="0.3"/>
    <row r="24401" ht="14.4" x14ac:dyDescent="0.3"/>
    <row r="24402" ht="14.4" x14ac:dyDescent="0.3"/>
    <row r="24403" ht="14.4" x14ac:dyDescent="0.3"/>
    <row r="24404" ht="14.4" x14ac:dyDescent="0.3"/>
    <row r="24405" ht="14.4" x14ac:dyDescent="0.3"/>
    <row r="24406" ht="14.4" x14ac:dyDescent="0.3"/>
    <row r="24407" ht="14.4" x14ac:dyDescent="0.3"/>
    <row r="24408" ht="14.4" x14ac:dyDescent="0.3"/>
    <row r="24409" ht="14.4" x14ac:dyDescent="0.3"/>
    <row r="24410" ht="14.4" x14ac:dyDescent="0.3"/>
    <row r="24411" ht="14.4" x14ac:dyDescent="0.3"/>
    <row r="24412" ht="14.4" x14ac:dyDescent="0.3"/>
    <row r="24413" ht="14.4" x14ac:dyDescent="0.3"/>
    <row r="24414" ht="14.4" x14ac:dyDescent="0.3"/>
    <row r="24415" ht="14.4" x14ac:dyDescent="0.3"/>
    <row r="24416" ht="14.4" x14ac:dyDescent="0.3"/>
    <row r="24417" spans="1:43" ht="14.4" x14ac:dyDescent="0.3"/>
    <row r="24418" spans="1:43" ht="14.4" x14ac:dyDescent="0.3"/>
    <row r="24419" spans="1:43" ht="14.4" x14ac:dyDescent="0.3"/>
    <row r="24420" spans="1:43" ht="14.4" x14ac:dyDescent="0.3"/>
    <row r="24421" spans="1:43" ht="14.4" x14ac:dyDescent="0.3"/>
    <row r="24422" spans="1:43" ht="14.4" x14ac:dyDescent="0.3"/>
    <row r="24423" spans="1:43" ht="14.4" x14ac:dyDescent="0.3"/>
    <row r="24424" spans="1:43" ht="14.4" x14ac:dyDescent="0.3"/>
    <row r="24425" spans="1:43" ht="14.4" x14ac:dyDescent="0.3"/>
    <row r="24426" spans="1:43" ht="14.4" x14ac:dyDescent="0.3"/>
    <row r="24427" spans="1:43" ht="14.4" x14ac:dyDescent="0.3"/>
    <row r="24428" spans="1:43" ht="14.4" x14ac:dyDescent="0.3"/>
    <row r="24429" spans="1:43" ht="14.4" x14ac:dyDescent="0.3"/>
    <row r="24430" spans="1:43" ht="14.4" x14ac:dyDescent="0.3"/>
    <row r="24431" spans="1:43" ht="14.4" hidden="1" x14ac:dyDescent="0.3">
      <c r="A24431" t="s">
        <v>3492</v>
      </c>
      <c r="B24431">
        <v>4893094</v>
      </c>
      <c r="C24431" t="s">
        <v>842</v>
      </c>
      <c r="D24431" t="s">
        <v>843</v>
      </c>
      <c r="E24431" t="s">
        <v>844</v>
      </c>
      <c r="F24431" t="s">
        <v>3493</v>
      </c>
      <c r="H24431" t="s">
        <v>1450</v>
      </c>
      <c r="J24431" t="s">
        <v>140</v>
      </c>
      <c r="K24431">
        <v>161184.64000000001</v>
      </c>
      <c r="L24431">
        <v>383493.99</v>
      </c>
      <c r="M24431">
        <v>1</v>
      </c>
      <c r="N24431" t="s">
        <v>3494</v>
      </c>
      <c r="O24431" t="s">
        <v>773</v>
      </c>
      <c r="P24431" t="s">
        <v>614</v>
      </c>
      <c r="Q24431" t="s">
        <v>144</v>
      </c>
      <c r="R24431" t="s">
        <v>145</v>
      </c>
      <c r="S24431">
        <v>16</v>
      </c>
      <c r="T24431">
        <v>812</v>
      </c>
      <c r="V24431" t="s">
        <v>146</v>
      </c>
      <c r="W24431" t="s">
        <v>415</v>
      </c>
      <c r="X24431" t="s">
        <v>7</v>
      </c>
      <c r="Y24431" t="s">
        <v>3495</v>
      </c>
      <c r="Z24431" t="s">
        <v>773</v>
      </c>
      <c r="AA24431" t="s">
        <v>1135</v>
      </c>
      <c r="AB24431">
        <v>0</v>
      </c>
      <c r="AE24431" t="s">
        <v>1496</v>
      </c>
      <c r="AF24431" t="s">
        <v>773</v>
      </c>
      <c r="AG24431" t="s">
        <v>774</v>
      </c>
      <c r="AL24431" t="s">
        <v>3496</v>
      </c>
      <c r="AM24431" t="s">
        <v>3497</v>
      </c>
      <c r="AN24431" t="s">
        <v>3498</v>
      </c>
      <c r="AO24431" t="s">
        <v>3494</v>
      </c>
      <c r="AQ24431">
        <f>IF(ISBLANK(AP24431), IFERROR(IF(VLOOKUP(AO24431, Ellens_additions!$A$2:$B$252, 2, FALSE) = "", "", VLOOKUP(AO24431, Ellens_additions!$A$2:$B$252, 2, FALSE)), 0), AP24431)</f>
        <v>0</v>
      </c>
    </row>
    <row r="24432" spans="1:43" ht="14.4" hidden="1" x14ac:dyDescent="0.3">
      <c r="A24432" t="s">
        <v>3499</v>
      </c>
      <c r="B24432">
        <v>4893097</v>
      </c>
      <c r="C24432" t="s">
        <v>842</v>
      </c>
      <c r="D24432" t="s">
        <v>843</v>
      </c>
      <c r="E24432" t="s">
        <v>844</v>
      </c>
      <c r="F24432" t="s">
        <v>3493</v>
      </c>
      <c r="H24432" t="s">
        <v>269</v>
      </c>
      <c r="J24432" t="s">
        <v>140</v>
      </c>
      <c r="K24432">
        <v>161155.92000000001</v>
      </c>
      <c r="L24432">
        <v>383358.47</v>
      </c>
      <c r="M24432">
        <v>1</v>
      </c>
      <c r="N24432" t="s">
        <v>3494</v>
      </c>
      <c r="O24432" t="s">
        <v>773</v>
      </c>
      <c r="P24432" t="s">
        <v>614</v>
      </c>
      <c r="Q24432" t="s">
        <v>144</v>
      </c>
      <c r="R24432" t="s">
        <v>145</v>
      </c>
      <c r="S24432">
        <v>16</v>
      </c>
      <c r="T24432">
        <v>812</v>
      </c>
      <c r="V24432" t="s">
        <v>146</v>
      </c>
      <c r="W24432" t="s">
        <v>415</v>
      </c>
      <c r="X24432" t="s">
        <v>7</v>
      </c>
      <c r="Y24432" t="s">
        <v>3495</v>
      </c>
      <c r="Z24432" t="s">
        <v>773</v>
      </c>
      <c r="AA24432" t="s">
        <v>1135</v>
      </c>
      <c r="AB24432">
        <v>0</v>
      </c>
      <c r="AE24432" t="s">
        <v>1496</v>
      </c>
      <c r="AF24432" t="s">
        <v>773</v>
      </c>
      <c r="AG24432" t="s">
        <v>774</v>
      </c>
      <c r="AL24432" t="s">
        <v>3500</v>
      </c>
      <c r="AM24432" t="s">
        <v>3501</v>
      </c>
      <c r="AN24432" t="s">
        <v>3502</v>
      </c>
      <c r="AO24432" t="s">
        <v>3494</v>
      </c>
      <c r="AQ24432">
        <f>IF(ISBLANK(AP24432), IFERROR(IF(VLOOKUP(AO24432, Ellens_additions!$A$2:$B$252, 2, FALSE) = "", "", VLOOKUP(AO24432, Ellens_additions!$A$2:$B$252, 2, FALSE)), 0), AP24432)</f>
        <v>0</v>
      </c>
    </row>
    <row r="24433" ht="14.4" x14ac:dyDescent="0.3"/>
    <row r="24434" ht="14.4" x14ac:dyDescent="0.3"/>
    <row r="24435" ht="14.4" x14ac:dyDescent="0.3"/>
    <row r="24436" ht="14.4" x14ac:dyDescent="0.3"/>
    <row r="24437" ht="14.4" x14ac:dyDescent="0.3"/>
    <row r="24438" ht="14.4" x14ac:dyDescent="0.3"/>
    <row r="24439" ht="14.4" x14ac:dyDescent="0.3"/>
    <row r="24440" ht="14.4" x14ac:dyDescent="0.3"/>
    <row r="24441" ht="14.4" x14ac:dyDescent="0.3"/>
    <row r="24442" ht="14.4" x14ac:dyDescent="0.3"/>
    <row r="24443" ht="14.4" x14ac:dyDescent="0.3"/>
    <row r="24444" ht="14.4" x14ac:dyDescent="0.3"/>
    <row r="24445" ht="14.4" x14ac:dyDescent="0.3"/>
    <row r="24446" ht="14.4" x14ac:dyDescent="0.3"/>
    <row r="24447" ht="14.4" x14ac:dyDescent="0.3"/>
    <row r="24448" ht="14.4" x14ac:dyDescent="0.3"/>
    <row r="24449" ht="14.4" x14ac:dyDescent="0.3"/>
    <row r="24450" ht="14.4" x14ac:dyDescent="0.3"/>
    <row r="24451" ht="14.4" x14ac:dyDescent="0.3"/>
    <row r="24452" ht="14.4" x14ac:dyDescent="0.3"/>
    <row r="24453" ht="14.4" x14ac:dyDescent="0.3"/>
    <row r="24454" ht="14.4" x14ac:dyDescent="0.3"/>
    <row r="24455" ht="14.4" x14ac:dyDescent="0.3"/>
    <row r="24456" ht="14.4" x14ac:dyDescent="0.3"/>
    <row r="24457" ht="14.4" x14ac:dyDescent="0.3"/>
    <row r="24458" ht="14.4" x14ac:dyDescent="0.3"/>
    <row r="24459" ht="14.4" x14ac:dyDescent="0.3"/>
    <row r="24460" ht="14.4" x14ac:dyDescent="0.3"/>
    <row r="24461" ht="14.4" x14ac:dyDescent="0.3"/>
    <row r="24462" ht="14.4" x14ac:dyDescent="0.3"/>
    <row r="24463" ht="14.4" x14ac:dyDescent="0.3"/>
    <row r="24464" ht="14.4" x14ac:dyDescent="0.3"/>
    <row r="24465" ht="14.4" x14ac:dyDescent="0.3"/>
    <row r="24466" ht="14.4" x14ac:dyDescent="0.3"/>
    <row r="24467" ht="14.4" x14ac:dyDescent="0.3"/>
    <row r="24468" ht="14.4" x14ac:dyDescent="0.3"/>
    <row r="24469" ht="14.4" x14ac:dyDescent="0.3"/>
    <row r="24470" ht="14.4" x14ac:dyDescent="0.3"/>
    <row r="24471" ht="14.4" x14ac:dyDescent="0.3"/>
    <row r="24472" ht="14.4" x14ac:dyDescent="0.3"/>
    <row r="24473" ht="14.4" x14ac:dyDescent="0.3"/>
    <row r="24474" ht="14.4" x14ac:dyDescent="0.3"/>
    <row r="24475" ht="14.4" x14ac:dyDescent="0.3"/>
    <row r="24476" ht="14.4" x14ac:dyDescent="0.3"/>
    <row r="24477" ht="14.4" x14ac:dyDescent="0.3"/>
    <row r="24478" ht="14.4" x14ac:dyDescent="0.3"/>
    <row r="24479" ht="14.4" x14ac:dyDescent="0.3"/>
    <row r="24480" ht="14.4" x14ac:dyDescent="0.3"/>
    <row r="24481" spans="1:43" ht="14.4" x14ac:dyDescent="0.3"/>
    <row r="24482" spans="1:43" ht="14.4" x14ac:dyDescent="0.3"/>
    <row r="24483" spans="1:43" ht="14.4" x14ac:dyDescent="0.3"/>
    <row r="24484" spans="1:43" ht="14.4" hidden="1" x14ac:dyDescent="0.3">
      <c r="A24484" t="s">
        <v>3503</v>
      </c>
      <c r="B24484">
        <v>4893256</v>
      </c>
      <c r="C24484" t="s">
        <v>842</v>
      </c>
      <c r="D24484" t="s">
        <v>843</v>
      </c>
      <c r="E24484" t="s">
        <v>864</v>
      </c>
      <c r="F24484" t="s">
        <v>959</v>
      </c>
      <c r="H24484" t="s">
        <v>3504</v>
      </c>
      <c r="J24484" t="s">
        <v>140</v>
      </c>
      <c r="K24484">
        <v>160997.48000000001</v>
      </c>
      <c r="L24484">
        <v>383307.26</v>
      </c>
      <c r="M24484">
        <v>1</v>
      </c>
      <c r="N24484" t="s">
        <v>1139</v>
      </c>
      <c r="O24484" t="s">
        <v>1020</v>
      </c>
      <c r="P24484" t="s">
        <v>475</v>
      </c>
      <c r="Q24484" t="s">
        <v>144</v>
      </c>
      <c r="S24484">
        <v>37</v>
      </c>
      <c r="T24484">
        <v>13210</v>
      </c>
      <c r="V24484" t="s">
        <v>146</v>
      </c>
      <c r="W24484" t="s">
        <v>415</v>
      </c>
      <c r="X24484" t="s">
        <v>7</v>
      </c>
      <c r="Y24484" t="s">
        <v>1140</v>
      </c>
      <c r="Z24484" t="s">
        <v>1020</v>
      </c>
      <c r="AA24484" t="s">
        <v>1141</v>
      </c>
      <c r="AB24484">
        <v>0</v>
      </c>
      <c r="AE24484" t="s">
        <v>1142</v>
      </c>
      <c r="AF24484" t="s">
        <v>1020</v>
      </c>
      <c r="AG24484" t="s">
        <v>1012</v>
      </c>
      <c r="AL24484" t="s">
        <v>3505</v>
      </c>
      <c r="AM24484" t="s">
        <v>3506</v>
      </c>
      <c r="AN24484" t="s">
        <v>3507</v>
      </c>
      <c r="AO24484" t="s">
        <v>1139</v>
      </c>
      <c r="AQ24484" t="str">
        <f>IF(ISBLANK(AP24484), IFERROR(IF(VLOOKUP(AO24484, Ellens_additions!$A$2:$B$252, 2, FALSE) = "", "", VLOOKUP(AO24484, Ellens_additions!$A$2:$B$252, 2, FALSE)), 0), AP24484)</f>
        <v/>
      </c>
    </row>
    <row r="24485" spans="1:43" ht="14.4" hidden="1" x14ac:dyDescent="0.3">
      <c r="A24485" t="s">
        <v>3508</v>
      </c>
      <c r="B24485">
        <v>4893259</v>
      </c>
      <c r="C24485" t="s">
        <v>842</v>
      </c>
      <c r="D24485" t="s">
        <v>843</v>
      </c>
      <c r="E24485" t="s">
        <v>864</v>
      </c>
      <c r="F24485" t="s">
        <v>959</v>
      </c>
      <c r="H24485" t="s">
        <v>3509</v>
      </c>
      <c r="J24485" t="s">
        <v>140</v>
      </c>
      <c r="K24485">
        <v>161008.82999999999</v>
      </c>
      <c r="L24485">
        <v>383325.06</v>
      </c>
      <c r="M24485">
        <v>1</v>
      </c>
      <c r="N24485" t="s">
        <v>1139</v>
      </c>
      <c r="O24485" t="s">
        <v>1020</v>
      </c>
      <c r="P24485" t="s">
        <v>475</v>
      </c>
      <c r="Q24485" t="s">
        <v>144</v>
      </c>
      <c r="S24485">
        <v>37</v>
      </c>
      <c r="T24485">
        <v>13210</v>
      </c>
      <c r="V24485" t="s">
        <v>146</v>
      </c>
      <c r="W24485" t="s">
        <v>415</v>
      </c>
      <c r="X24485" t="s">
        <v>7</v>
      </c>
      <c r="Y24485" t="s">
        <v>1140</v>
      </c>
      <c r="Z24485" t="s">
        <v>1020</v>
      </c>
      <c r="AA24485" t="s">
        <v>1141</v>
      </c>
      <c r="AB24485">
        <v>0</v>
      </c>
      <c r="AE24485" t="s">
        <v>1142</v>
      </c>
      <c r="AF24485" t="s">
        <v>1020</v>
      </c>
      <c r="AG24485" t="s">
        <v>1012</v>
      </c>
      <c r="AL24485" t="s">
        <v>3510</v>
      </c>
      <c r="AM24485" t="s">
        <v>3511</v>
      </c>
      <c r="AN24485" t="s">
        <v>3512</v>
      </c>
      <c r="AO24485" t="s">
        <v>1139</v>
      </c>
      <c r="AQ24485" t="str">
        <f>IF(ISBLANK(AP24485), IFERROR(IF(VLOOKUP(AO24485, Ellens_additions!$A$2:$B$252, 2, FALSE) = "", "", VLOOKUP(AO24485, Ellens_additions!$A$2:$B$252, 2, FALSE)), 0), AP24485)</f>
        <v/>
      </c>
    </row>
    <row r="24486" spans="1:43" ht="14.4" hidden="1" x14ac:dyDescent="0.3">
      <c r="A24486" t="s">
        <v>3513</v>
      </c>
      <c r="B24486">
        <v>4893260</v>
      </c>
      <c r="C24486" t="s">
        <v>842</v>
      </c>
      <c r="D24486" t="s">
        <v>843</v>
      </c>
      <c r="E24486" t="s">
        <v>864</v>
      </c>
      <c r="F24486" t="s">
        <v>959</v>
      </c>
      <c r="H24486" t="s">
        <v>3514</v>
      </c>
      <c r="J24486" t="s">
        <v>140</v>
      </c>
      <c r="K24486">
        <v>161015.82999999999</v>
      </c>
      <c r="L24486">
        <v>383322.81</v>
      </c>
      <c r="M24486">
        <v>1</v>
      </c>
      <c r="N24486" t="s">
        <v>1139</v>
      </c>
      <c r="O24486" t="s">
        <v>1020</v>
      </c>
      <c r="P24486" t="s">
        <v>475</v>
      </c>
      <c r="Q24486" t="s">
        <v>144</v>
      </c>
      <c r="S24486">
        <v>37</v>
      </c>
      <c r="T24486">
        <v>13210</v>
      </c>
      <c r="V24486" t="s">
        <v>146</v>
      </c>
      <c r="W24486" t="s">
        <v>415</v>
      </c>
      <c r="X24486" t="s">
        <v>7</v>
      </c>
      <c r="Y24486" t="s">
        <v>1140</v>
      </c>
      <c r="Z24486" t="s">
        <v>1020</v>
      </c>
      <c r="AA24486" t="s">
        <v>1141</v>
      </c>
      <c r="AB24486">
        <v>0</v>
      </c>
      <c r="AE24486" t="s">
        <v>1142</v>
      </c>
      <c r="AF24486" t="s">
        <v>1020</v>
      </c>
      <c r="AG24486" t="s">
        <v>1012</v>
      </c>
      <c r="AL24486" t="s">
        <v>3515</v>
      </c>
      <c r="AM24486" t="s">
        <v>3516</v>
      </c>
      <c r="AN24486" t="s">
        <v>3517</v>
      </c>
      <c r="AO24486" t="s">
        <v>1139</v>
      </c>
      <c r="AQ24486" t="str">
        <f>IF(ISBLANK(AP24486), IFERROR(IF(VLOOKUP(AO24486, Ellens_additions!$A$2:$B$252, 2, FALSE) = "", "", VLOOKUP(AO24486, Ellens_additions!$A$2:$B$252, 2, FALSE)), 0), AP24486)</f>
        <v/>
      </c>
    </row>
    <row r="24487" spans="1:43" ht="14.4" hidden="1" x14ac:dyDescent="0.3">
      <c r="A24487" t="s">
        <v>3518</v>
      </c>
      <c r="B24487">
        <v>4893264</v>
      </c>
      <c r="C24487" t="s">
        <v>842</v>
      </c>
      <c r="D24487" t="s">
        <v>843</v>
      </c>
      <c r="E24487" t="s">
        <v>864</v>
      </c>
      <c r="F24487" t="s">
        <v>959</v>
      </c>
      <c r="H24487" t="s">
        <v>3519</v>
      </c>
      <c r="J24487" t="s">
        <v>140</v>
      </c>
      <c r="K24487">
        <v>161043.35</v>
      </c>
      <c r="L24487">
        <v>383313.95</v>
      </c>
      <c r="M24487">
        <v>1</v>
      </c>
      <c r="N24487" t="s">
        <v>1139</v>
      </c>
      <c r="O24487" t="s">
        <v>1020</v>
      </c>
      <c r="P24487" t="s">
        <v>475</v>
      </c>
      <c r="Q24487" t="s">
        <v>144</v>
      </c>
      <c r="S24487">
        <v>37</v>
      </c>
      <c r="T24487">
        <v>13210</v>
      </c>
      <c r="V24487" t="s">
        <v>146</v>
      </c>
      <c r="W24487" t="s">
        <v>415</v>
      </c>
      <c r="X24487" t="s">
        <v>7</v>
      </c>
      <c r="Y24487" t="s">
        <v>1140</v>
      </c>
      <c r="Z24487" t="s">
        <v>1020</v>
      </c>
      <c r="AA24487" t="s">
        <v>1141</v>
      </c>
      <c r="AB24487">
        <v>0</v>
      </c>
      <c r="AE24487" t="s">
        <v>1142</v>
      </c>
      <c r="AF24487" t="s">
        <v>1020</v>
      </c>
      <c r="AG24487" t="s">
        <v>1012</v>
      </c>
      <c r="AL24487" t="s">
        <v>3520</v>
      </c>
      <c r="AM24487" t="s">
        <v>3521</v>
      </c>
      <c r="AN24487" t="s">
        <v>3522</v>
      </c>
      <c r="AO24487" t="s">
        <v>1139</v>
      </c>
      <c r="AQ24487" t="str">
        <f>IF(ISBLANK(AP24487), IFERROR(IF(VLOOKUP(AO24487, Ellens_additions!$A$2:$B$252, 2, FALSE) = "", "", VLOOKUP(AO24487, Ellens_additions!$A$2:$B$252, 2, FALSE)), 0), AP24487)</f>
        <v/>
      </c>
    </row>
    <row r="24488" spans="1:43" ht="14.4" hidden="1" x14ac:dyDescent="0.3">
      <c r="A24488" t="s">
        <v>3523</v>
      </c>
      <c r="B24488">
        <v>4893268</v>
      </c>
      <c r="C24488" t="s">
        <v>842</v>
      </c>
      <c r="D24488" t="s">
        <v>843</v>
      </c>
      <c r="E24488" t="s">
        <v>864</v>
      </c>
      <c r="F24488" t="s">
        <v>959</v>
      </c>
      <c r="H24488" t="s">
        <v>3524</v>
      </c>
      <c r="J24488" t="s">
        <v>140</v>
      </c>
      <c r="K24488">
        <v>161067.68</v>
      </c>
      <c r="L24488">
        <v>383306.13</v>
      </c>
      <c r="M24488">
        <v>1</v>
      </c>
      <c r="N24488" t="s">
        <v>1139</v>
      </c>
      <c r="O24488" t="s">
        <v>1020</v>
      </c>
      <c r="P24488" t="s">
        <v>475</v>
      </c>
      <c r="Q24488" t="s">
        <v>144</v>
      </c>
      <c r="S24488">
        <v>37</v>
      </c>
      <c r="T24488">
        <v>13210</v>
      </c>
      <c r="V24488" t="s">
        <v>146</v>
      </c>
      <c r="W24488" t="s">
        <v>415</v>
      </c>
      <c r="X24488" t="s">
        <v>7</v>
      </c>
      <c r="Y24488" t="s">
        <v>1140</v>
      </c>
      <c r="Z24488" t="s">
        <v>1020</v>
      </c>
      <c r="AA24488" t="s">
        <v>1141</v>
      </c>
      <c r="AB24488">
        <v>0</v>
      </c>
      <c r="AE24488" t="s">
        <v>1142</v>
      </c>
      <c r="AF24488" t="s">
        <v>1020</v>
      </c>
      <c r="AG24488" t="s">
        <v>1012</v>
      </c>
      <c r="AL24488" t="s">
        <v>3525</v>
      </c>
      <c r="AM24488" t="s">
        <v>3526</v>
      </c>
      <c r="AN24488" t="s">
        <v>3527</v>
      </c>
      <c r="AO24488" t="s">
        <v>1139</v>
      </c>
      <c r="AQ24488" t="str">
        <f>IF(ISBLANK(AP24488), IFERROR(IF(VLOOKUP(AO24488, Ellens_additions!$A$2:$B$252, 2, FALSE) = "", "", VLOOKUP(AO24488, Ellens_additions!$A$2:$B$252, 2, FALSE)), 0), AP24488)</f>
        <v/>
      </c>
    </row>
    <row r="24489" spans="1:43" ht="14.4" hidden="1" x14ac:dyDescent="0.3">
      <c r="A24489" t="s">
        <v>3528</v>
      </c>
      <c r="B24489">
        <v>4893276</v>
      </c>
      <c r="C24489" t="s">
        <v>842</v>
      </c>
      <c r="D24489" t="s">
        <v>843</v>
      </c>
      <c r="E24489" t="s">
        <v>864</v>
      </c>
      <c r="F24489" t="s">
        <v>1173</v>
      </c>
      <c r="H24489" t="s">
        <v>3529</v>
      </c>
      <c r="J24489" t="s">
        <v>140</v>
      </c>
      <c r="K24489">
        <v>161083.98000000001</v>
      </c>
      <c r="L24489">
        <v>383354.35</v>
      </c>
      <c r="M24489">
        <v>1</v>
      </c>
      <c r="N24489" t="s">
        <v>1139</v>
      </c>
      <c r="O24489" t="s">
        <v>1020</v>
      </c>
      <c r="P24489" t="s">
        <v>475</v>
      </c>
      <c r="Q24489" t="s">
        <v>144</v>
      </c>
      <c r="S24489">
        <v>37</v>
      </c>
      <c r="T24489">
        <v>13210</v>
      </c>
      <c r="V24489" t="s">
        <v>146</v>
      </c>
      <c r="W24489" t="s">
        <v>415</v>
      </c>
      <c r="X24489" t="s">
        <v>7</v>
      </c>
      <c r="Y24489" t="s">
        <v>1140</v>
      </c>
      <c r="Z24489" t="s">
        <v>1020</v>
      </c>
      <c r="AA24489" t="s">
        <v>1141</v>
      </c>
      <c r="AB24489">
        <v>0</v>
      </c>
      <c r="AE24489" t="s">
        <v>1142</v>
      </c>
      <c r="AF24489" t="s">
        <v>1020</v>
      </c>
      <c r="AG24489" t="s">
        <v>1012</v>
      </c>
      <c r="AL24489" t="s">
        <v>3530</v>
      </c>
      <c r="AM24489" t="s">
        <v>3531</v>
      </c>
      <c r="AN24489" t="s">
        <v>3532</v>
      </c>
      <c r="AO24489" t="s">
        <v>1139</v>
      </c>
      <c r="AQ24489" t="str">
        <f>IF(ISBLANK(AP24489), IFERROR(IF(VLOOKUP(AO24489, Ellens_additions!$A$2:$B$252, 2, FALSE) = "", "", VLOOKUP(AO24489, Ellens_additions!$A$2:$B$252, 2, FALSE)), 0), AP24489)</f>
        <v/>
      </c>
    </row>
    <row r="24490" spans="1:43" ht="14.4" hidden="1" x14ac:dyDescent="0.3">
      <c r="A24490" t="s">
        <v>3533</v>
      </c>
      <c r="B24490">
        <v>4893277</v>
      </c>
      <c r="C24490" t="s">
        <v>842</v>
      </c>
      <c r="D24490" t="s">
        <v>843</v>
      </c>
      <c r="E24490" t="s">
        <v>864</v>
      </c>
      <c r="F24490" t="s">
        <v>1173</v>
      </c>
      <c r="H24490" t="s">
        <v>3534</v>
      </c>
      <c r="J24490" t="s">
        <v>140</v>
      </c>
      <c r="K24490">
        <v>161086.56</v>
      </c>
      <c r="L24490">
        <v>383361.18</v>
      </c>
      <c r="M24490">
        <v>1</v>
      </c>
      <c r="N24490" t="s">
        <v>1139</v>
      </c>
      <c r="O24490" t="s">
        <v>1020</v>
      </c>
      <c r="P24490" t="s">
        <v>475</v>
      </c>
      <c r="Q24490" t="s">
        <v>144</v>
      </c>
      <c r="S24490">
        <v>37</v>
      </c>
      <c r="T24490">
        <v>13210</v>
      </c>
      <c r="V24490" t="s">
        <v>146</v>
      </c>
      <c r="W24490" t="s">
        <v>415</v>
      </c>
      <c r="X24490" t="s">
        <v>7</v>
      </c>
      <c r="Y24490" t="s">
        <v>1140</v>
      </c>
      <c r="Z24490" t="s">
        <v>1020</v>
      </c>
      <c r="AA24490" t="s">
        <v>1141</v>
      </c>
      <c r="AB24490">
        <v>0</v>
      </c>
      <c r="AE24490" t="s">
        <v>1142</v>
      </c>
      <c r="AF24490" t="s">
        <v>1020</v>
      </c>
      <c r="AG24490" t="s">
        <v>1012</v>
      </c>
      <c r="AL24490" t="s">
        <v>3535</v>
      </c>
      <c r="AM24490" t="s">
        <v>3536</v>
      </c>
      <c r="AN24490" t="s">
        <v>3537</v>
      </c>
      <c r="AO24490" t="s">
        <v>1139</v>
      </c>
      <c r="AQ24490" t="str">
        <f>IF(ISBLANK(AP24490), IFERROR(IF(VLOOKUP(AO24490, Ellens_additions!$A$2:$B$252, 2, FALSE) = "", "", VLOOKUP(AO24490, Ellens_additions!$A$2:$B$252, 2, FALSE)), 0), AP24490)</f>
        <v/>
      </c>
    </row>
    <row r="24491" spans="1:43" ht="14.4" hidden="1" x14ac:dyDescent="0.3">
      <c r="A24491" t="s">
        <v>3538</v>
      </c>
      <c r="B24491">
        <v>4893278</v>
      </c>
      <c r="C24491" t="s">
        <v>842</v>
      </c>
      <c r="D24491" t="s">
        <v>843</v>
      </c>
      <c r="E24491" t="s">
        <v>864</v>
      </c>
      <c r="F24491" t="s">
        <v>1173</v>
      </c>
      <c r="H24491" t="s">
        <v>3539</v>
      </c>
      <c r="J24491" t="s">
        <v>140</v>
      </c>
      <c r="K24491">
        <v>161088.76</v>
      </c>
      <c r="L24491">
        <v>383368.05</v>
      </c>
      <c r="M24491">
        <v>1</v>
      </c>
      <c r="N24491" t="s">
        <v>1139</v>
      </c>
      <c r="O24491" t="s">
        <v>1020</v>
      </c>
      <c r="P24491" t="s">
        <v>475</v>
      </c>
      <c r="Q24491" t="s">
        <v>144</v>
      </c>
      <c r="S24491">
        <v>37</v>
      </c>
      <c r="T24491">
        <v>13210</v>
      </c>
      <c r="V24491" t="s">
        <v>146</v>
      </c>
      <c r="W24491" t="s">
        <v>415</v>
      </c>
      <c r="X24491" t="s">
        <v>7</v>
      </c>
      <c r="Y24491" t="s">
        <v>1140</v>
      </c>
      <c r="Z24491" t="s">
        <v>1020</v>
      </c>
      <c r="AA24491" t="s">
        <v>1141</v>
      </c>
      <c r="AB24491">
        <v>0</v>
      </c>
      <c r="AE24491" t="s">
        <v>1142</v>
      </c>
      <c r="AF24491" t="s">
        <v>1020</v>
      </c>
      <c r="AG24491" t="s">
        <v>1012</v>
      </c>
      <c r="AL24491" t="s">
        <v>3540</v>
      </c>
      <c r="AM24491" t="s">
        <v>3541</v>
      </c>
      <c r="AN24491" t="s">
        <v>3542</v>
      </c>
      <c r="AO24491" t="s">
        <v>1139</v>
      </c>
      <c r="AQ24491" t="str">
        <f>IF(ISBLANK(AP24491), IFERROR(IF(VLOOKUP(AO24491, Ellens_additions!$A$2:$B$252, 2, FALSE) = "", "", VLOOKUP(AO24491, Ellens_additions!$A$2:$B$252, 2, FALSE)), 0), AP24491)</f>
        <v/>
      </c>
    </row>
    <row r="24492" spans="1:43" ht="14.4" hidden="1" x14ac:dyDescent="0.3">
      <c r="A24492" t="s">
        <v>3543</v>
      </c>
      <c r="B24492">
        <v>4893280</v>
      </c>
      <c r="C24492" t="s">
        <v>842</v>
      </c>
      <c r="D24492" t="s">
        <v>843</v>
      </c>
      <c r="E24492" t="s">
        <v>864</v>
      </c>
      <c r="F24492" t="s">
        <v>1173</v>
      </c>
      <c r="H24492" t="s">
        <v>3544</v>
      </c>
      <c r="J24492" t="s">
        <v>140</v>
      </c>
      <c r="K24492">
        <v>161093.16</v>
      </c>
      <c r="L24492">
        <v>383381.77</v>
      </c>
      <c r="M24492">
        <v>1</v>
      </c>
      <c r="N24492" t="s">
        <v>1139</v>
      </c>
      <c r="O24492" t="s">
        <v>1020</v>
      </c>
      <c r="P24492" t="s">
        <v>475</v>
      </c>
      <c r="Q24492" t="s">
        <v>144</v>
      </c>
      <c r="S24492">
        <v>37</v>
      </c>
      <c r="T24492">
        <v>13210</v>
      </c>
      <c r="V24492" t="s">
        <v>146</v>
      </c>
      <c r="W24492" t="s">
        <v>415</v>
      </c>
      <c r="X24492" t="s">
        <v>7</v>
      </c>
      <c r="Y24492" t="s">
        <v>1140</v>
      </c>
      <c r="Z24492" t="s">
        <v>1020</v>
      </c>
      <c r="AA24492" t="s">
        <v>1141</v>
      </c>
      <c r="AB24492">
        <v>0</v>
      </c>
      <c r="AE24492" t="s">
        <v>1142</v>
      </c>
      <c r="AF24492" t="s">
        <v>1020</v>
      </c>
      <c r="AG24492" t="s">
        <v>1012</v>
      </c>
      <c r="AL24492" t="s">
        <v>3545</v>
      </c>
      <c r="AM24492" t="s">
        <v>3546</v>
      </c>
      <c r="AN24492" t="s">
        <v>3547</v>
      </c>
      <c r="AO24492" t="s">
        <v>1139</v>
      </c>
      <c r="AQ24492" t="str">
        <f>IF(ISBLANK(AP24492), IFERROR(IF(VLOOKUP(AO24492, Ellens_additions!$A$2:$B$252, 2, FALSE) = "", "", VLOOKUP(AO24492, Ellens_additions!$A$2:$B$252, 2, FALSE)), 0), AP24492)</f>
        <v/>
      </c>
    </row>
    <row r="24493" spans="1:43" ht="14.4" hidden="1" x14ac:dyDescent="0.3">
      <c r="A24493" t="s">
        <v>3548</v>
      </c>
      <c r="B24493">
        <v>4893282</v>
      </c>
      <c r="C24493" t="s">
        <v>842</v>
      </c>
      <c r="D24493" t="s">
        <v>843</v>
      </c>
      <c r="E24493" t="s">
        <v>864</v>
      </c>
      <c r="F24493" t="s">
        <v>1173</v>
      </c>
      <c r="H24493" t="s">
        <v>3549</v>
      </c>
      <c r="J24493" t="s">
        <v>140</v>
      </c>
      <c r="K24493">
        <v>161097.53</v>
      </c>
      <c r="L24493">
        <v>383395.51</v>
      </c>
      <c r="M24493">
        <v>1</v>
      </c>
      <c r="N24493" t="s">
        <v>1139</v>
      </c>
      <c r="O24493" t="s">
        <v>1020</v>
      </c>
      <c r="P24493" t="s">
        <v>475</v>
      </c>
      <c r="Q24493" t="s">
        <v>144</v>
      </c>
      <c r="S24493">
        <v>37</v>
      </c>
      <c r="T24493">
        <v>13210</v>
      </c>
      <c r="V24493" t="s">
        <v>146</v>
      </c>
      <c r="W24493" t="s">
        <v>415</v>
      </c>
      <c r="X24493" t="s">
        <v>7</v>
      </c>
      <c r="Y24493" t="s">
        <v>1140</v>
      </c>
      <c r="Z24493" t="s">
        <v>1020</v>
      </c>
      <c r="AA24493" t="s">
        <v>1141</v>
      </c>
      <c r="AB24493">
        <v>0</v>
      </c>
      <c r="AE24493" t="s">
        <v>1142</v>
      </c>
      <c r="AF24493" t="s">
        <v>1020</v>
      </c>
      <c r="AG24493" t="s">
        <v>1012</v>
      </c>
      <c r="AL24493" t="s">
        <v>3550</v>
      </c>
      <c r="AM24493" t="s">
        <v>3551</v>
      </c>
      <c r="AN24493" t="s">
        <v>3552</v>
      </c>
      <c r="AO24493" t="s">
        <v>1139</v>
      </c>
      <c r="AQ24493" t="str">
        <f>IF(ISBLANK(AP24493), IFERROR(IF(VLOOKUP(AO24493, Ellens_additions!$A$2:$B$252, 2, FALSE) = "", "", VLOOKUP(AO24493, Ellens_additions!$A$2:$B$252, 2, FALSE)), 0), AP24493)</f>
        <v/>
      </c>
    </row>
    <row r="24494" spans="1:43" ht="14.4" hidden="1" x14ac:dyDescent="0.3">
      <c r="A24494" t="s">
        <v>3553</v>
      </c>
      <c r="B24494">
        <v>4893285</v>
      </c>
      <c r="C24494" t="s">
        <v>842</v>
      </c>
      <c r="D24494" t="s">
        <v>843</v>
      </c>
      <c r="E24494" t="s">
        <v>864</v>
      </c>
      <c r="F24494" t="s">
        <v>1173</v>
      </c>
      <c r="H24494" t="s">
        <v>3554</v>
      </c>
      <c r="J24494" t="s">
        <v>140</v>
      </c>
      <c r="K24494">
        <v>161104.1</v>
      </c>
      <c r="L24494">
        <v>383416.06</v>
      </c>
      <c r="M24494">
        <v>1</v>
      </c>
      <c r="N24494" t="s">
        <v>1139</v>
      </c>
      <c r="O24494" t="s">
        <v>1020</v>
      </c>
      <c r="P24494" t="s">
        <v>475</v>
      </c>
      <c r="Q24494" t="s">
        <v>144</v>
      </c>
      <c r="S24494">
        <v>37</v>
      </c>
      <c r="T24494">
        <v>13210</v>
      </c>
      <c r="V24494" t="s">
        <v>146</v>
      </c>
      <c r="W24494" t="s">
        <v>415</v>
      </c>
      <c r="X24494" t="s">
        <v>7</v>
      </c>
      <c r="Y24494" t="s">
        <v>1140</v>
      </c>
      <c r="Z24494" t="s">
        <v>1020</v>
      </c>
      <c r="AA24494" t="s">
        <v>1141</v>
      </c>
      <c r="AB24494">
        <v>0</v>
      </c>
      <c r="AE24494" t="s">
        <v>1142</v>
      </c>
      <c r="AF24494" t="s">
        <v>1020</v>
      </c>
      <c r="AG24494" t="s">
        <v>1012</v>
      </c>
      <c r="AL24494" t="s">
        <v>3555</v>
      </c>
      <c r="AM24494" t="s">
        <v>3556</v>
      </c>
      <c r="AN24494" t="s">
        <v>3557</v>
      </c>
      <c r="AO24494" t="s">
        <v>1139</v>
      </c>
      <c r="AQ24494" t="str">
        <f>IF(ISBLANK(AP24494), IFERROR(IF(VLOOKUP(AO24494, Ellens_additions!$A$2:$B$252, 2, FALSE) = "", "", VLOOKUP(AO24494, Ellens_additions!$A$2:$B$252, 2, FALSE)), 0), AP24494)</f>
        <v/>
      </c>
    </row>
    <row r="24495" spans="1:43" ht="14.4" x14ac:dyDescent="0.3"/>
    <row r="24496" spans="1:43" ht="14.4" x14ac:dyDescent="0.3"/>
    <row r="24497" ht="14.4" x14ac:dyDescent="0.3"/>
    <row r="24498" ht="14.4" x14ac:dyDescent="0.3"/>
    <row r="24499" ht="14.4" x14ac:dyDescent="0.3"/>
    <row r="24500" ht="14.4" x14ac:dyDescent="0.3"/>
    <row r="24501" ht="14.4" x14ac:dyDescent="0.3"/>
    <row r="24502" ht="14.4" x14ac:dyDescent="0.3"/>
    <row r="24503" ht="14.4" x14ac:dyDescent="0.3"/>
    <row r="24504" ht="14.4" x14ac:dyDescent="0.3"/>
    <row r="24505" ht="14.4" x14ac:dyDescent="0.3"/>
    <row r="24506" ht="14.4" x14ac:dyDescent="0.3"/>
    <row r="24507" ht="14.4" x14ac:dyDescent="0.3"/>
    <row r="24508" ht="14.4" x14ac:dyDescent="0.3"/>
    <row r="24509" ht="14.4" x14ac:dyDescent="0.3"/>
    <row r="24510" ht="14.4" x14ac:dyDescent="0.3"/>
    <row r="24511" ht="14.4" x14ac:dyDescent="0.3"/>
    <row r="24512" ht="14.4" x14ac:dyDescent="0.3"/>
    <row r="24513" ht="14.4" x14ac:dyDescent="0.3"/>
    <row r="24514" ht="14.4" x14ac:dyDescent="0.3"/>
    <row r="24515" ht="14.4" x14ac:dyDescent="0.3"/>
    <row r="24516" ht="14.4" x14ac:dyDescent="0.3"/>
    <row r="24517" ht="14.4" x14ac:dyDescent="0.3"/>
    <row r="24518" ht="14.4" x14ac:dyDescent="0.3"/>
    <row r="24519" ht="14.4" x14ac:dyDescent="0.3"/>
    <row r="24520" ht="14.4" x14ac:dyDescent="0.3"/>
    <row r="24521" ht="14.4" x14ac:dyDescent="0.3"/>
    <row r="24522" ht="14.4" x14ac:dyDescent="0.3"/>
    <row r="24523" ht="14.4" x14ac:dyDescent="0.3"/>
    <row r="24524" ht="14.4" x14ac:dyDescent="0.3"/>
    <row r="24525" ht="14.4" x14ac:dyDescent="0.3"/>
    <row r="24526" ht="14.4" x14ac:dyDescent="0.3"/>
    <row r="24527" ht="14.4" x14ac:dyDescent="0.3"/>
    <row r="24528" ht="14.4" x14ac:dyDescent="0.3"/>
    <row r="24529" ht="14.4" x14ac:dyDescent="0.3"/>
    <row r="24530" ht="14.4" x14ac:dyDescent="0.3"/>
    <row r="24531" ht="14.4" x14ac:dyDescent="0.3"/>
    <row r="24532" ht="14.4" x14ac:dyDescent="0.3"/>
    <row r="24533" ht="14.4" x14ac:dyDescent="0.3"/>
    <row r="24534" ht="14.4" x14ac:dyDescent="0.3"/>
    <row r="24535" ht="14.4" x14ac:dyDescent="0.3"/>
    <row r="24536" ht="14.4" x14ac:dyDescent="0.3"/>
    <row r="24537" ht="14.4" x14ac:dyDescent="0.3"/>
    <row r="24538" ht="14.4" x14ac:dyDescent="0.3"/>
    <row r="24539" ht="14.4" x14ac:dyDescent="0.3"/>
    <row r="24540" ht="14.4" x14ac:dyDescent="0.3"/>
    <row r="24541" ht="14.4" x14ac:dyDescent="0.3"/>
    <row r="24542" ht="14.4" x14ac:dyDescent="0.3"/>
    <row r="24543" ht="14.4" x14ac:dyDescent="0.3"/>
    <row r="24544" ht="14.4" x14ac:dyDescent="0.3"/>
    <row r="24545" ht="14.4" x14ac:dyDescent="0.3"/>
    <row r="24546" ht="14.4" x14ac:dyDescent="0.3"/>
    <row r="24547" ht="14.4" x14ac:dyDescent="0.3"/>
    <row r="24548" ht="14.4" x14ac:dyDescent="0.3"/>
    <row r="24549" ht="14.4" x14ac:dyDescent="0.3"/>
    <row r="24550" ht="14.4" x14ac:dyDescent="0.3"/>
    <row r="24551" ht="14.4" x14ac:dyDescent="0.3"/>
    <row r="24552" ht="14.4" x14ac:dyDescent="0.3"/>
    <row r="24553" ht="14.4" x14ac:dyDescent="0.3"/>
    <row r="24554" ht="14.4" x14ac:dyDescent="0.3"/>
    <row r="24555" ht="14.4" x14ac:dyDescent="0.3"/>
    <row r="24556" ht="14.4" x14ac:dyDescent="0.3"/>
    <row r="24557" ht="14.4" x14ac:dyDescent="0.3"/>
    <row r="24558" ht="14.4" x14ac:dyDescent="0.3"/>
    <row r="24559" ht="14.4" x14ac:dyDescent="0.3"/>
    <row r="24560" ht="14.4" x14ac:dyDescent="0.3"/>
    <row r="24561" ht="14.4" x14ac:dyDescent="0.3"/>
    <row r="24562" ht="14.4" x14ac:dyDescent="0.3"/>
    <row r="24563" ht="14.4" x14ac:dyDescent="0.3"/>
    <row r="24564" ht="14.4" x14ac:dyDescent="0.3"/>
    <row r="24565" ht="14.4" x14ac:dyDescent="0.3"/>
    <row r="24566" ht="14.4" x14ac:dyDescent="0.3"/>
    <row r="24567" ht="14.4" x14ac:dyDescent="0.3"/>
    <row r="24568" ht="14.4" x14ac:dyDescent="0.3"/>
    <row r="24569" ht="14.4" x14ac:dyDescent="0.3"/>
    <row r="24570" ht="14.4" x14ac:dyDescent="0.3"/>
    <row r="24571" ht="14.4" x14ac:dyDescent="0.3"/>
    <row r="24572" ht="14.4" x14ac:dyDescent="0.3"/>
    <row r="24573" ht="14.4" x14ac:dyDescent="0.3"/>
    <row r="24574" ht="14.4" x14ac:dyDescent="0.3"/>
    <row r="24575" ht="14.4" x14ac:dyDescent="0.3"/>
    <row r="24576" ht="14.4" x14ac:dyDescent="0.3"/>
    <row r="24577" ht="14.4" x14ac:dyDescent="0.3"/>
    <row r="24578" ht="14.4" x14ac:dyDescent="0.3"/>
    <row r="24579" ht="14.4" x14ac:dyDescent="0.3"/>
    <row r="24580" ht="14.4" x14ac:dyDescent="0.3"/>
    <row r="24581" ht="14.4" x14ac:dyDescent="0.3"/>
    <row r="24582" ht="14.4" x14ac:dyDescent="0.3"/>
    <row r="24583" ht="14.4" x14ac:dyDescent="0.3"/>
    <row r="24584" ht="14.4" x14ac:dyDescent="0.3"/>
    <row r="24585" ht="14.4" x14ac:dyDescent="0.3"/>
    <row r="24586" ht="14.4" x14ac:dyDescent="0.3"/>
    <row r="24587" ht="14.4" x14ac:dyDescent="0.3"/>
    <row r="24588" ht="14.4" x14ac:dyDescent="0.3"/>
    <row r="24589" ht="14.4" x14ac:dyDescent="0.3"/>
    <row r="24590" ht="14.4" x14ac:dyDescent="0.3"/>
    <row r="24591" ht="14.4" x14ac:dyDescent="0.3"/>
    <row r="24592" ht="14.4" x14ac:dyDescent="0.3"/>
    <row r="24593" ht="14.4" x14ac:dyDescent="0.3"/>
    <row r="24594" ht="14.4" x14ac:dyDescent="0.3"/>
    <row r="24595" ht="14.4" x14ac:dyDescent="0.3"/>
    <row r="24596" ht="14.4" x14ac:dyDescent="0.3"/>
    <row r="24597" ht="14.4" x14ac:dyDescent="0.3"/>
    <row r="24598" ht="14.4" x14ac:dyDescent="0.3"/>
    <row r="24599" ht="14.4" x14ac:dyDescent="0.3"/>
    <row r="24600" ht="14.4" x14ac:dyDescent="0.3"/>
    <row r="24601" ht="14.4" x14ac:dyDescent="0.3"/>
    <row r="24602" ht="14.4" x14ac:dyDescent="0.3"/>
    <row r="24603" ht="14.4" x14ac:dyDescent="0.3"/>
    <row r="24604" ht="14.4" x14ac:dyDescent="0.3"/>
    <row r="24605" ht="14.4" x14ac:dyDescent="0.3"/>
    <row r="24606" ht="14.4" x14ac:dyDescent="0.3"/>
    <row r="24607" ht="14.4" x14ac:dyDescent="0.3"/>
    <row r="24608" ht="14.4" x14ac:dyDescent="0.3"/>
    <row r="24609" ht="14.4" x14ac:dyDescent="0.3"/>
    <row r="24610" ht="14.4" x14ac:dyDescent="0.3"/>
    <row r="24611" ht="14.4" x14ac:dyDescent="0.3"/>
    <row r="24612" ht="14.4" x14ac:dyDescent="0.3"/>
    <row r="24613" ht="14.4" x14ac:dyDescent="0.3"/>
    <row r="24614" ht="14.4" x14ac:dyDescent="0.3"/>
    <row r="24615" ht="14.4" x14ac:dyDescent="0.3"/>
    <row r="24616" ht="14.4" x14ac:dyDescent="0.3"/>
    <row r="24617" ht="14.4" x14ac:dyDescent="0.3"/>
    <row r="24618" ht="14.4" x14ac:dyDescent="0.3"/>
    <row r="24619" ht="14.4" x14ac:dyDescent="0.3"/>
    <row r="24620" ht="14.4" x14ac:dyDescent="0.3"/>
    <row r="24621" ht="14.4" x14ac:dyDescent="0.3"/>
    <row r="24622" ht="14.4" x14ac:dyDescent="0.3"/>
    <row r="24623" ht="14.4" x14ac:dyDescent="0.3"/>
    <row r="24624" ht="14.4" x14ac:dyDescent="0.3"/>
    <row r="24625" ht="14.4" x14ac:dyDescent="0.3"/>
    <row r="24626" ht="14.4" x14ac:dyDescent="0.3"/>
    <row r="24627" ht="14.4" x14ac:dyDescent="0.3"/>
    <row r="24628" ht="14.4" x14ac:dyDescent="0.3"/>
    <row r="24629" ht="14.4" x14ac:dyDescent="0.3"/>
    <row r="24630" ht="14.4" x14ac:dyDescent="0.3"/>
    <row r="24631" ht="14.4" x14ac:dyDescent="0.3"/>
    <row r="24632" ht="14.4" x14ac:dyDescent="0.3"/>
    <row r="24633" ht="14.4" x14ac:dyDescent="0.3"/>
    <row r="24634" ht="14.4" x14ac:dyDescent="0.3"/>
    <row r="24635" ht="14.4" x14ac:dyDescent="0.3"/>
    <row r="24636" ht="14.4" x14ac:dyDescent="0.3"/>
    <row r="24637" ht="14.4" x14ac:dyDescent="0.3"/>
    <row r="24638" ht="14.4" x14ac:dyDescent="0.3"/>
    <row r="24639" ht="14.4" x14ac:dyDescent="0.3"/>
    <row r="24640" ht="14.4" x14ac:dyDescent="0.3"/>
    <row r="24641" ht="14.4" x14ac:dyDescent="0.3"/>
    <row r="24642" ht="14.4" x14ac:dyDescent="0.3"/>
    <row r="24643" ht="14.4" x14ac:dyDescent="0.3"/>
    <row r="24644" ht="14.4" x14ac:dyDescent="0.3"/>
    <row r="24645" ht="14.4" x14ac:dyDescent="0.3"/>
    <row r="24646" ht="14.4" x14ac:dyDescent="0.3"/>
    <row r="24647" ht="14.4" x14ac:dyDescent="0.3"/>
    <row r="24648" ht="14.4" x14ac:dyDescent="0.3"/>
    <row r="24649" ht="14.4" x14ac:dyDescent="0.3"/>
    <row r="24650" ht="14.4" x14ac:dyDescent="0.3"/>
    <row r="24651" ht="14.4" x14ac:dyDescent="0.3"/>
    <row r="24652" ht="14.4" x14ac:dyDescent="0.3"/>
    <row r="24653" ht="14.4" x14ac:dyDescent="0.3"/>
    <row r="24654" ht="14.4" x14ac:dyDescent="0.3"/>
    <row r="24655" ht="14.4" x14ac:dyDescent="0.3"/>
    <row r="24656" ht="14.4" x14ac:dyDescent="0.3"/>
    <row r="24657" ht="14.4" x14ac:dyDescent="0.3"/>
    <row r="24658" ht="14.4" x14ac:dyDescent="0.3"/>
    <row r="24659" ht="14.4" x14ac:dyDescent="0.3"/>
    <row r="24660" ht="14.4" x14ac:dyDescent="0.3"/>
    <row r="24661" ht="14.4" x14ac:dyDescent="0.3"/>
    <row r="24662" ht="14.4" x14ac:dyDescent="0.3"/>
    <row r="24663" ht="14.4" x14ac:dyDescent="0.3"/>
    <row r="24664" ht="14.4" x14ac:dyDescent="0.3"/>
    <row r="24665" ht="14.4" x14ac:dyDescent="0.3"/>
    <row r="24666" ht="14.4" x14ac:dyDescent="0.3"/>
    <row r="24667" ht="14.4" x14ac:dyDescent="0.3"/>
    <row r="24668" ht="14.4" x14ac:dyDescent="0.3"/>
    <row r="24669" ht="14.4" x14ac:dyDescent="0.3"/>
    <row r="24670" ht="14.4" x14ac:dyDescent="0.3"/>
    <row r="24671" ht="14.4" x14ac:dyDescent="0.3"/>
    <row r="24672" ht="14.4" x14ac:dyDescent="0.3"/>
    <row r="24673" ht="14.4" x14ac:dyDescent="0.3"/>
    <row r="24674" ht="14.4" x14ac:dyDescent="0.3"/>
    <row r="24675" ht="14.4" x14ac:dyDescent="0.3"/>
    <row r="24676" ht="14.4" x14ac:dyDescent="0.3"/>
    <row r="24677" ht="14.4" x14ac:dyDescent="0.3"/>
    <row r="24678" ht="14.4" x14ac:dyDescent="0.3"/>
    <row r="24679" ht="14.4" x14ac:dyDescent="0.3"/>
    <row r="24680" ht="14.4" x14ac:dyDescent="0.3"/>
    <row r="24681" ht="14.4" x14ac:dyDescent="0.3"/>
    <row r="24682" ht="14.4" x14ac:dyDescent="0.3"/>
    <row r="24683" ht="14.4" x14ac:dyDescent="0.3"/>
    <row r="24684" ht="14.4" x14ac:dyDescent="0.3"/>
    <row r="24685" ht="14.4" x14ac:dyDescent="0.3"/>
    <row r="24686" ht="14.4" x14ac:dyDescent="0.3"/>
    <row r="24687" ht="14.4" x14ac:dyDescent="0.3"/>
    <row r="24688" ht="14.4" x14ac:dyDescent="0.3"/>
    <row r="24689" ht="14.4" x14ac:dyDescent="0.3"/>
    <row r="24690" ht="14.4" x14ac:dyDescent="0.3"/>
    <row r="24691" ht="14.4" x14ac:dyDescent="0.3"/>
    <row r="24692" ht="14.4" x14ac:dyDescent="0.3"/>
    <row r="24693" ht="14.4" x14ac:dyDescent="0.3"/>
    <row r="24694" ht="14.4" x14ac:dyDescent="0.3"/>
    <row r="24695" ht="14.4" x14ac:dyDescent="0.3"/>
    <row r="24696" ht="14.4" x14ac:dyDescent="0.3"/>
    <row r="24697" ht="14.4" x14ac:dyDescent="0.3"/>
    <row r="24698" ht="14.4" x14ac:dyDescent="0.3"/>
    <row r="24699" ht="14.4" x14ac:dyDescent="0.3"/>
    <row r="24700" ht="14.4" x14ac:dyDescent="0.3"/>
    <row r="24701" ht="14.4" x14ac:dyDescent="0.3"/>
    <row r="24702" ht="14.4" x14ac:dyDescent="0.3"/>
    <row r="24703" ht="14.4" x14ac:dyDescent="0.3"/>
    <row r="24704" ht="14.4" x14ac:dyDescent="0.3"/>
    <row r="24705" ht="14.4" x14ac:dyDescent="0.3"/>
    <row r="24706" ht="14.4" x14ac:dyDescent="0.3"/>
    <row r="24707" ht="14.4" x14ac:dyDescent="0.3"/>
    <row r="24708" ht="14.4" x14ac:dyDescent="0.3"/>
    <row r="24709" ht="14.4" x14ac:dyDescent="0.3"/>
    <row r="24710" ht="14.4" x14ac:dyDescent="0.3"/>
    <row r="24711" ht="14.4" x14ac:dyDescent="0.3"/>
    <row r="24712" ht="14.4" x14ac:dyDescent="0.3"/>
    <row r="24713" ht="14.4" x14ac:dyDescent="0.3"/>
    <row r="24714" ht="14.4" x14ac:dyDescent="0.3"/>
    <row r="24715" ht="14.4" x14ac:dyDescent="0.3"/>
    <row r="24716" ht="14.4" x14ac:dyDescent="0.3"/>
    <row r="24717" ht="14.4" x14ac:dyDescent="0.3"/>
    <row r="24718" ht="14.4" x14ac:dyDescent="0.3"/>
    <row r="24719" ht="14.4" x14ac:dyDescent="0.3"/>
    <row r="24720" ht="14.4" x14ac:dyDescent="0.3"/>
    <row r="24721" ht="14.4" x14ac:dyDescent="0.3"/>
    <row r="24722" ht="14.4" x14ac:dyDescent="0.3"/>
    <row r="24723" ht="14.4" x14ac:dyDescent="0.3"/>
    <row r="24724" ht="14.4" x14ac:dyDescent="0.3"/>
    <row r="24725" ht="14.4" x14ac:dyDescent="0.3"/>
    <row r="24726" ht="14.4" x14ac:dyDescent="0.3"/>
    <row r="24727" ht="14.4" x14ac:dyDescent="0.3"/>
    <row r="24728" ht="14.4" x14ac:dyDescent="0.3"/>
    <row r="24729" ht="14.4" x14ac:dyDescent="0.3"/>
    <row r="24730" ht="14.4" x14ac:dyDescent="0.3"/>
    <row r="24731" ht="14.4" x14ac:dyDescent="0.3"/>
    <row r="24732" ht="14.4" x14ac:dyDescent="0.3"/>
    <row r="24733" ht="14.4" x14ac:dyDescent="0.3"/>
    <row r="24734" ht="14.4" x14ac:dyDescent="0.3"/>
    <row r="24735" ht="14.4" x14ac:dyDescent="0.3"/>
    <row r="24736" ht="14.4" x14ac:dyDescent="0.3"/>
    <row r="24737" ht="14.4" x14ac:dyDescent="0.3"/>
    <row r="24738" ht="14.4" x14ac:dyDescent="0.3"/>
    <row r="24739" ht="14.4" x14ac:dyDescent="0.3"/>
    <row r="24740" ht="14.4" x14ac:dyDescent="0.3"/>
    <row r="24741" ht="14.4" x14ac:dyDescent="0.3"/>
    <row r="24742" ht="14.4" x14ac:dyDescent="0.3"/>
    <row r="24743" ht="14.4" x14ac:dyDescent="0.3"/>
    <row r="24744" ht="14.4" x14ac:dyDescent="0.3"/>
    <row r="24745" ht="14.4" x14ac:dyDescent="0.3"/>
    <row r="24746" ht="14.4" x14ac:dyDescent="0.3"/>
    <row r="24747" ht="14.4" x14ac:dyDescent="0.3"/>
    <row r="24748" ht="14.4" x14ac:dyDescent="0.3"/>
    <row r="24749" ht="14.4" x14ac:dyDescent="0.3"/>
    <row r="24750" ht="14.4" x14ac:dyDescent="0.3"/>
    <row r="24751" ht="14.4" x14ac:dyDescent="0.3"/>
    <row r="24752" ht="14.4" x14ac:dyDescent="0.3"/>
    <row r="24753" ht="14.4" x14ac:dyDescent="0.3"/>
    <row r="24754" ht="14.4" x14ac:dyDescent="0.3"/>
    <row r="24755" ht="14.4" x14ac:dyDescent="0.3"/>
    <row r="24756" ht="14.4" x14ac:dyDescent="0.3"/>
    <row r="24757" ht="14.4" x14ac:dyDescent="0.3"/>
    <row r="24758" ht="14.4" x14ac:dyDescent="0.3"/>
    <row r="24759" ht="14.4" x14ac:dyDescent="0.3"/>
    <row r="24760" ht="14.4" x14ac:dyDescent="0.3"/>
    <row r="24761" ht="14.4" x14ac:dyDescent="0.3"/>
    <row r="24762" ht="14.4" x14ac:dyDescent="0.3"/>
    <row r="24763" ht="14.4" x14ac:dyDescent="0.3"/>
    <row r="24764" ht="14.4" x14ac:dyDescent="0.3"/>
    <row r="24765" ht="14.4" x14ac:dyDescent="0.3"/>
    <row r="24766" ht="14.4" x14ac:dyDescent="0.3"/>
    <row r="24767" ht="14.4" x14ac:dyDescent="0.3"/>
    <row r="24768" ht="14.4" x14ac:dyDescent="0.3"/>
    <row r="24769" ht="14.4" x14ac:dyDescent="0.3"/>
    <row r="24770" ht="14.4" x14ac:dyDescent="0.3"/>
    <row r="24771" ht="14.4" x14ac:dyDescent="0.3"/>
    <row r="24772" ht="14.4" x14ac:dyDescent="0.3"/>
    <row r="24773" ht="14.4" x14ac:dyDescent="0.3"/>
    <row r="24774" ht="14.4" x14ac:dyDescent="0.3"/>
    <row r="24775" ht="14.4" x14ac:dyDescent="0.3"/>
    <row r="24776" ht="14.4" x14ac:dyDescent="0.3"/>
    <row r="24777" ht="14.4" x14ac:dyDescent="0.3"/>
    <row r="24778" ht="14.4" x14ac:dyDescent="0.3"/>
    <row r="24779" ht="14.4" x14ac:dyDescent="0.3"/>
    <row r="24780" ht="14.4" x14ac:dyDescent="0.3"/>
    <row r="24781" ht="14.4" x14ac:dyDescent="0.3"/>
    <row r="24782" ht="14.4" x14ac:dyDescent="0.3"/>
    <row r="24783" ht="14.4" x14ac:dyDescent="0.3"/>
    <row r="24784" ht="14.4" x14ac:dyDescent="0.3"/>
    <row r="24785" ht="14.4" x14ac:dyDescent="0.3"/>
    <row r="24786" ht="14.4" x14ac:dyDescent="0.3"/>
    <row r="24787" ht="14.4" x14ac:dyDescent="0.3"/>
    <row r="24788" ht="14.4" x14ac:dyDescent="0.3"/>
    <row r="24789" ht="14.4" x14ac:dyDescent="0.3"/>
    <row r="24790" ht="14.4" x14ac:dyDescent="0.3"/>
    <row r="24791" ht="14.4" x14ac:dyDescent="0.3"/>
    <row r="24792" ht="14.4" x14ac:dyDescent="0.3"/>
    <row r="24793" ht="14.4" x14ac:dyDescent="0.3"/>
    <row r="24794" ht="14.4" x14ac:dyDescent="0.3"/>
    <row r="24795" ht="14.4" x14ac:dyDescent="0.3"/>
    <row r="24796" ht="14.4" x14ac:dyDescent="0.3"/>
    <row r="24797" ht="14.4" x14ac:dyDescent="0.3"/>
    <row r="24798" ht="14.4" x14ac:dyDescent="0.3"/>
    <row r="24799" ht="14.4" x14ac:dyDescent="0.3"/>
    <row r="24800" ht="14.4" x14ac:dyDescent="0.3"/>
    <row r="24801" ht="14.4" x14ac:dyDescent="0.3"/>
    <row r="24802" ht="14.4" x14ac:dyDescent="0.3"/>
    <row r="24803" ht="14.4" x14ac:dyDescent="0.3"/>
    <row r="24804" ht="14.4" x14ac:dyDescent="0.3"/>
    <row r="24805" ht="14.4" x14ac:dyDescent="0.3"/>
    <row r="24806" ht="14.4" x14ac:dyDescent="0.3"/>
    <row r="24807" ht="14.4" x14ac:dyDescent="0.3"/>
    <row r="24808" ht="14.4" x14ac:dyDescent="0.3"/>
    <row r="24809" ht="14.4" x14ac:dyDescent="0.3"/>
    <row r="24810" ht="14.4" x14ac:dyDescent="0.3"/>
    <row r="24811" ht="14.4" x14ac:dyDescent="0.3"/>
    <row r="24812" ht="14.4" x14ac:dyDescent="0.3"/>
    <row r="24813" ht="14.4" x14ac:dyDescent="0.3"/>
    <row r="24814" ht="14.4" x14ac:dyDescent="0.3"/>
    <row r="24815" ht="14.4" x14ac:dyDescent="0.3"/>
    <row r="24816" ht="14.4" x14ac:dyDescent="0.3"/>
    <row r="24817" ht="14.4" x14ac:dyDescent="0.3"/>
    <row r="24818" ht="14.4" x14ac:dyDescent="0.3"/>
    <row r="24819" ht="14.4" x14ac:dyDescent="0.3"/>
    <row r="24820" ht="14.4" x14ac:dyDescent="0.3"/>
    <row r="24821" ht="14.4" x14ac:dyDescent="0.3"/>
    <row r="24822" ht="14.4" x14ac:dyDescent="0.3"/>
    <row r="24823" ht="14.4" x14ac:dyDescent="0.3"/>
    <row r="24824" ht="14.4" x14ac:dyDescent="0.3"/>
    <row r="24825" ht="14.4" x14ac:dyDescent="0.3"/>
    <row r="24826" ht="14.4" x14ac:dyDescent="0.3"/>
    <row r="24827" ht="14.4" x14ac:dyDescent="0.3"/>
    <row r="24828" ht="14.4" x14ac:dyDescent="0.3"/>
    <row r="24829" ht="14.4" x14ac:dyDescent="0.3"/>
    <row r="24830" ht="14.4" x14ac:dyDescent="0.3"/>
    <row r="24831" ht="14.4" x14ac:dyDescent="0.3"/>
    <row r="24832" ht="14.4" x14ac:dyDescent="0.3"/>
    <row r="24833" ht="14.4" x14ac:dyDescent="0.3"/>
    <row r="24834" ht="14.4" x14ac:dyDescent="0.3"/>
    <row r="24835" ht="14.4" x14ac:dyDescent="0.3"/>
    <row r="24836" ht="14.4" x14ac:dyDescent="0.3"/>
    <row r="24837" ht="14.4" x14ac:dyDescent="0.3"/>
    <row r="24838" ht="14.4" x14ac:dyDescent="0.3"/>
    <row r="24839" ht="14.4" x14ac:dyDescent="0.3"/>
    <row r="24840" ht="14.4" x14ac:dyDescent="0.3"/>
    <row r="24841" ht="14.4" x14ac:dyDescent="0.3"/>
    <row r="24842" ht="14.4" x14ac:dyDescent="0.3"/>
    <row r="24843" ht="14.4" x14ac:dyDescent="0.3"/>
    <row r="24844" ht="14.4" x14ac:dyDescent="0.3"/>
    <row r="24845" ht="14.4" x14ac:dyDescent="0.3"/>
    <row r="24846" ht="14.4" x14ac:dyDescent="0.3"/>
    <row r="24847" ht="14.4" x14ac:dyDescent="0.3"/>
    <row r="24848" ht="14.4" x14ac:dyDescent="0.3"/>
    <row r="24849" ht="14.4" x14ac:dyDescent="0.3"/>
    <row r="24850" ht="14.4" x14ac:dyDescent="0.3"/>
    <row r="24851" ht="14.4" x14ac:dyDescent="0.3"/>
    <row r="24852" ht="14.4" x14ac:dyDescent="0.3"/>
    <row r="24853" ht="14.4" x14ac:dyDescent="0.3"/>
    <row r="24854" ht="14.4" x14ac:dyDescent="0.3"/>
    <row r="24855" ht="14.4" x14ac:dyDescent="0.3"/>
    <row r="24856" ht="14.4" x14ac:dyDescent="0.3"/>
    <row r="24857" ht="14.4" x14ac:dyDescent="0.3"/>
    <row r="24858" ht="14.4" x14ac:dyDescent="0.3"/>
    <row r="24859" ht="14.4" x14ac:dyDescent="0.3"/>
    <row r="24860" ht="14.4" x14ac:dyDescent="0.3"/>
    <row r="24861" ht="14.4" x14ac:dyDescent="0.3"/>
    <row r="24862" ht="14.4" x14ac:dyDescent="0.3"/>
    <row r="24863" ht="14.4" x14ac:dyDescent="0.3"/>
    <row r="24864" ht="14.4" x14ac:dyDescent="0.3"/>
    <row r="24865" ht="14.4" x14ac:dyDescent="0.3"/>
    <row r="24866" ht="14.4" x14ac:dyDescent="0.3"/>
    <row r="24867" ht="14.4" x14ac:dyDescent="0.3"/>
    <row r="24868" ht="14.4" x14ac:dyDescent="0.3"/>
    <row r="24869" ht="14.4" x14ac:dyDescent="0.3"/>
    <row r="24870" ht="14.4" x14ac:dyDescent="0.3"/>
    <row r="24871" ht="14.4" x14ac:dyDescent="0.3"/>
    <row r="24872" ht="14.4" x14ac:dyDescent="0.3"/>
    <row r="24873" ht="14.4" x14ac:dyDescent="0.3"/>
    <row r="24874" ht="14.4" x14ac:dyDescent="0.3"/>
    <row r="24875" ht="14.4" x14ac:dyDescent="0.3"/>
    <row r="24876" ht="14.4" x14ac:dyDescent="0.3"/>
    <row r="24877" ht="14.4" x14ac:dyDescent="0.3"/>
    <row r="24878" ht="14.4" x14ac:dyDescent="0.3"/>
    <row r="24879" ht="14.4" x14ac:dyDescent="0.3"/>
    <row r="24880" ht="14.4" x14ac:dyDescent="0.3"/>
    <row r="24881" ht="14.4" x14ac:dyDescent="0.3"/>
    <row r="24882" ht="14.4" x14ac:dyDescent="0.3"/>
    <row r="24883" ht="14.4" x14ac:dyDescent="0.3"/>
    <row r="24884" ht="14.4" x14ac:dyDescent="0.3"/>
    <row r="24885" ht="14.4" x14ac:dyDescent="0.3"/>
    <row r="24886" ht="14.4" x14ac:dyDescent="0.3"/>
    <row r="24887" ht="14.4" x14ac:dyDescent="0.3"/>
    <row r="24888" ht="14.4" x14ac:dyDescent="0.3"/>
    <row r="24889" ht="14.4" x14ac:dyDescent="0.3"/>
    <row r="24890" ht="14.4" x14ac:dyDescent="0.3"/>
    <row r="24891" ht="14.4" x14ac:dyDescent="0.3"/>
    <row r="24892" ht="14.4" x14ac:dyDescent="0.3"/>
    <row r="24893" ht="14.4" x14ac:dyDescent="0.3"/>
    <row r="24894" ht="14.4" x14ac:dyDescent="0.3"/>
    <row r="24895" ht="14.4" x14ac:dyDescent="0.3"/>
    <row r="24896" ht="14.4" x14ac:dyDescent="0.3"/>
    <row r="24897" ht="14.4" x14ac:dyDescent="0.3"/>
    <row r="24898" ht="14.4" x14ac:dyDescent="0.3"/>
    <row r="24899" ht="14.4" x14ac:dyDescent="0.3"/>
    <row r="24900" ht="14.4" x14ac:dyDescent="0.3"/>
    <row r="24901" ht="14.4" x14ac:dyDescent="0.3"/>
    <row r="24902" ht="14.4" x14ac:dyDescent="0.3"/>
    <row r="24903" ht="14.4" x14ac:dyDescent="0.3"/>
    <row r="24904" ht="14.4" x14ac:dyDescent="0.3"/>
    <row r="24905" ht="14.4" x14ac:dyDescent="0.3"/>
    <row r="24906" ht="14.4" x14ac:dyDescent="0.3"/>
    <row r="24907" ht="14.4" x14ac:dyDescent="0.3"/>
    <row r="24908" ht="14.4" x14ac:dyDescent="0.3"/>
    <row r="24909" ht="14.4" x14ac:dyDescent="0.3"/>
    <row r="24910" ht="14.4" x14ac:dyDescent="0.3"/>
    <row r="24911" ht="14.4" x14ac:dyDescent="0.3"/>
    <row r="24912" ht="14.4" x14ac:dyDescent="0.3"/>
    <row r="24913" ht="14.4" x14ac:dyDescent="0.3"/>
    <row r="24914" ht="14.4" x14ac:dyDescent="0.3"/>
    <row r="24915" ht="14.4" x14ac:dyDescent="0.3"/>
    <row r="24916" ht="14.4" x14ac:dyDescent="0.3"/>
    <row r="24917" ht="14.4" x14ac:dyDescent="0.3"/>
    <row r="24918" ht="14.4" x14ac:dyDescent="0.3"/>
    <row r="24919" ht="14.4" x14ac:dyDescent="0.3"/>
    <row r="24920" ht="14.4" x14ac:dyDescent="0.3"/>
    <row r="24921" ht="14.4" x14ac:dyDescent="0.3"/>
    <row r="24922" ht="14.4" x14ac:dyDescent="0.3"/>
    <row r="24923" ht="14.4" x14ac:dyDescent="0.3"/>
    <row r="24924" ht="14.4" x14ac:dyDescent="0.3"/>
    <row r="24925" ht="14.4" x14ac:dyDescent="0.3"/>
    <row r="24926" ht="14.4" x14ac:dyDescent="0.3"/>
    <row r="24927" ht="14.4" x14ac:dyDescent="0.3"/>
    <row r="24928" ht="14.4" x14ac:dyDescent="0.3"/>
    <row r="24929" ht="14.4" x14ac:dyDescent="0.3"/>
    <row r="24930" ht="14.4" x14ac:dyDescent="0.3"/>
    <row r="24931" ht="14.4" x14ac:dyDescent="0.3"/>
    <row r="24932" ht="14.4" x14ac:dyDescent="0.3"/>
    <row r="24933" ht="14.4" x14ac:dyDescent="0.3"/>
    <row r="24934" ht="14.4" x14ac:dyDescent="0.3"/>
    <row r="24935" ht="14.4" x14ac:dyDescent="0.3"/>
    <row r="24936" ht="14.4" x14ac:dyDescent="0.3"/>
    <row r="24937" ht="14.4" x14ac:dyDescent="0.3"/>
    <row r="24938" ht="14.4" x14ac:dyDescent="0.3"/>
    <row r="24939" ht="14.4" x14ac:dyDescent="0.3"/>
    <row r="24940" ht="14.4" x14ac:dyDescent="0.3"/>
    <row r="24941" ht="14.4" x14ac:dyDescent="0.3"/>
    <row r="24942" ht="14.4" x14ac:dyDescent="0.3"/>
    <row r="24943" ht="14.4" x14ac:dyDescent="0.3"/>
    <row r="24944" ht="14.4" x14ac:dyDescent="0.3"/>
    <row r="24945" ht="14.4" x14ac:dyDescent="0.3"/>
    <row r="24946" ht="14.4" x14ac:dyDescent="0.3"/>
    <row r="24947" ht="14.4" x14ac:dyDescent="0.3"/>
    <row r="24948" ht="14.4" x14ac:dyDescent="0.3"/>
    <row r="24949" ht="14.4" x14ac:dyDescent="0.3"/>
    <row r="24950" ht="14.4" x14ac:dyDescent="0.3"/>
    <row r="24951" ht="14.4" x14ac:dyDescent="0.3"/>
    <row r="24952" ht="14.4" x14ac:dyDescent="0.3"/>
    <row r="24953" ht="14.4" x14ac:dyDescent="0.3"/>
    <row r="24954" ht="14.4" x14ac:dyDescent="0.3"/>
    <row r="24955" ht="14.4" x14ac:dyDescent="0.3"/>
    <row r="24956" ht="14.4" x14ac:dyDescent="0.3"/>
    <row r="24957" ht="14.4" x14ac:dyDescent="0.3"/>
    <row r="24958" ht="14.4" x14ac:dyDescent="0.3"/>
    <row r="24959" ht="14.4" x14ac:dyDescent="0.3"/>
    <row r="24960" ht="14.4" x14ac:dyDescent="0.3"/>
    <row r="24961" ht="14.4" x14ac:dyDescent="0.3"/>
    <row r="24962" ht="14.4" x14ac:dyDescent="0.3"/>
    <row r="24963" ht="14.4" x14ac:dyDescent="0.3"/>
    <row r="24964" ht="14.4" x14ac:dyDescent="0.3"/>
    <row r="24965" ht="14.4" x14ac:dyDescent="0.3"/>
    <row r="24966" ht="14.4" x14ac:dyDescent="0.3"/>
    <row r="24967" ht="14.4" x14ac:dyDescent="0.3"/>
    <row r="24968" ht="14.4" x14ac:dyDescent="0.3"/>
    <row r="24969" ht="14.4" x14ac:dyDescent="0.3"/>
    <row r="24970" ht="14.4" x14ac:dyDescent="0.3"/>
    <row r="24971" ht="14.4" x14ac:dyDescent="0.3"/>
    <row r="24972" ht="14.4" x14ac:dyDescent="0.3"/>
    <row r="24973" ht="14.4" x14ac:dyDescent="0.3"/>
    <row r="24974" ht="14.4" x14ac:dyDescent="0.3"/>
    <row r="24975" ht="14.4" x14ac:dyDescent="0.3"/>
    <row r="24976" ht="14.4" x14ac:dyDescent="0.3"/>
    <row r="24977" ht="14.4" x14ac:dyDescent="0.3"/>
    <row r="24978" ht="14.4" x14ac:dyDescent="0.3"/>
    <row r="24979" ht="14.4" x14ac:dyDescent="0.3"/>
    <row r="24980" ht="14.4" x14ac:dyDescent="0.3"/>
    <row r="24981" ht="14.4" x14ac:dyDescent="0.3"/>
    <row r="24982" ht="14.4" x14ac:dyDescent="0.3"/>
    <row r="24983" ht="14.4" x14ac:dyDescent="0.3"/>
    <row r="24984" ht="14.4" x14ac:dyDescent="0.3"/>
    <row r="24985" ht="14.4" x14ac:dyDescent="0.3"/>
    <row r="24986" ht="14.4" x14ac:dyDescent="0.3"/>
    <row r="24987" ht="14.4" x14ac:dyDescent="0.3"/>
    <row r="24988" ht="14.4" x14ac:dyDescent="0.3"/>
    <row r="24989" ht="14.4" x14ac:dyDescent="0.3"/>
    <row r="24990" ht="14.4" x14ac:dyDescent="0.3"/>
    <row r="24991" ht="14.4" x14ac:dyDescent="0.3"/>
    <row r="24992" ht="14.4" x14ac:dyDescent="0.3"/>
    <row r="24993" ht="14.4" x14ac:dyDescent="0.3"/>
    <row r="24994" ht="14.4" x14ac:dyDescent="0.3"/>
    <row r="24995" ht="14.4" x14ac:dyDescent="0.3"/>
    <row r="24996" ht="14.4" x14ac:dyDescent="0.3"/>
    <row r="24997" ht="14.4" x14ac:dyDescent="0.3"/>
    <row r="24998" ht="14.4" x14ac:dyDescent="0.3"/>
    <row r="24999" ht="14.4" x14ac:dyDescent="0.3"/>
    <row r="25000" ht="14.4" x14ac:dyDescent="0.3"/>
    <row r="25001" ht="14.4" x14ac:dyDescent="0.3"/>
    <row r="25002" ht="14.4" x14ac:dyDescent="0.3"/>
    <row r="25003" ht="14.4" x14ac:dyDescent="0.3"/>
    <row r="25004" ht="14.4" x14ac:dyDescent="0.3"/>
    <row r="25005" ht="14.4" x14ac:dyDescent="0.3"/>
    <row r="25006" ht="14.4" x14ac:dyDescent="0.3"/>
    <row r="25007" ht="14.4" x14ac:dyDescent="0.3"/>
    <row r="25008" ht="14.4" x14ac:dyDescent="0.3"/>
    <row r="25009" ht="14.4" x14ac:dyDescent="0.3"/>
    <row r="25010" ht="14.4" x14ac:dyDescent="0.3"/>
    <row r="25011" ht="14.4" x14ac:dyDescent="0.3"/>
    <row r="25012" ht="14.4" x14ac:dyDescent="0.3"/>
    <row r="25013" ht="14.4" x14ac:dyDescent="0.3"/>
    <row r="25014" ht="14.4" x14ac:dyDescent="0.3"/>
    <row r="25015" ht="14.4" x14ac:dyDescent="0.3"/>
    <row r="25016" ht="14.4" x14ac:dyDescent="0.3"/>
    <row r="25017" ht="14.4" x14ac:dyDescent="0.3"/>
    <row r="25018" ht="14.4" x14ac:dyDescent="0.3"/>
    <row r="25019" ht="14.4" x14ac:dyDescent="0.3"/>
    <row r="25020" ht="14.4" x14ac:dyDescent="0.3"/>
    <row r="25021" ht="14.4" x14ac:dyDescent="0.3"/>
    <row r="25022" ht="14.4" x14ac:dyDescent="0.3"/>
    <row r="25023" ht="14.4" x14ac:dyDescent="0.3"/>
    <row r="25024" ht="14.4" x14ac:dyDescent="0.3"/>
    <row r="25025" spans="1:43" ht="14.4" x14ac:dyDescent="0.3"/>
    <row r="25026" spans="1:43" ht="14.4" x14ac:dyDescent="0.3"/>
    <row r="25027" spans="1:43" ht="14.4" x14ac:dyDescent="0.3"/>
    <row r="25028" spans="1:43" ht="14.4" x14ac:dyDescent="0.3"/>
    <row r="25029" spans="1:43" ht="14.4" x14ac:dyDescent="0.3"/>
    <row r="25030" spans="1:43" ht="14.4" x14ac:dyDescent="0.3"/>
    <row r="25031" spans="1:43" ht="14.4" x14ac:dyDescent="0.3"/>
    <row r="25032" spans="1:43" ht="14.4" x14ac:dyDescent="0.3"/>
    <row r="25033" spans="1:43" ht="14.4" hidden="1" x14ac:dyDescent="0.3">
      <c r="A25033" t="s">
        <v>3558</v>
      </c>
      <c r="B25033">
        <v>4893429</v>
      </c>
      <c r="C25033" t="s">
        <v>842</v>
      </c>
      <c r="D25033" t="s">
        <v>843</v>
      </c>
      <c r="E25033" t="s">
        <v>844</v>
      </c>
      <c r="F25033" t="s">
        <v>1270</v>
      </c>
      <c r="H25033" t="s">
        <v>3559</v>
      </c>
      <c r="J25033" t="s">
        <v>140</v>
      </c>
      <c r="K25033">
        <v>161369.64670000001</v>
      </c>
      <c r="L25033">
        <v>383070.0968</v>
      </c>
      <c r="N25033" t="s">
        <v>382</v>
      </c>
      <c r="O25033" t="s">
        <v>479</v>
      </c>
      <c r="P25033" t="s">
        <v>1272</v>
      </c>
      <c r="Q25033" t="s">
        <v>358</v>
      </c>
      <c r="R25033" t="s">
        <v>145</v>
      </c>
      <c r="S25033">
        <v>35</v>
      </c>
      <c r="T25033">
        <v>3300</v>
      </c>
      <c r="V25033" t="s">
        <v>359</v>
      </c>
      <c r="W25033" t="s">
        <v>415</v>
      </c>
      <c r="X25033" t="s">
        <v>7</v>
      </c>
      <c r="Y25033" t="s">
        <v>1273</v>
      </c>
      <c r="Z25033" t="s">
        <v>479</v>
      </c>
      <c r="AA25033" t="s">
        <v>737</v>
      </c>
      <c r="AB25033">
        <v>0</v>
      </c>
      <c r="AE25033" t="s">
        <v>550</v>
      </c>
      <c r="AF25033" t="s">
        <v>479</v>
      </c>
      <c r="AG25033" t="s">
        <v>737</v>
      </c>
      <c r="AL25033" t="s">
        <v>3560</v>
      </c>
      <c r="AM25033" t="s">
        <v>3561</v>
      </c>
      <c r="AN25033" t="s">
        <v>3562</v>
      </c>
      <c r="AO25033" t="s">
        <v>382</v>
      </c>
      <c r="AQ25033" t="str">
        <f>IF(ISBLANK(AP25033), IFERROR(IF(VLOOKUP(AO25033, Ellens_additions!$A$2:$B$252, 2, FALSE) = "", "", VLOOKUP(AO25033, Ellens_additions!$A$2:$B$252, 2, FALSE)), 0), AP25033)</f>
        <v/>
      </c>
    </row>
    <row r="25034" spans="1:43" ht="14.4" hidden="1" x14ac:dyDescent="0.3">
      <c r="A25034" t="s">
        <v>3563</v>
      </c>
      <c r="B25034">
        <v>4893431</v>
      </c>
      <c r="C25034" t="s">
        <v>842</v>
      </c>
      <c r="D25034" t="s">
        <v>843</v>
      </c>
      <c r="E25034" t="s">
        <v>844</v>
      </c>
      <c r="F25034" t="s">
        <v>1270</v>
      </c>
      <c r="H25034" t="s">
        <v>3564</v>
      </c>
      <c r="J25034" t="s">
        <v>140</v>
      </c>
      <c r="K25034">
        <v>161366.68489999999</v>
      </c>
      <c r="L25034">
        <v>383086.2562</v>
      </c>
      <c r="N25034" t="s">
        <v>382</v>
      </c>
      <c r="O25034" t="s">
        <v>479</v>
      </c>
      <c r="P25034" t="s">
        <v>1272</v>
      </c>
      <c r="Q25034" t="s">
        <v>358</v>
      </c>
      <c r="R25034" t="s">
        <v>145</v>
      </c>
      <c r="S25034">
        <v>35</v>
      </c>
      <c r="T25034">
        <v>3300</v>
      </c>
      <c r="V25034" t="s">
        <v>359</v>
      </c>
      <c r="W25034" t="s">
        <v>415</v>
      </c>
      <c r="X25034" t="s">
        <v>7</v>
      </c>
      <c r="Y25034" t="s">
        <v>1273</v>
      </c>
      <c r="Z25034" t="s">
        <v>479</v>
      </c>
      <c r="AA25034" t="s">
        <v>737</v>
      </c>
      <c r="AB25034">
        <v>0</v>
      </c>
      <c r="AE25034" t="s">
        <v>550</v>
      </c>
      <c r="AF25034" t="s">
        <v>479</v>
      </c>
      <c r="AG25034" t="s">
        <v>737</v>
      </c>
      <c r="AL25034" t="s">
        <v>3565</v>
      </c>
      <c r="AM25034" t="s">
        <v>3566</v>
      </c>
      <c r="AN25034" t="s">
        <v>3567</v>
      </c>
      <c r="AO25034" t="s">
        <v>382</v>
      </c>
      <c r="AQ25034" t="str">
        <f>IF(ISBLANK(AP25034), IFERROR(IF(VLOOKUP(AO25034, Ellens_additions!$A$2:$B$252, 2, FALSE) = "", "", VLOOKUP(AO25034, Ellens_additions!$A$2:$B$252, 2, FALSE)), 0), AP25034)</f>
        <v/>
      </c>
    </row>
    <row r="25035" spans="1:43" ht="14.4" hidden="1" x14ac:dyDescent="0.3">
      <c r="A25035" t="s">
        <v>3568</v>
      </c>
      <c r="B25035">
        <v>4893432</v>
      </c>
      <c r="C25035" t="s">
        <v>842</v>
      </c>
      <c r="D25035" t="s">
        <v>843</v>
      </c>
      <c r="E25035" t="s">
        <v>844</v>
      </c>
      <c r="F25035" t="s">
        <v>1278</v>
      </c>
      <c r="H25035" t="s">
        <v>3569</v>
      </c>
      <c r="J25035" t="s">
        <v>140</v>
      </c>
      <c r="K25035">
        <v>161371.64170000001</v>
      </c>
      <c r="L25035">
        <v>383098.0159</v>
      </c>
      <c r="N25035" t="s">
        <v>382</v>
      </c>
      <c r="O25035" t="s">
        <v>479</v>
      </c>
      <c r="P25035" t="s">
        <v>1272</v>
      </c>
      <c r="Q25035" t="s">
        <v>358</v>
      </c>
      <c r="R25035" t="s">
        <v>145</v>
      </c>
      <c r="S25035">
        <v>35</v>
      </c>
      <c r="T25035">
        <v>3300</v>
      </c>
      <c r="V25035" t="s">
        <v>359</v>
      </c>
      <c r="W25035" t="s">
        <v>415</v>
      </c>
      <c r="Y25035" t="s">
        <v>1273</v>
      </c>
      <c r="Z25035" t="s">
        <v>479</v>
      </c>
      <c r="AA25035" t="s">
        <v>737</v>
      </c>
      <c r="AB25035">
        <v>0</v>
      </c>
      <c r="AE25035" t="s">
        <v>550</v>
      </c>
      <c r="AF25035" t="s">
        <v>479</v>
      </c>
      <c r="AG25035" t="s">
        <v>737</v>
      </c>
      <c r="AL25035" t="s">
        <v>3570</v>
      </c>
      <c r="AM25035" t="s">
        <v>3571</v>
      </c>
      <c r="AN25035" t="s">
        <v>3572</v>
      </c>
      <c r="AO25035" t="s">
        <v>382</v>
      </c>
      <c r="AQ25035" t="str">
        <f>IF(ISBLANK(AP25035), IFERROR(IF(VLOOKUP(AO25035, Ellens_additions!$A$2:$B$252, 2, FALSE) = "", "", VLOOKUP(AO25035, Ellens_additions!$A$2:$B$252, 2, FALSE)), 0), AP25035)</f>
        <v/>
      </c>
    </row>
    <row r="25036" spans="1:43" ht="14.4" hidden="1" x14ac:dyDescent="0.3">
      <c r="A25036" t="s">
        <v>3573</v>
      </c>
      <c r="B25036">
        <v>4893435</v>
      </c>
      <c r="C25036" t="s">
        <v>842</v>
      </c>
      <c r="D25036" t="s">
        <v>843</v>
      </c>
      <c r="E25036" t="s">
        <v>844</v>
      </c>
      <c r="F25036" t="s">
        <v>1278</v>
      </c>
      <c r="H25036" t="s">
        <v>3574</v>
      </c>
      <c r="J25036" t="s">
        <v>140</v>
      </c>
      <c r="K25036">
        <v>161385.5013</v>
      </c>
      <c r="L25036">
        <v>383109.24190000002</v>
      </c>
      <c r="N25036" t="s">
        <v>382</v>
      </c>
      <c r="O25036" t="s">
        <v>479</v>
      </c>
      <c r="P25036" t="s">
        <v>1272</v>
      </c>
      <c r="Q25036" t="s">
        <v>358</v>
      </c>
      <c r="R25036" t="s">
        <v>145</v>
      </c>
      <c r="S25036">
        <v>35</v>
      </c>
      <c r="T25036">
        <v>3300</v>
      </c>
      <c r="V25036" t="s">
        <v>359</v>
      </c>
      <c r="W25036" t="s">
        <v>415</v>
      </c>
      <c r="Y25036" t="s">
        <v>1273</v>
      </c>
      <c r="Z25036" t="s">
        <v>479</v>
      </c>
      <c r="AA25036" t="s">
        <v>737</v>
      </c>
      <c r="AB25036">
        <v>0</v>
      </c>
      <c r="AE25036" t="s">
        <v>550</v>
      </c>
      <c r="AF25036" t="s">
        <v>479</v>
      </c>
      <c r="AG25036" t="s">
        <v>737</v>
      </c>
      <c r="AL25036" t="s">
        <v>3575</v>
      </c>
      <c r="AM25036" t="s">
        <v>3576</v>
      </c>
      <c r="AN25036" t="s">
        <v>3577</v>
      </c>
      <c r="AO25036" t="s">
        <v>382</v>
      </c>
      <c r="AQ25036" t="str">
        <f>IF(ISBLANK(AP25036), IFERROR(IF(VLOOKUP(AO25036, Ellens_additions!$A$2:$B$252, 2, FALSE) = "", "", VLOOKUP(AO25036, Ellens_additions!$A$2:$B$252, 2, FALSE)), 0), AP25036)</f>
        <v/>
      </c>
    </row>
    <row r="25037" spans="1:43" ht="14.4" hidden="1" x14ac:dyDescent="0.3">
      <c r="A25037" t="s">
        <v>3578</v>
      </c>
      <c r="B25037">
        <v>4893439</v>
      </c>
      <c r="C25037" t="s">
        <v>842</v>
      </c>
      <c r="D25037" t="s">
        <v>843</v>
      </c>
      <c r="E25037" t="s">
        <v>844</v>
      </c>
      <c r="F25037" t="s">
        <v>1278</v>
      </c>
      <c r="H25037" t="s">
        <v>3579</v>
      </c>
      <c r="J25037" t="s">
        <v>140</v>
      </c>
      <c r="K25037">
        <v>161405.0411</v>
      </c>
      <c r="L25037">
        <v>383122.62070000003</v>
      </c>
      <c r="N25037" t="s">
        <v>382</v>
      </c>
      <c r="O25037" t="s">
        <v>479</v>
      </c>
      <c r="P25037" t="s">
        <v>1272</v>
      </c>
      <c r="Q25037" t="s">
        <v>358</v>
      </c>
      <c r="R25037" t="s">
        <v>145</v>
      </c>
      <c r="S25037">
        <v>35</v>
      </c>
      <c r="T25037">
        <v>3300</v>
      </c>
      <c r="V25037" t="s">
        <v>359</v>
      </c>
      <c r="W25037" t="s">
        <v>415</v>
      </c>
      <c r="Y25037" t="s">
        <v>1273</v>
      </c>
      <c r="Z25037" t="s">
        <v>479</v>
      </c>
      <c r="AA25037" t="s">
        <v>737</v>
      </c>
      <c r="AB25037">
        <v>0</v>
      </c>
      <c r="AE25037" t="s">
        <v>550</v>
      </c>
      <c r="AF25037" t="s">
        <v>479</v>
      </c>
      <c r="AG25037" t="s">
        <v>737</v>
      </c>
      <c r="AL25037" t="s">
        <v>3580</v>
      </c>
      <c r="AM25037" t="s">
        <v>3581</v>
      </c>
      <c r="AN25037" t="s">
        <v>3582</v>
      </c>
      <c r="AO25037" t="s">
        <v>382</v>
      </c>
      <c r="AQ25037" t="str">
        <f>IF(ISBLANK(AP25037), IFERROR(IF(VLOOKUP(AO25037, Ellens_additions!$A$2:$B$252, 2, FALSE) = "", "", VLOOKUP(AO25037, Ellens_additions!$A$2:$B$252, 2, FALSE)), 0), AP25037)</f>
        <v/>
      </c>
    </row>
    <row r="25038" spans="1:43" ht="14.4" x14ac:dyDescent="0.3"/>
    <row r="25039" spans="1:43" ht="14.4" x14ac:dyDescent="0.3"/>
    <row r="25040" spans="1:43" ht="14.4" x14ac:dyDescent="0.3"/>
    <row r="25041" spans="1:43" ht="14.4" x14ac:dyDescent="0.3"/>
    <row r="25042" spans="1:43" ht="14.4" x14ac:dyDescent="0.3"/>
    <row r="25043" spans="1:43" ht="14.4" x14ac:dyDescent="0.3"/>
    <row r="25044" spans="1:43" ht="14.4" x14ac:dyDescent="0.3"/>
    <row r="25045" spans="1:43" ht="14.4" x14ac:dyDescent="0.3"/>
    <row r="25046" spans="1:43" ht="14.4" x14ac:dyDescent="0.3"/>
    <row r="25047" spans="1:43" ht="14.4" x14ac:dyDescent="0.3"/>
    <row r="25048" spans="1:43" ht="14.4" hidden="1" x14ac:dyDescent="0.3">
      <c r="A25048" t="s">
        <v>3583</v>
      </c>
      <c r="B25048">
        <v>4893462</v>
      </c>
      <c r="C25048" t="s">
        <v>842</v>
      </c>
      <c r="D25048" t="s">
        <v>843</v>
      </c>
      <c r="E25048" t="s">
        <v>844</v>
      </c>
      <c r="F25048" t="s">
        <v>1278</v>
      </c>
      <c r="H25048" t="s">
        <v>3584</v>
      </c>
      <c r="J25048" t="s">
        <v>140</v>
      </c>
      <c r="K25048">
        <v>161368.97700000001</v>
      </c>
      <c r="L25048">
        <v>383092.95</v>
      </c>
      <c r="N25048" t="s">
        <v>382</v>
      </c>
      <c r="O25048" t="s">
        <v>479</v>
      </c>
      <c r="P25048" t="s">
        <v>1272</v>
      </c>
      <c r="Q25048" t="s">
        <v>358</v>
      </c>
      <c r="R25048" t="s">
        <v>145</v>
      </c>
      <c r="S25048">
        <v>35</v>
      </c>
      <c r="T25048">
        <v>3300</v>
      </c>
      <c r="V25048" t="s">
        <v>359</v>
      </c>
      <c r="W25048" t="s">
        <v>415</v>
      </c>
      <c r="Y25048" t="s">
        <v>2873</v>
      </c>
      <c r="Z25048" t="s">
        <v>479</v>
      </c>
      <c r="AA25048" t="s">
        <v>737</v>
      </c>
      <c r="AB25048">
        <v>0</v>
      </c>
      <c r="AE25048" t="s">
        <v>1496</v>
      </c>
      <c r="AF25048" t="s">
        <v>479</v>
      </c>
      <c r="AG25048" t="s">
        <v>737</v>
      </c>
      <c r="AL25048" t="s">
        <v>3585</v>
      </c>
      <c r="AM25048" t="s">
        <v>3586</v>
      </c>
      <c r="AN25048" t="s">
        <v>3587</v>
      </c>
      <c r="AO25048" t="s">
        <v>382</v>
      </c>
      <c r="AQ25048" t="str">
        <f>IF(ISBLANK(AP25048), IFERROR(IF(VLOOKUP(AO25048, Ellens_additions!$A$2:$B$252, 2, FALSE) = "", "", VLOOKUP(AO25048, Ellens_additions!$A$2:$B$252, 2, FALSE)), 0), AP25048)</f>
        <v/>
      </c>
    </row>
    <row r="25049" spans="1:43" ht="14.4" hidden="1" x14ac:dyDescent="0.3">
      <c r="A25049" t="s">
        <v>3588</v>
      </c>
      <c r="B25049">
        <v>4893467</v>
      </c>
      <c r="C25049" t="s">
        <v>842</v>
      </c>
      <c r="D25049" t="s">
        <v>843</v>
      </c>
      <c r="E25049" t="s">
        <v>844</v>
      </c>
      <c r="F25049" t="s">
        <v>1278</v>
      </c>
      <c r="H25049" t="s">
        <v>3589</v>
      </c>
      <c r="J25049" t="s">
        <v>140</v>
      </c>
      <c r="K25049">
        <v>161385.0049</v>
      </c>
      <c r="L25049">
        <v>383107.32500000001</v>
      </c>
      <c r="N25049" t="s">
        <v>382</v>
      </c>
      <c r="O25049" t="s">
        <v>479</v>
      </c>
      <c r="P25049" t="s">
        <v>1272</v>
      </c>
      <c r="Q25049" t="s">
        <v>358</v>
      </c>
      <c r="R25049" t="s">
        <v>145</v>
      </c>
      <c r="S25049">
        <v>35</v>
      </c>
      <c r="T25049">
        <v>3300</v>
      </c>
      <c r="V25049" t="s">
        <v>359</v>
      </c>
      <c r="W25049" t="s">
        <v>415</v>
      </c>
      <c r="Y25049" t="s">
        <v>1273</v>
      </c>
      <c r="Z25049" t="s">
        <v>479</v>
      </c>
      <c r="AA25049" t="s">
        <v>737</v>
      </c>
      <c r="AB25049">
        <v>0</v>
      </c>
      <c r="AE25049" t="s">
        <v>550</v>
      </c>
      <c r="AF25049" t="s">
        <v>479</v>
      </c>
      <c r="AG25049" t="s">
        <v>737</v>
      </c>
      <c r="AL25049" t="s">
        <v>3590</v>
      </c>
      <c r="AM25049" t="s">
        <v>3591</v>
      </c>
      <c r="AN25049" t="s">
        <v>3592</v>
      </c>
      <c r="AO25049" t="s">
        <v>382</v>
      </c>
      <c r="AQ25049" t="str">
        <f>IF(ISBLANK(AP25049), IFERROR(IF(VLOOKUP(AO25049, Ellens_additions!$A$2:$B$252, 2, FALSE) = "", "", VLOOKUP(AO25049, Ellens_additions!$A$2:$B$252, 2, FALSE)), 0), AP25049)</f>
        <v/>
      </c>
    </row>
    <row r="25050" spans="1:43" ht="14.4" hidden="1" x14ac:dyDescent="0.3">
      <c r="A25050" t="s">
        <v>3593</v>
      </c>
      <c r="B25050">
        <v>4893468</v>
      </c>
      <c r="C25050" t="s">
        <v>842</v>
      </c>
      <c r="D25050" t="s">
        <v>843</v>
      </c>
      <c r="E25050" t="s">
        <v>844</v>
      </c>
      <c r="F25050" t="s">
        <v>1278</v>
      </c>
      <c r="H25050" t="s">
        <v>3594</v>
      </c>
      <c r="J25050" t="s">
        <v>140</v>
      </c>
      <c r="K25050">
        <v>161395.18700000001</v>
      </c>
      <c r="L25050">
        <v>383111.185</v>
      </c>
      <c r="N25050" t="s">
        <v>1134</v>
      </c>
      <c r="O25050" t="s">
        <v>479</v>
      </c>
      <c r="P25050" t="s">
        <v>1341</v>
      </c>
      <c r="Q25050" t="s">
        <v>358</v>
      </c>
      <c r="R25050" t="s">
        <v>145</v>
      </c>
      <c r="S25050">
        <v>70</v>
      </c>
      <c r="T25050">
        <v>6600</v>
      </c>
      <c r="V25050" t="s">
        <v>359</v>
      </c>
      <c r="W25050" t="s">
        <v>415</v>
      </c>
      <c r="Y25050" t="s">
        <v>1342</v>
      </c>
      <c r="Z25050" t="s">
        <v>479</v>
      </c>
      <c r="AA25050" t="s">
        <v>737</v>
      </c>
      <c r="AB25050">
        <v>0</v>
      </c>
      <c r="AE25050" t="s">
        <v>550</v>
      </c>
      <c r="AF25050" t="s">
        <v>479</v>
      </c>
      <c r="AG25050" t="s">
        <v>737</v>
      </c>
      <c r="AL25050" t="s">
        <v>3595</v>
      </c>
      <c r="AM25050" t="s">
        <v>3596</v>
      </c>
      <c r="AN25050" t="s">
        <v>3597</v>
      </c>
      <c r="AO25050" t="s">
        <v>1134</v>
      </c>
      <c r="AQ25050" t="str">
        <f>IF(ISBLANK(AP25050), IFERROR(IF(VLOOKUP(AO25050, Ellens_additions!$A$2:$B$252, 2, FALSE) = "", "", VLOOKUP(AO25050, Ellens_additions!$A$2:$B$252, 2, FALSE)), 0), AP25050)</f>
        <v/>
      </c>
    </row>
    <row r="25051" spans="1:43" ht="14.4" hidden="1" x14ac:dyDescent="0.3">
      <c r="A25051" t="s">
        <v>3598</v>
      </c>
      <c r="B25051">
        <v>4893470</v>
      </c>
      <c r="C25051" t="s">
        <v>842</v>
      </c>
      <c r="D25051" t="s">
        <v>843</v>
      </c>
      <c r="E25051" t="s">
        <v>844</v>
      </c>
      <c r="F25051" t="s">
        <v>1278</v>
      </c>
      <c r="H25051" t="s">
        <v>3599</v>
      </c>
      <c r="J25051" t="s">
        <v>140</v>
      </c>
      <c r="K25051">
        <v>161384.64319999999</v>
      </c>
      <c r="L25051">
        <v>383105.44689999998</v>
      </c>
      <c r="N25051" t="s">
        <v>146</v>
      </c>
      <c r="O25051" t="s">
        <v>479</v>
      </c>
      <c r="P25051" t="s">
        <v>479</v>
      </c>
      <c r="Q25051" t="s">
        <v>144</v>
      </c>
      <c r="R25051" t="s">
        <v>145</v>
      </c>
      <c r="S25051">
        <v>0</v>
      </c>
      <c r="T25051">
        <v>0</v>
      </c>
      <c r="V25051" t="s">
        <v>146</v>
      </c>
      <c r="W25051" t="s">
        <v>415</v>
      </c>
      <c r="Y25051" t="s">
        <v>1301</v>
      </c>
      <c r="Z25051" t="s">
        <v>479</v>
      </c>
      <c r="AA25051" t="s">
        <v>519</v>
      </c>
      <c r="AB25051">
        <v>0</v>
      </c>
      <c r="AE25051" t="s">
        <v>550</v>
      </c>
      <c r="AF25051" t="s">
        <v>479</v>
      </c>
      <c r="AG25051" t="s">
        <v>737</v>
      </c>
      <c r="AL25051" t="s">
        <v>3600</v>
      </c>
      <c r="AM25051" t="s">
        <v>3601</v>
      </c>
      <c r="AN25051" t="s">
        <v>3602</v>
      </c>
      <c r="AO25051" t="s">
        <v>146</v>
      </c>
      <c r="AQ25051" t="str">
        <f>IF(ISBLANK(AP25051), IFERROR(IF(VLOOKUP(AO25051, Ellens_additions!$A$2:$B$252, 2, FALSE) = "", "", VLOOKUP(AO25051, Ellens_additions!$A$2:$B$252, 2, FALSE)), 0), AP25051)</f>
        <v/>
      </c>
    </row>
    <row r="25052" spans="1:43" ht="14.4" hidden="1" x14ac:dyDescent="0.3">
      <c r="A25052" t="s">
        <v>3603</v>
      </c>
      <c r="B25052">
        <v>4893472</v>
      </c>
      <c r="C25052" t="s">
        <v>842</v>
      </c>
      <c r="D25052" t="s">
        <v>843</v>
      </c>
      <c r="E25052" t="s">
        <v>844</v>
      </c>
      <c r="F25052" t="s">
        <v>1278</v>
      </c>
      <c r="H25052" t="s">
        <v>3604</v>
      </c>
      <c r="J25052" t="s">
        <v>140</v>
      </c>
      <c r="K25052">
        <v>161415.47510000001</v>
      </c>
      <c r="L25052">
        <v>383119.00020000001</v>
      </c>
      <c r="N25052" t="s">
        <v>146</v>
      </c>
      <c r="O25052" t="s">
        <v>479</v>
      </c>
      <c r="P25052" t="s">
        <v>479</v>
      </c>
      <c r="Q25052" t="s">
        <v>144</v>
      </c>
      <c r="R25052" t="s">
        <v>145</v>
      </c>
      <c r="S25052">
        <v>0</v>
      </c>
      <c r="T25052">
        <v>0</v>
      </c>
      <c r="V25052" t="s">
        <v>146</v>
      </c>
      <c r="W25052" t="s">
        <v>415</v>
      </c>
      <c r="Y25052" t="s">
        <v>1301</v>
      </c>
      <c r="Z25052" t="s">
        <v>479</v>
      </c>
      <c r="AA25052" t="s">
        <v>519</v>
      </c>
      <c r="AB25052">
        <v>0</v>
      </c>
      <c r="AE25052" t="s">
        <v>550</v>
      </c>
      <c r="AF25052" t="s">
        <v>479</v>
      </c>
      <c r="AG25052" t="s">
        <v>737</v>
      </c>
      <c r="AL25052" t="s">
        <v>3605</v>
      </c>
      <c r="AM25052" t="s">
        <v>3606</v>
      </c>
      <c r="AN25052" t="s">
        <v>3607</v>
      </c>
      <c r="AO25052" t="s">
        <v>146</v>
      </c>
      <c r="AQ25052" t="str">
        <f>IF(ISBLANK(AP25052), IFERROR(IF(VLOOKUP(AO25052, Ellens_additions!$A$2:$B$252, 2, FALSE) = "", "", VLOOKUP(AO25052, Ellens_additions!$A$2:$B$252, 2, FALSE)), 0), AP25052)</f>
        <v/>
      </c>
    </row>
    <row r="25053" spans="1:43" ht="14.4" x14ac:dyDescent="0.3"/>
    <row r="25054" spans="1:43" ht="14.4" hidden="1" x14ac:dyDescent="0.3">
      <c r="A25054" t="s">
        <v>3608</v>
      </c>
      <c r="B25054">
        <v>4893476</v>
      </c>
      <c r="C25054" t="s">
        <v>842</v>
      </c>
      <c r="D25054" t="s">
        <v>843</v>
      </c>
      <c r="E25054" t="s">
        <v>844</v>
      </c>
      <c r="F25054" t="s">
        <v>1299</v>
      </c>
      <c r="H25054" t="s">
        <v>3609</v>
      </c>
      <c r="J25054" t="s">
        <v>140</v>
      </c>
      <c r="K25054">
        <v>161421.48300000001</v>
      </c>
      <c r="L25054">
        <v>383119.60019999999</v>
      </c>
      <c r="N25054" t="s">
        <v>146</v>
      </c>
      <c r="O25054" t="s">
        <v>479</v>
      </c>
      <c r="P25054" t="s">
        <v>479</v>
      </c>
      <c r="Q25054" t="s">
        <v>144</v>
      </c>
      <c r="R25054" t="s">
        <v>145</v>
      </c>
      <c r="S25054">
        <v>0</v>
      </c>
      <c r="T25054">
        <v>0</v>
      </c>
      <c r="V25054" t="s">
        <v>146</v>
      </c>
      <c r="W25054" t="s">
        <v>415</v>
      </c>
      <c r="Y25054" t="s">
        <v>1301</v>
      </c>
      <c r="Z25054" t="s">
        <v>479</v>
      </c>
      <c r="AA25054" t="s">
        <v>519</v>
      </c>
      <c r="AB25054">
        <v>0</v>
      </c>
      <c r="AE25054" t="s">
        <v>550</v>
      </c>
      <c r="AF25054" t="s">
        <v>479</v>
      </c>
      <c r="AG25054" t="s">
        <v>737</v>
      </c>
      <c r="AL25054" t="s">
        <v>3610</v>
      </c>
      <c r="AM25054" t="s">
        <v>3611</v>
      </c>
      <c r="AN25054" t="s">
        <v>3612</v>
      </c>
      <c r="AO25054" t="s">
        <v>146</v>
      </c>
      <c r="AQ25054" t="str">
        <f>IF(ISBLANK(AP25054), IFERROR(IF(VLOOKUP(AO25054, Ellens_additions!$A$2:$B$252, 2, FALSE) = "", "", VLOOKUP(AO25054, Ellens_additions!$A$2:$B$252, 2, FALSE)), 0), AP25054)</f>
        <v/>
      </c>
    </row>
    <row r="25055" spans="1:43" ht="14.4" hidden="1" x14ac:dyDescent="0.3">
      <c r="A25055" t="s">
        <v>3613</v>
      </c>
      <c r="B25055">
        <v>4893479</v>
      </c>
      <c r="C25055" t="s">
        <v>842</v>
      </c>
      <c r="D25055" t="s">
        <v>843</v>
      </c>
      <c r="E25055" t="s">
        <v>844</v>
      </c>
      <c r="F25055" t="s">
        <v>1299</v>
      </c>
      <c r="H25055" t="s">
        <v>3614</v>
      </c>
      <c r="J25055" t="s">
        <v>140</v>
      </c>
      <c r="K25055">
        <v>161422.50150000001</v>
      </c>
      <c r="L25055">
        <v>383119.23609999998</v>
      </c>
      <c r="N25055" t="s">
        <v>146</v>
      </c>
      <c r="O25055" t="s">
        <v>479</v>
      </c>
      <c r="P25055" t="s">
        <v>479</v>
      </c>
      <c r="Q25055" t="s">
        <v>144</v>
      </c>
      <c r="R25055" t="s">
        <v>145</v>
      </c>
      <c r="S25055">
        <v>0</v>
      </c>
      <c r="T25055">
        <v>0</v>
      </c>
      <c r="V25055" t="s">
        <v>146</v>
      </c>
      <c r="W25055" t="s">
        <v>415</v>
      </c>
      <c r="Y25055" t="s">
        <v>1301</v>
      </c>
      <c r="Z25055" t="s">
        <v>479</v>
      </c>
      <c r="AA25055" t="s">
        <v>519</v>
      </c>
      <c r="AB25055">
        <v>0</v>
      </c>
      <c r="AE25055" t="s">
        <v>550</v>
      </c>
      <c r="AF25055" t="s">
        <v>479</v>
      </c>
      <c r="AG25055" t="s">
        <v>737</v>
      </c>
      <c r="AL25055" t="s">
        <v>3615</v>
      </c>
      <c r="AM25055" t="s">
        <v>3616</v>
      </c>
      <c r="AN25055" t="s">
        <v>3617</v>
      </c>
      <c r="AO25055" t="s">
        <v>146</v>
      </c>
      <c r="AQ25055" t="str">
        <f>IF(ISBLANK(AP25055), IFERROR(IF(VLOOKUP(AO25055, Ellens_additions!$A$2:$B$252, 2, FALSE) = "", "", VLOOKUP(AO25055, Ellens_additions!$A$2:$B$252, 2, FALSE)), 0), AP25055)</f>
        <v/>
      </c>
    </row>
    <row r="25056" spans="1:43" ht="14.4" hidden="1" x14ac:dyDescent="0.3">
      <c r="A25056" t="s">
        <v>3618</v>
      </c>
      <c r="B25056">
        <v>4893480</v>
      </c>
      <c r="C25056" t="s">
        <v>842</v>
      </c>
      <c r="D25056" t="s">
        <v>843</v>
      </c>
      <c r="E25056" t="s">
        <v>844</v>
      </c>
      <c r="F25056" t="s">
        <v>1299</v>
      </c>
      <c r="H25056" t="s">
        <v>3619</v>
      </c>
      <c r="J25056" t="s">
        <v>140</v>
      </c>
      <c r="K25056">
        <v>161431.39000000001</v>
      </c>
      <c r="L25056">
        <v>383106.1937</v>
      </c>
      <c r="N25056" t="s">
        <v>146</v>
      </c>
      <c r="O25056" t="s">
        <v>479</v>
      </c>
      <c r="P25056" t="s">
        <v>479</v>
      </c>
      <c r="Q25056" t="s">
        <v>144</v>
      </c>
      <c r="R25056" t="s">
        <v>145</v>
      </c>
      <c r="S25056">
        <v>0</v>
      </c>
      <c r="T25056">
        <v>0</v>
      </c>
      <c r="V25056" t="s">
        <v>146</v>
      </c>
      <c r="W25056" t="s">
        <v>415</v>
      </c>
      <c r="Y25056" t="s">
        <v>1301</v>
      </c>
      <c r="Z25056" t="s">
        <v>479</v>
      </c>
      <c r="AA25056" t="s">
        <v>519</v>
      </c>
      <c r="AB25056">
        <v>0</v>
      </c>
      <c r="AE25056" t="s">
        <v>550</v>
      </c>
      <c r="AF25056" t="s">
        <v>479</v>
      </c>
      <c r="AG25056" t="s">
        <v>737</v>
      </c>
      <c r="AL25056" t="s">
        <v>3620</v>
      </c>
      <c r="AM25056" t="s">
        <v>3621</v>
      </c>
      <c r="AN25056" t="s">
        <v>3622</v>
      </c>
      <c r="AO25056" t="s">
        <v>146</v>
      </c>
      <c r="AQ25056" t="str">
        <f>IF(ISBLANK(AP25056), IFERROR(IF(VLOOKUP(AO25056, Ellens_additions!$A$2:$B$252, 2, FALSE) = "", "", VLOOKUP(AO25056, Ellens_additions!$A$2:$B$252, 2, FALSE)), 0), AP25056)</f>
        <v/>
      </c>
    </row>
    <row r="25057" spans="1:43" ht="14.4" hidden="1" x14ac:dyDescent="0.3">
      <c r="A25057" t="s">
        <v>3623</v>
      </c>
      <c r="B25057">
        <v>4893486</v>
      </c>
      <c r="C25057" t="s">
        <v>842</v>
      </c>
      <c r="D25057" t="s">
        <v>843</v>
      </c>
      <c r="E25057" t="s">
        <v>844</v>
      </c>
      <c r="F25057" t="s">
        <v>1299</v>
      </c>
      <c r="H25057" t="s">
        <v>3624</v>
      </c>
      <c r="J25057" t="s">
        <v>140</v>
      </c>
      <c r="K25057">
        <v>161421.90270000001</v>
      </c>
      <c r="L25057">
        <v>383119.53850000002</v>
      </c>
      <c r="N25057" t="s">
        <v>146</v>
      </c>
      <c r="O25057" t="s">
        <v>479</v>
      </c>
      <c r="P25057" t="s">
        <v>479</v>
      </c>
      <c r="Q25057" t="s">
        <v>144</v>
      </c>
      <c r="R25057" t="s">
        <v>145</v>
      </c>
      <c r="S25057">
        <v>0</v>
      </c>
      <c r="T25057">
        <v>0</v>
      </c>
      <c r="V25057" t="s">
        <v>146</v>
      </c>
      <c r="W25057" t="s">
        <v>415</v>
      </c>
      <c r="Y25057" t="s">
        <v>1323</v>
      </c>
      <c r="Z25057" t="s">
        <v>479</v>
      </c>
      <c r="AA25057" t="s">
        <v>519</v>
      </c>
      <c r="AB25057">
        <v>0</v>
      </c>
      <c r="AE25057" t="s">
        <v>550</v>
      </c>
      <c r="AF25057" t="s">
        <v>479</v>
      </c>
      <c r="AG25057" t="s">
        <v>737</v>
      </c>
      <c r="AL25057" t="s">
        <v>3625</v>
      </c>
      <c r="AM25057" t="s">
        <v>3626</v>
      </c>
      <c r="AN25057" t="s">
        <v>3627</v>
      </c>
      <c r="AO25057" t="s">
        <v>146</v>
      </c>
      <c r="AQ25057" t="str">
        <f>IF(ISBLANK(AP25057), IFERROR(IF(VLOOKUP(AO25057, Ellens_additions!$A$2:$B$252, 2, FALSE) = "", "", VLOOKUP(AO25057, Ellens_additions!$A$2:$B$252, 2, FALSE)), 0), AP25057)</f>
        <v/>
      </c>
    </row>
    <row r="25058" spans="1:43" ht="14.4" hidden="1" x14ac:dyDescent="0.3">
      <c r="A25058" t="s">
        <v>3628</v>
      </c>
      <c r="B25058">
        <v>4893487</v>
      </c>
      <c r="C25058" t="s">
        <v>842</v>
      </c>
      <c r="D25058" t="s">
        <v>843</v>
      </c>
      <c r="E25058" t="s">
        <v>844</v>
      </c>
      <c r="F25058" t="s">
        <v>1299</v>
      </c>
      <c r="H25058" t="s">
        <v>3629</v>
      </c>
      <c r="J25058" t="s">
        <v>140</v>
      </c>
      <c r="K25058">
        <v>161421.84700000001</v>
      </c>
      <c r="L25058">
        <v>383120.61869999999</v>
      </c>
      <c r="N25058" t="s">
        <v>146</v>
      </c>
      <c r="O25058" t="s">
        <v>479</v>
      </c>
      <c r="P25058" t="s">
        <v>479</v>
      </c>
      <c r="Q25058" t="s">
        <v>144</v>
      </c>
      <c r="R25058" t="s">
        <v>145</v>
      </c>
      <c r="S25058">
        <v>0</v>
      </c>
      <c r="T25058">
        <v>0</v>
      </c>
      <c r="V25058" t="s">
        <v>146</v>
      </c>
      <c r="W25058" t="s">
        <v>415</v>
      </c>
      <c r="Y25058" t="s">
        <v>1323</v>
      </c>
      <c r="Z25058" t="s">
        <v>479</v>
      </c>
      <c r="AA25058" t="s">
        <v>519</v>
      </c>
      <c r="AB25058">
        <v>0</v>
      </c>
      <c r="AE25058" t="s">
        <v>550</v>
      </c>
      <c r="AF25058" t="s">
        <v>479</v>
      </c>
      <c r="AG25058" t="s">
        <v>737</v>
      </c>
      <c r="AL25058" t="s">
        <v>3630</v>
      </c>
      <c r="AM25058" t="s">
        <v>3631</v>
      </c>
      <c r="AN25058" t="s">
        <v>3632</v>
      </c>
      <c r="AO25058" t="s">
        <v>146</v>
      </c>
      <c r="AQ25058" t="str">
        <f>IF(ISBLANK(AP25058), IFERROR(IF(VLOOKUP(AO25058, Ellens_additions!$A$2:$B$252, 2, FALSE) = "", "", VLOOKUP(AO25058, Ellens_additions!$A$2:$B$252, 2, FALSE)), 0), AP25058)</f>
        <v/>
      </c>
    </row>
    <row r="25059" spans="1:43" ht="14.4" x14ac:dyDescent="0.3"/>
    <row r="25060" spans="1:43" ht="14.4" hidden="1" x14ac:dyDescent="0.3">
      <c r="A25060" t="s">
        <v>3633</v>
      </c>
      <c r="B25060">
        <v>4893498</v>
      </c>
      <c r="C25060" t="s">
        <v>842</v>
      </c>
      <c r="D25060" t="s">
        <v>843</v>
      </c>
      <c r="E25060" t="s">
        <v>844</v>
      </c>
      <c r="F25060" t="s">
        <v>1278</v>
      </c>
      <c r="H25060" t="s">
        <v>3634</v>
      </c>
      <c r="J25060" t="s">
        <v>140</v>
      </c>
      <c r="K25060">
        <v>161388.87220000001</v>
      </c>
      <c r="L25060">
        <v>383146.47859999997</v>
      </c>
      <c r="N25060" t="s">
        <v>1134</v>
      </c>
      <c r="O25060" t="s">
        <v>479</v>
      </c>
      <c r="P25060" t="s">
        <v>1341</v>
      </c>
      <c r="Q25060" t="s">
        <v>358</v>
      </c>
      <c r="R25060" t="s">
        <v>145</v>
      </c>
      <c r="S25060">
        <v>70</v>
      </c>
      <c r="T25060">
        <v>6600</v>
      </c>
      <c r="V25060" t="s">
        <v>359</v>
      </c>
      <c r="W25060" t="s">
        <v>415</v>
      </c>
      <c r="Y25060" t="s">
        <v>1342</v>
      </c>
      <c r="Z25060" t="s">
        <v>479</v>
      </c>
      <c r="AA25060" t="s">
        <v>737</v>
      </c>
      <c r="AB25060">
        <v>0</v>
      </c>
      <c r="AE25060" t="s">
        <v>550</v>
      </c>
      <c r="AF25060" t="s">
        <v>479</v>
      </c>
      <c r="AG25060" t="s">
        <v>737</v>
      </c>
      <c r="AL25060" t="s">
        <v>3635</v>
      </c>
      <c r="AM25060" t="s">
        <v>3636</v>
      </c>
      <c r="AN25060" t="s">
        <v>3637</v>
      </c>
      <c r="AO25060" t="s">
        <v>1134</v>
      </c>
      <c r="AQ25060" t="str">
        <f>IF(ISBLANK(AP25060), IFERROR(IF(VLOOKUP(AO25060, Ellens_additions!$A$2:$B$252, 2, FALSE) = "", "", VLOOKUP(AO25060, Ellens_additions!$A$2:$B$252, 2, FALSE)), 0), AP25060)</f>
        <v/>
      </c>
    </row>
    <row r="25061" spans="1:43" ht="14.4" x14ac:dyDescent="0.3"/>
    <row r="25062" spans="1:43" ht="14.4" hidden="1" x14ac:dyDescent="0.3">
      <c r="A25062" t="s">
        <v>3638</v>
      </c>
      <c r="B25062">
        <v>4893503</v>
      </c>
      <c r="C25062" t="s">
        <v>842</v>
      </c>
      <c r="D25062" t="s">
        <v>843</v>
      </c>
      <c r="E25062" t="s">
        <v>844</v>
      </c>
      <c r="F25062" t="s">
        <v>1299</v>
      </c>
      <c r="H25062" t="s">
        <v>3639</v>
      </c>
      <c r="J25062" t="s">
        <v>140</v>
      </c>
      <c r="K25062">
        <v>161452.64550000001</v>
      </c>
      <c r="L25062">
        <v>383127.37560000003</v>
      </c>
      <c r="N25062" t="s">
        <v>3640</v>
      </c>
      <c r="O25062" t="s">
        <v>479</v>
      </c>
      <c r="P25062" t="s">
        <v>3641</v>
      </c>
      <c r="Q25062" t="s">
        <v>474</v>
      </c>
      <c r="R25062" t="s">
        <v>145</v>
      </c>
      <c r="S25062">
        <v>250</v>
      </c>
      <c r="T25062">
        <v>28300</v>
      </c>
      <c r="V25062" t="s">
        <v>202</v>
      </c>
      <c r="W25062" t="s">
        <v>415</v>
      </c>
      <c r="X25062" t="s">
        <v>7</v>
      </c>
      <c r="Y25062" t="s">
        <v>3642</v>
      </c>
      <c r="Z25062" t="s">
        <v>479</v>
      </c>
      <c r="AA25062" t="s">
        <v>737</v>
      </c>
      <c r="AB25062">
        <v>0</v>
      </c>
      <c r="AE25062" t="s">
        <v>1335</v>
      </c>
      <c r="AF25062" t="s">
        <v>479</v>
      </c>
      <c r="AG25062" t="s">
        <v>737</v>
      </c>
      <c r="AL25062" t="s">
        <v>3643</v>
      </c>
      <c r="AM25062" t="s">
        <v>3644</v>
      </c>
      <c r="AN25062" t="s">
        <v>3645</v>
      </c>
      <c r="AO25062" t="s">
        <v>3640</v>
      </c>
      <c r="AQ25062">
        <f>IF(ISBLANK(AP25062), IFERROR(IF(VLOOKUP(AO25062, Ellens_additions!$A$2:$B$252, 2, FALSE) = "", "", VLOOKUP(AO25062, Ellens_additions!$A$2:$B$252, 2, FALSE)), 0), AP25062)</f>
        <v>0</v>
      </c>
    </row>
    <row r="25063" spans="1:43" ht="14.4" x14ac:dyDescent="0.3"/>
    <row r="25064" spans="1:43" ht="14.4" x14ac:dyDescent="0.3"/>
    <row r="25065" spans="1:43" ht="14.4" x14ac:dyDescent="0.3"/>
    <row r="25066" spans="1:43" ht="14.4" x14ac:dyDescent="0.3"/>
    <row r="25067" spans="1:43" ht="14.4" x14ac:dyDescent="0.3"/>
    <row r="25068" spans="1:43" ht="14.4" x14ac:dyDescent="0.3"/>
    <row r="25069" spans="1:43" ht="14.4" x14ac:dyDescent="0.3"/>
    <row r="25070" spans="1:43" ht="14.4" x14ac:dyDescent="0.3"/>
    <row r="25071" spans="1:43" ht="14.4" x14ac:dyDescent="0.3"/>
    <row r="25072" spans="1:43" ht="14.4" x14ac:dyDescent="0.3"/>
    <row r="25073" ht="14.4" x14ac:dyDescent="0.3"/>
    <row r="25074" ht="14.4" x14ac:dyDescent="0.3"/>
    <row r="25075" ht="14.4" x14ac:dyDescent="0.3"/>
    <row r="25076" ht="14.4" x14ac:dyDescent="0.3"/>
    <row r="25077" ht="14.4" x14ac:dyDescent="0.3"/>
    <row r="25078" ht="14.4" x14ac:dyDescent="0.3"/>
    <row r="25079" ht="14.4" x14ac:dyDescent="0.3"/>
    <row r="25080" ht="14.4" x14ac:dyDescent="0.3"/>
    <row r="25081" ht="14.4" x14ac:dyDescent="0.3"/>
    <row r="25082" ht="14.4" x14ac:dyDescent="0.3"/>
    <row r="25083" ht="14.4" x14ac:dyDescent="0.3"/>
    <row r="25084" ht="14.4" x14ac:dyDescent="0.3"/>
    <row r="25085" ht="14.4" x14ac:dyDescent="0.3"/>
    <row r="25086" ht="14.4" x14ac:dyDescent="0.3"/>
    <row r="25087" ht="14.4" x14ac:dyDescent="0.3"/>
    <row r="25088" ht="14.4" x14ac:dyDescent="0.3"/>
    <row r="25089" ht="14.4" x14ac:dyDescent="0.3"/>
    <row r="25090" ht="14.4" x14ac:dyDescent="0.3"/>
    <row r="25091" ht="14.4" x14ac:dyDescent="0.3"/>
    <row r="25092" ht="14.4" x14ac:dyDescent="0.3"/>
    <row r="25093" ht="14.4" x14ac:dyDescent="0.3"/>
    <row r="25094" ht="14.4" x14ac:dyDescent="0.3"/>
    <row r="25095" ht="14.4" x14ac:dyDescent="0.3"/>
    <row r="25096" ht="14.4" x14ac:dyDescent="0.3"/>
    <row r="25097" ht="14.4" x14ac:dyDescent="0.3"/>
    <row r="25098" ht="14.4" x14ac:dyDescent="0.3"/>
    <row r="25099" ht="14.4" x14ac:dyDescent="0.3"/>
    <row r="25100" ht="14.4" x14ac:dyDescent="0.3"/>
    <row r="25101" ht="14.4" x14ac:dyDescent="0.3"/>
    <row r="25102" ht="14.4" x14ac:dyDescent="0.3"/>
    <row r="25103" ht="14.4" x14ac:dyDescent="0.3"/>
    <row r="25104" ht="14.4" x14ac:dyDescent="0.3"/>
    <row r="25105" ht="14.4" x14ac:dyDescent="0.3"/>
    <row r="25106" ht="14.4" x14ac:dyDescent="0.3"/>
    <row r="25107" ht="14.4" x14ac:dyDescent="0.3"/>
    <row r="25108" ht="14.4" x14ac:dyDescent="0.3"/>
    <row r="25109" ht="14.4" x14ac:dyDescent="0.3"/>
    <row r="25110" ht="14.4" x14ac:dyDescent="0.3"/>
    <row r="25111" ht="14.4" x14ac:dyDescent="0.3"/>
    <row r="25112" ht="14.4" x14ac:dyDescent="0.3"/>
    <row r="25113" ht="14.4" x14ac:dyDescent="0.3"/>
    <row r="25114" ht="14.4" x14ac:dyDescent="0.3"/>
    <row r="25115" ht="14.4" x14ac:dyDescent="0.3"/>
    <row r="25116" ht="14.4" x14ac:dyDescent="0.3"/>
    <row r="25117" ht="14.4" x14ac:dyDescent="0.3"/>
    <row r="25118" ht="14.4" x14ac:dyDescent="0.3"/>
    <row r="25119" ht="14.4" x14ac:dyDescent="0.3"/>
    <row r="25120" ht="14.4" x14ac:dyDescent="0.3"/>
    <row r="25121" ht="14.4" x14ac:dyDescent="0.3"/>
    <row r="25122" ht="14.4" x14ac:dyDescent="0.3"/>
    <row r="25123" ht="14.4" x14ac:dyDescent="0.3"/>
    <row r="25124" ht="14.4" x14ac:dyDescent="0.3"/>
    <row r="25125" ht="14.4" x14ac:dyDescent="0.3"/>
    <row r="25126" ht="14.4" x14ac:dyDescent="0.3"/>
    <row r="25127" ht="14.4" x14ac:dyDescent="0.3"/>
    <row r="25128" ht="14.4" x14ac:dyDescent="0.3"/>
    <row r="25129" ht="14.4" x14ac:dyDescent="0.3"/>
    <row r="25130" ht="14.4" x14ac:dyDescent="0.3"/>
    <row r="25131" ht="14.4" x14ac:dyDescent="0.3"/>
    <row r="25132" ht="14.4" x14ac:dyDescent="0.3"/>
    <row r="25133" ht="14.4" x14ac:dyDescent="0.3"/>
    <row r="25134" ht="14.4" x14ac:dyDescent="0.3"/>
    <row r="25135" ht="14.4" x14ac:dyDescent="0.3"/>
    <row r="25136" ht="14.4" x14ac:dyDescent="0.3"/>
    <row r="25137" spans="1:43" ht="14.4" x14ac:dyDescent="0.3"/>
    <row r="25138" spans="1:43" ht="14.4" x14ac:dyDescent="0.3"/>
    <row r="25139" spans="1:43" ht="14.4" x14ac:dyDescent="0.3"/>
    <row r="25140" spans="1:43" ht="14.4" x14ac:dyDescent="0.3"/>
    <row r="25141" spans="1:43" ht="14.4" x14ac:dyDescent="0.3"/>
    <row r="25142" spans="1:43" ht="14.4" x14ac:dyDescent="0.3"/>
    <row r="25143" spans="1:43" ht="14.4" x14ac:dyDescent="0.3"/>
    <row r="25144" spans="1:43" ht="14.4" x14ac:dyDescent="0.3"/>
    <row r="25145" spans="1:43" ht="14.4" x14ac:dyDescent="0.3"/>
    <row r="25146" spans="1:43" ht="14.4" x14ac:dyDescent="0.3"/>
    <row r="25147" spans="1:43" ht="14.4" x14ac:dyDescent="0.3"/>
    <row r="25148" spans="1:43" ht="14.4" x14ac:dyDescent="0.3"/>
    <row r="25149" spans="1:43" ht="14.4" hidden="1" x14ac:dyDescent="0.3">
      <c r="A25149" t="s">
        <v>3646</v>
      </c>
      <c r="B25149">
        <v>4893755</v>
      </c>
      <c r="C25149" t="s">
        <v>1045</v>
      </c>
      <c r="D25149" t="s">
        <v>1059</v>
      </c>
      <c r="E25149" t="s">
        <v>1060</v>
      </c>
      <c r="F25149" t="s">
        <v>1355</v>
      </c>
      <c r="H25149" t="s">
        <v>320</v>
      </c>
      <c r="J25149" t="s">
        <v>140</v>
      </c>
      <c r="K25149">
        <v>158670.72899999999</v>
      </c>
      <c r="L25149">
        <v>381116.098</v>
      </c>
      <c r="M25149">
        <v>1</v>
      </c>
      <c r="N25149" t="s">
        <v>1356</v>
      </c>
      <c r="O25149" t="s">
        <v>877</v>
      </c>
      <c r="P25149" t="s">
        <v>1357</v>
      </c>
      <c r="Q25149" t="s">
        <v>761</v>
      </c>
      <c r="R25149" t="s">
        <v>145</v>
      </c>
      <c r="S25149">
        <v>8</v>
      </c>
      <c r="T25149">
        <v>340</v>
      </c>
      <c r="V25149" t="s">
        <v>1358</v>
      </c>
      <c r="W25149" t="s">
        <v>184</v>
      </c>
      <c r="X25149" t="s">
        <v>7</v>
      </c>
      <c r="Y25149" t="s">
        <v>1359</v>
      </c>
      <c r="Z25149" t="s">
        <v>1061</v>
      </c>
      <c r="AA25149" t="s">
        <v>1360</v>
      </c>
      <c r="AB25149">
        <v>40</v>
      </c>
      <c r="AC25149" t="s">
        <v>150</v>
      </c>
      <c r="AE25149" t="s">
        <v>550</v>
      </c>
      <c r="AF25149" t="s">
        <v>1061</v>
      </c>
      <c r="AG25149" t="s">
        <v>1086</v>
      </c>
      <c r="AL25149" t="s">
        <v>3647</v>
      </c>
      <c r="AM25149" t="s">
        <v>3648</v>
      </c>
      <c r="AN25149" t="s">
        <v>3649</v>
      </c>
      <c r="AO25149" t="s">
        <v>1356</v>
      </c>
      <c r="AQ25149">
        <f>IF(ISBLANK(AP25149), IFERROR(IF(VLOOKUP(AO25149, Ellens_additions!$A$2:$B$252, 2, FALSE) = "", "", VLOOKUP(AO25149, Ellens_additions!$A$2:$B$252, 2, FALSE)), 0), AP25149)</f>
        <v>0</v>
      </c>
    </row>
    <row r="25150" spans="1:43" ht="14.4" hidden="1" x14ac:dyDescent="0.3">
      <c r="A25150" t="s">
        <v>3650</v>
      </c>
      <c r="B25150">
        <v>4893756</v>
      </c>
      <c r="C25150" t="s">
        <v>1045</v>
      </c>
      <c r="D25150" t="s">
        <v>1059</v>
      </c>
      <c r="E25150" t="s">
        <v>1060</v>
      </c>
      <c r="F25150" t="s">
        <v>1355</v>
      </c>
      <c r="H25150" t="s">
        <v>368</v>
      </c>
      <c r="J25150" t="s">
        <v>140</v>
      </c>
      <c r="K25150">
        <v>158669.41200000001</v>
      </c>
      <c r="L25150">
        <v>381115.76199999999</v>
      </c>
      <c r="M25150">
        <v>1</v>
      </c>
      <c r="N25150" t="s">
        <v>1356</v>
      </c>
      <c r="O25150" t="s">
        <v>877</v>
      </c>
      <c r="P25150" t="s">
        <v>1357</v>
      </c>
      <c r="Q25150" t="s">
        <v>761</v>
      </c>
      <c r="R25150" t="s">
        <v>145</v>
      </c>
      <c r="S25150">
        <v>8</v>
      </c>
      <c r="T25150">
        <v>340</v>
      </c>
      <c r="V25150" t="s">
        <v>1358</v>
      </c>
      <c r="W25150" t="s">
        <v>184</v>
      </c>
      <c r="X25150" t="s">
        <v>7</v>
      </c>
      <c r="Y25150" t="s">
        <v>1359</v>
      </c>
      <c r="Z25150" t="s">
        <v>1061</v>
      </c>
      <c r="AA25150" t="s">
        <v>1360</v>
      </c>
      <c r="AB25150">
        <v>40</v>
      </c>
      <c r="AC25150" t="s">
        <v>150</v>
      </c>
      <c r="AE25150" t="s">
        <v>550</v>
      </c>
      <c r="AF25150" t="s">
        <v>1061</v>
      </c>
      <c r="AG25150" t="s">
        <v>1086</v>
      </c>
      <c r="AL25150" t="s">
        <v>3651</v>
      </c>
      <c r="AM25150" t="s">
        <v>3652</v>
      </c>
      <c r="AN25150" t="s">
        <v>3653</v>
      </c>
      <c r="AO25150" t="s">
        <v>1356</v>
      </c>
      <c r="AQ25150">
        <f>IF(ISBLANK(AP25150), IFERROR(IF(VLOOKUP(AO25150, Ellens_additions!$A$2:$B$252, 2, FALSE) = "", "", VLOOKUP(AO25150, Ellens_additions!$A$2:$B$252, 2, FALSE)), 0), AP25150)</f>
        <v>0</v>
      </c>
    </row>
    <row r="25151" spans="1:43" ht="14.4" hidden="1" x14ac:dyDescent="0.3">
      <c r="A25151" t="s">
        <v>3654</v>
      </c>
      <c r="B25151">
        <v>4893757</v>
      </c>
      <c r="C25151" t="s">
        <v>1045</v>
      </c>
      <c r="D25151" t="s">
        <v>1059</v>
      </c>
      <c r="E25151" t="s">
        <v>1060</v>
      </c>
      <c r="F25151" t="s">
        <v>1355</v>
      </c>
      <c r="H25151" t="s">
        <v>735</v>
      </c>
      <c r="J25151" t="s">
        <v>140</v>
      </c>
      <c r="K25151">
        <v>158669.41699999999</v>
      </c>
      <c r="L25151">
        <v>381105.98300000001</v>
      </c>
      <c r="M25151">
        <v>1</v>
      </c>
      <c r="N25151" t="s">
        <v>1356</v>
      </c>
      <c r="O25151" t="s">
        <v>877</v>
      </c>
      <c r="P25151" t="s">
        <v>1357</v>
      </c>
      <c r="Q25151" t="s">
        <v>761</v>
      </c>
      <c r="R25151" t="s">
        <v>145</v>
      </c>
      <c r="S25151">
        <v>8</v>
      </c>
      <c r="T25151">
        <v>340</v>
      </c>
      <c r="V25151" t="s">
        <v>1358</v>
      </c>
      <c r="W25151" t="s">
        <v>184</v>
      </c>
      <c r="X25151" t="s">
        <v>7</v>
      </c>
      <c r="Y25151" t="s">
        <v>1359</v>
      </c>
      <c r="Z25151" t="s">
        <v>1061</v>
      </c>
      <c r="AA25151" t="s">
        <v>1360</v>
      </c>
      <c r="AB25151">
        <v>40</v>
      </c>
      <c r="AC25151" t="s">
        <v>150</v>
      </c>
      <c r="AE25151" t="s">
        <v>550</v>
      </c>
      <c r="AF25151" t="s">
        <v>1061</v>
      </c>
      <c r="AG25151" t="s">
        <v>1086</v>
      </c>
      <c r="AL25151" t="s">
        <v>3655</v>
      </c>
      <c r="AM25151" t="s">
        <v>3656</v>
      </c>
      <c r="AN25151" t="s">
        <v>3657</v>
      </c>
      <c r="AO25151" t="s">
        <v>1356</v>
      </c>
      <c r="AQ25151">
        <f>IF(ISBLANK(AP25151), IFERROR(IF(VLOOKUP(AO25151, Ellens_additions!$A$2:$B$252, 2, FALSE) = "", "", VLOOKUP(AO25151, Ellens_additions!$A$2:$B$252, 2, FALSE)), 0), AP25151)</f>
        <v>0</v>
      </c>
    </row>
    <row r="25152" spans="1:43" ht="14.4" x14ac:dyDescent="0.3"/>
    <row r="25153" ht="14.4" x14ac:dyDescent="0.3"/>
    <row r="25154" ht="14.4" x14ac:dyDescent="0.3"/>
    <row r="25155" ht="14.4" x14ac:dyDescent="0.3"/>
    <row r="25156" ht="14.4" x14ac:dyDescent="0.3"/>
    <row r="25157" ht="14.4" x14ac:dyDescent="0.3"/>
    <row r="25158" ht="14.4" x14ac:dyDescent="0.3"/>
    <row r="25159" ht="14.4" x14ac:dyDescent="0.3"/>
    <row r="25160" ht="14.4" x14ac:dyDescent="0.3"/>
    <row r="25161" ht="14.4" x14ac:dyDescent="0.3"/>
    <row r="25162" ht="14.4" x14ac:dyDescent="0.3"/>
    <row r="25163" ht="14.4" x14ac:dyDescent="0.3"/>
    <row r="25164" ht="14.4" x14ac:dyDescent="0.3"/>
    <row r="25165" ht="14.4" x14ac:dyDescent="0.3"/>
    <row r="25166" ht="14.4" x14ac:dyDescent="0.3"/>
    <row r="25167" ht="14.4" x14ac:dyDescent="0.3"/>
    <row r="25168" ht="14.4" x14ac:dyDescent="0.3"/>
    <row r="25169" ht="14.4" x14ac:dyDescent="0.3"/>
    <row r="25170" ht="14.4" x14ac:dyDescent="0.3"/>
    <row r="25171" ht="14.4" x14ac:dyDescent="0.3"/>
    <row r="25172" ht="14.4" x14ac:dyDescent="0.3"/>
    <row r="25173" ht="14.4" x14ac:dyDescent="0.3"/>
    <row r="25174" ht="14.4" x14ac:dyDescent="0.3"/>
    <row r="25175" ht="14.4" x14ac:dyDescent="0.3"/>
    <row r="25176" ht="14.4" x14ac:dyDescent="0.3"/>
    <row r="25177" ht="14.4" x14ac:dyDescent="0.3"/>
    <row r="25178" ht="14.4" x14ac:dyDescent="0.3"/>
    <row r="25179" ht="14.4" x14ac:dyDescent="0.3"/>
    <row r="25180" ht="14.4" x14ac:dyDescent="0.3"/>
    <row r="25181" ht="14.4" x14ac:dyDescent="0.3"/>
    <row r="25182" ht="14.4" x14ac:dyDescent="0.3"/>
    <row r="25183" ht="14.4" x14ac:dyDescent="0.3"/>
    <row r="25184" ht="14.4" x14ac:dyDescent="0.3"/>
    <row r="25185" ht="14.4" x14ac:dyDescent="0.3"/>
    <row r="25186" ht="14.4" x14ac:dyDescent="0.3"/>
    <row r="25187" ht="14.4" x14ac:dyDescent="0.3"/>
    <row r="25188" ht="14.4" x14ac:dyDescent="0.3"/>
    <row r="25189" ht="14.4" x14ac:dyDescent="0.3"/>
    <row r="25190" ht="14.4" x14ac:dyDescent="0.3"/>
    <row r="25191" ht="14.4" x14ac:dyDescent="0.3"/>
    <row r="25192" ht="14.4" x14ac:dyDescent="0.3"/>
    <row r="25193" ht="14.4" x14ac:dyDescent="0.3"/>
    <row r="25194" ht="14.4" x14ac:dyDescent="0.3"/>
    <row r="25195" ht="14.4" x14ac:dyDescent="0.3"/>
    <row r="25196" ht="14.4" x14ac:dyDescent="0.3"/>
    <row r="25197" ht="14.4" x14ac:dyDescent="0.3"/>
    <row r="25198" ht="14.4" x14ac:dyDescent="0.3"/>
    <row r="25199" ht="14.4" x14ac:dyDescent="0.3"/>
    <row r="25200" ht="14.4" x14ac:dyDescent="0.3"/>
    <row r="25201" ht="14.4" x14ac:dyDescent="0.3"/>
    <row r="25202" ht="14.4" x14ac:dyDescent="0.3"/>
    <row r="25203" ht="14.4" x14ac:dyDescent="0.3"/>
    <row r="25204" ht="14.4" x14ac:dyDescent="0.3"/>
    <row r="25205" ht="14.4" x14ac:dyDescent="0.3"/>
    <row r="25206" ht="14.4" x14ac:dyDescent="0.3"/>
    <row r="25207" ht="14.4" x14ac:dyDescent="0.3"/>
    <row r="25208" ht="14.4" x14ac:dyDescent="0.3"/>
    <row r="25209" ht="14.4" x14ac:dyDescent="0.3"/>
    <row r="25210" ht="14.4" x14ac:dyDescent="0.3"/>
    <row r="25211" ht="14.4" x14ac:dyDescent="0.3"/>
    <row r="25212" ht="14.4" x14ac:dyDescent="0.3"/>
    <row r="25213" ht="14.4" x14ac:dyDescent="0.3"/>
    <row r="25214" ht="14.4" x14ac:dyDescent="0.3"/>
    <row r="25215" ht="14.4" x14ac:dyDescent="0.3"/>
    <row r="25216" ht="14.4" x14ac:dyDescent="0.3"/>
    <row r="25217" ht="14.4" x14ac:dyDescent="0.3"/>
    <row r="25218" ht="14.4" x14ac:dyDescent="0.3"/>
    <row r="25219" ht="14.4" x14ac:dyDescent="0.3"/>
    <row r="25220" ht="14.4" x14ac:dyDescent="0.3"/>
    <row r="25221" ht="14.4" x14ac:dyDescent="0.3"/>
    <row r="25222" ht="14.4" x14ac:dyDescent="0.3"/>
    <row r="25223" ht="14.4" x14ac:dyDescent="0.3"/>
    <row r="25224" ht="14.4" x14ac:dyDescent="0.3"/>
    <row r="25225" ht="14.4" x14ac:dyDescent="0.3"/>
    <row r="25226" ht="14.4" x14ac:dyDescent="0.3"/>
    <row r="25227" ht="14.4" x14ac:dyDescent="0.3"/>
    <row r="25228" ht="14.4" x14ac:dyDescent="0.3"/>
    <row r="25229" ht="14.4" x14ac:dyDescent="0.3"/>
    <row r="25230" ht="14.4" x14ac:dyDescent="0.3"/>
    <row r="25231" ht="14.4" x14ac:dyDescent="0.3"/>
    <row r="25232" ht="14.4" x14ac:dyDescent="0.3"/>
    <row r="25233" ht="14.4" x14ac:dyDescent="0.3"/>
    <row r="25234" ht="14.4" x14ac:dyDescent="0.3"/>
    <row r="25235" ht="14.4" x14ac:dyDescent="0.3"/>
    <row r="25236" ht="14.4" x14ac:dyDescent="0.3"/>
    <row r="25237" ht="14.4" x14ac:dyDescent="0.3"/>
    <row r="25238" ht="14.4" x14ac:dyDescent="0.3"/>
    <row r="25239" ht="14.4" x14ac:dyDescent="0.3"/>
    <row r="25240" ht="14.4" x14ac:dyDescent="0.3"/>
    <row r="25241" ht="14.4" x14ac:dyDescent="0.3"/>
    <row r="25242" ht="14.4" x14ac:dyDescent="0.3"/>
    <row r="25243" ht="14.4" x14ac:dyDescent="0.3"/>
    <row r="25244" ht="14.4" x14ac:dyDescent="0.3"/>
    <row r="25245" ht="14.4" x14ac:dyDescent="0.3"/>
    <row r="25246" ht="14.4" x14ac:dyDescent="0.3"/>
    <row r="25247" ht="14.4" x14ac:dyDescent="0.3"/>
    <row r="25248" ht="14.4" x14ac:dyDescent="0.3"/>
    <row r="25249" ht="14.4" x14ac:dyDescent="0.3"/>
    <row r="25250" ht="14.4" x14ac:dyDescent="0.3"/>
    <row r="25251" ht="14.4" x14ac:dyDescent="0.3"/>
    <row r="25252" ht="14.4" x14ac:dyDescent="0.3"/>
    <row r="25253" ht="14.4" x14ac:dyDescent="0.3"/>
    <row r="25254" ht="14.4" x14ac:dyDescent="0.3"/>
    <row r="25255" ht="14.4" x14ac:dyDescent="0.3"/>
    <row r="25256" ht="14.4" x14ac:dyDescent="0.3"/>
    <row r="25257" ht="14.4" x14ac:dyDescent="0.3"/>
    <row r="25258" ht="14.4" x14ac:dyDescent="0.3"/>
    <row r="25259" ht="14.4" x14ac:dyDescent="0.3"/>
    <row r="25260" ht="14.4" x14ac:dyDescent="0.3"/>
    <row r="25261" ht="14.4" x14ac:dyDescent="0.3"/>
    <row r="25262" ht="14.4" x14ac:dyDescent="0.3"/>
    <row r="25263" ht="14.4" x14ac:dyDescent="0.3"/>
    <row r="25264" ht="14.4" x14ac:dyDescent="0.3"/>
    <row r="25265" ht="14.4" x14ac:dyDescent="0.3"/>
    <row r="25266" ht="14.4" x14ac:dyDescent="0.3"/>
    <row r="25267" ht="14.4" x14ac:dyDescent="0.3"/>
    <row r="25268" ht="14.4" x14ac:dyDescent="0.3"/>
    <row r="25269" ht="14.4" x14ac:dyDescent="0.3"/>
    <row r="25270" ht="14.4" x14ac:dyDescent="0.3"/>
    <row r="25271" ht="14.4" x14ac:dyDescent="0.3"/>
    <row r="25272" ht="14.4" x14ac:dyDescent="0.3"/>
    <row r="25273" ht="14.4" x14ac:dyDescent="0.3"/>
    <row r="25274" ht="14.4" x14ac:dyDescent="0.3"/>
    <row r="25275" ht="14.4" x14ac:dyDescent="0.3"/>
    <row r="25276" ht="14.4" x14ac:dyDescent="0.3"/>
    <row r="25277" ht="14.4" x14ac:dyDescent="0.3"/>
    <row r="25278" ht="14.4" x14ac:dyDescent="0.3"/>
    <row r="25279" ht="14.4" x14ac:dyDescent="0.3"/>
    <row r="25280" ht="14.4" x14ac:dyDescent="0.3"/>
    <row r="25281" ht="14.4" x14ac:dyDescent="0.3"/>
    <row r="25282" ht="14.4" x14ac:dyDescent="0.3"/>
    <row r="25283" ht="14.4" x14ac:dyDescent="0.3"/>
    <row r="25284" ht="14.4" x14ac:dyDescent="0.3"/>
    <row r="25285" ht="14.4" x14ac:dyDescent="0.3"/>
    <row r="25286" ht="14.4" x14ac:dyDescent="0.3"/>
    <row r="25287" ht="14.4" x14ac:dyDescent="0.3"/>
    <row r="25288" ht="14.4" x14ac:dyDescent="0.3"/>
    <row r="25289" ht="14.4" x14ac:dyDescent="0.3"/>
    <row r="25290" ht="14.4" x14ac:dyDescent="0.3"/>
    <row r="25291" ht="14.4" x14ac:dyDescent="0.3"/>
    <row r="25292" ht="14.4" x14ac:dyDescent="0.3"/>
    <row r="25293" ht="14.4" x14ac:dyDescent="0.3"/>
    <row r="25294" ht="14.4" x14ac:dyDescent="0.3"/>
    <row r="25295" ht="14.4" x14ac:dyDescent="0.3"/>
    <row r="25296" ht="14.4" x14ac:dyDescent="0.3"/>
    <row r="25297" ht="14.4" x14ac:dyDescent="0.3"/>
    <row r="25298" ht="14.4" x14ac:dyDescent="0.3"/>
    <row r="25299" ht="14.4" x14ac:dyDescent="0.3"/>
    <row r="25300" ht="14.4" x14ac:dyDescent="0.3"/>
    <row r="25301" ht="14.4" x14ac:dyDescent="0.3"/>
    <row r="25302" ht="14.4" x14ac:dyDescent="0.3"/>
    <row r="25303" ht="14.4" x14ac:dyDescent="0.3"/>
    <row r="25304" ht="14.4" x14ac:dyDescent="0.3"/>
    <row r="25305" ht="14.4" x14ac:dyDescent="0.3"/>
    <row r="25306" ht="14.4" x14ac:dyDescent="0.3"/>
    <row r="25307" ht="14.4" x14ac:dyDescent="0.3"/>
    <row r="25308" ht="14.4" x14ac:dyDescent="0.3"/>
    <row r="25309" ht="14.4" x14ac:dyDescent="0.3"/>
    <row r="25310" ht="14.4" x14ac:dyDescent="0.3"/>
    <row r="25311" ht="14.4" x14ac:dyDescent="0.3"/>
    <row r="25312" ht="14.4" x14ac:dyDescent="0.3"/>
    <row r="25313" spans="1:43" ht="14.4" x14ac:dyDescent="0.3"/>
    <row r="25314" spans="1:43" ht="14.4" x14ac:dyDescent="0.3"/>
    <row r="25315" spans="1:43" ht="14.4" x14ac:dyDescent="0.3"/>
    <row r="25316" spans="1:43" ht="14.4" x14ac:dyDescent="0.3"/>
    <row r="25317" spans="1:43" ht="14.4" x14ac:dyDescent="0.3"/>
    <row r="25318" spans="1:43" ht="14.4" x14ac:dyDescent="0.3"/>
    <row r="25319" spans="1:43" ht="14.4" x14ac:dyDescent="0.3"/>
    <row r="25320" spans="1:43" ht="14.4" x14ac:dyDescent="0.3"/>
    <row r="25321" spans="1:43" ht="14.4" x14ac:dyDescent="0.3"/>
    <row r="25322" spans="1:43" ht="14.4" x14ac:dyDescent="0.3"/>
    <row r="25323" spans="1:43" ht="14.4" hidden="1" x14ac:dyDescent="0.3">
      <c r="A25323" t="s">
        <v>3658</v>
      </c>
      <c r="B25323">
        <v>4901712</v>
      </c>
      <c r="C25323" t="s">
        <v>968</v>
      </c>
      <c r="D25323" t="s">
        <v>1078</v>
      </c>
      <c r="E25323" t="s">
        <v>1241</v>
      </c>
      <c r="F25323" t="s">
        <v>3659</v>
      </c>
      <c r="H25323" t="s">
        <v>3660</v>
      </c>
      <c r="J25323" t="s">
        <v>140</v>
      </c>
      <c r="K25323">
        <v>161031.67199999999</v>
      </c>
      <c r="L25323">
        <v>379936.53</v>
      </c>
      <c r="M25323">
        <v>1</v>
      </c>
      <c r="N25323" t="s">
        <v>357</v>
      </c>
      <c r="O25323" t="s">
        <v>684</v>
      </c>
      <c r="P25323" t="s">
        <v>1232</v>
      </c>
      <c r="Q25323" t="s">
        <v>358</v>
      </c>
      <c r="R25323" t="s">
        <v>145</v>
      </c>
      <c r="S25323">
        <v>150</v>
      </c>
      <c r="T25323">
        <v>14000</v>
      </c>
      <c r="V25323" t="s">
        <v>359</v>
      </c>
      <c r="W25323" t="s">
        <v>184</v>
      </c>
      <c r="Y25323" t="s">
        <v>1225</v>
      </c>
      <c r="Z25323" t="s">
        <v>1515</v>
      </c>
      <c r="AA25323" t="s">
        <v>1516</v>
      </c>
      <c r="AB25323">
        <v>0</v>
      </c>
      <c r="AE25323" t="s">
        <v>188</v>
      </c>
      <c r="AF25323" t="s">
        <v>566</v>
      </c>
      <c r="AG25323" t="s">
        <v>1949</v>
      </c>
      <c r="AL25323" t="s">
        <v>3661</v>
      </c>
      <c r="AM25323" t="s">
        <v>3662</v>
      </c>
      <c r="AN25323" t="s">
        <v>3663</v>
      </c>
      <c r="AO25323" t="s">
        <v>357</v>
      </c>
      <c r="AQ25323" t="str">
        <f>IF(ISBLANK(AP25323), IFERROR(IF(VLOOKUP(AO25323, Ellens_additions!$A$2:$B$252, 2, FALSE) = "", "", VLOOKUP(AO25323, Ellens_additions!$A$2:$B$252, 2, FALSE)), 0), AP25323)</f>
        <v/>
      </c>
    </row>
    <row r="25324" spans="1:43" ht="14.4" x14ac:dyDescent="0.3"/>
    <row r="25325" spans="1:43" ht="14.4" x14ac:dyDescent="0.3"/>
    <row r="25326" spans="1:43" ht="14.4" x14ac:dyDescent="0.3"/>
    <row r="25327" spans="1:43" ht="14.4" x14ac:dyDescent="0.3"/>
    <row r="25328" spans="1:43" ht="14.4" x14ac:dyDescent="0.3"/>
    <row r="25329" ht="14.4" x14ac:dyDescent="0.3"/>
    <row r="25330" ht="14.4" x14ac:dyDescent="0.3"/>
    <row r="25331" ht="14.4" x14ac:dyDescent="0.3"/>
    <row r="25332" ht="14.4" x14ac:dyDescent="0.3"/>
    <row r="25333" ht="14.4" x14ac:dyDescent="0.3"/>
    <row r="25334" ht="14.4" x14ac:dyDescent="0.3"/>
    <row r="25335" ht="14.4" x14ac:dyDescent="0.3"/>
    <row r="25336" ht="14.4" x14ac:dyDescent="0.3"/>
    <row r="25337" ht="14.4" x14ac:dyDescent="0.3"/>
    <row r="25338" ht="14.4" x14ac:dyDescent="0.3"/>
    <row r="25339" ht="14.4" x14ac:dyDescent="0.3"/>
    <row r="25340" ht="14.4" x14ac:dyDescent="0.3"/>
    <row r="25341" ht="14.4" x14ac:dyDescent="0.3"/>
    <row r="25342" ht="14.4" x14ac:dyDescent="0.3"/>
    <row r="25343" ht="14.4" x14ac:dyDescent="0.3"/>
    <row r="25344" ht="14.4" x14ac:dyDescent="0.3"/>
    <row r="25345" ht="14.4" x14ac:dyDescent="0.3"/>
    <row r="25346" ht="14.4" x14ac:dyDescent="0.3"/>
    <row r="25347" ht="14.4" x14ac:dyDescent="0.3"/>
    <row r="25348" ht="14.4" x14ac:dyDescent="0.3"/>
    <row r="25349" ht="14.4" x14ac:dyDescent="0.3"/>
    <row r="25350" ht="14.4" x14ac:dyDescent="0.3"/>
    <row r="25351" ht="14.4" x14ac:dyDescent="0.3"/>
    <row r="25352" ht="14.4" x14ac:dyDescent="0.3"/>
    <row r="25353" ht="14.4" x14ac:dyDescent="0.3"/>
    <row r="25354" ht="14.4" x14ac:dyDescent="0.3"/>
    <row r="25355" ht="14.4" x14ac:dyDescent="0.3"/>
    <row r="25356" ht="14.4" x14ac:dyDescent="0.3"/>
    <row r="25357" ht="14.4" x14ac:dyDescent="0.3"/>
    <row r="25358" ht="14.4" x14ac:dyDescent="0.3"/>
    <row r="25359" ht="14.4" x14ac:dyDescent="0.3"/>
    <row r="25360" ht="14.4" x14ac:dyDescent="0.3"/>
    <row r="25361" ht="14.4" x14ac:dyDescent="0.3"/>
    <row r="25362" ht="14.4" x14ac:dyDescent="0.3"/>
    <row r="25363" ht="14.4" x14ac:dyDescent="0.3"/>
    <row r="25364" ht="14.4" x14ac:dyDescent="0.3"/>
    <row r="25365" ht="14.4" x14ac:dyDescent="0.3"/>
    <row r="25366" ht="14.4" x14ac:dyDescent="0.3"/>
    <row r="25367" ht="14.4" x14ac:dyDescent="0.3"/>
    <row r="25368" ht="14.4" x14ac:dyDescent="0.3"/>
    <row r="25369" ht="14.4" x14ac:dyDescent="0.3"/>
    <row r="25370" ht="14.4" x14ac:dyDescent="0.3"/>
    <row r="25371" ht="14.4" x14ac:dyDescent="0.3"/>
    <row r="25372" ht="14.4" x14ac:dyDescent="0.3"/>
    <row r="25373" ht="14.4" x14ac:dyDescent="0.3"/>
    <row r="25374" ht="14.4" x14ac:dyDescent="0.3"/>
    <row r="25375" ht="14.4" x14ac:dyDescent="0.3"/>
    <row r="25376" ht="14.4" x14ac:dyDescent="0.3"/>
    <row r="25377" ht="14.4" x14ac:dyDescent="0.3"/>
    <row r="25378" ht="14.4" x14ac:dyDescent="0.3"/>
    <row r="25379" ht="14.4" x14ac:dyDescent="0.3"/>
    <row r="25380" ht="14.4" x14ac:dyDescent="0.3"/>
    <row r="25381" ht="14.4" x14ac:dyDescent="0.3"/>
    <row r="25382" ht="14.4" x14ac:dyDescent="0.3"/>
    <row r="25383" ht="14.4" x14ac:dyDescent="0.3"/>
    <row r="25384" ht="14.4" x14ac:dyDescent="0.3"/>
    <row r="25385" ht="14.4" x14ac:dyDescent="0.3"/>
    <row r="25386" ht="14.4" x14ac:dyDescent="0.3"/>
    <row r="25387" ht="14.4" x14ac:dyDescent="0.3"/>
    <row r="25388" ht="14.4" x14ac:dyDescent="0.3"/>
    <row r="25389" ht="14.4" x14ac:dyDescent="0.3"/>
    <row r="25390" ht="14.4" x14ac:dyDescent="0.3"/>
    <row r="25391" ht="14.4" x14ac:dyDescent="0.3"/>
    <row r="25392" ht="14.4" x14ac:dyDescent="0.3"/>
    <row r="25393" ht="14.4" x14ac:dyDescent="0.3"/>
    <row r="25394" ht="14.4" x14ac:dyDescent="0.3"/>
    <row r="25395" ht="14.4" x14ac:dyDescent="0.3"/>
    <row r="25396" ht="14.4" x14ac:dyDescent="0.3"/>
    <row r="25397" ht="14.4" x14ac:dyDescent="0.3"/>
    <row r="25398" ht="14.4" x14ac:dyDescent="0.3"/>
    <row r="25399" ht="14.4" x14ac:dyDescent="0.3"/>
    <row r="25400" ht="14.4" x14ac:dyDescent="0.3"/>
    <row r="25401" ht="14.4" x14ac:dyDescent="0.3"/>
    <row r="25402" ht="14.4" x14ac:dyDescent="0.3"/>
    <row r="25403" ht="14.4" x14ac:dyDescent="0.3"/>
    <row r="25404" ht="14.4" x14ac:dyDescent="0.3"/>
    <row r="25405" ht="14.4" x14ac:dyDescent="0.3"/>
    <row r="25406" ht="14.4" x14ac:dyDescent="0.3"/>
    <row r="25407" ht="14.4" x14ac:dyDescent="0.3"/>
    <row r="25408" ht="14.4" x14ac:dyDescent="0.3"/>
    <row r="25409" ht="14.4" x14ac:dyDescent="0.3"/>
    <row r="25410" ht="14.4" x14ac:dyDescent="0.3"/>
    <row r="25411" ht="14.4" x14ac:dyDescent="0.3"/>
    <row r="25412" ht="14.4" x14ac:dyDescent="0.3"/>
    <row r="25413" ht="14.4" x14ac:dyDescent="0.3"/>
    <row r="25414" ht="14.4" x14ac:dyDescent="0.3"/>
    <row r="25415" ht="14.4" x14ac:dyDescent="0.3"/>
    <row r="25416" ht="14.4" x14ac:dyDescent="0.3"/>
    <row r="25417" ht="14.4" x14ac:dyDescent="0.3"/>
    <row r="25418" ht="14.4" x14ac:dyDescent="0.3"/>
    <row r="25419" ht="14.4" x14ac:dyDescent="0.3"/>
    <row r="25420" ht="14.4" x14ac:dyDescent="0.3"/>
    <row r="25421" ht="14.4" x14ac:dyDescent="0.3"/>
    <row r="25422" ht="14.4" x14ac:dyDescent="0.3"/>
    <row r="25423" ht="14.4" x14ac:dyDescent="0.3"/>
    <row r="25424" ht="14.4" x14ac:dyDescent="0.3"/>
    <row r="25425" ht="14.4" x14ac:dyDescent="0.3"/>
    <row r="25426" ht="14.4" x14ac:dyDescent="0.3"/>
    <row r="25427" ht="14.4" x14ac:dyDescent="0.3"/>
    <row r="25428" ht="14.4" x14ac:dyDescent="0.3"/>
    <row r="25429" ht="14.4" x14ac:dyDescent="0.3"/>
    <row r="25430" ht="14.4" x14ac:dyDescent="0.3"/>
    <row r="25431" ht="14.4" x14ac:dyDescent="0.3"/>
    <row r="25432" ht="14.4" x14ac:dyDescent="0.3"/>
    <row r="25433" ht="14.4" x14ac:dyDescent="0.3"/>
    <row r="25434" ht="14.4" x14ac:dyDescent="0.3"/>
    <row r="25435" ht="14.4" x14ac:dyDescent="0.3"/>
    <row r="25436" ht="14.4" x14ac:dyDescent="0.3"/>
    <row r="25437" ht="14.4" x14ac:dyDescent="0.3"/>
    <row r="25438" ht="14.4" x14ac:dyDescent="0.3"/>
    <row r="25439" ht="14.4" x14ac:dyDescent="0.3"/>
    <row r="25440" ht="14.4" x14ac:dyDescent="0.3"/>
    <row r="25441" ht="14.4" x14ac:dyDescent="0.3"/>
    <row r="25442" ht="14.4" x14ac:dyDescent="0.3"/>
    <row r="25443" ht="14.4" x14ac:dyDescent="0.3"/>
    <row r="25444" ht="14.4" x14ac:dyDescent="0.3"/>
    <row r="25445" ht="14.4" x14ac:dyDescent="0.3"/>
    <row r="25446" ht="14.4" x14ac:dyDescent="0.3"/>
    <row r="25447" ht="14.4" x14ac:dyDescent="0.3"/>
    <row r="25448" ht="14.4" x14ac:dyDescent="0.3"/>
    <row r="25449" ht="14.4" x14ac:dyDescent="0.3"/>
    <row r="25450" ht="14.4" x14ac:dyDescent="0.3"/>
    <row r="25451" ht="14.4" x14ac:dyDescent="0.3"/>
    <row r="25452" ht="14.4" x14ac:dyDescent="0.3"/>
    <row r="25453" ht="14.4" x14ac:dyDescent="0.3"/>
    <row r="25454" ht="14.4" x14ac:dyDescent="0.3"/>
    <row r="25455" ht="14.4" x14ac:dyDescent="0.3"/>
    <row r="25456" ht="14.4" x14ac:dyDescent="0.3"/>
    <row r="25457" ht="14.4" x14ac:dyDescent="0.3"/>
    <row r="25458" ht="14.4" x14ac:dyDescent="0.3"/>
    <row r="25459" ht="14.4" x14ac:dyDescent="0.3"/>
    <row r="25460" ht="14.4" x14ac:dyDescent="0.3"/>
    <row r="25461" ht="14.4" x14ac:dyDescent="0.3"/>
    <row r="25462" ht="14.4" x14ac:dyDescent="0.3"/>
    <row r="25463" ht="14.4" x14ac:dyDescent="0.3"/>
    <row r="25464" ht="14.4" x14ac:dyDescent="0.3"/>
    <row r="25465" ht="14.4" x14ac:dyDescent="0.3"/>
    <row r="25466" ht="14.4" x14ac:dyDescent="0.3"/>
    <row r="25467" ht="14.4" x14ac:dyDescent="0.3"/>
    <row r="25468" ht="14.4" x14ac:dyDescent="0.3"/>
    <row r="25469" ht="14.4" x14ac:dyDescent="0.3"/>
    <row r="25470" ht="14.4" x14ac:dyDescent="0.3"/>
    <row r="25471" ht="14.4" x14ac:dyDescent="0.3"/>
    <row r="25472" ht="14.4" x14ac:dyDescent="0.3"/>
    <row r="25473" ht="14.4" x14ac:dyDescent="0.3"/>
    <row r="25474" ht="14.4" x14ac:dyDescent="0.3"/>
    <row r="25475" ht="14.4" x14ac:dyDescent="0.3"/>
    <row r="25476" ht="14.4" x14ac:dyDescent="0.3"/>
    <row r="25477" ht="14.4" x14ac:dyDescent="0.3"/>
    <row r="25478" ht="14.4" x14ac:dyDescent="0.3"/>
    <row r="25479" ht="14.4" x14ac:dyDescent="0.3"/>
    <row r="25480" ht="14.4" x14ac:dyDescent="0.3"/>
    <row r="25481" ht="14.4" x14ac:dyDescent="0.3"/>
    <row r="25482" ht="14.4" x14ac:dyDescent="0.3"/>
    <row r="25483" ht="14.4" x14ac:dyDescent="0.3"/>
    <row r="25484" ht="14.4" x14ac:dyDescent="0.3"/>
    <row r="25485" ht="14.4" x14ac:dyDescent="0.3"/>
    <row r="25486" ht="14.4" x14ac:dyDescent="0.3"/>
    <row r="25487" ht="14.4" x14ac:dyDescent="0.3"/>
    <row r="25488" ht="14.4" x14ac:dyDescent="0.3"/>
    <row r="25489" ht="14.4" x14ac:dyDescent="0.3"/>
    <row r="25490" ht="14.4" x14ac:dyDescent="0.3"/>
    <row r="25491" ht="14.4" x14ac:dyDescent="0.3"/>
    <row r="25492" ht="14.4" x14ac:dyDescent="0.3"/>
    <row r="25493" ht="14.4" x14ac:dyDescent="0.3"/>
    <row r="25494" ht="14.4" x14ac:dyDescent="0.3"/>
    <row r="25495" ht="14.4" x14ac:dyDescent="0.3"/>
    <row r="25496" ht="14.4" x14ac:dyDescent="0.3"/>
    <row r="25497" ht="14.4" x14ac:dyDescent="0.3"/>
    <row r="25498" ht="14.4" x14ac:dyDescent="0.3"/>
    <row r="25499" ht="14.4" x14ac:dyDescent="0.3"/>
    <row r="25500" ht="14.4" x14ac:dyDescent="0.3"/>
    <row r="25501" ht="14.4" x14ac:dyDescent="0.3"/>
    <row r="25502" ht="14.4" x14ac:dyDescent="0.3"/>
    <row r="25503" ht="14.4" x14ac:dyDescent="0.3"/>
    <row r="25504" ht="14.4" x14ac:dyDescent="0.3"/>
    <row r="25505" ht="14.4" x14ac:dyDescent="0.3"/>
    <row r="25506" ht="14.4" x14ac:dyDescent="0.3"/>
    <row r="25507" ht="14.4" x14ac:dyDescent="0.3"/>
    <row r="25508" ht="14.4" x14ac:dyDescent="0.3"/>
    <row r="25509" ht="14.4" x14ac:dyDescent="0.3"/>
    <row r="25510" ht="14.4" x14ac:dyDescent="0.3"/>
    <row r="25511" ht="14.4" x14ac:dyDescent="0.3"/>
    <row r="25512" ht="14.4" x14ac:dyDescent="0.3"/>
    <row r="25513" ht="14.4" x14ac:dyDescent="0.3"/>
    <row r="25514" ht="14.4" x14ac:dyDescent="0.3"/>
    <row r="25515" ht="14.4" x14ac:dyDescent="0.3"/>
    <row r="25516" ht="14.4" x14ac:dyDescent="0.3"/>
    <row r="25517" ht="14.4" x14ac:dyDescent="0.3"/>
    <row r="25518" ht="14.4" x14ac:dyDescent="0.3"/>
    <row r="25519" ht="14.4" x14ac:dyDescent="0.3"/>
    <row r="25520" ht="14.4" x14ac:dyDescent="0.3"/>
    <row r="25521" spans="1:43" ht="14.4" x14ac:dyDescent="0.3"/>
    <row r="25522" spans="1:43" ht="14.4" x14ac:dyDescent="0.3"/>
    <row r="25523" spans="1:43" ht="14.4" x14ac:dyDescent="0.3"/>
    <row r="25524" spans="1:43" ht="14.4" x14ac:dyDescent="0.3"/>
    <row r="25525" spans="1:43" ht="14.4" x14ac:dyDescent="0.3"/>
    <row r="25526" spans="1:43" ht="14.4" x14ac:dyDescent="0.3"/>
    <row r="25527" spans="1:43" ht="14.4" x14ac:dyDescent="0.3"/>
    <row r="25528" spans="1:43" ht="14.4" x14ac:dyDescent="0.3"/>
    <row r="25529" spans="1:43" ht="14.4" x14ac:dyDescent="0.3"/>
    <row r="25530" spans="1:43" ht="14.4" x14ac:dyDescent="0.3"/>
    <row r="25531" spans="1:43" ht="14.4" x14ac:dyDescent="0.3"/>
    <row r="25532" spans="1:43" ht="14.4" x14ac:dyDescent="0.3"/>
    <row r="25533" spans="1:43" ht="14.4" hidden="1" x14ac:dyDescent="0.3">
      <c r="A25533" t="s">
        <v>3664</v>
      </c>
      <c r="B25533">
        <v>4908847</v>
      </c>
      <c r="C25533" t="s">
        <v>135</v>
      </c>
      <c r="D25533" t="s">
        <v>209</v>
      </c>
      <c r="E25533" t="s">
        <v>210</v>
      </c>
      <c r="F25533" t="s">
        <v>1455</v>
      </c>
      <c r="H25533" t="s">
        <v>139</v>
      </c>
      <c r="J25533" t="s">
        <v>140</v>
      </c>
      <c r="K25533">
        <v>159750.70000000001</v>
      </c>
      <c r="L25533">
        <v>383564.11</v>
      </c>
      <c r="M25533">
        <v>1</v>
      </c>
      <c r="N25533" t="s">
        <v>1456</v>
      </c>
      <c r="O25533" t="s">
        <v>1457</v>
      </c>
      <c r="P25533" t="s">
        <v>829</v>
      </c>
      <c r="Q25533" t="s">
        <v>144</v>
      </c>
      <c r="S25533">
        <v>9</v>
      </c>
      <c r="T25533">
        <v>630</v>
      </c>
      <c r="V25533" t="s">
        <v>146</v>
      </c>
      <c r="W25533" t="s">
        <v>415</v>
      </c>
      <c r="X25533" t="s">
        <v>7</v>
      </c>
      <c r="Y25533" t="s">
        <v>1458</v>
      </c>
      <c r="Z25533" t="s">
        <v>1457</v>
      </c>
      <c r="AA25533" t="s">
        <v>1459</v>
      </c>
      <c r="AB25533">
        <v>0</v>
      </c>
      <c r="AE25533" t="s">
        <v>1460</v>
      </c>
      <c r="AF25533" t="s">
        <v>1457</v>
      </c>
      <c r="AG25533" t="s">
        <v>1459</v>
      </c>
      <c r="AL25533" t="s">
        <v>3665</v>
      </c>
      <c r="AM25533" t="s">
        <v>3666</v>
      </c>
      <c r="AN25533" t="s">
        <v>3667</v>
      </c>
      <c r="AO25533" t="s">
        <v>1456</v>
      </c>
      <c r="AQ25533">
        <f>IF(ISBLANK(AP25533), IFERROR(IF(VLOOKUP(AO25533, Ellens_additions!$A$2:$B$252, 2, FALSE) = "", "", VLOOKUP(AO25533, Ellens_additions!$A$2:$B$252, 2, FALSE)), 0), AP25533)</f>
        <v>0</v>
      </c>
    </row>
    <row r="25534" spans="1:43" ht="14.4" hidden="1" x14ac:dyDescent="0.3">
      <c r="A25534" t="s">
        <v>3668</v>
      </c>
      <c r="B25534">
        <v>4908849</v>
      </c>
      <c r="C25534" t="s">
        <v>135</v>
      </c>
      <c r="D25534" t="s">
        <v>209</v>
      </c>
      <c r="E25534" t="s">
        <v>210</v>
      </c>
      <c r="F25534" t="s">
        <v>1455</v>
      </c>
      <c r="H25534" t="s">
        <v>302</v>
      </c>
      <c r="J25534" t="s">
        <v>140</v>
      </c>
      <c r="K25534">
        <v>159739.89000000001</v>
      </c>
      <c r="L25534">
        <v>383562.62</v>
      </c>
      <c r="M25534">
        <v>1</v>
      </c>
      <c r="N25534" t="s">
        <v>1456</v>
      </c>
      <c r="O25534" t="s">
        <v>1457</v>
      </c>
      <c r="P25534" t="s">
        <v>829</v>
      </c>
      <c r="Q25534" t="s">
        <v>144</v>
      </c>
      <c r="S25534">
        <v>9</v>
      </c>
      <c r="T25534">
        <v>630</v>
      </c>
      <c r="V25534" t="s">
        <v>146</v>
      </c>
      <c r="W25534" t="s">
        <v>415</v>
      </c>
      <c r="X25534" t="s">
        <v>7</v>
      </c>
      <c r="Y25534" t="s">
        <v>1458</v>
      </c>
      <c r="Z25534" t="s">
        <v>1457</v>
      </c>
      <c r="AA25534" t="s">
        <v>1459</v>
      </c>
      <c r="AB25534">
        <v>0</v>
      </c>
      <c r="AE25534" t="s">
        <v>1460</v>
      </c>
      <c r="AF25534" t="s">
        <v>1457</v>
      </c>
      <c r="AG25534" t="s">
        <v>1459</v>
      </c>
      <c r="AL25534" t="s">
        <v>3669</v>
      </c>
      <c r="AM25534" t="s">
        <v>3670</v>
      </c>
      <c r="AN25534" t="s">
        <v>3671</v>
      </c>
      <c r="AO25534" t="s">
        <v>1456</v>
      </c>
      <c r="AQ25534">
        <f>IF(ISBLANK(AP25534), IFERROR(IF(VLOOKUP(AO25534, Ellens_additions!$A$2:$B$252, 2, FALSE) = "", "", VLOOKUP(AO25534, Ellens_additions!$A$2:$B$252, 2, FALSE)), 0), AP25534)</f>
        <v>0</v>
      </c>
    </row>
    <row r="25535" spans="1:43" ht="14.4" hidden="1" x14ac:dyDescent="0.3">
      <c r="A25535" t="s">
        <v>3672</v>
      </c>
      <c r="B25535">
        <v>4908852</v>
      </c>
      <c r="C25535" t="s">
        <v>135</v>
      </c>
      <c r="D25535" t="s">
        <v>209</v>
      </c>
      <c r="E25535" t="s">
        <v>210</v>
      </c>
      <c r="F25535" t="s">
        <v>1455</v>
      </c>
      <c r="H25535" t="s">
        <v>753</v>
      </c>
      <c r="J25535" t="s">
        <v>140</v>
      </c>
      <c r="K25535">
        <v>159725.10999999999</v>
      </c>
      <c r="L25535">
        <v>383560.74</v>
      </c>
      <c r="M25535">
        <v>1</v>
      </c>
      <c r="N25535" t="s">
        <v>1456</v>
      </c>
      <c r="O25535" t="s">
        <v>1457</v>
      </c>
      <c r="P25535" t="s">
        <v>829</v>
      </c>
      <c r="Q25535" t="s">
        <v>144</v>
      </c>
      <c r="S25535">
        <v>9</v>
      </c>
      <c r="T25535">
        <v>630</v>
      </c>
      <c r="V25535" t="s">
        <v>146</v>
      </c>
      <c r="W25535" t="s">
        <v>415</v>
      </c>
      <c r="X25535" t="s">
        <v>7</v>
      </c>
      <c r="Y25535" t="s">
        <v>1458</v>
      </c>
      <c r="Z25535" t="s">
        <v>1457</v>
      </c>
      <c r="AA25535" t="s">
        <v>1459</v>
      </c>
      <c r="AB25535">
        <v>0</v>
      </c>
      <c r="AE25535" t="s">
        <v>1460</v>
      </c>
      <c r="AF25535" t="s">
        <v>1457</v>
      </c>
      <c r="AG25535" t="s">
        <v>1459</v>
      </c>
      <c r="AL25535" t="s">
        <v>3673</v>
      </c>
      <c r="AM25535" t="s">
        <v>3674</v>
      </c>
      <c r="AN25535" t="s">
        <v>3675</v>
      </c>
      <c r="AO25535" t="s">
        <v>1456</v>
      </c>
      <c r="AQ25535">
        <f>IF(ISBLANK(AP25535), IFERROR(IF(VLOOKUP(AO25535, Ellens_additions!$A$2:$B$252, 2, FALSE) = "", "", VLOOKUP(AO25535, Ellens_additions!$A$2:$B$252, 2, FALSE)), 0), AP25535)</f>
        <v>0</v>
      </c>
    </row>
    <row r="25536" spans="1:43" ht="14.4" hidden="1" x14ac:dyDescent="0.3">
      <c r="A25536" t="s">
        <v>3676</v>
      </c>
      <c r="B25536">
        <v>4908861</v>
      </c>
      <c r="C25536" t="s">
        <v>135</v>
      </c>
      <c r="D25536" t="s">
        <v>209</v>
      </c>
      <c r="E25536" t="s">
        <v>210</v>
      </c>
      <c r="F25536" t="s">
        <v>1455</v>
      </c>
      <c r="H25536" t="s">
        <v>457</v>
      </c>
      <c r="J25536" t="s">
        <v>140</v>
      </c>
      <c r="K25536">
        <v>159694.1</v>
      </c>
      <c r="L25536">
        <v>383552.38</v>
      </c>
      <c r="M25536">
        <v>1</v>
      </c>
      <c r="N25536" t="s">
        <v>1456</v>
      </c>
      <c r="O25536" t="s">
        <v>1457</v>
      </c>
      <c r="P25536" t="s">
        <v>829</v>
      </c>
      <c r="Q25536" t="s">
        <v>144</v>
      </c>
      <c r="S25536">
        <v>9</v>
      </c>
      <c r="T25536">
        <v>630</v>
      </c>
      <c r="V25536" t="s">
        <v>146</v>
      </c>
      <c r="W25536" t="s">
        <v>415</v>
      </c>
      <c r="X25536" t="s">
        <v>7</v>
      </c>
      <c r="Y25536" t="s">
        <v>1458</v>
      </c>
      <c r="Z25536" t="s">
        <v>1457</v>
      </c>
      <c r="AA25536" t="s">
        <v>1459</v>
      </c>
      <c r="AB25536">
        <v>0</v>
      </c>
      <c r="AE25536" t="s">
        <v>1460</v>
      </c>
      <c r="AF25536" t="s">
        <v>1457</v>
      </c>
      <c r="AG25536" t="s">
        <v>1459</v>
      </c>
      <c r="AL25536" t="s">
        <v>3677</v>
      </c>
      <c r="AM25536" t="s">
        <v>3678</v>
      </c>
      <c r="AN25536" t="s">
        <v>3679</v>
      </c>
      <c r="AO25536" t="s">
        <v>1456</v>
      </c>
      <c r="AQ25536">
        <f>IF(ISBLANK(AP25536), IFERROR(IF(VLOOKUP(AO25536, Ellens_additions!$A$2:$B$252, 2, FALSE) = "", "", VLOOKUP(AO25536, Ellens_additions!$A$2:$B$252, 2, FALSE)), 0), AP25536)</f>
        <v>0</v>
      </c>
    </row>
    <row r="25537" spans="1:43" ht="14.4" hidden="1" x14ac:dyDescent="0.3">
      <c r="A25537" t="s">
        <v>3680</v>
      </c>
      <c r="B25537">
        <v>4908862</v>
      </c>
      <c r="C25537" t="s">
        <v>135</v>
      </c>
      <c r="D25537" t="s">
        <v>174</v>
      </c>
      <c r="E25537" t="s">
        <v>316</v>
      </c>
      <c r="F25537" t="s">
        <v>288</v>
      </c>
      <c r="H25537" t="s">
        <v>3681</v>
      </c>
      <c r="J25537" t="s">
        <v>140</v>
      </c>
      <c r="K25537">
        <v>159380.25</v>
      </c>
      <c r="L25537">
        <v>383581.27</v>
      </c>
      <c r="N25537" t="s">
        <v>1494</v>
      </c>
      <c r="O25537" t="s">
        <v>448</v>
      </c>
      <c r="P25537" t="s">
        <v>1495</v>
      </c>
      <c r="Q25537" t="s">
        <v>144</v>
      </c>
      <c r="S25537">
        <v>0</v>
      </c>
      <c r="T25537">
        <v>0</v>
      </c>
      <c r="V25537" t="s">
        <v>146</v>
      </c>
      <c r="W25537" t="s">
        <v>184</v>
      </c>
      <c r="X25537" t="s">
        <v>7</v>
      </c>
      <c r="Y25537" t="s">
        <v>1494</v>
      </c>
      <c r="Z25537" t="s">
        <v>448</v>
      </c>
      <c r="AA25537" t="s">
        <v>456</v>
      </c>
      <c r="AB25537">
        <v>0</v>
      </c>
      <c r="AE25537" t="s">
        <v>1496</v>
      </c>
      <c r="AF25537" t="s">
        <v>448</v>
      </c>
      <c r="AG25537" t="s">
        <v>560</v>
      </c>
      <c r="AL25537" t="s">
        <v>3682</v>
      </c>
      <c r="AM25537" t="s">
        <v>3683</v>
      </c>
      <c r="AN25537" t="s">
        <v>3684</v>
      </c>
      <c r="AO25537" t="s">
        <v>1494</v>
      </c>
      <c r="AQ25537">
        <f>IF(ISBLANK(AP25537), IFERROR(IF(VLOOKUP(AO25537, Ellens_additions!$A$2:$B$252, 2, FALSE) = "", "", VLOOKUP(AO25537, Ellens_additions!$A$2:$B$252, 2, FALSE)), 0), AP25537)</f>
        <v>0</v>
      </c>
    </row>
    <row r="25538" spans="1:43" ht="14.4" hidden="1" x14ac:dyDescent="0.3">
      <c r="A25538" t="s">
        <v>3685</v>
      </c>
      <c r="B25538">
        <v>4908863</v>
      </c>
      <c r="C25538" t="s">
        <v>135</v>
      </c>
      <c r="D25538" t="s">
        <v>174</v>
      </c>
      <c r="E25538" t="s">
        <v>316</v>
      </c>
      <c r="F25538" t="s">
        <v>288</v>
      </c>
      <c r="H25538" t="s">
        <v>3686</v>
      </c>
      <c r="J25538" t="s">
        <v>140</v>
      </c>
      <c r="K25538">
        <v>159379.46</v>
      </c>
      <c r="L25538">
        <v>383584.94</v>
      </c>
      <c r="N25538" t="s">
        <v>1494</v>
      </c>
      <c r="O25538" t="s">
        <v>448</v>
      </c>
      <c r="P25538" t="s">
        <v>1495</v>
      </c>
      <c r="Q25538" t="s">
        <v>144</v>
      </c>
      <c r="S25538">
        <v>0</v>
      </c>
      <c r="T25538">
        <v>0</v>
      </c>
      <c r="V25538" t="s">
        <v>146</v>
      </c>
      <c r="W25538" t="s">
        <v>184</v>
      </c>
      <c r="X25538" t="s">
        <v>7</v>
      </c>
      <c r="Y25538" t="s">
        <v>1494</v>
      </c>
      <c r="Z25538" t="s">
        <v>448</v>
      </c>
      <c r="AA25538" t="s">
        <v>456</v>
      </c>
      <c r="AB25538">
        <v>0</v>
      </c>
      <c r="AE25538" t="s">
        <v>1496</v>
      </c>
      <c r="AF25538" t="s">
        <v>448</v>
      </c>
      <c r="AG25538" t="s">
        <v>560</v>
      </c>
      <c r="AL25538" t="s">
        <v>3687</v>
      </c>
      <c r="AM25538" t="s">
        <v>3688</v>
      </c>
      <c r="AN25538" t="s">
        <v>3689</v>
      </c>
      <c r="AO25538" t="s">
        <v>1494</v>
      </c>
      <c r="AQ25538">
        <f>IF(ISBLANK(AP25538), IFERROR(IF(VLOOKUP(AO25538, Ellens_additions!$A$2:$B$252, 2, FALSE) = "", "", VLOOKUP(AO25538, Ellens_additions!$A$2:$B$252, 2, FALSE)), 0), AP25538)</f>
        <v>0</v>
      </c>
    </row>
    <row r="25539" spans="1:43" ht="14.4" hidden="1" x14ac:dyDescent="0.3">
      <c r="A25539" t="s">
        <v>3690</v>
      </c>
      <c r="B25539">
        <v>4908864</v>
      </c>
      <c r="C25539" t="s">
        <v>135</v>
      </c>
      <c r="D25539" t="s">
        <v>174</v>
      </c>
      <c r="E25539" t="s">
        <v>316</v>
      </c>
      <c r="F25539" t="s">
        <v>288</v>
      </c>
      <c r="H25539" t="s">
        <v>3691</v>
      </c>
      <c r="J25539" t="s">
        <v>140</v>
      </c>
      <c r="K25539">
        <v>159377.97</v>
      </c>
      <c r="L25539">
        <v>383589.5</v>
      </c>
      <c r="N25539" t="s">
        <v>1494</v>
      </c>
      <c r="O25539" t="s">
        <v>448</v>
      </c>
      <c r="P25539" t="s">
        <v>1495</v>
      </c>
      <c r="Q25539" t="s">
        <v>144</v>
      </c>
      <c r="S25539">
        <v>0</v>
      </c>
      <c r="T25539">
        <v>0</v>
      </c>
      <c r="V25539" t="s">
        <v>146</v>
      </c>
      <c r="W25539" t="s">
        <v>184</v>
      </c>
      <c r="X25539" t="s">
        <v>7</v>
      </c>
      <c r="Y25539" t="s">
        <v>1494</v>
      </c>
      <c r="Z25539" t="s">
        <v>448</v>
      </c>
      <c r="AA25539" t="s">
        <v>456</v>
      </c>
      <c r="AB25539">
        <v>0</v>
      </c>
      <c r="AE25539" t="s">
        <v>1496</v>
      </c>
      <c r="AF25539" t="s">
        <v>448</v>
      </c>
      <c r="AG25539" t="s">
        <v>560</v>
      </c>
      <c r="AL25539" t="s">
        <v>3692</v>
      </c>
      <c r="AM25539" t="s">
        <v>3693</v>
      </c>
      <c r="AN25539" t="s">
        <v>3694</v>
      </c>
      <c r="AO25539" t="s">
        <v>1494</v>
      </c>
      <c r="AQ25539">
        <f>IF(ISBLANK(AP25539), IFERROR(IF(VLOOKUP(AO25539, Ellens_additions!$A$2:$B$252, 2, FALSE) = "", "", VLOOKUP(AO25539, Ellens_additions!$A$2:$B$252, 2, FALSE)), 0), AP25539)</f>
        <v>0</v>
      </c>
    </row>
    <row r="25540" spans="1:43" ht="14.4" hidden="1" x14ac:dyDescent="0.3">
      <c r="A25540" t="s">
        <v>3695</v>
      </c>
      <c r="B25540">
        <v>4908866</v>
      </c>
      <c r="C25540" t="s">
        <v>135</v>
      </c>
      <c r="D25540" t="s">
        <v>174</v>
      </c>
      <c r="E25540" t="s">
        <v>316</v>
      </c>
      <c r="F25540" t="s">
        <v>288</v>
      </c>
      <c r="H25540" t="s">
        <v>3696</v>
      </c>
      <c r="J25540" t="s">
        <v>140</v>
      </c>
      <c r="K25540">
        <v>159373.5</v>
      </c>
      <c r="L25540">
        <v>383597.15</v>
      </c>
      <c r="N25540" t="s">
        <v>1494</v>
      </c>
      <c r="O25540" t="s">
        <v>448</v>
      </c>
      <c r="P25540" t="s">
        <v>1495</v>
      </c>
      <c r="Q25540" t="s">
        <v>144</v>
      </c>
      <c r="S25540">
        <v>0</v>
      </c>
      <c r="T25540">
        <v>0</v>
      </c>
      <c r="V25540" t="s">
        <v>146</v>
      </c>
      <c r="W25540" t="s">
        <v>184</v>
      </c>
      <c r="X25540" t="s">
        <v>7</v>
      </c>
      <c r="Y25540" t="s">
        <v>1494</v>
      </c>
      <c r="Z25540" t="s">
        <v>448</v>
      </c>
      <c r="AA25540" t="s">
        <v>456</v>
      </c>
      <c r="AB25540">
        <v>0</v>
      </c>
      <c r="AE25540" t="s">
        <v>1496</v>
      </c>
      <c r="AF25540" t="s">
        <v>448</v>
      </c>
      <c r="AG25540" t="s">
        <v>560</v>
      </c>
      <c r="AL25540" t="s">
        <v>3697</v>
      </c>
      <c r="AM25540" t="s">
        <v>3698</v>
      </c>
      <c r="AN25540" t="s">
        <v>3699</v>
      </c>
      <c r="AO25540" t="s">
        <v>1494</v>
      </c>
      <c r="AQ25540">
        <f>IF(ISBLANK(AP25540), IFERROR(IF(VLOOKUP(AO25540, Ellens_additions!$A$2:$B$252, 2, FALSE) = "", "", VLOOKUP(AO25540, Ellens_additions!$A$2:$B$252, 2, FALSE)), 0), AP25540)</f>
        <v>0</v>
      </c>
    </row>
    <row r="25541" spans="1:43" ht="14.4" hidden="1" x14ac:dyDescent="0.3">
      <c r="A25541" t="s">
        <v>3700</v>
      </c>
      <c r="B25541">
        <v>4908867</v>
      </c>
      <c r="C25541" t="s">
        <v>135</v>
      </c>
      <c r="D25541" t="s">
        <v>174</v>
      </c>
      <c r="E25541" t="s">
        <v>316</v>
      </c>
      <c r="F25541" t="s">
        <v>288</v>
      </c>
      <c r="H25541" t="s">
        <v>3701</v>
      </c>
      <c r="J25541" t="s">
        <v>140</v>
      </c>
      <c r="K25541">
        <v>159371.09</v>
      </c>
      <c r="L25541">
        <v>383600.54</v>
      </c>
      <c r="N25541" t="s">
        <v>1494</v>
      </c>
      <c r="O25541" t="s">
        <v>448</v>
      </c>
      <c r="P25541" t="s">
        <v>1495</v>
      </c>
      <c r="Q25541" t="s">
        <v>144</v>
      </c>
      <c r="S25541">
        <v>0</v>
      </c>
      <c r="T25541">
        <v>0</v>
      </c>
      <c r="V25541" t="s">
        <v>146</v>
      </c>
      <c r="W25541" t="s">
        <v>184</v>
      </c>
      <c r="X25541" t="s">
        <v>7</v>
      </c>
      <c r="Y25541" t="s">
        <v>1494</v>
      </c>
      <c r="Z25541" t="s">
        <v>448</v>
      </c>
      <c r="AA25541" t="s">
        <v>456</v>
      </c>
      <c r="AB25541">
        <v>0</v>
      </c>
      <c r="AE25541" t="s">
        <v>1496</v>
      </c>
      <c r="AF25541" t="s">
        <v>448</v>
      </c>
      <c r="AG25541" t="s">
        <v>560</v>
      </c>
      <c r="AL25541" t="s">
        <v>3702</v>
      </c>
      <c r="AM25541" t="s">
        <v>3703</v>
      </c>
      <c r="AN25541" t="s">
        <v>3704</v>
      </c>
      <c r="AO25541" t="s">
        <v>1494</v>
      </c>
      <c r="AQ25541">
        <f>IF(ISBLANK(AP25541), IFERROR(IF(VLOOKUP(AO25541, Ellens_additions!$A$2:$B$252, 2, FALSE) = "", "", VLOOKUP(AO25541, Ellens_additions!$A$2:$B$252, 2, FALSE)), 0), AP25541)</f>
        <v>0</v>
      </c>
    </row>
    <row r="25542" spans="1:43" ht="14.4" hidden="1" x14ac:dyDescent="0.3">
      <c r="A25542" t="s">
        <v>3705</v>
      </c>
      <c r="B25542">
        <v>4908868</v>
      </c>
      <c r="C25542" t="s">
        <v>135</v>
      </c>
      <c r="D25542" t="s">
        <v>174</v>
      </c>
      <c r="E25542" t="s">
        <v>316</v>
      </c>
      <c r="F25542" t="s">
        <v>288</v>
      </c>
      <c r="H25542" t="s">
        <v>3706</v>
      </c>
      <c r="J25542" t="s">
        <v>140</v>
      </c>
      <c r="K25542">
        <v>159367.91</v>
      </c>
      <c r="L25542">
        <v>383603.61</v>
      </c>
      <c r="N25542" t="s">
        <v>1494</v>
      </c>
      <c r="O25542" t="s">
        <v>448</v>
      </c>
      <c r="P25542" t="s">
        <v>1495</v>
      </c>
      <c r="Q25542" t="s">
        <v>144</v>
      </c>
      <c r="S25542">
        <v>0</v>
      </c>
      <c r="T25542">
        <v>0</v>
      </c>
      <c r="V25542" t="s">
        <v>146</v>
      </c>
      <c r="W25542" t="s">
        <v>184</v>
      </c>
      <c r="X25542" t="s">
        <v>7</v>
      </c>
      <c r="Y25542" t="s">
        <v>1494</v>
      </c>
      <c r="Z25542" t="s">
        <v>448</v>
      </c>
      <c r="AA25542" t="s">
        <v>456</v>
      </c>
      <c r="AB25542">
        <v>0</v>
      </c>
      <c r="AE25542" t="s">
        <v>1496</v>
      </c>
      <c r="AF25542" t="s">
        <v>448</v>
      </c>
      <c r="AG25542" t="s">
        <v>560</v>
      </c>
      <c r="AL25542" t="s">
        <v>3707</v>
      </c>
      <c r="AM25542" t="s">
        <v>3708</v>
      </c>
      <c r="AN25542" t="s">
        <v>3709</v>
      </c>
      <c r="AO25542" t="s">
        <v>1494</v>
      </c>
      <c r="AQ25542">
        <f>IF(ISBLANK(AP25542), IFERROR(IF(VLOOKUP(AO25542, Ellens_additions!$A$2:$B$252, 2, FALSE) = "", "", VLOOKUP(AO25542, Ellens_additions!$A$2:$B$252, 2, FALSE)), 0), AP25542)</f>
        <v>0</v>
      </c>
    </row>
    <row r="25543" spans="1:43" ht="14.4" hidden="1" x14ac:dyDescent="0.3">
      <c r="A25543" t="s">
        <v>3710</v>
      </c>
      <c r="B25543">
        <v>4908870</v>
      </c>
      <c r="C25543" t="s">
        <v>135</v>
      </c>
      <c r="D25543" t="s">
        <v>174</v>
      </c>
      <c r="E25543" t="s">
        <v>316</v>
      </c>
      <c r="F25543" t="s">
        <v>288</v>
      </c>
      <c r="H25543" t="s">
        <v>3711</v>
      </c>
      <c r="J25543" t="s">
        <v>140</v>
      </c>
      <c r="K25543">
        <v>159362</v>
      </c>
      <c r="L25543">
        <v>383608.25</v>
      </c>
      <c r="N25543" t="s">
        <v>1494</v>
      </c>
      <c r="O25543" t="s">
        <v>448</v>
      </c>
      <c r="P25543" t="s">
        <v>1495</v>
      </c>
      <c r="Q25543" t="s">
        <v>144</v>
      </c>
      <c r="S25543">
        <v>0</v>
      </c>
      <c r="T25543">
        <v>0</v>
      </c>
      <c r="V25543" t="s">
        <v>146</v>
      </c>
      <c r="W25543" t="s">
        <v>184</v>
      </c>
      <c r="X25543" t="s">
        <v>7</v>
      </c>
      <c r="Y25543" t="s">
        <v>1494</v>
      </c>
      <c r="Z25543" t="s">
        <v>448</v>
      </c>
      <c r="AA25543" t="s">
        <v>456</v>
      </c>
      <c r="AB25543">
        <v>0</v>
      </c>
      <c r="AE25543" t="s">
        <v>1496</v>
      </c>
      <c r="AF25543" t="s">
        <v>448</v>
      </c>
      <c r="AG25543" t="s">
        <v>560</v>
      </c>
      <c r="AL25543" t="s">
        <v>3712</v>
      </c>
      <c r="AM25543" t="s">
        <v>3713</v>
      </c>
      <c r="AN25543" t="s">
        <v>3714</v>
      </c>
      <c r="AO25543" t="s">
        <v>1494</v>
      </c>
      <c r="AQ25543">
        <f>IF(ISBLANK(AP25543), IFERROR(IF(VLOOKUP(AO25543, Ellens_additions!$A$2:$B$252, 2, FALSE) = "", "", VLOOKUP(AO25543, Ellens_additions!$A$2:$B$252, 2, FALSE)), 0), AP25543)</f>
        <v>0</v>
      </c>
    </row>
    <row r="25544" spans="1:43" ht="14.4" hidden="1" x14ac:dyDescent="0.3">
      <c r="A25544" t="s">
        <v>3715</v>
      </c>
      <c r="B25544">
        <v>4908873</v>
      </c>
      <c r="C25544" t="s">
        <v>135</v>
      </c>
      <c r="D25544" t="s">
        <v>174</v>
      </c>
      <c r="E25544" t="s">
        <v>316</v>
      </c>
      <c r="F25544" t="s">
        <v>288</v>
      </c>
      <c r="H25544" t="s">
        <v>3716</v>
      </c>
      <c r="J25544" t="s">
        <v>140</v>
      </c>
      <c r="K25544">
        <v>159349.03</v>
      </c>
      <c r="L25544">
        <v>383613</v>
      </c>
      <c r="N25544" t="s">
        <v>1494</v>
      </c>
      <c r="O25544" t="s">
        <v>448</v>
      </c>
      <c r="P25544" t="s">
        <v>1495</v>
      </c>
      <c r="Q25544" t="s">
        <v>144</v>
      </c>
      <c r="S25544">
        <v>0</v>
      </c>
      <c r="T25544">
        <v>0</v>
      </c>
      <c r="V25544" t="s">
        <v>146</v>
      </c>
      <c r="W25544" t="s">
        <v>184</v>
      </c>
      <c r="X25544" t="s">
        <v>7</v>
      </c>
      <c r="Y25544" t="s">
        <v>1494</v>
      </c>
      <c r="Z25544" t="s">
        <v>448</v>
      </c>
      <c r="AA25544" t="s">
        <v>456</v>
      </c>
      <c r="AB25544">
        <v>0</v>
      </c>
      <c r="AE25544" t="s">
        <v>1496</v>
      </c>
      <c r="AF25544" t="s">
        <v>448</v>
      </c>
      <c r="AG25544" t="s">
        <v>560</v>
      </c>
      <c r="AL25544" t="s">
        <v>3717</v>
      </c>
      <c r="AM25544" t="s">
        <v>3718</v>
      </c>
      <c r="AN25544" t="s">
        <v>3719</v>
      </c>
      <c r="AO25544" t="s">
        <v>1494</v>
      </c>
      <c r="AQ25544">
        <f>IF(ISBLANK(AP25544), IFERROR(IF(VLOOKUP(AO25544, Ellens_additions!$A$2:$B$252, 2, FALSE) = "", "", VLOOKUP(AO25544, Ellens_additions!$A$2:$B$252, 2, FALSE)), 0), AP25544)</f>
        <v>0</v>
      </c>
    </row>
    <row r="25545" spans="1:43" ht="14.4" hidden="1" x14ac:dyDescent="0.3">
      <c r="A25545" t="s">
        <v>3720</v>
      </c>
      <c r="B25545">
        <v>4908874</v>
      </c>
      <c r="C25545" t="s">
        <v>135</v>
      </c>
      <c r="D25545" t="s">
        <v>174</v>
      </c>
      <c r="E25545" t="s">
        <v>316</v>
      </c>
      <c r="F25545" t="s">
        <v>288</v>
      </c>
      <c r="H25545" t="s">
        <v>3721</v>
      </c>
      <c r="J25545" t="s">
        <v>140</v>
      </c>
      <c r="K25545">
        <v>159344.06</v>
      </c>
      <c r="L25545">
        <v>383613.61</v>
      </c>
      <c r="N25545" t="s">
        <v>1494</v>
      </c>
      <c r="O25545" t="s">
        <v>448</v>
      </c>
      <c r="P25545" t="s">
        <v>1495</v>
      </c>
      <c r="Q25545" t="s">
        <v>144</v>
      </c>
      <c r="S25545">
        <v>0</v>
      </c>
      <c r="T25545">
        <v>0</v>
      </c>
      <c r="V25545" t="s">
        <v>146</v>
      </c>
      <c r="W25545" t="s">
        <v>184</v>
      </c>
      <c r="X25545" t="s">
        <v>7</v>
      </c>
      <c r="Y25545" t="s">
        <v>1494</v>
      </c>
      <c r="Z25545" t="s">
        <v>448</v>
      </c>
      <c r="AA25545" t="s">
        <v>456</v>
      </c>
      <c r="AB25545">
        <v>0</v>
      </c>
      <c r="AE25545" t="s">
        <v>1496</v>
      </c>
      <c r="AF25545" t="s">
        <v>448</v>
      </c>
      <c r="AG25545" t="s">
        <v>560</v>
      </c>
      <c r="AL25545" t="s">
        <v>3722</v>
      </c>
      <c r="AM25545" t="s">
        <v>3723</v>
      </c>
      <c r="AN25545" t="s">
        <v>3724</v>
      </c>
      <c r="AO25545" t="s">
        <v>1494</v>
      </c>
      <c r="AQ25545">
        <f>IF(ISBLANK(AP25545), IFERROR(IF(VLOOKUP(AO25545, Ellens_additions!$A$2:$B$252, 2, FALSE) = "", "", VLOOKUP(AO25545, Ellens_additions!$A$2:$B$252, 2, FALSE)), 0), AP25545)</f>
        <v>0</v>
      </c>
    </row>
    <row r="25546" spans="1:43" ht="14.4" hidden="1" x14ac:dyDescent="0.3">
      <c r="A25546" t="s">
        <v>3725</v>
      </c>
      <c r="B25546">
        <v>4908875</v>
      </c>
      <c r="C25546" t="s">
        <v>135</v>
      </c>
      <c r="D25546" t="s">
        <v>174</v>
      </c>
      <c r="E25546" t="s">
        <v>316</v>
      </c>
      <c r="F25546" t="s">
        <v>288</v>
      </c>
      <c r="H25546" t="s">
        <v>3726</v>
      </c>
      <c r="J25546" t="s">
        <v>140</v>
      </c>
      <c r="K25546">
        <v>159339.29</v>
      </c>
      <c r="L25546">
        <v>383613.6</v>
      </c>
      <c r="N25546" t="s">
        <v>1494</v>
      </c>
      <c r="O25546" t="s">
        <v>448</v>
      </c>
      <c r="P25546" t="s">
        <v>1495</v>
      </c>
      <c r="Q25546" t="s">
        <v>144</v>
      </c>
      <c r="S25546">
        <v>0</v>
      </c>
      <c r="T25546">
        <v>0</v>
      </c>
      <c r="V25546" t="s">
        <v>146</v>
      </c>
      <c r="W25546" t="s">
        <v>184</v>
      </c>
      <c r="X25546" t="s">
        <v>7</v>
      </c>
      <c r="Y25546" t="s">
        <v>1494</v>
      </c>
      <c r="Z25546" t="s">
        <v>448</v>
      </c>
      <c r="AA25546" t="s">
        <v>456</v>
      </c>
      <c r="AB25546">
        <v>0</v>
      </c>
      <c r="AE25546" t="s">
        <v>1496</v>
      </c>
      <c r="AF25546" t="s">
        <v>448</v>
      </c>
      <c r="AG25546" t="s">
        <v>560</v>
      </c>
      <c r="AL25546" t="s">
        <v>3727</v>
      </c>
      <c r="AM25546" t="s">
        <v>3728</v>
      </c>
      <c r="AN25546" t="s">
        <v>3729</v>
      </c>
      <c r="AO25546" t="s">
        <v>1494</v>
      </c>
      <c r="AQ25546">
        <f>IF(ISBLANK(AP25546), IFERROR(IF(VLOOKUP(AO25546, Ellens_additions!$A$2:$B$252, 2, FALSE) = "", "", VLOOKUP(AO25546, Ellens_additions!$A$2:$B$252, 2, FALSE)), 0), AP25546)</f>
        <v>0</v>
      </c>
    </row>
    <row r="25547" spans="1:43" ht="14.4" hidden="1" x14ac:dyDescent="0.3">
      <c r="A25547" t="s">
        <v>3730</v>
      </c>
      <c r="B25547">
        <v>4908877</v>
      </c>
      <c r="C25547" t="s">
        <v>135</v>
      </c>
      <c r="D25547" t="s">
        <v>174</v>
      </c>
      <c r="E25547" t="s">
        <v>316</v>
      </c>
      <c r="F25547" t="s">
        <v>288</v>
      </c>
      <c r="H25547" t="s">
        <v>3731</v>
      </c>
      <c r="J25547" t="s">
        <v>140</v>
      </c>
      <c r="K25547">
        <v>159349.97</v>
      </c>
      <c r="L25547">
        <v>383535.67</v>
      </c>
      <c r="N25547" t="s">
        <v>1494</v>
      </c>
      <c r="O25547" t="s">
        <v>448</v>
      </c>
      <c r="P25547" t="s">
        <v>1495</v>
      </c>
      <c r="Q25547" t="s">
        <v>144</v>
      </c>
      <c r="S25547">
        <v>0</v>
      </c>
      <c r="T25547">
        <v>0</v>
      </c>
      <c r="V25547" t="s">
        <v>146</v>
      </c>
      <c r="W25547" t="s">
        <v>184</v>
      </c>
      <c r="X25547" t="s">
        <v>7</v>
      </c>
      <c r="Y25547" t="s">
        <v>1494</v>
      </c>
      <c r="Z25547" t="s">
        <v>448</v>
      </c>
      <c r="AA25547" t="s">
        <v>456</v>
      </c>
      <c r="AB25547">
        <v>0</v>
      </c>
      <c r="AE25547" t="s">
        <v>1496</v>
      </c>
      <c r="AF25547" t="s">
        <v>448</v>
      </c>
      <c r="AG25547" t="s">
        <v>560</v>
      </c>
      <c r="AL25547" t="s">
        <v>3732</v>
      </c>
      <c r="AM25547" t="s">
        <v>3733</v>
      </c>
      <c r="AN25547" t="s">
        <v>3734</v>
      </c>
      <c r="AO25547" t="s">
        <v>1494</v>
      </c>
      <c r="AQ25547">
        <f>IF(ISBLANK(AP25547), IFERROR(IF(VLOOKUP(AO25547, Ellens_additions!$A$2:$B$252, 2, FALSE) = "", "", VLOOKUP(AO25547, Ellens_additions!$A$2:$B$252, 2, FALSE)), 0), AP25547)</f>
        <v>0</v>
      </c>
    </row>
    <row r="25548" spans="1:43" ht="14.4" x14ac:dyDescent="0.3"/>
    <row r="25549" spans="1:43" ht="14.4" x14ac:dyDescent="0.3"/>
    <row r="25550" spans="1:43" ht="14.4" x14ac:dyDescent="0.3"/>
    <row r="25551" spans="1:43" ht="14.4" x14ac:dyDescent="0.3"/>
    <row r="25552" spans="1:43" ht="14.4" x14ac:dyDescent="0.3"/>
    <row r="25553" ht="14.4" x14ac:dyDescent="0.3"/>
    <row r="25554" ht="14.4" x14ac:dyDescent="0.3"/>
    <row r="25555" ht="14.4" x14ac:dyDescent="0.3"/>
    <row r="25556" ht="14.4" x14ac:dyDescent="0.3"/>
    <row r="25557" ht="14.4" x14ac:dyDescent="0.3"/>
    <row r="25558" ht="14.4" x14ac:dyDescent="0.3"/>
    <row r="25559" ht="14.4" x14ac:dyDescent="0.3"/>
    <row r="25560" ht="14.4" x14ac:dyDescent="0.3"/>
    <row r="25561" ht="14.4" x14ac:dyDescent="0.3"/>
    <row r="25562" ht="14.4" x14ac:dyDescent="0.3"/>
    <row r="25563" ht="14.4" x14ac:dyDescent="0.3"/>
    <row r="25564" ht="14.4" x14ac:dyDescent="0.3"/>
    <row r="25565" ht="14.4" x14ac:dyDescent="0.3"/>
    <row r="25566" ht="14.4" x14ac:dyDescent="0.3"/>
    <row r="25567" ht="14.4" x14ac:dyDescent="0.3"/>
    <row r="25568" ht="14.4" x14ac:dyDescent="0.3"/>
    <row r="25569" ht="14.4" x14ac:dyDescent="0.3"/>
    <row r="25570" ht="14.4" x14ac:dyDescent="0.3"/>
    <row r="25571" ht="14.4" x14ac:dyDescent="0.3"/>
    <row r="25572" ht="14.4" x14ac:dyDescent="0.3"/>
    <row r="25573" ht="14.4" x14ac:dyDescent="0.3"/>
    <row r="25574" ht="14.4" x14ac:dyDescent="0.3"/>
    <row r="25575" ht="14.4" x14ac:dyDescent="0.3"/>
    <row r="25576" ht="14.4" x14ac:dyDescent="0.3"/>
    <row r="25577" ht="14.4" x14ac:dyDescent="0.3"/>
    <row r="25578" ht="14.4" x14ac:dyDescent="0.3"/>
    <row r="25579" ht="14.4" x14ac:dyDescent="0.3"/>
    <row r="25580" ht="14.4" x14ac:dyDescent="0.3"/>
    <row r="25581" ht="14.4" x14ac:dyDescent="0.3"/>
    <row r="25582" ht="14.4" x14ac:dyDescent="0.3"/>
    <row r="25583" ht="14.4" x14ac:dyDescent="0.3"/>
    <row r="25584" ht="14.4" x14ac:dyDescent="0.3"/>
    <row r="25585" ht="14.4" x14ac:dyDescent="0.3"/>
    <row r="25586" ht="14.4" x14ac:dyDescent="0.3"/>
    <row r="25587" ht="14.4" x14ac:dyDescent="0.3"/>
    <row r="25588" ht="14.4" x14ac:dyDescent="0.3"/>
    <row r="25589" ht="14.4" x14ac:dyDescent="0.3"/>
    <row r="25590" ht="14.4" x14ac:dyDescent="0.3"/>
    <row r="25591" ht="14.4" x14ac:dyDescent="0.3"/>
    <row r="25592" ht="14.4" x14ac:dyDescent="0.3"/>
    <row r="25593" ht="14.4" x14ac:dyDescent="0.3"/>
    <row r="25594" ht="14.4" x14ac:dyDescent="0.3"/>
    <row r="25595" ht="14.4" x14ac:dyDescent="0.3"/>
    <row r="25596" ht="14.4" x14ac:dyDescent="0.3"/>
    <row r="25597" ht="14.4" x14ac:dyDescent="0.3"/>
    <row r="25598" ht="14.4" x14ac:dyDescent="0.3"/>
    <row r="25599" ht="14.4" x14ac:dyDescent="0.3"/>
    <row r="25600" ht="14.4" x14ac:dyDescent="0.3"/>
    <row r="25601" ht="14.4" x14ac:dyDescent="0.3"/>
    <row r="25602" ht="14.4" x14ac:dyDescent="0.3"/>
    <row r="25603" ht="14.4" x14ac:dyDescent="0.3"/>
    <row r="25604" ht="14.4" x14ac:dyDescent="0.3"/>
    <row r="25605" ht="14.4" x14ac:dyDescent="0.3"/>
    <row r="25606" ht="14.4" x14ac:dyDescent="0.3"/>
    <row r="25607" ht="14.4" x14ac:dyDescent="0.3"/>
    <row r="25608" ht="14.4" x14ac:dyDescent="0.3"/>
    <row r="25609" ht="14.4" x14ac:dyDescent="0.3"/>
    <row r="25610" ht="14.4" x14ac:dyDescent="0.3"/>
    <row r="25611" ht="14.4" x14ac:dyDescent="0.3"/>
    <row r="25612" ht="14.4" x14ac:dyDescent="0.3"/>
    <row r="25613" ht="14.4" x14ac:dyDescent="0.3"/>
    <row r="25614" ht="14.4" x14ac:dyDescent="0.3"/>
    <row r="25615" ht="14.4" x14ac:dyDescent="0.3"/>
    <row r="25616" ht="14.4" x14ac:dyDescent="0.3"/>
    <row r="25617" ht="14.4" x14ac:dyDescent="0.3"/>
    <row r="25618" ht="14.4" x14ac:dyDescent="0.3"/>
    <row r="25619" ht="14.4" x14ac:dyDescent="0.3"/>
    <row r="25620" ht="14.4" x14ac:dyDescent="0.3"/>
    <row r="25621" ht="14.4" x14ac:dyDescent="0.3"/>
    <row r="25622" ht="14.4" x14ac:dyDescent="0.3"/>
    <row r="25623" ht="14.4" x14ac:dyDescent="0.3"/>
    <row r="25624" ht="14.4" x14ac:dyDescent="0.3"/>
    <row r="25625" ht="14.4" x14ac:dyDescent="0.3"/>
    <row r="25626" ht="14.4" x14ac:dyDescent="0.3"/>
    <row r="25627" ht="14.4" x14ac:dyDescent="0.3"/>
    <row r="25628" ht="14.4" x14ac:dyDescent="0.3"/>
    <row r="25629" ht="14.4" x14ac:dyDescent="0.3"/>
    <row r="25630" ht="14.4" x14ac:dyDescent="0.3"/>
    <row r="25631" ht="14.4" x14ac:dyDescent="0.3"/>
    <row r="25632" ht="14.4" x14ac:dyDescent="0.3"/>
    <row r="25633" ht="14.4" x14ac:dyDescent="0.3"/>
    <row r="25634" ht="14.4" x14ac:dyDescent="0.3"/>
    <row r="25635" ht="14.4" x14ac:dyDescent="0.3"/>
    <row r="25636" ht="14.4" x14ac:dyDescent="0.3"/>
    <row r="25637" ht="14.4" x14ac:dyDescent="0.3"/>
    <row r="25638" ht="14.4" x14ac:dyDescent="0.3"/>
    <row r="25639" ht="14.4" x14ac:dyDescent="0.3"/>
    <row r="25640" ht="14.4" x14ac:dyDescent="0.3"/>
    <row r="25641" ht="14.4" x14ac:dyDescent="0.3"/>
    <row r="25642" ht="14.4" x14ac:dyDescent="0.3"/>
    <row r="25643" ht="14.4" x14ac:dyDescent="0.3"/>
    <row r="25644" ht="14.4" x14ac:dyDescent="0.3"/>
    <row r="25645" ht="14.4" x14ac:dyDescent="0.3"/>
    <row r="25646" ht="14.4" x14ac:dyDescent="0.3"/>
    <row r="25647" ht="14.4" x14ac:dyDescent="0.3"/>
    <row r="25648" ht="14.4" x14ac:dyDescent="0.3"/>
    <row r="25649" ht="14.4" x14ac:dyDescent="0.3"/>
    <row r="25650" ht="14.4" x14ac:dyDescent="0.3"/>
    <row r="25651" ht="14.4" x14ac:dyDescent="0.3"/>
    <row r="25652" ht="14.4" x14ac:dyDescent="0.3"/>
    <row r="25653" ht="14.4" x14ac:dyDescent="0.3"/>
    <row r="25654" ht="14.4" x14ac:dyDescent="0.3"/>
    <row r="25655" ht="14.4" x14ac:dyDescent="0.3"/>
    <row r="25656" ht="14.4" x14ac:dyDescent="0.3"/>
    <row r="25657" ht="14.4" x14ac:dyDescent="0.3"/>
    <row r="25658" ht="14.4" x14ac:dyDescent="0.3"/>
    <row r="25659" ht="14.4" x14ac:dyDescent="0.3"/>
    <row r="25660" ht="14.4" x14ac:dyDescent="0.3"/>
    <row r="25661" ht="14.4" x14ac:dyDescent="0.3"/>
    <row r="25662" ht="14.4" x14ac:dyDescent="0.3"/>
    <row r="25663" ht="14.4" x14ac:dyDescent="0.3"/>
    <row r="25664" ht="14.4" x14ac:dyDescent="0.3"/>
    <row r="25665" ht="14.4" x14ac:dyDescent="0.3"/>
    <row r="25666" ht="14.4" x14ac:dyDescent="0.3"/>
    <row r="25667" ht="14.4" x14ac:dyDescent="0.3"/>
    <row r="25668" ht="14.4" x14ac:dyDescent="0.3"/>
    <row r="25669" ht="14.4" x14ac:dyDescent="0.3"/>
    <row r="25670" ht="14.4" x14ac:dyDescent="0.3"/>
    <row r="25671" ht="14.4" x14ac:dyDescent="0.3"/>
    <row r="25672" ht="14.4" x14ac:dyDescent="0.3"/>
    <row r="25673" ht="14.4" x14ac:dyDescent="0.3"/>
    <row r="25674" ht="14.4" x14ac:dyDescent="0.3"/>
    <row r="25675" ht="14.4" x14ac:dyDescent="0.3"/>
    <row r="25676" ht="14.4" x14ac:dyDescent="0.3"/>
    <row r="25677" ht="14.4" x14ac:dyDescent="0.3"/>
    <row r="25678" ht="14.4" x14ac:dyDescent="0.3"/>
    <row r="25679" ht="14.4" x14ac:dyDescent="0.3"/>
    <row r="25680" ht="14.4" x14ac:dyDescent="0.3"/>
    <row r="25681" ht="14.4" x14ac:dyDescent="0.3"/>
    <row r="25682" ht="14.4" x14ac:dyDescent="0.3"/>
    <row r="25683" ht="14.4" x14ac:dyDescent="0.3"/>
    <row r="25684" ht="14.4" x14ac:dyDescent="0.3"/>
    <row r="25685" ht="14.4" x14ac:dyDescent="0.3"/>
    <row r="25686" ht="14.4" x14ac:dyDescent="0.3"/>
    <row r="25687" ht="14.4" x14ac:dyDescent="0.3"/>
    <row r="25688" ht="14.4" x14ac:dyDescent="0.3"/>
    <row r="25689" ht="14.4" x14ac:dyDescent="0.3"/>
    <row r="25690" ht="14.4" x14ac:dyDescent="0.3"/>
    <row r="25691" ht="14.4" x14ac:dyDescent="0.3"/>
    <row r="25692" ht="14.4" x14ac:dyDescent="0.3"/>
    <row r="25693" ht="14.4" x14ac:dyDescent="0.3"/>
    <row r="25694" ht="14.4" x14ac:dyDescent="0.3"/>
    <row r="25695" ht="14.4" x14ac:dyDescent="0.3"/>
    <row r="25696" ht="14.4" x14ac:dyDescent="0.3"/>
    <row r="25697" ht="14.4" x14ac:dyDescent="0.3"/>
    <row r="25698" ht="14.4" x14ac:dyDescent="0.3"/>
    <row r="25699" ht="14.4" x14ac:dyDescent="0.3"/>
    <row r="25700" ht="14.4" x14ac:dyDescent="0.3"/>
    <row r="25701" ht="14.4" x14ac:dyDescent="0.3"/>
    <row r="25702" ht="14.4" x14ac:dyDescent="0.3"/>
    <row r="25703" ht="14.4" x14ac:dyDescent="0.3"/>
    <row r="25704" ht="14.4" x14ac:dyDescent="0.3"/>
    <row r="25705" ht="14.4" x14ac:dyDescent="0.3"/>
    <row r="25706" ht="14.4" x14ac:dyDescent="0.3"/>
    <row r="25707" ht="14.4" x14ac:dyDescent="0.3"/>
    <row r="25708" ht="14.4" x14ac:dyDescent="0.3"/>
    <row r="25709" ht="14.4" x14ac:dyDescent="0.3"/>
    <row r="25710" ht="14.4" x14ac:dyDescent="0.3"/>
    <row r="25711" ht="14.4" x14ac:dyDescent="0.3"/>
    <row r="25712" ht="14.4" x14ac:dyDescent="0.3"/>
    <row r="25713" ht="14.4" x14ac:dyDescent="0.3"/>
    <row r="25714" ht="14.4" x14ac:dyDescent="0.3"/>
    <row r="25715" ht="14.4" x14ac:dyDescent="0.3"/>
    <row r="25716" ht="14.4" x14ac:dyDescent="0.3"/>
    <row r="25717" ht="14.4" x14ac:dyDescent="0.3"/>
    <row r="25718" ht="14.4" x14ac:dyDescent="0.3"/>
    <row r="25719" ht="14.4" x14ac:dyDescent="0.3"/>
    <row r="25720" ht="14.4" x14ac:dyDescent="0.3"/>
    <row r="25721" ht="14.4" x14ac:dyDescent="0.3"/>
    <row r="25722" ht="14.4" x14ac:dyDescent="0.3"/>
    <row r="25723" ht="14.4" x14ac:dyDescent="0.3"/>
    <row r="25724" ht="14.4" x14ac:dyDescent="0.3"/>
    <row r="25725" ht="14.4" x14ac:dyDescent="0.3"/>
    <row r="25726" ht="14.4" x14ac:dyDescent="0.3"/>
    <row r="25727" ht="14.4" x14ac:dyDescent="0.3"/>
    <row r="25728" ht="14.4" x14ac:dyDescent="0.3"/>
    <row r="25729" ht="14.4" x14ac:dyDescent="0.3"/>
    <row r="25730" ht="14.4" x14ac:dyDescent="0.3"/>
    <row r="25731" ht="14.4" x14ac:dyDescent="0.3"/>
    <row r="25732" ht="14.4" x14ac:dyDescent="0.3"/>
    <row r="25733" ht="14.4" x14ac:dyDescent="0.3"/>
    <row r="25734" ht="14.4" x14ac:dyDescent="0.3"/>
    <row r="25735" ht="14.4" x14ac:dyDescent="0.3"/>
    <row r="25736" ht="14.4" x14ac:dyDescent="0.3"/>
    <row r="25737" ht="14.4" x14ac:dyDescent="0.3"/>
    <row r="25738" ht="14.4" x14ac:dyDescent="0.3"/>
    <row r="25739" ht="14.4" x14ac:dyDescent="0.3"/>
    <row r="25740" ht="14.4" x14ac:dyDescent="0.3"/>
    <row r="25741" ht="14.4" x14ac:dyDescent="0.3"/>
    <row r="25742" ht="14.4" x14ac:dyDescent="0.3"/>
    <row r="25743" ht="14.4" x14ac:dyDescent="0.3"/>
    <row r="25744" ht="14.4" x14ac:dyDescent="0.3"/>
    <row r="25745" ht="14.4" x14ac:dyDescent="0.3"/>
    <row r="25746" ht="14.4" x14ac:dyDescent="0.3"/>
    <row r="25747" ht="14.4" x14ac:dyDescent="0.3"/>
    <row r="25748" ht="14.4" x14ac:dyDescent="0.3"/>
    <row r="25749" ht="14.4" x14ac:dyDescent="0.3"/>
    <row r="25750" ht="14.4" x14ac:dyDescent="0.3"/>
    <row r="25751" ht="14.4" x14ac:dyDescent="0.3"/>
    <row r="25752" ht="14.4" x14ac:dyDescent="0.3"/>
    <row r="25753" ht="14.4" x14ac:dyDescent="0.3"/>
    <row r="25754" ht="14.4" x14ac:dyDescent="0.3"/>
    <row r="25755" ht="14.4" x14ac:dyDescent="0.3"/>
    <row r="25756" ht="14.4" x14ac:dyDescent="0.3"/>
    <row r="25757" ht="14.4" x14ac:dyDescent="0.3"/>
    <row r="25758" ht="14.4" x14ac:dyDescent="0.3"/>
    <row r="25759" ht="14.4" x14ac:dyDescent="0.3"/>
    <row r="25760" ht="14.4" x14ac:dyDescent="0.3"/>
    <row r="25761" ht="14.4" x14ac:dyDescent="0.3"/>
    <row r="25762" ht="14.4" x14ac:dyDescent="0.3"/>
    <row r="25763" ht="14.4" x14ac:dyDescent="0.3"/>
    <row r="25764" ht="14.4" x14ac:dyDescent="0.3"/>
    <row r="25765" ht="14.4" x14ac:dyDescent="0.3"/>
    <row r="25766" ht="14.4" x14ac:dyDescent="0.3"/>
    <row r="25767" ht="14.4" x14ac:dyDescent="0.3"/>
    <row r="25768" ht="14.4" x14ac:dyDescent="0.3"/>
    <row r="25769" ht="14.4" x14ac:dyDescent="0.3"/>
    <row r="25770" ht="14.4" x14ac:dyDescent="0.3"/>
    <row r="25771" ht="14.4" x14ac:dyDescent="0.3"/>
    <row r="25772" ht="14.4" x14ac:dyDescent="0.3"/>
    <row r="25773" ht="14.4" x14ac:dyDescent="0.3"/>
    <row r="25774" ht="14.4" x14ac:dyDescent="0.3"/>
    <row r="25775" ht="14.4" x14ac:dyDescent="0.3"/>
    <row r="25776" ht="14.4" x14ac:dyDescent="0.3"/>
    <row r="25777" ht="14.4" x14ac:dyDescent="0.3"/>
    <row r="25778" ht="14.4" x14ac:dyDescent="0.3"/>
    <row r="25779" ht="14.4" x14ac:dyDescent="0.3"/>
    <row r="25780" ht="14.4" x14ac:dyDescent="0.3"/>
    <row r="25781" ht="14.4" x14ac:dyDescent="0.3"/>
    <row r="25782" ht="14.4" x14ac:dyDescent="0.3"/>
    <row r="25783" ht="14.4" x14ac:dyDescent="0.3"/>
    <row r="25784" ht="14.4" x14ac:dyDescent="0.3"/>
    <row r="25785" ht="14.4" x14ac:dyDescent="0.3"/>
    <row r="25786" ht="14.4" x14ac:dyDescent="0.3"/>
    <row r="25787" ht="14.4" x14ac:dyDescent="0.3"/>
    <row r="25788" ht="14.4" x14ac:dyDescent="0.3"/>
    <row r="25789" ht="14.4" x14ac:dyDescent="0.3"/>
    <row r="25790" ht="14.4" x14ac:dyDescent="0.3"/>
    <row r="25791" ht="14.4" x14ac:dyDescent="0.3"/>
    <row r="25792" ht="14.4" x14ac:dyDescent="0.3"/>
    <row r="25793" ht="14.4" x14ac:dyDescent="0.3"/>
    <row r="25794" ht="14.4" x14ac:dyDescent="0.3"/>
    <row r="25795" ht="14.4" x14ac:dyDescent="0.3"/>
    <row r="25796" ht="14.4" x14ac:dyDescent="0.3"/>
    <row r="25797" ht="14.4" x14ac:dyDescent="0.3"/>
    <row r="25798" ht="14.4" x14ac:dyDescent="0.3"/>
    <row r="25799" ht="14.4" x14ac:dyDescent="0.3"/>
    <row r="25800" ht="14.4" x14ac:dyDescent="0.3"/>
    <row r="25801" ht="14.4" x14ac:dyDescent="0.3"/>
    <row r="25802" ht="14.4" x14ac:dyDescent="0.3"/>
    <row r="25803" ht="14.4" x14ac:dyDescent="0.3"/>
    <row r="25804" ht="14.4" x14ac:dyDescent="0.3"/>
    <row r="25805" ht="14.4" x14ac:dyDescent="0.3"/>
    <row r="25806" ht="14.4" x14ac:dyDescent="0.3"/>
    <row r="25807" ht="14.4" x14ac:dyDescent="0.3"/>
    <row r="25808" ht="14.4" x14ac:dyDescent="0.3"/>
    <row r="25809" ht="14.4" x14ac:dyDescent="0.3"/>
    <row r="25810" ht="14.4" x14ac:dyDescent="0.3"/>
    <row r="25811" ht="14.4" x14ac:dyDescent="0.3"/>
    <row r="25812" ht="14.4" x14ac:dyDescent="0.3"/>
    <row r="25813" ht="14.4" x14ac:dyDescent="0.3"/>
    <row r="25814" ht="14.4" x14ac:dyDescent="0.3"/>
    <row r="25815" ht="14.4" x14ac:dyDescent="0.3"/>
    <row r="25816" ht="14.4" x14ac:dyDescent="0.3"/>
    <row r="25817" ht="14.4" x14ac:dyDescent="0.3"/>
    <row r="25818" ht="14.4" x14ac:dyDescent="0.3"/>
    <row r="25819" ht="14.4" x14ac:dyDescent="0.3"/>
    <row r="25820" ht="14.4" x14ac:dyDescent="0.3"/>
    <row r="25821" ht="14.4" x14ac:dyDescent="0.3"/>
    <row r="25822" ht="14.4" x14ac:dyDescent="0.3"/>
    <row r="25823" ht="14.4" x14ac:dyDescent="0.3"/>
    <row r="25824" ht="14.4" x14ac:dyDescent="0.3"/>
    <row r="25825" ht="14.4" x14ac:dyDescent="0.3"/>
    <row r="25826" ht="14.4" x14ac:dyDescent="0.3"/>
    <row r="25827" ht="14.4" x14ac:dyDescent="0.3"/>
    <row r="25828" ht="14.4" x14ac:dyDescent="0.3"/>
    <row r="25829" ht="14.4" x14ac:dyDescent="0.3"/>
    <row r="25830" ht="14.4" x14ac:dyDescent="0.3"/>
    <row r="25831" ht="14.4" x14ac:dyDescent="0.3"/>
    <row r="25832" ht="14.4" x14ac:dyDescent="0.3"/>
    <row r="25833" ht="14.4" x14ac:dyDescent="0.3"/>
    <row r="25834" ht="14.4" x14ac:dyDescent="0.3"/>
    <row r="25835" ht="14.4" x14ac:dyDescent="0.3"/>
    <row r="25836" ht="14.4" x14ac:dyDescent="0.3"/>
    <row r="25837" ht="14.4" x14ac:dyDescent="0.3"/>
    <row r="25838" ht="14.4" x14ac:dyDescent="0.3"/>
    <row r="25839" ht="14.4" x14ac:dyDescent="0.3"/>
    <row r="25840" ht="14.4" x14ac:dyDescent="0.3"/>
    <row r="25841" ht="14.4" x14ac:dyDescent="0.3"/>
    <row r="25842" ht="14.4" x14ac:dyDescent="0.3"/>
    <row r="25843" ht="14.4" x14ac:dyDescent="0.3"/>
    <row r="25844" ht="14.4" x14ac:dyDescent="0.3"/>
    <row r="25845" ht="14.4" x14ac:dyDescent="0.3"/>
    <row r="25846" ht="14.4" x14ac:dyDescent="0.3"/>
    <row r="25847" ht="14.4" x14ac:dyDescent="0.3"/>
    <row r="25848" ht="14.4" x14ac:dyDescent="0.3"/>
    <row r="25849" ht="14.4" x14ac:dyDescent="0.3"/>
    <row r="25850" ht="14.4" x14ac:dyDescent="0.3"/>
    <row r="25851" ht="14.4" x14ac:dyDescent="0.3"/>
    <row r="25852" ht="14.4" x14ac:dyDescent="0.3"/>
    <row r="25853" ht="14.4" x14ac:dyDescent="0.3"/>
    <row r="25854" ht="14.4" x14ac:dyDescent="0.3"/>
    <row r="25855" ht="14.4" x14ac:dyDescent="0.3"/>
    <row r="25856" ht="14.4" x14ac:dyDescent="0.3"/>
    <row r="25857" ht="14.4" x14ac:dyDescent="0.3"/>
    <row r="25858" ht="14.4" x14ac:dyDescent="0.3"/>
    <row r="25859" ht="14.4" x14ac:dyDescent="0.3"/>
    <row r="25860" ht="14.4" x14ac:dyDescent="0.3"/>
    <row r="25861" ht="14.4" x14ac:dyDescent="0.3"/>
    <row r="25862" ht="14.4" x14ac:dyDescent="0.3"/>
    <row r="25863" ht="14.4" x14ac:dyDescent="0.3"/>
    <row r="25864" ht="14.4" x14ac:dyDescent="0.3"/>
    <row r="25865" ht="14.4" x14ac:dyDescent="0.3"/>
    <row r="25866" ht="14.4" x14ac:dyDescent="0.3"/>
    <row r="25867" ht="14.4" x14ac:dyDescent="0.3"/>
    <row r="25868" ht="14.4" x14ac:dyDescent="0.3"/>
    <row r="25869" ht="14.4" x14ac:dyDescent="0.3"/>
    <row r="25870" ht="14.4" x14ac:dyDescent="0.3"/>
    <row r="25871" ht="14.4" x14ac:dyDescent="0.3"/>
    <row r="25872" ht="14.4" x14ac:dyDescent="0.3"/>
    <row r="25873" ht="14.4" x14ac:dyDescent="0.3"/>
    <row r="25874" ht="14.4" x14ac:dyDescent="0.3"/>
    <row r="25875" ht="14.4" x14ac:dyDescent="0.3"/>
    <row r="25876" ht="14.4" x14ac:dyDescent="0.3"/>
    <row r="25877" ht="14.4" x14ac:dyDescent="0.3"/>
    <row r="25878" ht="14.4" x14ac:dyDescent="0.3"/>
    <row r="25879" ht="14.4" x14ac:dyDescent="0.3"/>
    <row r="25880" ht="14.4" x14ac:dyDescent="0.3"/>
    <row r="25881" ht="14.4" x14ac:dyDescent="0.3"/>
    <row r="25882" ht="14.4" x14ac:dyDescent="0.3"/>
    <row r="25883" ht="14.4" x14ac:dyDescent="0.3"/>
    <row r="25884" ht="14.4" x14ac:dyDescent="0.3"/>
    <row r="25885" ht="14.4" x14ac:dyDescent="0.3"/>
    <row r="25886" ht="14.4" x14ac:dyDescent="0.3"/>
    <row r="25887" ht="14.4" x14ac:dyDescent="0.3"/>
    <row r="25888" ht="14.4" x14ac:dyDescent="0.3"/>
    <row r="25889" spans="1:43" ht="14.4" x14ac:dyDescent="0.3"/>
    <row r="25890" spans="1:43" ht="14.4" x14ac:dyDescent="0.3"/>
    <row r="25891" spans="1:43" ht="14.4" x14ac:dyDescent="0.3"/>
    <row r="25892" spans="1:43" ht="14.4" x14ac:dyDescent="0.3"/>
    <row r="25893" spans="1:43" ht="14.4" x14ac:dyDescent="0.3"/>
    <row r="25894" spans="1:43" ht="14.4" x14ac:dyDescent="0.3"/>
    <row r="25895" spans="1:43" ht="14.4" x14ac:dyDescent="0.3"/>
    <row r="25896" spans="1:43" ht="14.4" x14ac:dyDescent="0.3"/>
    <row r="25897" spans="1:43" ht="14.4" x14ac:dyDescent="0.3"/>
    <row r="25898" spans="1:43" ht="14.4" x14ac:dyDescent="0.3"/>
    <row r="25899" spans="1:43" ht="14.4" x14ac:dyDescent="0.3"/>
    <row r="25900" spans="1:43" ht="14.4" x14ac:dyDescent="0.3"/>
    <row r="25901" spans="1:43" ht="14.4" x14ac:dyDescent="0.3"/>
    <row r="25902" spans="1:43" ht="14.4" hidden="1" x14ac:dyDescent="0.3">
      <c r="A25902" t="s">
        <v>3735</v>
      </c>
      <c r="B25902">
        <v>4901961</v>
      </c>
      <c r="C25902" t="s">
        <v>968</v>
      </c>
      <c r="D25902" t="s">
        <v>990</v>
      </c>
      <c r="E25902" t="s">
        <v>991</v>
      </c>
      <c r="F25902" t="s">
        <v>992</v>
      </c>
      <c r="H25902" t="s">
        <v>3736</v>
      </c>
      <c r="J25902" t="s">
        <v>140</v>
      </c>
      <c r="K25902">
        <v>162782.19</v>
      </c>
      <c r="L25902">
        <v>381180.97</v>
      </c>
      <c r="M25902">
        <v>1</v>
      </c>
      <c r="N25902" t="s">
        <v>2123</v>
      </c>
      <c r="O25902" t="s">
        <v>652</v>
      </c>
      <c r="P25902" t="s">
        <v>778</v>
      </c>
      <c r="Q25902" t="s">
        <v>144</v>
      </c>
      <c r="S25902">
        <v>28</v>
      </c>
      <c r="T25902">
        <v>1512</v>
      </c>
      <c r="V25902" t="s">
        <v>146</v>
      </c>
      <c r="W25902" t="s">
        <v>184</v>
      </c>
      <c r="X25902" t="s">
        <v>7</v>
      </c>
      <c r="Y25902" t="s">
        <v>2124</v>
      </c>
      <c r="Z25902" t="s">
        <v>652</v>
      </c>
      <c r="AA25902" t="s">
        <v>3737</v>
      </c>
      <c r="AB25902">
        <v>0</v>
      </c>
      <c r="AE25902" t="s">
        <v>1460</v>
      </c>
      <c r="AF25902" t="s">
        <v>529</v>
      </c>
      <c r="AG25902" t="s">
        <v>566</v>
      </c>
      <c r="AL25902" t="s">
        <v>3738</v>
      </c>
      <c r="AM25902" t="s">
        <v>3739</v>
      </c>
      <c r="AN25902" t="s">
        <v>3740</v>
      </c>
      <c r="AO25902" t="s">
        <v>2123</v>
      </c>
      <c r="AQ25902">
        <f>IF(ISBLANK(AP25902), IFERROR(IF(VLOOKUP(AO25902, Ellens_additions!$A$2:$B$252, 2, FALSE) = "", "", VLOOKUP(AO25902, Ellens_additions!$A$2:$B$252, 2, FALSE)), 0), AP25902)</f>
        <v>0</v>
      </c>
    </row>
    <row r="25903" spans="1:43" ht="14.4" x14ac:dyDescent="0.3"/>
    <row r="25904" spans="1:43" ht="14.4" x14ac:dyDescent="0.3"/>
    <row r="25905" ht="14.4" x14ac:dyDescent="0.3"/>
    <row r="25906" ht="14.4" x14ac:dyDescent="0.3"/>
    <row r="25907" ht="14.4" x14ac:dyDescent="0.3"/>
    <row r="25908" ht="14.4" x14ac:dyDescent="0.3"/>
    <row r="25909" ht="14.4" x14ac:dyDescent="0.3"/>
    <row r="25910" ht="14.4" x14ac:dyDescent="0.3"/>
    <row r="25911" ht="14.4" x14ac:dyDescent="0.3"/>
    <row r="25912" ht="14.4" x14ac:dyDescent="0.3"/>
    <row r="25913" ht="14.4" x14ac:dyDescent="0.3"/>
    <row r="25914" ht="14.4" x14ac:dyDescent="0.3"/>
    <row r="25915" ht="14.4" x14ac:dyDescent="0.3"/>
    <row r="25916" ht="14.4" x14ac:dyDescent="0.3"/>
    <row r="25917" ht="14.4" x14ac:dyDescent="0.3"/>
    <row r="25918" ht="14.4" x14ac:dyDescent="0.3"/>
    <row r="25919" ht="14.4" x14ac:dyDescent="0.3"/>
    <row r="25920" ht="14.4" x14ac:dyDescent="0.3"/>
    <row r="25921" ht="14.4" x14ac:dyDescent="0.3"/>
    <row r="25922" ht="14.4" x14ac:dyDescent="0.3"/>
    <row r="25923" ht="14.4" x14ac:dyDescent="0.3"/>
    <row r="25924" ht="14.4" x14ac:dyDescent="0.3"/>
    <row r="25925" ht="14.4" x14ac:dyDescent="0.3"/>
    <row r="25926" ht="14.4" x14ac:dyDescent="0.3"/>
    <row r="25927" ht="14.4" x14ac:dyDescent="0.3"/>
    <row r="25928" ht="14.4" x14ac:dyDescent="0.3"/>
    <row r="25929" ht="14.4" x14ac:dyDescent="0.3"/>
    <row r="25930" ht="14.4" x14ac:dyDescent="0.3"/>
    <row r="25931" ht="14.4" x14ac:dyDescent="0.3"/>
    <row r="25932" ht="14.4" x14ac:dyDescent="0.3"/>
    <row r="25933" ht="14.4" x14ac:dyDescent="0.3"/>
    <row r="25934" ht="14.4" x14ac:dyDescent="0.3"/>
    <row r="25935" ht="14.4" x14ac:dyDescent="0.3"/>
    <row r="25936" ht="14.4" x14ac:dyDescent="0.3"/>
    <row r="25937" ht="14.4" x14ac:dyDescent="0.3"/>
    <row r="25938" ht="14.4" x14ac:dyDescent="0.3"/>
    <row r="25939" ht="14.4" x14ac:dyDescent="0.3"/>
    <row r="25940" ht="14.4" x14ac:dyDescent="0.3"/>
    <row r="25941" ht="14.4" x14ac:dyDescent="0.3"/>
    <row r="25942" ht="14.4" x14ac:dyDescent="0.3"/>
    <row r="25943" ht="14.4" x14ac:dyDescent="0.3"/>
    <row r="25944" ht="14.4" x14ac:dyDescent="0.3"/>
    <row r="25945" ht="14.4" x14ac:dyDescent="0.3"/>
    <row r="25946" ht="14.4" x14ac:dyDescent="0.3"/>
    <row r="25947" ht="14.4" x14ac:dyDescent="0.3"/>
    <row r="25948" ht="14.4" x14ac:dyDescent="0.3"/>
    <row r="25949" ht="14.4" x14ac:dyDescent="0.3"/>
    <row r="25950" ht="14.4" x14ac:dyDescent="0.3"/>
    <row r="25951" ht="14.4" x14ac:dyDescent="0.3"/>
    <row r="25952" ht="14.4" x14ac:dyDescent="0.3"/>
    <row r="25953" spans="1:43" ht="14.4" x14ac:dyDescent="0.3"/>
    <row r="25954" spans="1:43" ht="14.4" x14ac:dyDescent="0.3"/>
    <row r="25955" spans="1:43" ht="14.4" x14ac:dyDescent="0.3"/>
    <row r="25956" spans="1:43" ht="14.4" x14ac:dyDescent="0.3"/>
    <row r="25957" spans="1:43" ht="14.4" x14ac:dyDescent="0.3"/>
    <row r="25958" spans="1:43" ht="14.4" x14ac:dyDescent="0.3"/>
    <row r="25959" spans="1:43" ht="14.4" x14ac:dyDescent="0.3"/>
    <row r="25960" spans="1:43" ht="14.4" x14ac:dyDescent="0.3"/>
    <row r="25961" spans="1:43" ht="14.4" x14ac:dyDescent="0.3"/>
    <row r="25962" spans="1:43" ht="14.4" hidden="1" x14ac:dyDescent="0.3">
      <c r="A25962" t="s">
        <v>3741</v>
      </c>
      <c r="B25962">
        <v>4902156</v>
      </c>
      <c r="C25962" t="s">
        <v>968</v>
      </c>
      <c r="D25962" t="s">
        <v>990</v>
      </c>
      <c r="E25962" t="s">
        <v>991</v>
      </c>
      <c r="F25962" t="s">
        <v>992</v>
      </c>
      <c r="H25962" t="s">
        <v>279</v>
      </c>
      <c r="J25962" t="s">
        <v>140</v>
      </c>
      <c r="K25962">
        <v>162760.17000000001</v>
      </c>
      <c r="L25962">
        <v>381230.38</v>
      </c>
      <c r="M25962">
        <v>1</v>
      </c>
      <c r="N25962" t="s">
        <v>679</v>
      </c>
      <c r="O25962" t="s">
        <v>860</v>
      </c>
      <c r="P25962" t="s">
        <v>3742</v>
      </c>
      <c r="Q25962" t="s">
        <v>144</v>
      </c>
      <c r="S25962">
        <v>49.5</v>
      </c>
      <c r="T25962">
        <v>6400</v>
      </c>
      <c r="V25962" t="s">
        <v>146</v>
      </c>
      <c r="W25962" t="s">
        <v>147</v>
      </c>
      <c r="X25962" t="s">
        <v>7</v>
      </c>
      <c r="Y25962" t="s">
        <v>863</v>
      </c>
      <c r="Z25962" t="s">
        <v>860</v>
      </c>
      <c r="AA25962" t="s">
        <v>1383</v>
      </c>
      <c r="AB25962">
        <v>150</v>
      </c>
      <c r="AE25962" t="s">
        <v>816</v>
      </c>
      <c r="AF25962" t="s">
        <v>1047</v>
      </c>
      <c r="AG25962" t="s">
        <v>1367</v>
      </c>
      <c r="AL25962" t="s">
        <v>3743</v>
      </c>
      <c r="AM25962" t="s">
        <v>3744</v>
      </c>
      <c r="AN25962" t="s">
        <v>3745</v>
      </c>
      <c r="AO25962" t="s">
        <v>679</v>
      </c>
      <c r="AP25962" t="s">
        <v>158</v>
      </c>
      <c r="AQ25962" t="str">
        <f>IF(ISBLANK(AP25962), IFERROR(IF(VLOOKUP(AO25962, Ellens_additions!$A$2:$B$252, 2, FALSE) = "", "", VLOOKUP(AO25962, Ellens_additions!$A$2:$B$252, 2, FALSE)), 0), AP25962)</f>
        <v>3000</v>
      </c>
    </row>
    <row r="25963" spans="1:43" ht="14.4" x14ac:dyDescent="0.3"/>
    <row r="25964" spans="1:43" ht="14.4" x14ac:dyDescent="0.3"/>
    <row r="25965" spans="1:43" ht="14.4" x14ac:dyDescent="0.3"/>
    <row r="25966" spans="1:43" ht="14.4" x14ac:dyDescent="0.3"/>
    <row r="25967" spans="1:43" ht="14.4" x14ac:dyDescent="0.3"/>
    <row r="25968" spans="1:43" ht="14.4" x14ac:dyDescent="0.3"/>
    <row r="25969" ht="14.4" x14ac:dyDescent="0.3"/>
    <row r="25970" ht="14.4" x14ac:dyDescent="0.3"/>
    <row r="25971" ht="14.4" x14ac:dyDescent="0.3"/>
    <row r="25972" ht="14.4" x14ac:dyDescent="0.3"/>
    <row r="25973" ht="14.4" x14ac:dyDescent="0.3"/>
    <row r="25974" ht="14.4" x14ac:dyDescent="0.3"/>
    <row r="25975" ht="14.4" x14ac:dyDescent="0.3"/>
    <row r="25976" ht="14.4" x14ac:dyDescent="0.3"/>
    <row r="25977" ht="14.4" x14ac:dyDescent="0.3"/>
    <row r="25978" ht="14.4" x14ac:dyDescent="0.3"/>
    <row r="25979" ht="14.4" x14ac:dyDescent="0.3"/>
    <row r="25980" ht="14.4" x14ac:dyDescent="0.3"/>
    <row r="25981" ht="14.4" x14ac:dyDescent="0.3"/>
    <row r="25982" ht="14.4" x14ac:dyDescent="0.3"/>
    <row r="25983" ht="14.4" x14ac:dyDescent="0.3"/>
    <row r="25984" ht="14.4" x14ac:dyDescent="0.3"/>
    <row r="25985" spans="1:43" ht="14.4" x14ac:dyDescent="0.3"/>
    <row r="25986" spans="1:43" ht="14.4" x14ac:dyDescent="0.3"/>
    <row r="25987" spans="1:43" ht="14.4" x14ac:dyDescent="0.3"/>
    <row r="25988" spans="1:43" ht="14.4" x14ac:dyDescent="0.3"/>
    <row r="25989" spans="1:43" ht="14.4" x14ac:dyDescent="0.3"/>
    <row r="25990" spans="1:43" ht="14.4" x14ac:dyDescent="0.3"/>
    <row r="25991" spans="1:43" ht="14.4" x14ac:dyDescent="0.3"/>
    <row r="25992" spans="1:43" ht="14.4" x14ac:dyDescent="0.3"/>
    <row r="25993" spans="1:43" ht="14.4" x14ac:dyDescent="0.3"/>
    <row r="25994" spans="1:43" ht="14.4" x14ac:dyDescent="0.3"/>
    <row r="25995" spans="1:43" ht="14.4" x14ac:dyDescent="0.3"/>
    <row r="25996" spans="1:43" ht="14.4" hidden="1" x14ac:dyDescent="0.3">
      <c r="A25996" t="s">
        <v>3746</v>
      </c>
      <c r="B25996">
        <v>4902247</v>
      </c>
      <c r="C25996" t="s">
        <v>968</v>
      </c>
      <c r="D25996" t="s">
        <v>990</v>
      </c>
      <c r="E25996" t="s">
        <v>1247</v>
      </c>
      <c r="F25996" t="s">
        <v>2051</v>
      </c>
      <c r="H25996" t="s">
        <v>244</v>
      </c>
      <c r="J25996" t="s">
        <v>140</v>
      </c>
      <c r="K25996">
        <v>162434.79999999999</v>
      </c>
      <c r="L25996">
        <v>381630.78</v>
      </c>
      <c r="M25996">
        <v>1</v>
      </c>
      <c r="N25996" t="s">
        <v>804</v>
      </c>
      <c r="O25996" t="s">
        <v>631</v>
      </c>
      <c r="P25996" t="s">
        <v>1885</v>
      </c>
      <c r="Q25996" t="s">
        <v>144</v>
      </c>
      <c r="R25996" t="s">
        <v>145</v>
      </c>
      <c r="S25996">
        <v>21.3</v>
      </c>
      <c r="T25996">
        <v>2100</v>
      </c>
      <c r="V25996" t="s">
        <v>146</v>
      </c>
      <c r="W25996" t="s">
        <v>147</v>
      </c>
      <c r="X25996" t="s">
        <v>7</v>
      </c>
      <c r="Y25996" t="s">
        <v>781</v>
      </c>
      <c r="Z25996" t="s">
        <v>631</v>
      </c>
      <c r="AA25996" t="s">
        <v>475</v>
      </c>
      <c r="AB25996">
        <v>0</v>
      </c>
      <c r="AE25996" t="s">
        <v>816</v>
      </c>
      <c r="AF25996" t="s">
        <v>631</v>
      </c>
      <c r="AG25996" t="s">
        <v>856</v>
      </c>
      <c r="AL25996" t="s">
        <v>3747</v>
      </c>
      <c r="AM25996" t="s">
        <v>3748</v>
      </c>
      <c r="AN25996" t="s">
        <v>3749</v>
      </c>
      <c r="AO25996" t="s">
        <v>804</v>
      </c>
      <c r="AP25996" t="s">
        <v>158</v>
      </c>
      <c r="AQ25996" t="str">
        <f>IF(ISBLANK(AP25996), IFERROR(IF(VLOOKUP(AO25996, Ellens_additions!$A$2:$B$252, 2, FALSE) = "", "", VLOOKUP(AO25996, Ellens_additions!$A$2:$B$252, 2, FALSE)), 0), AP25996)</f>
        <v>3000</v>
      </c>
    </row>
    <row r="25997" spans="1:43" ht="14.4" hidden="1" x14ac:dyDescent="0.3">
      <c r="A25997" t="s">
        <v>3750</v>
      </c>
      <c r="B25997">
        <v>4902250</v>
      </c>
      <c r="C25997" t="s">
        <v>968</v>
      </c>
      <c r="D25997" t="s">
        <v>990</v>
      </c>
      <c r="E25997" t="s">
        <v>1247</v>
      </c>
      <c r="F25997" t="s">
        <v>2051</v>
      </c>
      <c r="H25997" t="s">
        <v>303</v>
      </c>
      <c r="J25997" t="s">
        <v>140</v>
      </c>
      <c r="K25997">
        <v>162466.07</v>
      </c>
      <c r="L25997">
        <v>381568.49</v>
      </c>
      <c r="M25997">
        <v>1</v>
      </c>
      <c r="N25997" t="s">
        <v>804</v>
      </c>
      <c r="O25997" t="s">
        <v>631</v>
      </c>
      <c r="P25997" t="s">
        <v>1885</v>
      </c>
      <c r="Q25997" t="s">
        <v>144</v>
      </c>
      <c r="R25997" t="s">
        <v>145</v>
      </c>
      <c r="S25997">
        <v>21.3</v>
      </c>
      <c r="T25997">
        <v>2100</v>
      </c>
      <c r="V25997" t="s">
        <v>146</v>
      </c>
      <c r="W25997" t="s">
        <v>147</v>
      </c>
      <c r="X25997" t="s">
        <v>7</v>
      </c>
      <c r="Y25997" t="s">
        <v>781</v>
      </c>
      <c r="Z25997" t="s">
        <v>631</v>
      </c>
      <c r="AA25997" t="s">
        <v>475</v>
      </c>
      <c r="AB25997">
        <v>0</v>
      </c>
      <c r="AE25997" t="s">
        <v>816</v>
      </c>
      <c r="AF25997" t="s">
        <v>631</v>
      </c>
      <c r="AG25997" t="s">
        <v>856</v>
      </c>
      <c r="AL25997" t="s">
        <v>3751</v>
      </c>
      <c r="AM25997" t="s">
        <v>3752</v>
      </c>
      <c r="AN25997" t="s">
        <v>3753</v>
      </c>
      <c r="AO25997" t="s">
        <v>804</v>
      </c>
      <c r="AP25997" t="s">
        <v>158</v>
      </c>
      <c r="AQ25997" t="str">
        <f>IF(ISBLANK(AP25997), IFERROR(IF(VLOOKUP(AO25997, Ellens_additions!$A$2:$B$252, 2, FALSE) = "", "", VLOOKUP(AO25997, Ellens_additions!$A$2:$B$252, 2, FALSE)), 0), AP25997)</f>
        <v>3000</v>
      </c>
    </row>
    <row r="25998" spans="1:43" ht="14.4" hidden="1" x14ac:dyDescent="0.3">
      <c r="A25998" t="s">
        <v>3754</v>
      </c>
      <c r="B25998">
        <v>4902255</v>
      </c>
      <c r="C25998" t="s">
        <v>968</v>
      </c>
      <c r="D25998" t="s">
        <v>990</v>
      </c>
      <c r="E25998" t="s">
        <v>1247</v>
      </c>
      <c r="F25998" t="s">
        <v>1874</v>
      </c>
      <c r="H25998" t="s">
        <v>244</v>
      </c>
      <c r="J25998" t="s">
        <v>140</v>
      </c>
      <c r="K25998">
        <v>162467.99</v>
      </c>
      <c r="L25998">
        <v>381655.14</v>
      </c>
      <c r="M25998">
        <v>1</v>
      </c>
      <c r="N25998" t="s">
        <v>804</v>
      </c>
      <c r="O25998" t="s">
        <v>631</v>
      </c>
      <c r="P25998" t="s">
        <v>1885</v>
      </c>
      <c r="Q25998" t="s">
        <v>144</v>
      </c>
      <c r="R25998" t="s">
        <v>145</v>
      </c>
      <c r="S25998">
        <v>21.3</v>
      </c>
      <c r="T25998">
        <v>2100</v>
      </c>
      <c r="V25998" t="s">
        <v>146</v>
      </c>
      <c r="W25998" t="s">
        <v>147</v>
      </c>
      <c r="X25998" t="s">
        <v>7</v>
      </c>
      <c r="Y25998" t="s">
        <v>781</v>
      </c>
      <c r="Z25998" t="s">
        <v>631</v>
      </c>
      <c r="AA25998" t="s">
        <v>475</v>
      </c>
      <c r="AB25998">
        <v>0</v>
      </c>
      <c r="AE25998" t="s">
        <v>816</v>
      </c>
      <c r="AF25998" t="s">
        <v>631</v>
      </c>
      <c r="AG25998" t="s">
        <v>856</v>
      </c>
      <c r="AL25998" t="s">
        <v>3755</v>
      </c>
      <c r="AM25998" t="s">
        <v>3756</v>
      </c>
      <c r="AN25998" t="s">
        <v>3757</v>
      </c>
      <c r="AO25998" t="s">
        <v>804</v>
      </c>
      <c r="AP25998" t="s">
        <v>158</v>
      </c>
      <c r="AQ25998" t="str">
        <f>IF(ISBLANK(AP25998), IFERROR(IF(VLOOKUP(AO25998, Ellens_additions!$A$2:$B$252, 2, FALSE) = "", "", VLOOKUP(AO25998, Ellens_additions!$A$2:$B$252, 2, FALSE)), 0), AP25998)</f>
        <v>3000</v>
      </c>
    </row>
    <row r="25999" spans="1:43" ht="14.4" x14ac:dyDescent="0.3"/>
    <row r="26000" spans="1:43" ht="14.4" hidden="1" x14ac:dyDescent="0.3">
      <c r="A26000" t="s">
        <v>3758</v>
      </c>
      <c r="B26000">
        <v>4902262</v>
      </c>
      <c r="C26000" t="s">
        <v>968</v>
      </c>
      <c r="D26000" t="s">
        <v>990</v>
      </c>
      <c r="E26000" t="s">
        <v>1247</v>
      </c>
      <c r="F26000" t="s">
        <v>1874</v>
      </c>
      <c r="H26000" t="s">
        <v>276</v>
      </c>
      <c r="J26000" t="s">
        <v>140</v>
      </c>
      <c r="K26000">
        <v>162547.85999999999</v>
      </c>
      <c r="L26000">
        <v>381531.79</v>
      </c>
      <c r="M26000">
        <v>1</v>
      </c>
      <c r="N26000" t="s">
        <v>804</v>
      </c>
      <c r="O26000" t="s">
        <v>631</v>
      </c>
      <c r="P26000" t="s">
        <v>1885</v>
      </c>
      <c r="Q26000" t="s">
        <v>144</v>
      </c>
      <c r="R26000" t="s">
        <v>145</v>
      </c>
      <c r="S26000">
        <v>21.3</v>
      </c>
      <c r="T26000">
        <v>2100</v>
      </c>
      <c r="V26000" t="s">
        <v>146</v>
      </c>
      <c r="W26000" t="s">
        <v>147</v>
      </c>
      <c r="X26000" t="s">
        <v>7</v>
      </c>
      <c r="Y26000" t="s">
        <v>781</v>
      </c>
      <c r="Z26000" t="s">
        <v>631</v>
      </c>
      <c r="AA26000" t="s">
        <v>475</v>
      </c>
      <c r="AB26000">
        <v>0</v>
      </c>
      <c r="AE26000" t="s">
        <v>816</v>
      </c>
      <c r="AF26000" t="s">
        <v>631</v>
      </c>
      <c r="AG26000" t="s">
        <v>856</v>
      </c>
      <c r="AL26000" t="s">
        <v>3759</v>
      </c>
      <c r="AM26000" t="s">
        <v>3760</v>
      </c>
      <c r="AN26000" t="s">
        <v>3761</v>
      </c>
      <c r="AO26000" t="s">
        <v>804</v>
      </c>
      <c r="AP26000" t="s">
        <v>158</v>
      </c>
      <c r="AQ26000" t="str">
        <f>IF(ISBLANK(AP26000), IFERROR(IF(VLOOKUP(AO26000, Ellens_additions!$A$2:$B$252, 2, FALSE) = "", "", VLOOKUP(AO26000, Ellens_additions!$A$2:$B$252, 2, FALSE)), 0), AP26000)</f>
        <v>3000</v>
      </c>
    </row>
    <row r="26001" spans="1:43" ht="14.4" hidden="1" x14ac:dyDescent="0.3">
      <c r="A26001" t="s">
        <v>3762</v>
      </c>
      <c r="B26001">
        <v>4902270</v>
      </c>
      <c r="C26001" t="s">
        <v>968</v>
      </c>
      <c r="D26001" t="s">
        <v>990</v>
      </c>
      <c r="E26001" t="s">
        <v>1247</v>
      </c>
      <c r="F26001" t="s">
        <v>2113</v>
      </c>
      <c r="H26001" t="s">
        <v>229</v>
      </c>
      <c r="J26001" t="s">
        <v>140</v>
      </c>
      <c r="K26001">
        <v>162527.85</v>
      </c>
      <c r="L26001">
        <v>381658.04</v>
      </c>
      <c r="M26001">
        <v>1</v>
      </c>
      <c r="N26001" t="s">
        <v>804</v>
      </c>
      <c r="O26001" t="s">
        <v>631</v>
      </c>
      <c r="P26001" t="s">
        <v>1885</v>
      </c>
      <c r="Q26001" t="s">
        <v>144</v>
      </c>
      <c r="R26001" t="s">
        <v>145</v>
      </c>
      <c r="S26001">
        <v>21.3</v>
      </c>
      <c r="T26001">
        <v>2100</v>
      </c>
      <c r="V26001" t="s">
        <v>146</v>
      </c>
      <c r="W26001" t="s">
        <v>147</v>
      </c>
      <c r="X26001" t="s">
        <v>7</v>
      </c>
      <c r="Y26001" t="s">
        <v>781</v>
      </c>
      <c r="Z26001" t="s">
        <v>631</v>
      </c>
      <c r="AA26001" t="s">
        <v>475</v>
      </c>
      <c r="AB26001">
        <v>0</v>
      </c>
      <c r="AE26001" t="s">
        <v>816</v>
      </c>
      <c r="AF26001" t="s">
        <v>631</v>
      </c>
      <c r="AG26001" t="s">
        <v>856</v>
      </c>
      <c r="AL26001" t="s">
        <v>3763</v>
      </c>
      <c r="AM26001" t="s">
        <v>3764</v>
      </c>
      <c r="AN26001" t="s">
        <v>3765</v>
      </c>
      <c r="AO26001" t="s">
        <v>804</v>
      </c>
      <c r="AP26001" t="s">
        <v>158</v>
      </c>
      <c r="AQ26001" t="str">
        <f>IF(ISBLANK(AP26001), IFERROR(IF(VLOOKUP(AO26001, Ellens_additions!$A$2:$B$252, 2, FALSE) = "", "", VLOOKUP(AO26001, Ellens_additions!$A$2:$B$252, 2, FALSE)), 0), AP26001)</f>
        <v>3000</v>
      </c>
    </row>
    <row r="26002" spans="1:43" ht="14.4" x14ac:dyDescent="0.3"/>
    <row r="26003" spans="1:43" ht="14.4" x14ac:dyDescent="0.3"/>
    <row r="26004" spans="1:43" ht="14.4" hidden="1" x14ac:dyDescent="0.3">
      <c r="A26004" t="s">
        <v>3766</v>
      </c>
      <c r="B26004">
        <v>4902277</v>
      </c>
      <c r="C26004" t="s">
        <v>968</v>
      </c>
      <c r="D26004" t="s">
        <v>990</v>
      </c>
      <c r="E26004" t="s">
        <v>1247</v>
      </c>
      <c r="F26004" t="s">
        <v>2113</v>
      </c>
      <c r="H26004" t="s">
        <v>274</v>
      </c>
      <c r="J26004" t="s">
        <v>140</v>
      </c>
      <c r="K26004">
        <v>162557.03</v>
      </c>
      <c r="L26004">
        <v>381621.85</v>
      </c>
      <c r="M26004">
        <v>1</v>
      </c>
      <c r="N26004" t="s">
        <v>804</v>
      </c>
      <c r="O26004" t="s">
        <v>631</v>
      </c>
      <c r="P26004" t="s">
        <v>1885</v>
      </c>
      <c r="Q26004" t="s">
        <v>144</v>
      </c>
      <c r="R26004" t="s">
        <v>145</v>
      </c>
      <c r="S26004">
        <v>21.3</v>
      </c>
      <c r="T26004">
        <v>2100</v>
      </c>
      <c r="V26004" t="s">
        <v>146</v>
      </c>
      <c r="W26004" t="s">
        <v>147</v>
      </c>
      <c r="X26004" t="s">
        <v>7</v>
      </c>
      <c r="Y26004" t="s">
        <v>781</v>
      </c>
      <c r="Z26004" t="s">
        <v>631</v>
      </c>
      <c r="AA26004" t="s">
        <v>475</v>
      </c>
      <c r="AB26004">
        <v>0</v>
      </c>
      <c r="AE26004" t="s">
        <v>816</v>
      </c>
      <c r="AF26004" t="s">
        <v>631</v>
      </c>
      <c r="AG26004" t="s">
        <v>856</v>
      </c>
      <c r="AL26004" t="s">
        <v>3767</v>
      </c>
      <c r="AM26004" t="s">
        <v>3768</v>
      </c>
      <c r="AN26004" t="s">
        <v>3769</v>
      </c>
      <c r="AO26004" t="s">
        <v>804</v>
      </c>
      <c r="AP26004" t="s">
        <v>158</v>
      </c>
      <c r="AQ26004" t="str">
        <f>IF(ISBLANK(AP26004), IFERROR(IF(VLOOKUP(AO26004, Ellens_additions!$A$2:$B$252, 2, FALSE) = "", "", VLOOKUP(AO26004, Ellens_additions!$A$2:$B$252, 2, FALSE)), 0), AP26004)</f>
        <v>3000</v>
      </c>
    </row>
    <row r="26005" spans="1:43" ht="14.4" hidden="1" x14ac:dyDescent="0.3">
      <c r="A26005" t="s">
        <v>3770</v>
      </c>
      <c r="B26005">
        <v>4902278</v>
      </c>
      <c r="C26005" t="s">
        <v>968</v>
      </c>
      <c r="D26005" t="s">
        <v>990</v>
      </c>
      <c r="E26005" t="s">
        <v>1247</v>
      </c>
      <c r="F26005" t="s">
        <v>2113</v>
      </c>
      <c r="H26005" t="s">
        <v>244</v>
      </c>
      <c r="J26005" t="s">
        <v>140</v>
      </c>
      <c r="K26005">
        <v>162572.57</v>
      </c>
      <c r="L26005">
        <v>381602.75</v>
      </c>
      <c r="M26005">
        <v>1</v>
      </c>
      <c r="N26005" t="s">
        <v>804</v>
      </c>
      <c r="O26005" t="s">
        <v>631</v>
      </c>
      <c r="P26005" t="s">
        <v>1885</v>
      </c>
      <c r="Q26005" t="s">
        <v>144</v>
      </c>
      <c r="R26005" t="s">
        <v>145</v>
      </c>
      <c r="S26005">
        <v>21.3</v>
      </c>
      <c r="T26005">
        <v>2100</v>
      </c>
      <c r="V26005" t="s">
        <v>146</v>
      </c>
      <c r="W26005" t="s">
        <v>147</v>
      </c>
      <c r="X26005" t="s">
        <v>7</v>
      </c>
      <c r="Y26005" t="s">
        <v>781</v>
      </c>
      <c r="Z26005" t="s">
        <v>631</v>
      </c>
      <c r="AA26005" t="s">
        <v>475</v>
      </c>
      <c r="AB26005">
        <v>0</v>
      </c>
      <c r="AE26005" t="s">
        <v>816</v>
      </c>
      <c r="AF26005" t="s">
        <v>631</v>
      </c>
      <c r="AG26005" t="s">
        <v>856</v>
      </c>
      <c r="AL26005" t="s">
        <v>3771</v>
      </c>
      <c r="AM26005" t="s">
        <v>3772</v>
      </c>
      <c r="AN26005" t="s">
        <v>3773</v>
      </c>
      <c r="AO26005" t="s">
        <v>804</v>
      </c>
      <c r="AP26005" t="s">
        <v>158</v>
      </c>
      <c r="AQ26005" t="str">
        <f>IF(ISBLANK(AP26005), IFERROR(IF(VLOOKUP(AO26005, Ellens_additions!$A$2:$B$252, 2, FALSE) = "", "", VLOOKUP(AO26005, Ellens_additions!$A$2:$B$252, 2, FALSE)), 0), AP26005)</f>
        <v>3000</v>
      </c>
    </row>
    <row r="26006" spans="1:43" ht="14.4" x14ac:dyDescent="0.3"/>
    <row r="26007" spans="1:43" ht="14.4" x14ac:dyDescent="0.3"/>
    <row r="26008" spans="1:43" ht="14.4" x14ac:dyDescent="0.3"/>
    <row r="26009" spans="1:43" ht="14.4" x14ac:dyDescent="0.3"/>
    <row r="26010" spans="1:43" ht="14.4" x14ac:dyDescent="0.3"/>
    <row r="26011" spans="1:43" ht="14.4" x14ac:dyDescent="0.3"/>
    <row r="26012" spans="1:43" ht="14.4" x14ac:dyDescent="0.3"/>
    <row r="26013" spans="1:43" ht="14.4" x14ac:dyDescent="0.3"/>
    <row r="26014" spans="1:43" ht="14.4" x14ac:dyDescent="0.3"/>
    <row r="26015" spans="1:43" ht="14.4" x14ac:dyDescent="0.3"/>
    <row r="26016" spans="1:43" ht="14.4" x14ac:dyDescent="0.3"/>
    <row r="26017" spans="1:43" ht="14.4" x14ac:dyDescent="0.3"/>
    <row r="26018" spans="1:43" ht="14.4" hidden="1" x14ac:dyDescent="0.3">
      <c r="A26018" t="s">
        <v>3774</v>
      </c>
      <c r="B26018">
        <v>4902313</v>
      </c>
      <c r="C26018" t="s">
        <v>968</v>
      </c>
      <c r="D26018" t="s">
        <v>990</v>
      </c>
      <c r="E26018" t="s">
        <v>991</v>
      </c>
      <c r="F26018" t="s">
        <v>992</v>
      </c>
      <c r="H26018" t="s">
        <v>3248</v>
      </c>
      <c r="J26018" t="s">
        <v>140</v>
      </c>
      <c r="K26018">
        <v>162777.88</v>
      </c>
      <c r="L26018">
        <v>381204.57</v>
      </c>
      <c r="M26018">
        <v>1</v>
      </c>
      <c r="N26018" t="s">
        <v>2123</v>
      </c>
      <c r="O26018" t="s">
        <v>508</v>
      </c>
      <c r="P26018" t="s">
        <v>3775</v>
      </c>
      <c r="Q26018" t="s">
        <v>144</v>
      </c>
      <c r="S26018">
        <v>28</v>
      </c>
      <c r="T26018">
        <v>1512</v>
      </c>
      <c r="V26018" t="s">
        <v>146</v>
      </c>
      <c r="W26018" t="s">
        <v>184</v>
      </c>
      <c r="X26018" t="s">
        <v>7</v>
      </c>
      <c r="Y26018" t="s">
        <v>2124</v>
      </c>
      <c r="Z26018" t="s">
        <v>508</v>
      </c>
      <c r="AA26018" t="s">
        <v>1877</v>
      </c>
      <c r="AB26018">
        <v>0</v>
      </c>
      <c r="AE26018" t="s">
        <v>1460</v>
      </c>
      <c r="AF26018" t="s">
        <v>529</v>
      </c>
      <c r="AG26018" t="s">
        <v>566</v>
      </c>
      <c r="AL26018" t="s">
        <v>3776</v>
      </c>
      <c r="AM26018" t="s">
        <v>3777</v>
      </c>
      <c r="AN26018" t="s">
        <v>3778</v>
      </c>
      <c r="AO26018" t="s">
        <v>2123</v>
      </c>
      <c r="AQ26018">
        <f>IF(ISBLANK(AP26018), IFERROR(IF(VLOOKUP(AO26018, Ellens_additions!$A$2:$B$252, 2, FALSE) = "", "", VLOOKUP(AO26018, Ellens_additions!$A$2:$B$252, 2, FALSE)), 0), AP26018)</f>
        <v>0</v>
      </c>
    </row>
    <row r="26019" spans="1:43" ht="14.4" x14ac:dyDescent="0.3"/>
    <row r="26020" spans="1:43" ht="14.4" x14ac:dyDescent="0.3"/>
    <row r="26021" spans="1:43" ht="14.4" x14ac:dyDescent="0.3"/>
    <row r="26022" spans="1:43" ht="14.4" x14ac:dyDescent="0.3"/>
    <row r="26023" spans="1:43" ht="14.4" x14ac:dyDescent="0.3"/>
    <row r="26024" spans="1:43" ht="14.4" x14ac:dyDescent="0.3"/>
    <row r="26025" spans="1:43" ht="14.4" x14ac:dyDescent="0.3"/>
    <row r="26026" spans="1:43" ht="14.4" x14ac:dyDescent="0.3"/>
    <row r="26027" spans="1:43" ht="14.4" x14ac:dyDescent="0.3"/>
    <row r="26028" spans="1:43" ht="14.4" x14ac:dyDescent="0.3"/>
    <row r="26029" spans="1:43" ht="14.4" x14ac:dyDescent="0.3"/>
    <row r="26030" spans="1:43" ht="14.4" x14ac:dyDescent="0.3"/>
    <row r="26031" spans="1:43" ht="14.4" hidden="1" x14ac:dyDescent="0.3">
      <c r="A26031" t="s">
        <v>3779</v>
      </c>
      <c r="B26031">
        <v>4902349</v>
      </c>
      <c r="C26031" t="s">
        <v>968</v>
      </c>
      <c r="D26031" t="s">
        <v>990</v>
      </c>
      <c r="E26031" t="s">
        <v>991</v>
      </c>
      <c r="F26031" t="s">
        <v>992</v>
      </c>
      <c r="H26031" t="s">
        <v>3780</v>
      </c>
      <c r="J26031" t="s">
        <v>140</v>
      </c>
      <c r="K26031">
        <v>162784.68</v>
      </c>
      <c r="L26031">
        <v>381247.6</v>
      </c>
      <c r="M26031">
        <v>1</v>
      </c>
      <c r="N26031" t="s">
        <v>2123</v>
      </c>
      <c r="O26031" t="s">
        <v>529</v>
      </c>
      <c r="P26031" t="s">
        <v>1798</v>
      </c>
      <c r="Q26031" t="s">
        <v>144</v>
      </c>
      <c r="S26031">
        <v>28</v>
      </c>
      <c r="T26031">
        <v>1512</v>
      </c>
      <c r="V26031" t="s">
        <v>146</v>
      </c>
      <c r="W26031" t="s">
        <v>184</v>
      </c>
      <c r="X26031" t="s">
        <v>7</v>
      </c>
      <c r="Y26031" t="s">
        <v>2124</v>
      </c>
      <c r="Z26031" t="s">
        <v>529</v>
      </c>
      <c r="AA26031" t="s">
        <v>528</v>
      </c>
      <c r="AB26031">
        <v>0</v>
      </c>
      <c r="AE26031" t="s">
        <v>1460</v>
      </c>
      <c r="AF26031" t="s">
        <v>529</v>
      </c>
      <c r="AG26031" t="s">
        <v>566</v>
      </c>
      <c r="AL26031" t="s">
        <v>3781</v>
      </c>
      <c r="AM26031" t="s">
        <v>3782</v>
      </c>
      <c r="AN26031" t="s">
        <v>3783</v>
      </c>
      <c r="AO26031" t="s">
        <v>2123</v>
      </c>
      <c r="AQ26031">
        <f>IF(ISBLANK(AP26031), IFERROR(IF(VLOOKUP(AO26031, Ellens_additions!$A$2:$B$252, 2, FALSE) = "", "", VLOOKUP(AO26031, Ellens_additions!$A$2:$B$252, 2, FALSE)), 0), AP26031)</f>
        <v>0</v>
      </c>
    </row>
    <row r="26032" spans="1:43" ht="14.4" hidden="1" x14ac:dyDescent="0.3">
      <c r="A26032" t="s">
        <v>3784</v>
      </c>
      <c r="B26032">
        <v>4902350</v>
      </c>
      <c r="C26032" t="s">
        <v>968</v>
      </c>
      <c r="D26032" t="s">
        <v>990</v>
      </c>
      <c r="E26032" t="s">
        <v>991</v>
      </c>
      <c r="F26032" t="s">
        <v>992</v>
      </c>
      <c r="H26032" t="s">
        <v>3785</v>
      </c>
      <c r="J26032" t="s">
        <v>140</v>
      </c>
      <c r="K26032">
        <v>162779.01</v>
      </c>
      <c r="L26032">
        <v>381247.35</v>
      </c>
      <c r="M26032">
        <v>1</v>
      </c>
      <c r="N26032" t="s">
        <v>2123</v>
      </c>
      <c r="O26032" t="s">
        <v>529</v>
      </c>
      <c r="P26032" t="s">
        <v>1798</v>
      </c>
      <c r="Q26032" t="s">
        <v>144</v>
      </c>
      <c r="S26032">
        <v>28</v>
      </c>
      <c r="T26032">
        <v>1512</v>
      </c>
      <c r="V26032" t="s">
        <v>146</v>
      </c>
      <c r="W26032" t="s">
        <v>184</v>
      </c>
      <c r="X26032" t="s">
        <v>7</v>
      </c>
      <c r="Y26032" t="s">
        <v>2124</v>
      </c>
      <c r="Z26032" t="s">
        <v>529</v>
      </c>
      <c r="AA26032" t="s">
        <v>528</v>
      </c>
      <c r="AB26032">
        <v>0</v>
      </c>
      <c r="AE26032" t="s">
        <v>1460</v>
      </c>
      <c r="AF26032" t="s">
        <v>529</v>
      </c>
      <c r="AG26032" t="s">
        <v>566</v>
      </c>
      <c r="AL26032" t="s">
        <v>3786</v>
      </c>
      <c r="AM26032" t="s">
        <v>3787</v>
      </c>
      <c r="AN26032" t="s">
        <v>3788</v>
      </c>
      <c r="AO26032" t="s">
        <v>2123</v>
      </c>
      <c r="AQ26032">
        <f>IF(ISBLANK(AP26032), IFERROR(IF(VLOOKUP(AO26032, Ellens_additions!$A$2:$B$252, 2, FALSE) = "", "", VLOOKUP(AO26032, Ellens_additions!$A$2:$B$252, 2, FALSE)), 0), AP26032)</f>
        <v>0</v>
      </c>
    </row>
    <row r="26033" spans="1:43" ht="14.4" hidden="1" x14ac:dyDescent="0.3">
      <c r="A26033" t="s">
        <v>3789</v>
      </c>
      <c r="B26033">
        <v>4902353</v>
      </c>
      <c r="C26033" t="s">
        <v>968</v>
      </c>
      <c r="D26033" t="s">
        <v>990</v>
      </c>
      <c r="E26033" t="s">
        <v>991</v>
      </c>
      <c r="F26033" t="s">
        <v>992</v>
      </c>
      <c r="H26033" t="s">
        <v>1236</v>
      </c>
      <c r="J26033" t="s">
        <v>140</v>
      </c>
      <c r="K26033">
        <v>162759.44</v>
      </c>
      <c r="L26033">
        <v>381286.54</v>
      </c>
      <c r="M26033">
        <v>1</v>
      </c>
      <c r="N26033" t="s">
        <v>2123</v>
      </c>
      <c r="O26033" t="s">
        <v>529</v>
      </c>
      <c r="P26033" t="s">
        <v>1798</v>
      </c>
      <c r="Q26033" t="s">
        <v>144</v>
      </c>
      <c r="S26033">
        <v>28</v>
      </c>
      <c r="T26033">
        <v>1512</v>
      </c>
      <c r="V26033" t="s">
        <v>146</v>
      </c>
      <c r="W26033" t="s">
        <v>184</v>
      </c>
      <c r="X26033" t="s">
        <v>7</v>
      </c>
      <c r="Y26033" t="s">
        <v>2124</v>
      </c>
      <c r="Z26033" t="s">
        <v>529</v>
      </c>
      <c r="AA26033" t="s">
        <v>528</v>
      </c>
      <c r="AB26033">
        <v>0</v>
      </c>
      <c r="AE26033" t="s">
        <v>1460</v>
      </c>
      <c r="AF26033" t="s">
        <v>529</v>
      </c>
      <c r="AG26033" t="s">
        <v>566</v>
      </c>
      <c r="AL26033" t="s">
        <v>3790</v>
      </c>
      <c r="AM26033" t="s">
        <v>3791</v>
      </c>
      <c r="AN26033" t="s">
        <v>3792</v>
      </c>
      <c r="AO26033" t="s">
        <v>2123</v>
      </c>
      <c r="AQ26033">
        <f>IF(ISBLANK(AP26033), IFERROR(IF(VLOOKUP(AO26033, Ellens_additions!$A$2:$B$252, 2, FALSE) = "", "", VLOOKUP(AO26033, Ellens_additions!$A$2:$B$252, 2, FALSE)), 0), AP26033)</f>
        <v>0</v>
      </c>
    </row>
    <row r="26034" spans="1:43" ht="14.4" hidden="1" x14ac:dyDescent="0.3">
      <c r="A26034" t="s">
        <v>3793</v>
      </c>
      <c r="B26034">
        <v>4902354</v>
      </c>
      <c r="C26034" t="s">
        <v>968</v>
      </c>
      <c r="D26034" t="s">
        <v>990</v>
      </c>
      <c r="E26034" t="s">
        <v>991</v>
      </c>
      <c r="F26034" t="s">
        <v>992</v>
      </c>
      <c r="H26034" t="s">
        <v>3794</v>
      </c>
      <c r="J26034" t="s">
        <v>140</v>
      </c>
      <c r="K26034">
        <v>162754.81</v>
      </c>
      <c r="L26034">
        <v>381285.41</v>
      </c>
      <c r="M26034">
        <v>1</v>
      </c>
      <c r="N26034" t="s">
        <v>2123</v>
      </c>
      <c r="O26034" t="s">
        <v>529</v>
      </c>
      <c r="P26034" t="s">
        <v>1798</v>
      </c>
      <c r="Q26034" t="s">
        <v>144</v>
      </c>
      <c r="S26034">
        <v>28</v>
      </c>
      <c r="T26034">
        <v>1512</v>
      </c>
      <c r="V26034" t="s">
        <v>146</v>
      </c>
      <c r="W26034" t="s">
        <v>184</v>
      </c>
      <c r="X26034" t="s">
        <v>7</v>
      </c>
      <c r="Y26034" t="s">
        <v>2124</v>
      </c>
      <c r="Z26034" t="s">
        <v>529</v>
      </c>
      <c r="AA26034" t="s">
        <v>528</v>
      </c>
      <c r="AB26034">
        <v>0</v>
      </c>
      <c r="AE26034" t="s">
        <v>1460</v>
      </c>
      <c r="AF26034" t="s">
        <v>529</v>
      </c>
      <c r="AG26034" t="s">
        <v>566</v>
      </c>
      <c r="AL26034" t="s">
        <v>3795</v>
      </c>
      <c r="AM26034" t="s">
        <v>3796</v>
      </c>
      <c r="AN26034" t="s">
        <v>3797</v>
      </c>
      <c r="AO26034" t="s">
        <v>2123</v>
      </c>
      <c r="AQ26034">
        <f>IF(ISBLANK(AP26034), IFERROR(IF(VLOOKUP(AO26034, Ellens_additions!$A$2:$B$252, 2, FALSE) = "", "", VLOOKUP(AO26034, Ellens_additions!$A$2:$B$252, 2, FALSE)), 0), AP26034)</f>
        <v>0</v>
      </c>
    </row>
    <row r="26035" spans="1:43" ht="14.4" x14ac:dyDescent="0.3"/>
    <row r="26036" spans="1:43" ht="14.4" x14ac:dyDescent="0.3"/>
    <row r="26037" spans="1:43" ht="14.4" x14ac:dyDescent="0.3"/>
    <row r="26038" spans="1:43" ht="14.4" x14ac:dyDescent="0.3"/>
    <row r="26039" spans="1:43" ht="14.4" x14ac:dyDescent="0.3"/>
    <row r="26040" spans="1:43" ht="14.4" x14ac:dyDescent="0.3"/>
    <row r="26041" spans="1:43" ht="14.4" hidden="1" x14ac:dyDescent="0.3">
      <c r="A26041" t="s">
        <v>3798</v>
      </c>
      <c r="B26041">
        <v>4908881</v>
      </c>
      <c r="C26041" t="s">
        <v>135</v>
      </c>
      <c r="D26041" t="s">
        <v>174</v>
      </c>
      <c r="E26041" t="s">
        <v>316</v>
      </c>
      <c r="F26041" t="s">
        <v>288</v>
      </c>
      <c r="H26041" t="s">
        <v>3799</v>
      </c>
      <c r="J26041" t="s">
        <v>140</v>
      </c>
      <c r="K26041">
        <v>159363</v>
      </c>
      <c r="L26041">
        <v>383541</v>
      </c>
      <c r="N26041" t="s">
        <v>1494</v>
      </c>
      <c r="O26041" t="s">
        <v>448</v>
      </c>
      <c r="P26041" t="s">
        <v>1495</v>
      </c>
      <c r="Q26041" t="s">
        <v>144</v>
      </c>
      <c r="S26041">
        <v>0</v>
      </c>
      <c r="T26041">
        <v>0</v>
      </c>
      <c r="V26041" t="s">
        <v>146</v>
      </c>
      <c r="W26041" t="s">
        <v>184</v>
      </c>
      <c r="X26041" t="s">
        <v>7</v>
      </c>
      <c r="Y26041" t="s">
        <v>1494</v>
      </c>
      <c r="Z26041" t="s">
        <v>448</v>
      </c>
      <c r="AA26041" t="s">
        <v>456</v>
      </c>
      <c r="AB26041">
        <v>0</v>
      </c>
      <c r="AE26041" t="s">
        <v>1496</v>
      </c>
      <c r="AF26041" t="s">
        <v>448</v>
      </c>
      <c r="AG26041" t="s">
        <v>560</v>
      </c>
      <c r="AL26041" t="s">
        <v>3800</v>
      </c>
      <c r="AM26041" t="s">
        <v>3801</v>
      </c>
      <c r="AN26041" t="s">
        <v>3802</v>
      </c>
      <c r="AO26041" t="s">
        <v>1494</v>
      </c>
      <c r="AQ26041">
        <f>IF(ISBLANK(AP26041), IFERROR(IF(VLOOKUP(AO26041, Ellens_additions!$A$2:$B$252, 2, FALSE) = "", "", VLOOKUP(AO26041, Ellens_additions!$A$2:$B$252, 2, FALSE)), 0), AP26041)</f>
        <v>0</v>
      </c>
    </row>
    <row r="26042" spans="1:43" ht="14.4" hidden="1" x14ac:dyDescent="0.3">
      <c r="A26042" t="s">
        <v>3803</v>
      </c>
      <c r="B26042">
        <v>4908886</v>
      </c>
      <c r="C26042" t="s">
        <v>135</v>
      </c>
      <c r="D26042" t="s">
        <v>174</v>
      </c>
      <c r="E26042" t="s">
        <v>316</v>
      </c>
      <c r="F26042" t="s">
        <v>288</v>
      </c>
      <c r="H26042" t="s">
        <v>3804</v>
      </c>
      <c r="J26042" t="s">
        <v>140</v>
      </c>
      <c r="K26042">
        <v>159377</v>
      </c>
      <c r="L26042">
        <v>383558</v>
      </c>
      <c r="N26042" t="s">
        <v>1494</v>
      </c>
      <c r="O26042" t="s">
        <v>448</v>
      </c>
      <c r="P26042" t="s">
        <v>1495</v>
      </c>
      <c r="Q26042" t="s">
        <v>144</v>
      </c>
      <c r="S26042">
        <v>0</v>
      </c>
      <c r="T26042">
        <v>0</v>
      </c>
      <c r="V26042" t="s">
        <v>146</v>
      </c>
      <c r="W26042" t="s">
        <v>184</v>
      </c>
      <c r="X26042" t="s">
        <v>7</v>
      </c>
      <c r="Y26042" t="s">
        <v>1494</v>
      </c>
      <c r="Z26042" t="s">
        <v>448</v>
      </c>
      <c r="AA26042" t="s">
        <v>456</v>
      </c>
      <c r="AB26042">
        <v>0</v>
      </c>
      <c r="AE26042" t="s">
        <v>1496</v>
      </c>
      <c r="AF26042" t="s">
        <v>448</v>
      </c>
      <c r="AG26042" t="s">
        <v>560</v>
      </c>
      <c r="AL26042" t="s">
        <v>3805</v>
      </c>
      <c r="AM26042" t="s">
        <v>3806</v>
      </c>
      <c r="AN26042" t="s">
        <v>3807</v>
      </c>
      <c r="AO26042" t="s">
        <v>1494</v>
      </c>
      <c r="AQ26042">
        <f>IF(ISBLANK(AP26042), IFERROR(IF(VLOOKUP(AO26042, Ellens_additions!$A$2:$B$252, 2, FALSE) = "", "", VLOOKUP(AO26042, Ellens_additions!$A$2:$B$252, 2, FALSE)), 0), AP26042)</f>
        <v>0</v>
      </c>
    </row>
    <row r="26043" spans="1:43" ht="14.4" hidden="1" x14ac:dyDescent="0.3">
      <c r="A26043" t="s">
        <v>3808</v>
      </c>
      <c r="B26043">
        <v>4908889</v>
      </c>
      <c r="C26043" t="s">
        <v>135</v>
      </c>
      <c r="D26043" t="s">
        <v>174</v>
      </c>
      <c r="E26043" t="s">
        <v>316</v>
      </c>
      <c r="F26043" t="s">
        <v>288</v>
      </c>
      <c r="H26043" t="s">
        <v>3809</v>
      </c>
      <c r="J26043" t="s">
        <v>140</v>
      </c>
      <c r="K26043">
        <v>159380.38</v>
      </c>
      <c r="L26043">
        <v>383568.71</v>
      </c>
      <c r="N26043" t="s">
        <v>1494</v>
      </c>
      <c r="O26043" t="s">
        <v>448</v>
      </c>
      <c r="P26043" t="s">
        <v>1495</v>
      </c>
      <c r="Q26043" t="s">
        <v>144</v>
      </c>
      <c r="S26043">
        <v>0</v>
      </c>
      <c r="T26043">
        <v>0</v>
      </c>
      <c r="V26043" t="s">
        <v>146</v>
      </c>
      <c r="W26043" t="s">
        <v>184</v>
      </c>
      <c r="X26043" t="s">
        <v>7</v>
      </c>
      <c r="Y26043" t="s">
        <v>1494</v>
      </c>
      <c r="Z26043" t="s">
        <v>448</v>
      </c>
      <c r="AA26043" t="s">
        <v>456</v>
      </c>
      <c r="AB26043">
        <v>0</v>
      </c>
      <c r="AE26043" t="s">
        <v>1496</v>
      </c>
      <c r="AF26043" t="s">
        <v>448</v>
      </c>
      <c r="AG26043" t="s">
        <v>560</v>
      </c>
      <c r="AL26043" t="s">
        <v>3810</v>
      </c>
      <c r="AM26043" t="s">
        <v>3811</v>
      </c>
      <c r="AN26043" t="s">
        <v>3812</v>
      </c>
      <c r="AO26043" t="s">
        <v>1494</v>
      </c>
      <c r="AQ26043">
        <f>IF(ISBLANK(AP26043), IFERROR(IF(VLOOKUP(AO26043, Ellens_additions!$A$2:$B$252, 2, FALSE) = "", "", VLOOKUP(AO26043, Ellens_additions!$A$2:$B$252, 2, FALSE)), 0), AP26043)</f>
        <v>0</v>
      </c>
    </row>
    <row r="26044" spans="1:43" ht="14.4" hidden="1" x14ac:dyDescent="0.3">
      <c r="A26044" t="s">
        <v>3813</v>
      </c>
      <c r="B26044">
        <v>4908890</v>
      </c>
      <c r="C26044" t="s">
        <v>135</v>
      </c>
      <c r="D26044" t="s">
        <v>174</v>
      </c>
      <c r="E26044" t="s">
        <v>316</v>
      </c>
      <c r="F26044" t="s">
        <v>288</v>
      </c>
      <c r="H26044" t="s">
        <v>3814</v>
      </c>
      <c r="J26044" t="s">
        <v>140</v>
      </c>
      <c r="K26044">
        <v>159380.75</v>
      </c>
      <c r="L26044">
        <v>383571.71</v>
      </c>
      <c r="N26044" t="s">
        <v>1494</v>
      </c>
      <c r="O26044" t="s">
        <v>448</v>
      </c>
      <c r="P26044" t="s">
        <v>1495</v>
      </c>
      <c r="Q26044" t="s">
        <v>144</v>
      </c>
      <c r="S26044">
        <v>0</v>
      </c>
      <c r="T26044">
        <v>0</v>
      </c>
      <c r="V26044" t="s">
        <v>146</v>
      </c>
      <c r="W26044" t="s">
        <v>184</v>
      </c>
      <c r="X26044" t="s">
        <v>7</v>
      </c>
      <c r="Y26044" t="s">
        <v>1494</v>
      </c>
      <c r="Z26044" t="s">
        <v>448</v>
      </c>
      <c r="AA26044" t="s">
        <v>456</v>
      </c>
      <c r="AB26044">
        <v>0</v>
      </c>
      <c r="AE26044" t="s">
        <v>1496</v>
      </c>
      <c r="AF26044" t="s">
        <v>448</v>
      </c>
      <c r="AG26044" t="s">
        <v>560</v>
      </c>
      <c r="AL26044" t="s">
        <v>3815</v>
      </c>
      <c r="AM26044" t="s">
        <v>3816</v>
      </c>
      <c r="AN26044" t="s">
        <v>3817</v>
      </c>
      <c r="AO26044" t="s">
        <v>1494</v>
      </c>
      <c r="AQ26044">
        <f>IF(ISBLANK(AP26044), IFERROR(IF(VLOOKUP(AO26044, Ellens_additions!$A$2:$B$252, 2, FALSE) = "", "", VLOOKUP(AO26044, Ellens_additions!$A$2:$B$252, 2, FALSE)), 0), AP26044)</f>
        <v>0</v>
      </c>
    </row>
    <row r="26045" spans="1:43" ht="14.4" hidden="1" x14ac:dyDescent="0.3">
      <c r="A26045" t="s">
        <v>3818</v>
      </c>
      <c r="B26045">
        <v>4908892</v>
      </c>
      <c r="C26045" t="s">
        <v>135</v>
      </c>
      <c r="D26045" t="s">
        <v>174</v>
      </c>
      <c r="E26045" t="s">
        <v>316</v>
      </c>
      <c r="F26045" t="s">
        <v>288</v>
      </c>
      <c r="H26045" t="s">
        <v>3819</v>
      </c>
      <c r="J26045" t="s">
        <v>140</v>
      </c>
      <c r="K26045">
        <v>159380.75</v>
      </c>
      <c r="L26045">
        <v>383577.8</v>
      </c>
      <c r="N26045" t="s">
        <v>1494</v>
      </c>
      <c r="O26045" t="s">
        <v>448</v>
      </c>
      <c r="P26045" t="s">
        <v>1495</v>
      </c>
      <c r="Q26045" t="s">
        <v>144</v>
      </c>
      <c r="S26045">
        <v>0</v>
      </c>
      <c r="T26045">
        <v>0</v>
      </c>
      <c r="V26045" t="s">
        <v>146</v>
      </c>
      <c r="W26045" t="s">
        <v>184</v>
      </c>
      <c r="X26045" t="s">
        <v>7</v>
      </c>
      <c r="Y26045" t="s">
        <v>1494</v>
      </c>
      <c r="Z26045" t="s">
        <v>448</v>
      </c>
      <c r="AA26045" t="s">
        <v>456</v>
      </c>
      <c r="AB26045">
        <v>0</v>
      </c>
      <c r="AE26045" t="s">
        <v>1496</v>
      </c>
      <c r="AF26045" t="s">
        <v>448</v>
      </c>
      <c r="AG26045" t="s">
        <v>560</v>
      </c>
      <c r="AL26045" t="s">
        <v>3820</v>
      </c>
      <c r="AM26045" t="s">
        <v>3821</v>
      </c>
      <c r="AN26045" t="s">
        <v>3822</v>
      </c>
      <c r="AO26045" t="s">
        <v>1494</v>
      </c>
      <c r="AQ26045">
        <f>IF(ISBLANK(AP26045), IFERROR(IF(VLOOKUP(AO26045, Ellens_additions!$A$2:$B$252, 2, FALSE) = "", "", VLOOKUP(AO26045, Ellens_additions!$A$2:$B$252, 2, FALSE)), 0), AP26045)</f>
        <v>0</v>
      </c>
    </row>
    <row r="26046" spans="1:43" ht="14.4" hidden="1" x14ac:dyDescent="0.3">
      <c r="A26046" t="s">
        <v>3823</v>
      </c>
      <c r="B26046">
        <v>4908895</v>
      </c>
      <c r="C26046" t="s">
        <v>135</v>
      </c>
      <c r="D26046" t="s">
        <v>174</v>
      </c>
      <c r="E26046" t="s">
        <v>316</v>
      </c>
      <c r="F26046" t="s">
        <v>288</v>
      </c>
      <c r="H26046" t="s">
        <v>3824</v>
      </c>
      <c r="J26046" t="s">
        <v>140</v>
      </c>
      <c r="K26046">
        <v>159328</v>
      </c>
      <c r="L26046">
        <v>383606</v>
      </c>
      <c r="N26046" t="s">
        <v>1494</v>
      </c>
      <c r="O26046" t="s">
        <v>448</v>
      </c>
      <c r="P26046" t="s">
        <v>1495</v>
      </c>
      <c r="Q26046" t="s">
        <v>144</v>
      </c>
      <c r="S26046">
        <v>0</v>
      </c>
      <c r="T26046">
        <v>0</v>
      </c>
      <c r="V26046" t="s">
        <v>146</v>
      </c>
      <c r="W26046" t="s">
        <v>184</v>
      </c>
      <c r="X26046" t="s">
        <v>7</v>
      </c>
      <c r="Y26046" t="s">
        <v>1494</v>
      </c>
      <c r="Z26046" t="s">
        <v>448</v>
      </c>
      <c r="AA26046" t="s">
        <v>456</v>
      </c>
      <c r="AB26046">
        <v>0</v>
      </c>
      <c r="AE26046" t="s">
        <v>1496</v>
      </c>
      <c r="AF26046" t="s">
        <v>448</v>
      </c>
      <c r="AG26046" t="s">
        <v>560</v>
      </c>
      <c r="AL26046" t="s">
        <v>3825</v>
      </c>
      <c r="AM26046" t="s">
        <v>3826</v>
      </c>
      <c r="AN26046" t="s">
        <v>3827</v>
      </c>
      <c r="AO26046" t="s">
        <v>1494</v>
      </c>
      <c r="AQ26046">
        <f>IF(ISBLANK(AP26046), IFERROR(IF(VLOOKUP(AO26046, Ellens_additions!$A$2:$B$252, 2, FALSE) = "", "", VLOOKUP(AO26046, Ellens_additions!$A$2:$B$252, 2, FALSE)), 0), AP26046)</f>
        <v>0</v>
      </c>
    </row>
    <row r="26047" spans="1:43" ht="14.4" hidden="1" x14ac:dyDescent="0.3">
      <c r="A26047" t="s">
        <v>3828</v>
      </c>
      <c r="B26047">
        <v>4908896</v>
      </c>
      <c r="C26047" t="s">
        <v>135</v>
      </c>
      <c r="D26047" t="s">
        <v>174</v>
      </c>
      <c r="E26047" t="s">
        <v>316</v>
      </c>
      <c r="F26047" t="s">
        <v>288</v>
      </c>
      <c r="H26047" t="s">
        <v>3829</v>
      </c>
      <c r="J26047" t="s">
        <v>140</v>
      </c>
      <c r="K26047">
        <v>159325</v>
      </c>
      <c r="L26047">
        <v>383604</v>
      </c>
      <c r="N26047" t="s">
        <v>1494</v>
      </c>
      <c r="O26047" t="s">
        <v>448</v>
      </c>
      <c r="P26047" t="s">
        <v>1495</v>
      </c>
      <c r="Q26047" t="s">
        <v>144</v>
      </c>
      <c r="S26047">
        <v>0</v>
      </c>
      <c r="T26047">
        <v>0</v>
      </c>
      <c r="V26047" t="s">
        <v>146</v>
      </c>
      <c r="W26047" t="s">
        <v>184</v>
      </c>
      <c r="X26047" t="s">
        <v>7</v>
      </c>
      <c r="Y26047" t="s">
        <v>1494</v>
      </c>
      <c r="Z26047" t="s">
        <v>448</v>
      </c>
      <c r="AA26047" t="s">
        <v>456</v>
      </c>
      <c r="AB26047">
        <v>0</v>
      </c>
      <c r="AE26047" t="s">
        <v>1496</v>
      </c>
      <c r="AF26047" t="s">
        <v>448</v>
      </c>
      <c r="AG26047" t="s">
        <v>560</v>
      </c>
      <c r="AL26047" t="s">
        <v>3830</v>
      </c>
      <c r="AM26047" t="s">
        <v>3831</v>
      </c>
      <c r="AN26047" t="s">
        <v>3832</v>
      </c>
      <c r="AO26047" t="s">
        <v>1494</v>
      </c>
      <c r="AQ26047">
        <f>IF(ISBLANK(AP26047), IFERROR(IF(VLOOKUP(AO26047, Ellens_additions!$A$2:$B$252, 2, FALSE) = "", "", VLOOKUP(AO26047, Ellens_additions!$A$2:$B$252, 2, FALSE)), 0), AP26047)</f>
        <v>0</v>
      </c>
    </row>
    <row r="26048" spans="1:43" ht="14.4" hidden="1" x14ac:dyDescent="0.3">
      <c r="A26048" t="s">
        <v>3833</v>
      </c>
      <c r="B26048">
        <v>4908898</v>
      </c>
      <c r="C26048" t="s">
        <v>135</v>
      </c>
      <c r="D26048" t="s">
        <v>174</v>
      </c>
      <c r="E26048" t="s">
        <v>316</v>
      </c>
      <c r="F26048" t="s">
        <v>288</v>
      </c>
      <c r="H26048" t="s">
        <v>3834</v>
      </c>
      <c r="J26048" t="s">
        <v>140</v>
      </c>
      <c r="K26048">
        <v>159320</v>
      </c>
      <c r="L26048">
        <v>383600</v>
      </c>
      <c r="N26048" t="s">
        <v>1494</v>
      </c>
      <c r="O26048" t="s">
        <v>448</v>
      </c>
      <c r="P26048" t="s">
        <v>1495</v>
      </c>
      <c r="Q26048" t="s">
        <v>144</v>
      </c>
      <c r="S26048">
        <v>0</v>
      </c>
      <c r="T26048">
        <v>0</v>
      </c>
      <c r="V26048" t="s">
        <v>146</v>
      </c>
      <c r="W26048" t="s">
        <v>184</v>
      </c>
      <c r="X26048" t="s">
        <v>7</v>
      </c>
      <c r="Y26048" t="s">
        <v>1494</v>
      </c>
      <c r="Z26048" t="s">
        <v>448</v>
      </c>
      <c r="AA26048" t="s">
        <v>456</v>
      </c>
      <c r="AB26048">
        <v>0</v>
      </c>
      <c r="AE26048" t="s">
        <v>1496</v>
      </c>
      <c r="AF26048" t="s">
        <v>448</v>
      </c>
      <c r="AG26048" t="s">
        <v>560</v>
      </c>
      <c r="AL26048" t="s">
        <v>3835</v>
      </c>
      <c r="AM26048" t="s">
        <v>3836</v>
      </c>
      <c r="AN26048" t="s">
        <v>3837</v>
      </c>
      <c r="AO26048" t="s">
        <v>1494</v>
      </c>
      <c r="AQ26048">
        <f>IF(ISBLANK(AP26048), IFERROR(IF(VLOOKUP(AO26048, Ellens_additions!$A$2:$B$252, 2, FALSE) = "", "", VLOOKUP(AO26048, Ellens_additions!$A$2:$B$252, 2, FALSE)), 0), AP26048)</f>
        <v>0</v>
      </c>
    </row>
    <row r="26049" spans="1:43" ht="14.4" hidden="1" x14ac:dyDescent="0.3">
      <c r="A26049" t="s">
        <v>3838</v>
      </c>
      <c r="B26049">
        <v>4908900</v>
      </c>
      <c r="C26049" t="s">
        <v>135</v>
      </c>
      <c r="D26049" t="s">
        <v>174</v>
      </c>
      <c r="E26049" t="s">
        <v>316</v>
      </c>
      <c r="F26049" t="s">
        <v>288</v>
      </c>
      <c r="H26049" t="s">
        <v>3839</v>
      </c>
      <c r="J26049" t="s">
        <v>140</v>
      </c>
      <c r="K26049">
        <v>159315</v>
      </c>
      <c r="L26049">
        <v>383596</v>
      </c>
      <c r="N26049" t="s">
        <v>1494</v>
      </c>
      <c r="O26049" t="s">
        <v>448</v>
      </c>
      <c r="P26049" t="s">
        <v>1495</v>
      </c>
      <c r="Q26049" t="s">
        <v>144</v>
      </c>
      <c r="S26049">
        <v>0</v>
      </c>
      <c r="T26049">
        <v>0</v>
      </c>
      <c r="V26049" t="s">
        <v>146</v>
      </c>
      <c r="W26049" t="s">
        <v>184</v>
      </c>
      <c r="X26049" t="s">
        <v>7</v>
      </c>
      <c r="Y26049" t="s">
        <v>1494</v>
      </c>
      <c r="Z26049" t="s">
        <v>448</v>
      </c>
      <c r="AA26049" t="s">
        <v>456</v>
      </c>
      <c r="AB26049">
        <v>0</v>
      </c>
      <c r="AE26049" t="s">
        <v>1496</v>
      </c>
      <c r="AF26049" t="s">
        <v>448</v>
      </c>
      <c r="AG26049" t="s">
        <v>560</v>
      </c>
      <c r="AL26049" t="s">
        <v>3840</v>
      </c>
      <c r="AM26049" t="s">
        <v>3841</v>
      </c>
      <c r="AN26049" t="s">
        <v>3842</v>
      </c>
      <c r="AO26049" t="s">
        <v>1494</v>
      </c>
      <c r="AQ26049">
        <f>IF(ISBLANK(AP26049), IFERROR(IF(VLOOKUP(AO26049, Ellens_additions!$A$2:$B$252, 2, FALSE) = "", "", VLOOKUP(AO26049, Ellens_additions!$A$2:$B$252, 2, FALSE)), 0), AP26049)</f>
        <v>0</v>
      </c>
    </row>
    <row r="26050" spans="1:43" ht="14.4" hidden="1" x14ac:dyDescent="0.3">
      <c r="A26050" t="s">
        <v>3843</v>
      </c>
      <c r="B26050">
        <v>4908903</v>
      </c>
      <c r="C26050" t="s">
        <v>135</v>
      </c>
      <c r="D26050" t="s">
        <v>174</v>
      </c>
      <c r="E26050" t="s">
        <v>316</v>
      </c>
      <c r="F26050" t="s">
        <v>288</v>
      </c>
      <c r="H26050" t="s">
        <v>3844</v>
      </c>
      <c r="J26050" t="s">
        <v>140</v>
      </c>
      <c r="K26050">
        <v>159310</v>
      </c>
      <c r="L26050">
        <v>383588</v>
      </c>
      <c r="N26050" t="s">
        <v>1494</v>
      </c>
      <c r="O26050" t="s">
        <v>448</v>
      </c>
      <c r="P26050" t="s">
        <v>1495</v>
      </c>
      <c r="Q26050" t="s">
        <v>144</v>
      </c>
      <c r="S26050">
        <v>0</v>
      </c>
      <c r="T26050">
        <v>0</v>
      </c>
      <c r="V26050" t="s">
        <v>146</v>
      </c>
      <c r="W26050" t="s">
        <v>184</v>
      </c>
      <c r="X26050" t="s">
        <v>7</v>
      </c>
      <c r="Y26050" t="s">
        <v>1494</v>
      </c>
      <c r="Z26050" t="s">
        <v>448</v>
      </c>
      <c r="AA26050" t="s">
        <v>456</v>
      </c>
      <c r="AB26050">
        <v>0</v>
      </c>
      <c r="AE26050" t="s">
        <v>1496</v>
      </c>
      <c r="AF26050" t="s">
        <v>448</v>
      </c>
      <c r="AG26050" t="s">
        <v>560</v>
      </c>
      <c r="AL26050" t="s">
        <v>3845</v>
      </c>
      <c r="AM26050" t="s">
        <v>3846</v>
      </c>
      <c r="AN26050" t="s">
        <v>3847</v>
      </c>
      <c r="AO26050" t="s">
        <v>1494</v>
      </c>
      <c r="AQ26050">
        <f>IF(ISBLANK(AP26050), IFERROR(IF(VLOOKUP(AO26050, Ellens_additions!$A$2:$B$252, 2, FALSE) = "", "", VLOOKUP(AO26050, Ellens_additions!$A$2:$B$252, 2, FALSE)), 0), AP26050)</f>
        <v>0</v>
      </c>
    </row>
    <row r="26051" spans="1:43" ht="14.4" hidden="1" x14ac:dyDescent="0.3">
      <c r="A26051" t="s">
        <v>3848</v>
      </c>
      <c r="B26051">
        <v>4908904</v>
      </c>
      <c r="C26051" t="s">
        <v>135</v>
      </c>
      <c r="D26051" t="s">
        <v>174</v>
      </c>
      <c r="E26051" t="s">
        <v>316</v>
      </c>
      <c r="F26051" t="s">
        <v>288</v>
      </c>
      <c r="H26051" t="s">
        <v>3849</v>
      </c>
      <c r="J26051" t="s">
        <v>140</v>
      </c>
      <c r="K26051">
        <v>159309</v>
      </c>
      <c r="L26051">
        <v>383585</v>
      </c>
      <c r="N26051" t="s">
        <v>1494</v>
      </c>
      <c r="O26051" t="s">
        <v>448</v>
      </c>
      <c r="P26051" t="s">
        <v>1495</v>
      </c>
      <c r="Q26051" t="s">
        <v>144</v>
      </c>
      <c r="S26051">
        <v>0</v>
      </c>
      <c r="T26051">
        <v>0</v>
      </c>
      <c r="V26051" t="s">
        <v>146</v>
      </c>
      <c r="W26051" t="s">
        <v>184</v>
      </c>
      <c r="X26051" t="s">
        <v>7</v>
      </c>
      <c r="Y26051" t="s">
        <v>1494</v>
      </c>
      <c r="Z26051" t="s">
        <v>448</v>
      </c>
      <c r="AA26051" t="s">
        <v>456</v>
      </c>
      <c r="AB26051">
        <v>0</v>
      </c>
      <c r="AE26051" t="s">
        <v>1496</v>
      </c>
      <c r="AF26051" t="s">
        <v>448</v>
      </c>
      <c r="AG26051" t="s">
        <v>560</v>
      </c>
      <c r="AL26051" t="s">
        <v>3850</v>
      </c>
      <c r="AM26051" t="s">
        <v>3851</v>
      </c>
      <c r="AN26051" t="s">
        <v>3852</v>
      </c>
      <c r="AO26051" t="s">
        <v>1494</v>
      </c>
      <c r="AQ26051">
        <f>IF(ISBLANK(AP26051), IFERROR(IF(VLOOKUP(AO26051, Ellens_additions!$A$2:$B$252, 2, FALSE) = "", "", VLOOKUP(AO26051, Ellens_additions!$A$2:$B$252, 2, FALSE)), 0), AP26051)</f>
        <v>0</v>
      </c>
    </row>
    <row r="26052" spans="1:43" ht="14.4" hidden="1" x14ac:dyDescent="0.3">
      <c r="A26052" t="s">
        <v>3853</v>
      </c>
      <c r="B26052">
        <v>4908905</v>
      </c>
      <c r="C26052" t="s">
        <v>135</v>
      </c>
      <c r="D26052" t="s">
        <v>174</v>
      </c>
      <c r="E26052" t="s">
        <v>316</v>
      </c>
      <c r="F26052" t="s">
        <v>288</v>
      </c>
      <c r="H26052" t="s">
        <v>3854</v>
      </c>
      <c r="J26052" t="s">
        <v>140</v>
      </c>
      <c r="K26052">
        <v>159308</v>
      </c>
      <c r="L26052">
        <v>383582</v>
      </c>
      <c r="N26052" t="s">
        <v>1494</v>
      </c>
      <c r="O26052" t="s">
        <v>448</v>
      </c>
      <c r="P26052" t="s">
        <v>1495</v>
      </c>
      <c r="Q26052" t="s">
        <v>144</v>
      </c>
      <c r="S26052">
        <v>0</v>
      </c>
      <c r="T26052">
        <v>0</v>
      </c>
      <c r="V26052" t="s">
        <v>146</v>
      </c>
      <c r="W26052" t="s">
        <v>184</v>
      </c>
      <c r="X26052" t="s">
        <v>7</v>
      </c>
      <c r="Y26052" t="s">
        <v>1494</v>
      </c>
      <c r="Z26052" t="s">
        <v>448</v>
      </c>
      <c r="AA26052" t="s">
        <v>456</v>
      </c>
      <c r="AB26052">
        <v>0</v>
      </c>
      <c r="AE26052" t="s">
        <v>1496</v>
      </c>
      <c r="AF26052" t="s">
        <v>448</v>
      </c>
      <c r="AG26052" t="s">
        <v>560</v>
      </c>
      <c r="AL26052" t="s">
        <v>3855</v>
      </c>
      <c r="AM26052" t="s">
        <v>3856</v>
      </c>
      <c r="AN26052" t="s">
        <v>3857</v>
      </c>
      <c r="AO26052" t="s">
        <v>1494</v>
      </c>
      <c r="AQ26052">
        <f>IF(ISBLANK(AP26052), IFERROR(IF(VLOOKUP(AO26052, Ellens_additions!$A$2:$B$252, 2, FALSE) = "", "", VLOOKUP(AO26052, Ellens_additions!$A$2:$B$252, 2, FALSE)), 0), AP26052)</f>
        <v>0</v>
      </c>
    </row>
    <row r="26053" spans="1:43" ht="14.4" hidden="1" x14ac:dyDescent="0.3">
      <c r="A26053" t="s">
        <v>3858</v>
      </c>
      <c r="B26053">
        <v>4908906</v>
      </c>
      <c r="C26053" t="s">
        <v>135</v>
      </c>
      <c r="D26053" t="s">
        <v>174</v>
      </c>
      <c r="E26053" t="s">
        <v>316</v>
      </c>
      <c r="F26053" t="s">
        <v>288</v>
      </c>
      <c r="H26053" t="s">
        <v>3859</v>
      </c>
      <c r="J26053" t="s">
        <v>140</v>
      </c>
      <c r="K26053">
        <v>159307</v>
      </c>
      <c r="L26053">
        <v>383579</v>
      </c>
      <c r="N26053" t="s">
        <v>1494</v>
      </c>
      <c r="O26053" t="s">
        <v>448</v>
      </c>
      <c r="P26053" t="s">
        <v>1495</v>
      </c>
      <c r="Q26053" t="s">
        <v>144</v>
      </c>
      <c r="S26053">
        <v>0</v>
      </c>
      <c r="T26053">
        <v>0</v>
      </c>
      <c r="V26053" t="s">
        <v>146</v>
      </c>
      <c r="W26053" t="s">
        <v>184</v>
      </c>
      <c r="X26053" t="s">
        <v>7</v>
      </c>
      <c r="Y26053" t="s">
        <v>1494</v>
      </c>
      <c r="Z26053" t="s">
        <v>448</v>
      </c>
      <c r="AA26053" t="s">
        <v>456</v>
      </c>
      <c r="AB26053">
        <v>0</v>
      </c>
      <c r="AE26053" t="s">
        <v>1496</v>
      </c>
      <c r="AF26053" t="s">
        <v>448</v>
      </c>
      <c r="AG26053" t="s">
        <v>560</v>
      </c>
      <c r="AL26053" t="s">
        <v>3860</v>
      </c>
      <c r="AM26053" t="s">
        <v>3861</v>
      </c>
      <c r="AN26053" t="s">
        <v>3862</v>
      </c>
      <c r="AO26053" t="s">
        <v>1494</v>
      </c>
      <c r="AQ26053">
        <f>IF(ISBLANK(AP26053), IFERROR(IF(VLOOKUP(AO26053, Ellens_additions!$A$2:$B$252, 2, FALSE) = "", "", VLOOKUP(AO26053, Ellens_additions!$A$2:$B$252, 2, FALSE)), 0), AP26053)</f>
        <v>0</v>
      </c>
    </row>
    <row r="26054" spans="1:43" ht="14.4" hidden="1" x14ac:dyDescent="0.3">
      <c r="A26054" t="s">
        <v>3863</v>
      </c>
      <c r="B26054">
        <v>4908908</v>
      </c>
      <c r="C26054" t="s">
        <v>135</v>
      </c>
      <c r="D26054" t="s">
        <v>174</v>
      </c>
      <c r="E26054" t="s">
        <v>316</v>
      </c>
      <c r="F26054" t="s">
        <v>288</v>
      </c>
      <c r="H26054" t="s">
        <v>3864</v>
      </c>
      <c r="J26054" t="s">
        <v>140</v>
      </c>
      <c r="K26054">
        <v>159307.10999999999</v>
      </c>
      <c r="L26054">
        <v>383570.6</v>
      </c>
      <c r="N26054" t="s">
        <v>1494</v>
      </c>
      <c r="O26054" t="s">
        <v>448</v>
      </c>
      <c r="P26054" t="s">
        <v>1495</v>
      </c>
      <c r="Q26054" t="s">
        <v>144</v>
      </c>
      <c r="S26054">
        <v>0</v>
      </c>
      <c r="T26054">
        <v>0</v>
      </c>
      <c r="V26054" t="s">
        <v>146</v>
      </c>
      <c r="W26054" t="s">
        <v>184</v>
      </c>
      <c r="X26054" t="s">
        <v>7</v>
      </c>
      <c r="Y26054" t="s">
        <v>1494</v>
      </c>
      <c r="Z26054" t="s">
        <v>448</v>
      </c>
      <c r="AA26054" t="s">
        <v>456</v>
      </c>
      <c r="AB26054">
        <v>0</v>
      </c>
      <c r="AE26054" t="s">
        <v>1496</v>
      </c>
      <c r="AF26054" t="s">
        <v>448</v>
      </c>
      <c r="AG26054" t="s">
        <v>560</v>
      </c>
      <c r="AL26054" t="s">
        <v>3865</v>
      </c>
      <c r="AM26054" t="s">
        <v>3866</v>
      </c>
      <c r="AN26054" t="s">
        <v>3867</v>
      </c>
      <c r="AO26054" t="s">
        <v>1494</v>
      </c>
      <c r="AQ26054">
        <f>IF(ISBLANK(AP26054), IFERROR(IF(VLOOKUP(AO26054, Ellens_additions!$A$2:$B$252, 2, FALSE) = "", "", VLOOKUP(AO26054, Ellens_additions!$A$2:$B$252, 2, FALSE)), 0), AP26054)</f>
        <v>0</v>
      </c>
    </row>
    <row r="26055" spans="1:43" ht="14.4" hidden="1" x14ac:dyDescent="0.3">
      <c r="A26055" t="s">
        <v>3868</v>
      </c>
      <c r="B26055">
        <v>4908911</v>
      </c>
      <c r="C26055" t="s">
        <v>135</v>
      </c>
      <c r="D26055" t="s">
        <v>174</v>
      </c>
      <c r="E26055" t="s">
        <v>316</v>
      </c>
      <c r="F26055" t="s">
        <v>288</v>
      </c>
      <c r="H26055" t="s">
        <v>3869</v>
      </c>
      <c r="J26055" t="s">
        <v>140</v>
      </c>
      <c r="K26055">
        <v>159309</v>
      </c>
      <c r="L26055">
        <v>383557</v>
      </c>
      <c r="N26055" t="s">
        <v>1494</v>
      </c>
      <c r="O26055" t="s">
        <v>448</v>
      </c>
      <c r="P26055" t="s">
        <v>1495</v>
      </c>
      <c r="Q26055" t="s">
        <v>144</v>
      </c>
      <c r="S26055">
        <v>0</v>
      </c>
      <c r="T26055">
        <v>0</v>
      </c>
      <c r="V26055" t="s">
        <v>146</v>
      </c>
      <c r="W26055" t="s">
        <v>184</v>
      </c>
      <c r="X26055" t="s">
        <v>7</v>
      </c>
      <c r="Y26055" t="s">
        <v>1494</v>
      </c>
      <c r="Z26055" t="s">
        <v>448</v>
      </c>
      <c r="AA26055" t="s">
        <v>456</v>
      </c>
      <c r="AB26055">
        <v>0</v>
      </c>
      <c r="AE26055" t="s">
        <v>1496</v>
      </c>
      <c r="AF26055" t="s">
        <v>448</v>
      </c>
      <c r="AG26055" t="s">
        <v>560</v>
      </c>
      <c r="AL26055" t="s">
        <v>3870</v>
      </c>
      <c r="AM26055" t="s">
        <v>3871</v>
      </c>
      <c r="AN26055" t="s">
        <v>3872</v>
      </c>
      <c r="AO26055" t="s">
        <v>1494</v>
      </c>
      <c r="AQ26055">
        <f>IF(ISBLANK(AP26055), IFERROR(IF(VLOOKUP(AO26055, Ellens_additions!$A$2:$B$252, 2, FALSE) = "", "", VLOOKUP(AO26055, Ellens_additions!$A$2:$B$252, 2, FALSE)), 0), AP26055)</f>
        <v>0</v>
      </c>
    </row>
    <row r="26056" spans="1:43" ht="14.4" hidden="1" x14ac:dyDescent="0.3">
      <c r="A26056" t="s">
        <v>3873</v>
      </c>
      <c r="B26056">
        <v>4908913</v>
      </c>
      <c r="C26056" t="s">
        <v>135</v>
      </c>
      <c r="D26056" t="s">
        <v>174</v>
      </c>
      <c r="E26056" t="s">
        <v>316</v>
      </c>
      <c r="F26056" t="s">
        <v>288</v>
      </c>
      <c r="H26056" t="s">
        <v>3874</v>
      </c>
      <c r="J26056" t="s">
        <v>140</v>
      </c>
      <c r="K26056">
        <v>159313</v>
      </c>
      <c r="L26056">
        <v>383549</v>
      </c>
      <c r="N26056" t="s">
        <v>1494</v>
      </c>
      <c r="O26056" t="s">
        <v>448</v>
      </c>
      <c r="P26056" t="s">
        <v>1495</v>
      </c>
      <c r="Q26056" t="s">
        <v>144</v>
      </c>
      <c r="S26056">
        <v>0</v>
      </c>
      <c r="T26056">
        <v>0</v>
      </c>
      <c r="V26056" t="s">
        <v>146</v>
      </c>
      <c r="W26056" t="s">
        <v>184</v>
      </c>
      <c r="X26056" t="s">
        <v>7</v>
      </c>
      <c r="Y26056" t="s">
        <v>1494</v>
      </c>
      <c r="Z26056" t="s">
        <v>448</v>
      </c>
      <c r="AA26056" t="s">
        <v>456</v>
      </c>
      <c r="AB26056">
        <v>0</v>
      </c>
      <c r="AE26056" t="s">
        <v>1496</v>
      </c>
      <c r="AF26056" t="s">
        <v>448</v>
      </c>
      <c r="AG26056" t="s">
        <v>560</v>
      </c>
      <c r="AL26056" t="s">
        <v>3875</v>
      </c>
      <c r="AM26056" t="s">
        <v>3876</v>
      </c>
      <c r="AN26056" t="s">
        <v>3877</v>
      </c>
      <c r="AO26056" t="s">
        <v>1494</v>
      </c>
      <c r="AQ26056">
        <f>IF(ISBLANK(AP26056), IFERROR(IF(VLOOKUP(AO26056, Ellens_additions!$A$2:$B$252, 2, FALSE) = "", "", VLOOKUP(AO26056, Ellens_additions!$A$2:$B$252, 2, FALSE)), 0), AP26056)</f>
        <v>0</v>
      </c>
    </row>
    <row r="26057" spans="1:43" ht="14.4" hidden="1" x14ac:dyDescent="0.3">
      <c r="A26057" t="s">
        <v>3878</v>
      </c>
      <c r="B26057">
        <v>4908918</v>
      </c>
      <c r="C26057" t="s">
        <v>135</v>
      </c>
      <c r="D26057" t="s">
        <v>174</v>
      </c>
      <c r="E26057" t="s">
        <v>316</v>
      </c>
      <c r="F26057" t="s">
        <v>288</v>
      </c>
      <c r="H26057" t="s">
        <v>3879</v>
      </c>
      <c r="J26057" t="s">
        <v>140</v>
      </c>
      <c r="K26057">
        <v>159329</v>
      </c>
      <c r="L26057">
        <v>383536</v>
      </c>
      <c r="N26057" t="s">
        <v>1494</v>
      </c>
      <c r="O26057" t="s">
        <v>448</v>
      </c>
      <c r="P26057" t="s">
        <v>1495</v>
      </c>
      <c r="Q26057" t="s">
        <v>144</v>
      </c>
      <c r="S26057">
        <v>0</v>
      </c>
      <c r="T26057">
        <v>0</v>
      </c>
      <c r="V26057" t="s">
        <v>146</v>
      </c>
      <c r="W26057" t="s">
        <v>184</v>
      </c>
      <c r="X26057" t="s">
        <v>7</v>
      </c>
      <c r="Y26057" t="s">
        <v>1494</v>
      </c>
      <c r="Z26057" t="s">
        <v>448</v>
      </c>
      <c r="AA26057" t="s">
        <v>456</v>
      </c>
      <c r="AB26057">
        <v>0</v>
      </c>
      <c r="AE26057" t="s">
        <v>1496</v>
      </c>
      <c r="AF26057" t="s">
        <v>448</v>
      </c>
      <c r="AG26057" t="s">
        <v>560</v>
      </c>
      <c r="AL26057" t="s">
        <v>3880</v>
      </c>
      <c r="AM26057" t="s">
        <v>3881</v>
      </c>
      <c r="AN26057" t="s">
        <v>3882</v>
      </c>
      <c r="AO26057" t="s">
        <v>1494</v>
      </c>
      <c r="AQ26057">
        <f>IF(ISBLANK(AP26057), IFERROR(IF(VLOOKUP(AO26057, Ellens_additions!$A$2:$B$252, 2, FALSE) = "", "", VLOOKUP(AO26057, Ellens_additions!$A$2:$B$252, 2, FALSE)), 0), AP26057)</f>
        <v>0</v>
      </c>
    </row>
    <row r="26058" spans="1:43" ht="14.4" hidden="1" x14ac:dyDescent="0.3">
      <c r="A26058" t="s">
        <v>3883</v>
      </c>
      <c r="B26058">
        <v>4908919</v>
      </c>
      <c r="C26058" t="s">
        <v>135</v>
      </c>
      <c r="D26058" t="s">
        <v>174</v>
      </c>
      <c r="E26058" t="s">
        <v>316</v>
      </c>
      <c r="F26058" t="s">
        <v>288</v>
      </c>
      <c r="H26058" t="s">
        <v>3884</v>
      </c>
      <c r="J26058" t="s">
        <v>140</v>
      </c>
      <c r="K26058">
        <v>159332</v>
      </c>
      <c r="L26058">
        <v>383535</v>
      </c>
      <c r="N26058" t="s">
        <v>1494</v>
      </c>
      <c r="O26058" t="s">
        <v>448</v>
      </c>
      <c r="P26058" t="s">
        <v>1495</v>
      </c>
      <c r="Q26058" t="s">
        <v>144</v>
      </c>
      <c r="S26058">
        <v>0</v>
      </c>
      <c r="T26058">
        <v>0</v>
      </c>
      <c r="V26058" t="s">
        <v>146</v>
      </c>
      <c r="W26058" t="s">
        <v>184</v>
      </c>
      <c r="X26058" t="s">
        <v>7</v>
      </c>
      <c r="Y26058" t="s">
        <v>1494</v>
      </c>
      <c r="Z26058" t="s">
        <v>448</v>
      </c>
      <c r="AA26058" t="s">
        <v>456</v>
      </c>
      <c r="AB26058">
        <v>0</v>
      </c>
      <c r="AE26058" t="s">
        <v>1496</v>
      </c>
      <c r="AF26058" t="s">
        <v>448</v>
      </c>
      <c r="AG26058" t="s">
        <v>560</v>
      </c>
      <c r="AL26058" t="s">
        <v>3885</v>
      </c>
      <c r="AM26058" t="s">
        <v>3886</v>
      </c>
      <c r="AN26058" t="s">
        <v>3887</v>
      </c>
      <c r="AO26058" t="s">
        <v>1494</v>
      </c>
      <c r="AQ26058">
        <f>IF(ISBLANK(AP26058), IFERROR(IF(VLOOKUP(AO26058, Ellens_additions!$A$2:$B$252, 2, FALSE) = "", "", VLOOKUP(AO26058, Ellens_additions!$A$2:$B$252, 2, FALSE)), 0), AP26058)</f>
        <v>0</v>
      </c>
    </row>
    <row r="26059" spans="1:43" ht="14.4" hidden="1" x14ac:dyDescent="0.3">
      <c r="A26059" t="s">
        <v>3888</v>
      </c>
      <c r="B26059">
        <v>4908929</v>
      </c>
      <c r="C26059" t="s">
        <v>135</v>
      </c>
      <c r="D26059" t="s">
        <v>174</v>
      </c>
      <c r="E26059" t="s">
        <v>316</v>
      </c>
      <c r="F26059" t="s">
        <v>288</v>
      </c>
      <c r="H26059" t="s">
        <v>3889</v>
      </c>
      <c r="J26059" t="s">
        <v>140</v>
      </c>
      <c r="K26059">
        <v>159384.12</v>
      </c>
      <c r="L26059">
        <v>383557.14</v>
      </c>
      <c r="N26059" t="s">
        <v>1494</v>
      </c>
      <c r="O26059" t="s">
        <v>448</v>
      </c>
      <c r="P26059" t="s">
        <v>1495</v>
      </c>
      <c r="Q26059" t="s">
        <v>144</v>
      </c>
      <c r="S26059">
        <v>0</v>
      </c>
      <c r="T26059">
        <v>0</v>
      </c>
      <c r="V26059" t="s">
        <v>146</v>
      </c>
      <c r="W26059" t="s">
        <v>184</v>
      </c>
      <c r="X26059" t="s">
        <v>7</v>
      </c>
      <c r="Y26059" t="s">
        <v>1494</v>
      </c>
      <c r="Z26059" t="s">
        <v>448</v>
      </c>
      <c r="AA26059" t="s">
        <v>456</v>
      </c>
      <c r="AB26059">
        <v>0</v>
      </c>
      <c r="AE26059" t="s">
        <v>1496</v>
      </c>
      <c r="AF26059" t="s">
        <v>448</v>
      </c>
      <c r="AG26059" t="s">
        <v>560</v>
      </c>
      <c r="AL26059" t="s">
        <v>3890</v>
      </c>
      <c r="AM26059" t="s">
        <v>3891</v>
      </c>
      <c r="AN26059" t="s">
        <v>3892</v>
      </c>
      <c r="AO26059" t="s">
        <v>1494</v>
      </c>
      <c r="AQ26059">
        <f>IF(ISBLANK(AP26059), IFERROR(IF(VLOOKUP(AO26059, Ellens_additions!$A$2:$B$252, 2, FALSE) = "", "", VLOOKUP(AO26059, Ellens_additions!$A$2:$B$252, 2, FALSE)), 0), AP26059)</f>
        <v>0</v>
      </c>
    </row>
    <row r="26060" spans="1:43" ht="14.4" hidden="1" x14ac:dyDescent="0.3">
      <c r="A26060" t="s">
        <v>3893</v>
      </c>
      <c r="B26060">
        <v>4908932</v>
      </c>
      <c r="C26060" t="s">
        <v>135</v>
      </c>
      <c r="D26060" t="s">
        <v>174</v>
      </c>
      <c r="E26060" t="s">
        <v>316</v>
      </c>
      <c r="F26060" t="s">
        <v>288</v>
      </c>
      <c r="H26060" t="s">
        <v>3894</v>
      </c>
      <c r="J26060" t="s">
        <v>140</v>
      </c>
      <c r="K26060">
        <v>159382.94</v>
      </c>
      <c r="L26060">
        <v>383554.21</v>
      </c>
      <c r="N26060" t="s">
        <v>1494</v>
      </c>
      <c r="O26060" t="s">
        <v>448</v>
      </c>
      <c r="P26060" t="s">
        <v>1495</v>
      </c>
      <c r="Q26060" t="s">
        <v>144</v>
      </c>
      <c r="S26060">
        <v>0</v>
      </c>
      <c r="T26060">
        <v>0</v>
      </c>
      <c r="V26060" t="s">
        <v>146</v>
      </c>
      <c r="W26060" t="s">
        <v>184</v>
      </c>
      <c r="X26060" t="s">
        <v>7</v>
      </c>
      <c r="Y26060" t="s">
        <v>1494</v>
      </c>
      <c r="Z26060" t="s">
        <v>448</v>
      </c>
      <c r="AA26060" t="s">
        <v>456</v>
      </c>
      <c r="AB26060">
        <v>0</v>
      </c>
      <c r="AE26060" t="s">
        <v>1496</v>
      </c>
      <c r="AF26060" t="s">
        <v>448</v>
      </c>
      <c r="AG26060" t="s">
        <v>560</v>
      </c>
      <c r="AL26060" t="s">
        <v>3895</v>
      </c>
      <c r="AM26060" t="s">
        <v>3896</v>
      </c>
      <c r="AN26060" t="s">
        <v>3897</v>
      </c>
      <c r="AO26060" t="s">
        <v>1494</v>
      </c>
      <c r="AQ26060">
        <f>IF(ISBLANK(AP26060), IFERROR(IF(VLOOKUP(AO26060, Ellens_additions!$A$2:$B$252, 2, FALSE) = "", "", VLOOKUP(AO26060, Ellens_additions!$A$2:$B$252, 2, FALSE)), 0), AP26060)</f>
        <v>0</v>
      </c>
    </row>
    <row r="26061" spans="1:43" ht="14.4" hidden="1" x14ac:dyDescent="0.3">
      <c r="A26061" t="s">
        <v>3898</v>
      </c>
      <c r="B26061">
        <v>4908933</v>
      </c>
      <c r="C26061" t="s">
        <v>135</v>
      </c>
      <c r="D26061" t="s">
        <v>174</v>
      </c>
      <c r="E26061" t="s">
        <v>316</v>
      </c>
      <c r="F26061" t="s">
        <v>288</v>
      </c>
      <c r="H26061" t="s">
        <v>3899</v>
      </c>
      <c r="J26061" t="s">
        <v>140</v>
      </c>
      <c r="K26061">
        <v>159382.32</v>
      </c>
      <c r="L26061">
        <v>383553.04</v>
      </c>
      <c r="N26061" t="s">
        <v>1494</v>
      </c>
      <c r="O26061" t="s">
        <v>448</v>
      </c>
      <c r="P26061" t="s">
        <v>1495</v>
      </c>
      <c r="Q26061" t="s">
        <v>144</v>
      </c>
      <c r="S26061">
        <v>0</v>
      </c>
      <c r="T26061">
        <v>0</v>
      </c>
      <c r="V26061" t="s">
        <v>146</v>
      </c>
      <c r="W26061" t="s">
        <v>184</v>
      </c>
      <c r="X26061" t="s">
        <v>7</v>
      </c>
      <c r="Y26061" t="s">
        <v>1494</v>
      </c>
      <c r="Z26061" t="s">
        <v>448</v>
      </c>
      <c r="AA26061" t="s">
        <v>456</v>
      </c>
      <c r="AB26061">
        <v>0</v>
      </c>
      <c r="AE26061" t="s">
        <v>1496</v>
      </c>
      <c r="AF26061" t="s">
        <v>448</v>
      </c>
      <c r="AG26061" t="s">
        <v>560</v>
      </c>
      <c r="AL26061" t="s">
        <v>3900</v>
      </c>
      <c r="AM26061" t="s">
        <v>3901</v>
      </c>
      <c r="AN26061" t="s">
        <v>3902</v>
      </c>
      <c r="AO26061" t="s">
        <v>1494</v>
      </c>
      <c r="AQ26061">
        <f>IF(ISBLANK(AP26061), IFERROR(IF(VLOOKUP(AO26061, Ellens_additions!$A$2:$B$252, 2, FALSE) = "", "", VLOOKUP(AO26061, Ellens_additions!$A$2:$B$252, 2, FALSE)), 0), AP26061)</f>
        <v>0</v>
      </c>
    </row>
    <row r="26062" spans="1:43" ht="14.4" hidden="1" x14ac:dyDescent="0.3">
      <c r="A26062" t="s">
        <v>3903</v>
      </c>
      <c r="B26062">
        <v>4908935</v>
      </c>
      <c r="C26062" t="s">
        <v>135</v>
      </c>
      <c r="D26062" t="s">
        <v>174</v>
      </c>
      <c r="E26062" t="s">
        <v>316</v>
      </c>
      <c r="F26062" t="s">
        <v>288</v>
      </c>
      <c r="H26062" t="s">
        <v>3904</v>
      </c>
      <c r="J26062" t="s">
        <v>140</v>
      </c>
      <c r="K26062">
        <v>159381.24</v>
      </c>
      <c r="L26062">
        <v>383551.01</v>
      </c>
      <c r="N26062" t="s">
        <v>1494</v>
      </c>
      <c r="O26062" t="s">
        <v>448</v>
      </c>
      <c r="P26062" t="s">
        <v>1495</v>
      </c>
      <c r="Q26062" t="s">
        <v>144</v>
      </c>
      <c r="S26062">
        <v>0</v>
      </c>
      <c r="T26062">
        <v>0</v>
      </c>
      <c r="V26062" t="s">
        <v>146</v>
      </c>
      <c r="W26062" t="s">
        <v>184</v>
      </c>
      <c r="X26062" t="s">
        <v>7</v>
      </c>
      <c r="Y26062" t="s">
        <v>1494</v>
      </c>
      <c r="Z26062" t="s">
        <v>448</v>
      </c>
      <c r="AA26062" t="s">
        <v>456</v>
      </c>
      <c r="AB26062">
        <v>0</v>
      </c>
      <c r="AE26062" t="s">
        <v>1496</v>
      </c>
      <c r="AF26062" t="s">
        <v>448</v>
      </c>
      <c r="AG26062" t="s">
        <v>560</v>
      </c>
      <c r="AL26062" t="s">
        <v>3905</v>
      </c>
      <c r="AM26062" t="s">
        <v>3906</v>
      </c>
      <c r="AN26062" t="s">
        <v>3907</v>
      </c>
      <c r="AO26062" t="s">
        <v>1494</v>
      </c>
      <c r="AQ26062">
        <f>IF(ISBLANK(AP26062), IFERROR(IF(VLOOKUP(AO26062, Ellens_additions!$A$2:$B$252, 2, FALSE) = "", "", VLOOKUP(AO26062, Ellens_additions!$A$2:$B$252, 2, FALSE)), 0), AP26062)</f>
        <v>0</v>
      </c>
    </row>
    <row r="26063" spans="1:43" ht="14.4" hidden="1" x14ac:dyDescent="0.3">
      <c r="A26063" t="s">
        <v>3908</v>
      </c>
      <c r="B26063">
        <v>4908939</v>
      </c>
      <c r="C26063" t="s">
        <v>135</v>
      </c>
      <c r="D26063" t="s">
        <v>174</v>
      </c>
      <c r="E26063" t="s">
        <v>316</v>
      </c>
      <c r="F26063" t="s">
        <v>288</v>
      </c>
      <c r="H26063" t="s">
        <v>3909</v>
      </c>
      <c r="J26063" t="s">
        <v>140</v>
      </c>
      <c r="K26063">
        <v>159378.75</v>
      </c>
      <c r="L26063">
        <v>383547.21</v>
      </c>
      <c r="N26063" t="s">
        <v>1494</v>
      </c>
      <c r="O26063" t="s">
        <v>448</v>
      </c>
      <c r="P26063" t="s">
        <v>1495</v>
      </c>
      <c r="Q26063" t="s">
        <v>144</v>
      </c>
      <c r="S26063">
        <v>0</v>
      </c>
      <c r="T26063">
        <v>0</v>
      </c>
      <c r="V26063" t="s">
        <v>146</v>
      </c>
      <c r="W26063" t="s">
        <v>184</v>
      </c>
      <c r="X26063" t="s">
        <v>7</v>
      </c>
      <c r="Y26063" t="s">
        <v>1494</v>
      </c>
      <c r="Z26063" t="s">
        <v>448</v>
      </c>
      <c r="AA26063" t="s">
        <v>456</v>
      </c>
      <c r="AB26063">
        <v>0</v>
      </c>
      <c r="AE26063" t="s">
        <v>1496</v>
      </c>
      <c r="AF26063" t="s">
        <v>448</v>
      </c>
      <c r="AG26063" t="s">
        <v>560</v>
      </c>
      <c r="AL26063" t="s">
        <v>3910</v>
      </c>
      <c r="AM26063" t="s">
        <v>3911</v>
      </c>
      <c r="AN26063" t="s">
        <v>3912</v>
      </c>
      <c r="AO26063" t="s">
        <v>1494</v>
      </c>
      <c r="AQ26063">
        <f>IF(ISBLANK(AP26063), IFERROR(IF(VLOOKUP(AO26063, Ellens_additions!$A$2:$B$252, 2, FALSE) = "", "", VLOOKUP(AO26063, Ellens_additions!$A$2:$B$252, 2, FALSE)), 0), AP26063)</f>
        <v>0</v>
      </c>
    </row>
    <row r="26064" spans="1:43" ht="14.4" hidden="1" x14ac:dyDescent="0.3">
      <c r="A26064" t="s">
        <v>3913</v>
      </c>
      <c r="B26064">
        <v>4908940</v>
      </c>
      <c r="C26064" t="s">
        <v>135</v>
      </c>
      <c r="D26064" t="s">
        <v>174</v>
      </c>
      <c r="E26064" t="s">
        <v>316</v>
      </c>
      <c r="F26064" t="s">
        <v>288</v>
      </c>
      <c r="H26064" t="s">
        <v>3914</v>
      </c>
      <c r="J26064" t="s">
        <v>140</v>
      </c>
      <c r="K26064">
        <v>159377.82</v>
      </c>
      <c r="L26064">
        <v>383546.03</v>
      </c>
      <c r="N26064" t="s">
        <v>1494</v>
      </c>
      <c r="O26064" t="s">
        <v>448</v>
      </c>
      <c r="P26064" t="s">
        <v>1495</v>
      </c>
      <c r="Q26064" t="s">
        <v>144</v>
      </c>
      <c r="S26064">
        <v>0</v>
      </c>
      <c r="T26064">
        <v>0</v>
      </c>
      <c r="V26064" t="s">
        <v>146</v>
      </c>
      <c r="W26064" t="s">
        <v>184</v>
      </c>
      <c r="X26064" t="s">
        <v>7</v>
      </c>
      <c r="Y26064" t="s">
        <v>1494</v>
      </c>
      <c r="Z26064" t="s">
        <v>448</v>
      </c>
      <c r="AA26064" t="s">
        <v>456</v>
      </c>
      <c r="AB26064">
        <v>0</v>
      </c>
      <c r="AE26064" t="s">
        <v>1496</v>
      </c>
      <c r="AF26064" t="s">
        <v>448</v>
      </c>
      <c r="AG26064" t="s">
        <v>560</v>
      </c>
      <c r="AL26064" t="s">
        <v>3915</v>
      </c>
      <c r="AM26064" t="s">
        <v>3916</v>
      </c>
      <c r="AN26064" t="s">
        <v>3917</v>
      </c>
      <c r="AO26064" t="s">
        <v>1494</v>
      </c>
      <c r="AQ26064">
        <f>IF(ISBLANK(AP26064), IFERROR(IF(VLOOKUP(AO26064, Ellens_additions!$A$2:$B$252, 2, FALSE) = "", "", VLOOKUP(AO26064, Ellens_additions!$A$2:$B$252, 2, FALSE)), 0), AP26064)</f>
        <v>0</v>
      </c>
    </row>
    <row r="26065" spans="1:43" ht="14.4" hidden="1" x14ac:dyDescent="0.3">
      <c r="A26065" t="s">
        <v>3918</v>
      </c>
      <c r="B26065">
        <v>4908946</v>
      </c>
      <c r="C26065" t="s">
        <v>135</v>
      </c>
      <c r="D26065" t="s">
        <v>174</v>
      </c>
      <c r="E26065" t="s">
        <v>316</v>
      </c>
      <c r="F26065" t="s">
        <v>288</v>
      </c>
      <c r="H26065" t="s">
        <v>3919</v>
      </c>
      <c r="J26065" t="s">
        <v>140</v>
      </c>
      <c r="K26065">
        <v>159387.74</v>
      </c>
      <c r="L26065">
        <v>383568.57</v>
      </c>
      <c r="N26065" t="s">
        <v>1494</v>
      </c>
      <c r="O26065" t="s">
        <v>448</v>
      </c>
      <c r="P26065" t="s">
        <v>1495</v>
      </c>
      <c r="Q26065" t="s">
        <v>144</v>
      </c>
      <c r="S26065">
        <v>0</v>
      </c>
      <c r="T26065">
        <v>0</v>
      </c>
      <c r="V26065" t="s">
        <v>146</v>
      </c>
      <c r="W26065" t="s">
        <v>184</v>
      </c>
      <c r="X26065" t="s">
        <v>7</v>
      </c>
      <c r="Y26065" t="s">
        <v>1494</v>
      </c>
      <c r="Z26065" t="s">
        <v>448</v>
      </c>
      <c r="AA26065" t="s">
        <v>456</v>
      </c>
      <c r="AB26065">
        <v>0</v>
      </c>
      <c r="AE26065" t="s">
        <v>1496</v>
      </c>
      <c r="AF26065" t="s">
        <v>448</v>
      </c>
      <c r="AG26065" t="s">
        <v>560</v>
      </c>
      <c r="AL26065" t="s">
        <v>3920</v>
      </c>
      <c r="AM26065" t="s">
        <v>3921</v>
      </c>
      <c r="AN26065" t="s">
        <v>3922</v>
      </c>
      <c r="AO26065" t="s">
        <v>1494</v>
      </c>
      <c r="AQ26065">
        <f>IF(ISBLANK(AP26065), IFERROR(IF(VLOOKUP(AO26065, Ellens_additions!$A$2:$B$252, 2, FALSE) = "", "", VLOOKUP(AO26065, Ellens_additions!$A$2:$B$252, 2, FALSE)), 0), AP26065)</f>
        <v>0</v>
      </c>
    </row>
    <row r="26066" spans="1:43" ht="14.4" hidden="1" x14ac:dyDescent="0.3">
      <c r="A26066" t="s">
        <v>3923</v>
      </c>
      <c r="B26066">
        <v>4908962</v>
      </c>
      <c r="C26066" t="s">
        <v>135</v>
      </c>
      <c r="D26066" t="s">
        <v>174</v>
      </c>
      <c r="E26066" t="s">
        <v>316</v>
      </c>
      <c r="F26066" t="s">
        <v>288</v>
      </c>
      <c r="H26066" t="s">
        <v>3924</v>
      </c>
      <c r="J26066" t="s">
        <v>140</v>
      </c>
      <c r="K26066">
        <v>159386.84</v>
      </c>
      <c r="L26066">
        <v>383583.6</v>
      </c>
      <c r="N26066" t="s">
        <v>1494</v>
      </c>
      <c r="O26066" t="s">
        <v>448</v>
      </c>
      <c r="P26066" t="s">
        <v>1495</v>
      </c>
      <c r="Q26066" t="s">
        <v>144</v>
      </c>
      <c r="S26066">
        <v>0</v>
      </c>
      <c r="T26066">
        <v>0</v>
      </c>
      <c r="V26066" t="s">
        <v>146</v>
      </c>
      <c r="W26066" t="s">
        <v>184</v>
      </c>
      <c r="X26066" t="s">
        <v>7</v>
      </c>
      <c r="Y26066" t="s">
        <v>1494</v>
      </c>
      <c r="Z26066" t="s">
        <v>448</v>
      </c>
      <c r="AA26066" t="s">
        <v>456</v>
      </c>
      <c r="AB26066">
        <v>0</v>
      </c>
      <c r="AE26066" t="s">
        <v>1496</v>
      </c>
      <c r="AF26066" t="s">
        <v>448</v>
      </c>
      <c r="AG26066" t="s">
        <v>560</v>
      </c>
      <c r="AL26066" t="s">
        <v>3925</v>
      </c>
      <c r="AM26066" t="s">
        <v>3926</v>
      </c>
      <c r="AN26066" t="s">
        <v>3927</v>
      </c>
      <c r="AO26066" t="s">
        <v>1494</v>
      </c>
      <c r="AQ26066">
        <f>IF(ISBLANK(AP26066), IFERROR(IF(VLOOKUP(AO26066, Ellens_additions!$A$2:$B$252, 2, FALSE) = "", "", VLOOKUP(AO26066, Ellens_additions!$A$2:$B$252, 2, FALSE)), 0), AP26066)</f>
        <v>0</v>
      </c>
    </row>
    <row r="26067" spans="1:43" ht="14.4" hidden="1" x14ac:dyDescent="0.3">
      <c r="A26067" t="s">
        <v>3928</v>
      </c>
      <c r="B26067">
        <v>4908964</v>
      </c>
      <c r="C26067" t="s">
        <v>135</v>
      </c>
      <c r="D26067" t="s">
        <v>174</v>
      </c>
      <c r="E26067" t="s">
        <v>316</v>
      </c>
      <c r="F26067" t="s">
        <v>288</v>
      </c>
      <c r="H26067" t="s">
        <v>3929</v>
      </c>
      <c r="J26067" t="s">
        <v>140</v>
      </c>
      <c r="K26067">
        <v>159386.32</v>
      </c>
      <c r="L26067">
        <v>383585.94</v>
      </c>
      <c r="N26067" t="s">
        <v>1494</v>
      </c>
      <c r="O26067" t="s">
        <v>448</v>
      </c>
      <c r="P26067" t="s">
        <v>1495</v>
      </c>
      <c r="Q26067" t="s">
        <v>144</v>
      </c>
      <c r="S26067">
        <v>0</v>
      </c>
      <c r="T26067">
        <v>0</v>
      </c>
      <c r="V26067" t="s">
        <v>146</v>
      </c>
      <c r="W26067" t="s">
        <v>184</v>
      </c>
      <c r="X26067" t="s">
        <v>7</v>
      </c>
      <c r="Y26067" t="s">
        <v>1494</v>
      </c>
      <c r="Z26067" t="s">
        <v>448</v>
      </c>
      <c r="AA26067" t="s">
        <v>456</v>
      </c>
      <c r="AB26067">
        <v>0</v>
      </c>
      <c r="AE26067" t="s">
        <v>1496</v>
      </c>
      <c r="AF26067" t="s">
        <v>448</v>
      </c>
      <c r="AG26067" t="s">
        <v>560</v>
      </c>
      <c r="AL26067" t="s">
        <v>3930</v>
      </c>
      <c r="AM26067" t="s">
        <v>3931</v>
      </c>
      <c r="AN26067" t="s">
        <v>3932</v>
      </c>
      <c r="AO26067" t="s">
        <v>1494</v>
      </c>
      <c r="AQ26067">
        <f>IF(ISBLANK(AP26067), IFERROR(IF(VLOOKUP(AO26067, Ellens_additions!$A$2:$B$252, 2, FALSE) = "", "", VLOOKUP(AO26067, Ellens_additions!$A$2:$B$252, 2, FALSE)), 0), AP26067)</f>
        <v>0</v>
      </c>
    </row>
    <row r="26068" spans="1:43" ht="14.4" hidden="1" x14ac:dyDescent="0.3">
      <c r="A26068" t="s">
        <v>3933</v>
      </c>
      <c r="B26068">
        <v>4908970</v>
      </c>
      <c r="C26068" t="s">
        <v>135</v>
      </c>
      <c r="D26068" t="s">
        <v>174</v>
      </c>
      <c r="E26068" t="s">
        <v>316</v>
      </c>
      <c r="F26068" t="s">
        <v>288</v>
      </c>
      <c r="H26068" t="s">
        <v>3934</v>
      </c>
      <c r="J26068" t="s">
        <v>140</v>
      </c>
      <c r="K26068">
        <v>159384.79999999999</v>
      </c>
      <c r="L26068">
        <v>383590.89</v>
      </c>
      <c r="N26068" t="s">
        <v>1494</v>
      </c>
      <c r="O26068" t="s">
        <v>448</v>
      </c>
      <c r="P26068" t="s">
        <v>1495</v>
      </c>
      <c r="Q26068" t="s">
        <v>144</v>
      </c>
      <c r="S26068">
        <v>0</v>
      </c>
      <c r="T26068">
        <v>0</v>
      </c>
      <c r="V26068" t="s">
        <v>146</v>
      </c>
      <c r="W26068" t="s">
        <v>184</v>
      </c>
      <c r="X26068" t="s">
        <v>7</v>
      </c>
      <c r="Y26068" t="s">
        <v>1494</v>
      </c>
      <c r="Z26068" t="s">
        <v>448</v>
      </c>
      <c r="AA26068" t="s">
        <v>456</v>
      </c>
      <c r="AB26068">
        <v>0</v>
      </c>
      <c r="AE26068" t="s">
        <v>1496</v>
      </c>
      <c r="AF26068" t="s">
        <v>448</v>
      </c>
      <c r="AG26068" t="s">
        <v>560</v>
      </c>
      <c r="AL26068" t="s">
        <v>3935</v>
      </c>
      <c r="AM26068" t="s">
        <v>3936</v>
      </c>
      <c r="AN26068" t="s">
        <v>3937</v>
      </c>
      <c r="AO26068" t="s">
        <v>1494</v>
      </c>
      <c r="AQ26068">
        <f>IF(ISBLANK(AP26068), IFERROR(IF(VLOOKUP(AO26068, Ellens_additions!$A$2:$B$252, 2, FALSE) = "", "", VLOOKUP(AO26068, Ellens_additions!$A$2:$B$252, 2, FALSE)), 0), AP26068)</f>
        <v>0</v>
      </c>
    </row>
    <row r="26069" spans="1:43" ht="14.4" hidden="1" x14ac:dyDescent="0.3">
      <c r="A26069" t="s">
        <v>3938</v>
      </c>
      <c r="B26069">
        <v>4908973</v>
      </c>
      <c r="C26069" t="s">
        <v>135</v>
      </c>
      <c r="D26069" t="s">
        <v>174</v>
      </c>
      <c r="E26069" t="s">
        <v>316</v>
      </c>
      <c r="F26069" t="s">
        <v>288</v>
      </c>
      <c r="H26069" t="s">
        <v>3939</v>
      </c>
      <c r="J26069" t="s">
        <v>140</v>
      </c>
      <c r="K26069">
        <v>159383.78</v>
      </c>
      <c r="L26069">
        <v>383593.47</v>
      </c>
      <c r="N26069" t="s">
        <v>1494</v>
      </c>
      <c r="O26069" t="s">
        <v>448</v>
      </c>
      <c r="P26069" t="s">
        <v>1495</v>
      </c>
      <c r="Q26069" t="s">
        <v>144</v>
      </c>
      <c r="S26069">
        <v>0</v>
      </c>
      <c r="T26069">
        <v>0</v>
      </c>
      <c r="V26069" t="s">
        <v>146</v>
      </c>
      <c r="W26069" t="s">
        <v>184</v>
      </c>
      <c r="X26069" t="s">
        <v>7</v>
      </c>
      <c r="Y26069" t="s">
        <v>1494</v>
      </c>
      <c r="Z26069" t="s">
        <v>448</v>
      </c>
      <c r="AA26069" t="s">
        <v>456</v>
      </c>
      <c r="AB26069">
        <v>0</v>
      </c>
      <c r="AE26069" t="s">
        <v>1496</v>
      </c>
      <c r="AF26069" t="s">
        <v>448</v>
      </c>
      <c r="AG26069" t="s">
        <v>560</v>
      </c>
      <c r="AL26069" t="s">
        <v>3940</v>
      </c>
      <c r="AM26069" t="s">
        <v>3941</v>
      </c>
      <c r="AN26069" t="s">
        <v>3942</v>
      </c>
      <c r="AO26069" t="s">
        <v>1494</v>
      </c>
      <c r="AQ26069">
        <f>IF(ISBLANK(AP26069), IFERROR(IF(VLOOKUP(AO26069, Ellens_additions!$A$2:$B$252, 2, FALSE) = "", "", VLOOKUP(AO26069, Ellens_additions!$A$2:$B$252, 2, FALSE)), 0), AP26069)</f>
        <v>0</v>
      </c>
    </row>
    <row r="26070" spans="1:43" ht="14.4" hidden="1" x14ac:dyDescent="0.3">
      <c r="A26070" t="s">
        <v>3943</v>
      </c>
      <c r="B26070">
        <v>4908976</v>
      </c>
      <c r="C26070" t="s">
        <v>135</v>
      </c>
      <c r="D26070" t="s">
        <v>174</v>
      </c>
      <c r="E26070" t="s">
        <v>316</v>
      </c>
      <c r="F26070" t="s">
        <v>288</v>
      </c>
      <c r="H26070" t="s">
        <v>3944</v>
      </c>
      <c r="J26070" t="s">
        <v>140</v>
      </c>
      <c r="K26070">
        <v>159382.54</v>
      </c>
      <c r="L26070">
        <v>383596.31</v>
      </c>
      <c r="N26070" t="s">
        <v>1494</v>
      </c>
      <c r="O26070" t="s">
        <v>448</v>
      </c>
      <c r="P26070" t="s">
        <v>1495</v>
      </c>
      <c r="Q26070" t="s">
        <v>144</v>
      </c>
      <c r="S26070">
        <v>0</v>
      </c>
      <c r="T26070">
        <v>0</v>
      </c>
      <c r="V26070" t="s">
        <v>146</v>
      </c>
      <c r="W26070" t="s">
        <v>184</v>
      </c>
      <c r="X26070" t="s">
        <v>7</v>
      </c>
      <c r="Y26070" t="s">
        <v>1494</v>
      </c>
      <c r="Z26070" t="s">
        <v>448</v>
      </c>
      <c r="AA26070" t="s">
        <v>456</v>
      </c>
      <c r="AB26070">
        <v>0</v>
      </c>
      <c r="AE26070" t="s">
        <v>1496</v>
      </c>
      <c r="AF26070" t="s">
        <v>448</v>
      </c>
      <c r="AG26070" t="s">
        <v>560</v>
      </c>
      <c r="AL26070" t="s">
        <v>3945</v>
      </c>
      <c r="AM26070" t="s">
        <v>3946</v>
      </c>
      <c r="AN26070" t="s">
        <v>3947</v>
      </c>
      <c r="AO26070" t="s">
        <v>1494</v>
      </c>
      <c r="AQ26070">
        <f>IF(ISBLANK(AP26070), IFERROR(IF(VLOOKUP(AO26070, Ellens_additions!$A$2:$B$252, 2, FALSE) = "", "", VLOOKUP(AO26070, Ellens_additions!$A$2:$B$252, 2, FALSE)), 0), AP26070)</f>
        <v>0</v>
      </c>
    </row>
    <row r="26071" spans="1:43" ht="14.4" hidden="1" x14ac:dyDescent="0.3">
      <c r="A26071" t="s">
        <v>3948</v>
      </c>
      <c r="B26071">
        <v>4908979</v>
      </c>
      <c r="C26071" t="s">
        <v>135</v>
      </c>
      <c r="D26071" t="s">
        <v>174</v>
      </c>
      <c r="E26071" t="s">
        <v>316</v>
      </c>
      <c r="F26071" t="s">
        <v>288</v>
      </c>
      <c r="H26071" t="s">
        <v>3949</v>
      </c>
      <c r="J26071" t="s">
        <v>140</v>
      </c>
      <c r="K26071">
        <v>159381.26</v>
      </c>
      <c r="L26071">
        <v>383598.56</v>
      </c>
      <c r="N26071" t="s">
        <v>1494</v>
      </c>
      <c r="O26071" t="s">
        <v>448</v>
      </c>
      <c r="P26071" t="s">
        <v>1495</v>
      </c>
      <c r="Q26071" t="s">
        <v>144</v>
      </c>
      <c r="S26071">
        <v>0</v>
      </c>
      <c r="T26071">
        <v>0</v>
      </c>
      <c r="V26071" t="s">
        <v>146</v>
      </c>
      <c r="W26071" t="s">
        <v>184</v>
      </c>
      <c r="X26071" t="s">
        <v>7</v>
      </c>
      <c r="Y26071" t="s">
        <v>1494</v>
      </c>
      <c r="Z26071" t="s">
        <v>448</v>
      </c>
      <c r="AA26071" t="s">
        <v>456</v>
      </c>
      <c r="AB26071">
        <v>0</v>
      </c>
      <c r="AE26071" t="s">
        <v>1496</v>
      </c>
      <c r="AF26071" t="s">
        <v>448</v>
      </c>
      <c r="AG26071" t="s">
        <v>560</v>
      </c>
      <c r="AL26071" t="s">
        <v>3950</v>
      </c>
      <c r="AM26071" t="s">
        <v>3951</v>
      </c>
      <c r="AN26071" t="s">
        <v>3952</v>
      </c>
      <c r="AO26071" t="s">
        <v>1494</v>
      </c>
      <c r="AQ26071">
        <f>IF(ISBLANK(AP26071), IFERROR(IF(VLOOKUP(AO26071, Ellens_additions!$A$2:$B$252, 2, FALSE) = "", "", VLOOKUP(AO26071, Ellens_additions!$A$2:$B$252, 2, FALSE)), 0), AP26071)</f>
        <v>0</v>
      </c>
    </row>
    <row r="26072" spans="1:43" ht="14.4" hidden="1" x14ac:dyDescent="0.3">
      <c r="A26072" t="s">
        <v>3953</v>
      </c>
      <c r="B26072">
        <v>4908980</v>
      </c>
      <c r="C26072" t="s">
        <v>135</v>
      </c>
      <c r="D26072" t="s">
        <v>174</v>
      </c>
      <c r="E26072" t="s">
        <v>316</v>
      </c>
      <c r="F26072" t="s">
        <v>288</v>
      </c>
      <c r="H26072" t="s">
        <v>3954</v>
      </c>
      <c r="J26072" t="s">
        <v>140</v>
      </c>
      <c r="K26072">
        <v>159380.66</v>
      </c>
      <c r="L26072">
        <v>383599.67</v>
      </c>
      <c r="N26072" t="s">
        <v>1494</v>
      </c>
      <c r="O26072" t="s">
        <v>448</v>
      </c>
      <c r="P26072" t="s">
        <v>1495</v>
      </c>
      <c r="Q26072" t="s">
        <v>144</v>
      </c>
      <c r="S26072">
        <v>0</v>
      </c>
      <c r="T26072">
        <v>0</v>
      </c>
      <c r="V26072" t="s">
        <v>146</v>
      </c>
      <c r="W26072" t="s">
        <v>184</v>
      </c>
      <c r="X26072" t="s">
        <v>7</v>
      </c>
      <c r="Y26072" t="s">
        <v>1494</v>
      </c>
      <c r="Z26072" t="s">
        <v>448</v>
      </c>
      <c r="AA26072" t="s">
        <v>456</v>
      </c>
      <c r="AB26072">
        <v>0</v>
      </c>
      <c r="AE26072" t="s">
        <v>1496</v>
      </c>
      <c r="AF26072" t="s">
        <v>448</v>
      </c>
      <c r="AG26072" t="s">
        <v>560</v>
      </c>
      <c r="AL26072" t="s">
        <v>3955</v>
      </c>
      <c r="AM26072" t="s">
        <v>3956</v>
      </c>
      <c r="AN26072" t="s">
        <v>3957</v>
      </c>
      <c r="AO26072" t="s">
        <v>1494</v>
      </c>
      <c r="AQ26072">
        <f>IF(ISBLANK(AP26072), IFERROR(IF(VLOOKUP(AO26072, Ellens_additions!$A$2:$B$252, 2, FALSE) = "", "", VLOOKUP(AO26072, Ellens_additions!$A$2:$B$252, 2, FALSE)), 0), AP26072)</f>
        <v>0</v>
      </c>
    </row>
    <row r="26073" spans="1:43" ht="14.4" hidden="1" x14ac:dyDescent="0.3">
      <c r="A26073" t="s">
        <v>3958</v>
      </c>
      <c r="B26073">
        <v>4908984</v>
      </c>
      <c r="C26073" t="s">
        <v>135</v>
      </c>
      <c r="D26073" t="s">
        <v>174</v>
      </c>
      <c r="E26073" t="s">
        <v>316</v>
      </c>
      <c r="F26073" t="s">
        <v>288</v>
      </c>
      <c r="H26073" t="s">
        <v>3959</v>
      </c>
      <c r="J26073" t="s">
        <v>140</v>
      </c>
      <c r="K26073">
        <v>159378.12</v>
      </c>
      <c r="L26073">
        <v>383603.53</v>
      </c>
      <c r="N26073" t="s">
        <v>1494</v>
      </c>
      <c r="O26073" t="s">
        <v>448</v>
      </c>
      <c r="P26073" t="s">
        <v>1495</v>
      </c>
      <c r="Q26073" t="s">
        <v>144</v>
      </c>
      <c r="S26073">
        <v>0</v>
      </c>
      <c r="T26073">
        <v>0</v>
      </c>
      <c r="V26073" t="s">
        <v>146</v>
      </c>
      <c r="W26073" t="s">
        <v>184</v>
      </c>
      <c r="X26073" t="s">
        <v>7</v>
      </c>
      <c r="Y26073" t="s">
        <v>1494</v>
      </c>
      <c r="Z26073" t="s">
        <v>448</v>
      </c>
      <c r="AA26073" t="s">
        <v>456</v>
      </c>
      <c r="AB26073">
        <v>0</v>
      </c>
      <c r="AE26073" t="s">
        <v>1496</v>
      </c>
      <c r="AF26073" t="s">
        <v>448</v>
      </c>
      <c r="AG26073" t="s">
        <v>560</v>
      </c>
      <c r="AL26073" t="s">
        <v>3960</v>
      </c>
      <c r="AM26073" t="s">
        <v>3961</v>
      </c>
      <c r="AN26073" t="s">
        <v>3962</v>
      </c>
      <c r="AO26073" t="s">
        <v>1494</v>
      </c>
      <c r="AQ26073">
        <f>IF(ISBLANK(AP26073), IFERROR(IF(VLOOKUP(AO26073, Ellens_additions!$A$2:$B$252, 2, FALSE) = "", "", VLOOKUP(AO26073, Ellens_additions!$A$2:$B$252, 2, FALSE)), 0), AP26073)</f>
        <v>0</v>
      </c>
    </row>
    <row r="26074" spans="1:43" ht="14.4" hidden="1" x14ac:dyDescent="0.3">
      <c r="A26074" t="s">
        <v>3963</v>
      </c>
      <c r="B26074">
        <v>4908986</v>
      </c>
      <c r="C26074" t="s">
        <v>135</v>
      </c>
      <c r="D26074" t="s">
        <v>174</v>
      </c>
      <c r="E26074" t="s">
        <v>316</v>
      </c>
      <c r="F26074" t="s">
        <v>288</v>
      </c>
      <c r="H26074" t="s">
        <v>3964</v>
      </c>
      <c r="J26074" t="s">
        <v>140</v>
      </c>
      <c r="K26074">
        <v>159376.76999999999</v>
      </c>
      <c r="L26074">
        <v>383605.1</v>
      </c>
      <c r="N26074" t="s">
        <v>1494</v>
      </c>
      <c r="O26074" t="s">
        <v>448</v>
      </c>
      <c r="P26074" t="s">
        <v>1495</v>
      </c>
      <c r="Q26074" t="s">
        <v>144</v>
      </c>
      <c r="S26074">
        <v>0</v>
      </c>
      <c r="T26074">
        <v>0</v>
      </c>
      <c r="V26074" t="s">
        <v>146</v>
      </c>
      <c r="W26074" t="s">
        <v>184</v>
      </c>
      <c r="X26074" t="s">
        <v>7</v>
      </c>
      <c r="Y26074" t="s">
        <v>1494</v>
      </c>
      <c r="Z26074" t="s">
        <v>448</v>
      </c>
      <c r="AA26074" t="s">
        <v>456</v>
      </c>
      <c r="AB26074">
        <v>0</v>
      </c>
      <c r="AE26074" t="s">
        <v>1496</v>
      </c>
      <c r="AF26074" t="s">
        <v>448</v>
      </c>
      <c r="AG26074" t="s">
        <v>560</v>
      </c>
      <c r="AL26074" t="s">
        <v>3965</v>
      </c>
      <c r="AM26074" t="s">
        <v>3966</v>
      </c>
      <c r="AN26074" t="s">
        <v>3967</v>
      </c>
      <c r="AO26074" t="s">
        <v>1494</v>
      </c>
      <c r="AQ26074">
        <f>IF(ISBLANK(AP26074), IFERROR(IF(VLOOKUP(AO26074, Ellens_additions!$A$2:$B$252, 2, FALSE) = "", "", VLOOKUP(AO26074, Ellens_additions!$A$2:$B$252, 2, FALSE)), 0), AP26074)</f>
        <v>0</v>
      </c>
    </row>
    <row r="26075" spans="1:43" ht="14.4" hidden="1" x14ac:dyDescent="0.3">
      <c r="A26075" t="s">
        <v>3968</v>
      </c>
      <c r="B26075">
        <v>4908987</v>
      </c>
      <c r="C26075" t="s">
        <v>135</v>
      </c>
      <c r="D26075" t="s">
        <v>174</v>
      </c>
      <c r="E26075" t="s">
        <v>316</v>
      </c>
      <c r="F26075" t="s">
        <v>288</v>
      </c>
      <c r="H26075" t="s">
        <v>3969</v>
      </c>
      <c r="J26075" t="s">
        <v>140</v>
      </c>
      <c r="K26075">
        <v>159376</v>
      </c>
      <c r="L26075">
        <v>383605.94</v>
      </c>
      <c r="N26075" t="s">
        <v>1494</v>
      </c>
      <c r="O26075" t="s">
        <v>448</v>
      </c>
      <c r="P26075" t="s">
        <v>1495</v>
      </c>
      <c r="Q26075" t="s">
        <v>144</v>
      </c>
      <c r="S26075">
        <v>0</v>
      </c>
      <c r="T26075">
        <v>0</v>
      </c>
      <c r="V26075" t="s">
        <v>146</v>
      </c>
      <c r="W26075" t="s">
        <v>184</v>
      </c>
      <c r="X26075" t="s">
        <v>7</v>
      </c>
      <c r="Y26075" t="s">
        <v>1494</v>
      </c>
      <c r="Z26075" t="s">
        <v>448</v>
      </c>
      <c r="AA26075" t="s">
        <v>456</v>
      </c>
      <c r="AB26075">
        <v>0</v>
      </c>
      <c r="AE26075" t="s">
        <v>1496</v>
      </c>
      <c r="AF26075" t="s">
        <v>448</v>
      </c>
      <c r="AG26075" t="s">
        <v>560</v>
      </c>
      <c r="AL26075" t="s">
        <v>3970</v>
      </c>
      <c r="AM26075" t="s">
        <v>3971</v>
      </c>
      <c r="AN26075" t="s">
        <v>3972</v>
      </c>
      <c r="AO26075" t="s">
        <v>1494</v>
      </c>
      <c r="AQ26075">
        <f>IF(ISBLANK(AP26075), IFERROR(IF(VLOOKUP(AO26075, Ellens_additions!$A$2:$B$252, 2, FALSE) = "", "", VLOOKUP(AO26075, Ellens_additions!$A$2:$B$252, 2, FALSE)), 0), AP26075)</f>
        <v>0</v>
      </c>
    </row>
    <row r="26076" spans="1:43" ht="14.4" hidden="1" x14ac:dyDescent="0.3">
      <c r="A26076" t="s">
        <v>3973</v>
      </c>
      <c r="B26076">
        <v>4908992</v>
      </c>
      <c r="C26076" t="s">
        <v>135</v>
      </c>
      <c r="D26076" t="s">
        <v>174</v>
      </c>
      <c r="E26076" t="s">
        <v>316</v>
      </c>
      <c r="F26076" t="s">
        <v>288</v>
      </c>
      <c r="H26076" t="s">
        <v>3974</v>
      </c>
      <c r="J26076" t="s">
        <v>140</v>
      </c>
      <c r="K26076">
        <v>159371.54999999999</v>
      </c>
      <c r="L26076">
        <v>383610.2</v>
      </c>
      <c r="N26076" t="s">
        <v>1494</v>
      </c>
      <c r="O26076" t="s">
        <v>448</v>
      </c>
      <c r="P26076" t="s">
        <v>1495</v>
      </c>
      <c r="Q26076" t="s">
        <v>144</v>
      </c>
      <c r="S26076">
        <v>0</v>
      </c>
      <c r="T26076">
        <v>0</v>
      </c>
      <c r="V26076" t="s">
        <v>146</v>
      </c>
      <c r="W26076" t="s">
        <v>184</v>
      </c>
      <c r="X26076" t="s">
        <v>7</v>
      </c>
      <c r="Y26076" t="s">
        <v>1494</v>
      </c>
      <c r="Z26076" t="s">
        <v>448</v>
      </c>
      <c r="AA26076" t="s">
        <v>456</v>
      </c>
      <c r="AB26076">
        <v>0</v>
      </c>
      <c r="AE26076" t="s">
        <v>1496</v>
      </c>
      <c r="AF26076" t="s">
        <v>448</v>
      </c>
      <c r="AG26076" t="s">
        <v>560</v>
      </c>
      <c r="AL26076" t="s">
        <v>3975</v>
      </c>
      <c r="AM26076" t="s">
        <v>3976</v>
      </c>
      <c r="AN26076" t="s">
        <v>3977</v>
      </c>
      <c r="AO26076" t="s">
        <v>1494</v>
      </c>
      <c r="AQ26076">
        <f>IF(ISBLANK(AP26076), IFERROR(IF(VLOOKUP(AO26076, Ellens_additions!$A$2:$B$252, 2, FALSE) = "", "", VLOOKUP(AO26076, Ellens_additions!$A$2:$B$252, 2, FALSE)), 0), AP26076)</f>
        <v>0</v>
      </c>
    </row>
    <row r="26077" spans="1:43" ht="14.4" hidden="1" x14ac:dyDescent="0.3">
      <c r="A26077" t="s">
        <v>3978</v>
      </c>
      <c r="B26077">
        <v>4908994</v>
      </c>
      <c r="C26077" t="s">
        <v>135</v>
      </c>
      <c r="D26077" t="s">
        <v>174</v>
      </c>
      <c r="E26077" t="s">
        <v>316</v>
      </c>
      <c r="F26077" t="s">
        <v>288</v>
      </c>
      <c r="H26077" t="s">
        <v>3979</v>
      </c>
      <c r="J26077" t="s">
        <v>140</v>
      </c>
      <c r="K26077">
        <v>159369.47</v>
      </c>
      <c r="L26077">
        <v>383611.62</v>
      </c>
      <c r="N26077" t="s">
        <v>1494</v>
      </c>
      <c r="O26077" t="s">
        <v>448</v>
      </c>
      <c r="P26077" t="s">
        <v>1495</v>
      </c>
      <c r="Q26077" t="s">
        <v>144</v>
      </c>
      <c r="S26077">
        <v>0</v>
      </c>
      <c r="T26077">
        <v>0</v>
      </c>
      <c r="V26077" t="s">
        <v>146</v>
      </c>
      <c r="W26077" t="s">
        <v>184</v>
      </c>
      <c r="X26077" t="s">
        <v>7</v>
      </c>
      <c r="Y26077" t="s">
        <v>1494</v>
      </c>
      <c r="Z26077" t="s">
        <v>448</v>
      </c>
      <c r="AA26077" t="s">
        <v>456</v>
      </c>
      <c r="AB26077">
        <v>0</v>
      </c>
      <c r="AE26077" t="s">
        <v>1496</v>
      </c>
      <c r="AF26077" t="s">
        <v>448</v>
      </c>
      <c r="AG26077" t="s">
        <v>560</v>
      </c>
      <c r="AL26077" t="s">
        <v>3980</v>
      </c>
      <c r="AM26077" t="s">
        <v>3981</v>
      </c>
      <c r="AN26077" t="s">
        <v>3982</v>
      </c>
      <c r="AO26077" t="s">
        <v>1494</v>
      </c>
      <c r="AQ26077">
        <f>IF(ISBLANK(AP26077), IFERROR(IF(VLOOKUP(AO26077, Ellens_additions!$A$2:$B$252, 2, FALSE) = "", "", VLOOKUP(AO26077, Ellens_additions!$A$2:$B$252, 2, FALSE)), 0), AP26077)</f>
        <v>0</v>
      </c>
    </row>
    <row r="26078" spans="1:43" ht="14.4" hidden="1" x14ac:dyDescent="0.3">
      <c r="A26078" t="s">
        <v>3983</v>
      </c>
      <c r="B26078">
        <v>4908996</v>
      </c>
      <c r="C26078" t="s">
        <v>135</v>
      </c>
      <c r="D26078" t="s">
        <v>174</v>
      </c>
      <c r="E26078" t="s">
        <v>316</v>
      </c>
      <c r="F26078" t="s">
        <v>288</v>
      </c>
      <c r="H26078" t="s">
        <v>3984</v>
      </c>
      <c r="J26078" t="s">
        <v>140</v>
      </c>
      <c r="K26078">
        <v>159367.34</v>
      </c>
      <c r="L26078">
        <v>383612.69</v>
      </c>
      <c r="N26078" t="s">
        <v>1494</v>
      </c>
      <c r="O26078" t="s">
        <v>448</v>
      </c>
      <c r="P26078" t="s">
        <v>1495</v>
      </c>
      <c r="Q26078" t="s">
        <v>144</v>
      </c>
      <c r="S26078">
        <v>0</v>
      </c>
      <c r="T26078">
        <v>0</v>
      </c>
      <c r="V26078" t="s">
        <v>146</v>
      </c>
      <c r="W26078" t="s">
        <v>184</v>
      </c>
      <c r="X26078" t="s">
        <v>7</v>
      </c>
      <c r="Y26078" t="s">
        <v>1494</v>
      </c>
      <c r="Z26078" t="s">
        <v>448</v>
      </c>
      <c r="AA26078" t="s">
        <v>456</v>
      </c>
      <c r="AB26078">
        <v>0</v>
      </c>
      <c r="AE26078" t="s">
        <v>1496</v>
      </c>
      <c r="AF26078" t="s">
        <v>448</v>
      </c>
      <c r="AG26078" t="s">
        <v>560</v>
      </c>
      <c r="AL26078" t="s">
        <v>3985</v>
      </c>
      <c r="AM26078" t="s">
        <v>3986</v>
      </c>
      <c r="AN26078" t="s">
        <v>3987</v>
      </c>
      <c r="AO26078" t="s">
        <v>1494</v>
      </c>
      <c r="AQ26078">
        <f>IF(ISBLANK(AP26078), IFERROR(IF(VLOOKUP(AO26078, Ellens_additions!$A$2:$B$252, 2, FALSE) = "", "", VLOOKUP(AO26078, Ellens_additions!$A$2:$B$252, 2, FALSE)), 0), AP26078)</f>
        <v>0</v>
      </c>
    </row>
    <row r="26079" spans="1:43" ht="14.4" hidden="1" x14ac:dyDescent="0.3">
      <c r="A26079" t="s">
        <v>3988</v>
      </c>
      <c r="B26079">
        <v>4908998</v>
      </c>
      <c r="C26079" t="s">
        <v>135</v>
      </c>
      <c r="D26079" t="s">
        <v>174</v>
      </c>
      <c r="E26079" t="s">
        <v>316</v>
      </c>
      <c r="F26079" t="s">
        <v>288</v>
      </c>
      <c r="H26079" t="s">
        <v>3989</v>
      </c>
      <c r="J26079" t="s">
        <v>140</v>
      </c>
      <c r="K26079">
        <v>159365.35</v>
      </c>
      <c r="L26079">
        <v>383614.09</v>
      </c>
      <c r="N26079" t="s">
        <v>1494</v>
      </c>
      <c r="O26079" t="s">
        <v>448</v>
      </c>
      <c r="P26079" t="s">
        <v>1495</v>
      </c>
      <c r="Q26079" t="s">
        <v>144</v>
      </c>
      <c r="S26079">
        <v>0</v>
      </c>
      <c r="T26079">
        <v>0</v>
      </c>
      <c r="V26079" t="s">
        <v>146</v>
      </c>
      <c r="W26079" t="s">
        <v>184</v>
      </c>
      <c r="X26079" t="s">
        <v>7</v>
      </c>
      <c r="Y26079" t="s">
        <v>1494</v>
      </c>
      <c r="Z26079" t="s">
        <v>448</v>
      </c>
      <c r="AA26079" t="s">
        <v>456</v>
      </c>
      <c r="AB26079">
        <v>0</v>
      </c>
      <c r="AE26079" t="s">
        <v>1496</v>
      </c>
      <c r="AF26079" t="s">
        <v>448</v>
      </c>
      <c r="AG26079" t="s">
        <v>560</v>
      </c>
      <c r="AL26079" t="s">
        <v>3990</v>
      </c>
      <c r="AM26079" t="s">
        <v>3991</v>
      </c>
      <c r="AN26079" t="s">
        <v>3992</v>
      </c>
      <c r="AO26079" t="s">
        <v>1494</v>
      </c>
      <c r="AQ26079">
        <f>IF(ISBLANK(AP26079), IFERROR(IF(VLOOKUP(AO26079, Ellens_additions!$A$2:$B$252, 2, FALSE) = "", "", VLOOKUP(AO26079, Ellens_additions!$A$2:$B$252, 2, FALSE)), 0), AP26079)</f>
        <v>0</v>
      </c>
    </row>
    <row r="26080" spans="1:43" ht="14.4" hidden="1" x14ac:dyDescent="0.3">
      <c r="A26080" t="s">
        <v>3993</v>
      </c>
      <c r="B26080">
        <v>4908999</v>
      </c>
      <c r="C26080" t="s">
        <v>135</v>
      </c>
      <c r="D26080" t="s">
        <v>174</v>
      </c>
      <c r="E26080" t="s">
        <v>316</v>
      </c>
      <c r="F26080" t="s">
        <v>288</v>
      </c>
      <c r="H26080" t="s">
        <v>3994</v>
      </c>
      <c r="J26080" t="s">
        <v>140</v>
      </c>
      <c r="K26080">
        <v>159364.34</v>
      </c>
      <c r="L26080">
        <v>383614.82</v>
      </c>
      <c r="N26080" t="s">
        <v>1494</v>
      </c>
      <c r="O26080" t="s">
        <v>448</v>
      </c>
      <c r="P26080" t="s">
        <v>1495</v>
      </c>
      <c r="Q26080" t="s">
        <v>144</v>
      </c>
      <c r="S26080">
        <v>0</v>
      </c>
      <c r="T26080">
        <v>0</v>
      </c>
      <c r="V26080" t="s">
        <v>146</v>
      </c>
      <c r="W26080" t="s">
        <v>184</v>
      </c>
      <c r="X26080" t="s">
        <v>7</v>
      </c>
      <c r="Y26080" t="s">
        <v>1494</v>
      </c>
      <c r="Z26080" t="s">
        <v>448</v>
      </c>
      <c r="AA26080" t="s">
        <v>456</v>
      </c>
      <c r="AB26080">
        <v>0</v>
      </c>
      <c r="AE26080" t="s">
        <v>1496</v>
      </c>
      <c r="AF26080" t="s">
        <v>448</v>
      </c>
      <c r="AG26080" t="s">
        <v>560</v>
      </c>
      <c r="AL26080" t="s">
        <v>3995</v>
      </c>
      <c r="AM26080" t="s">
        <v>3996</v>
      </c>
      <c r="AN26080" t="s">
        <v>3997</v>
      </c>
      <c r="AO26080" t="s">
        <v>1494</v>
      </c>
      <c r="AQ26080">
        <f>IF(ISBLANK(AP26080), IFERROR(IF(VLOOKUP(AO26080, Ellens_additions!$A$2:$B$252, 2, FALSE) = "", "", VLOOKUP(AO26080, Ellens_additions!$A$2:$B$252, 2, FALSE)), 0), AP26080)</f>
        <v>0</v>
      </c>
    </row>
    <row r="26081" spans="1:43" ht="14.4" hidden="1" x14ac:dyDescent="0.3">
      <c r="A26081" t="s">
        <v>3998</v>
      </c>
      <c r="B26081">
        <v>4909001</v>
      </c>
      <c r="C26081" t="s">
        <v>135</v>
      </c>
      <c r="D26081" t="s">
        <v>174</v>
      </c>
      <c r="E26081" t="s">
        <v>316</v>
      </c>
      <c r="F26081" t="s">
        <v>288</v>
      </c>
      <c r="H26081" t="s">
        <v>3999</v>
      </c>
      <c r="J26081" t="s">
        <v>140</v>
      </c>
      <c r="K26081">
        <v>159361.99</v>
      </c>
      <c r="L26081">
        <v>383616.06</v>
      </c>
      <c r="N26081" t="s">
        <v>1494</v>
      </c>
      <c r="O26081" t="s">
        <v>448</v>
      </c>
      <c r="P26081" t="s">
        <v>1495</v>
      </c>
      <c r="Q26081" t="s">
        <v>144</v>
      </c>
      <c r="S26081">
        <v>0</v>
      </c>
      <c r="T26081">
        <v>0</v>
      </c>
      <c r="V26081" t="s">
        <v>146</v>
      </c>
      <c r="W26081" t="s">
        <v>184</v>
      </c>
      <c r="X26081" t="s">
        <v>7</v>
      </c>
      <c r="Y26081" t="s">
        <v>1494</v>
      </c>
      <c r="Z26081" t="s">
        <v>448</v>
      </c>
      <c r="AA26081" t="s">
        <v>456</v>
      </c>
      <c r="AB26081">
        <v>0</v>
      </c>
      <c r="AE26081" t="s">
        <v>1496</v>
      </c>
      <c r="AF26081" t="s">
        <v>448</v>
      </c>
      <c r="AG26081" t="s">
        <v>560</v>
      </c>
      <c r="AL26081" t="s">
        <v>4000</v>
      </c>
      <c r="AM26081" t="s">
        <v>4001</v>
      </c>
      <c r="AN26081" t="s">
        <v>4002</v>
      </c>
      <c r="AO26081" t="s">
        <v>1494</v>
      </c>
      <c r="AQ26081">
        <f>IF(ISBLANK(AP26081), IFERROR(IF(VLOOKUP(AO26081, Ellens_additions!$A$2:$B$252, 2, FALSE) = "", "", VLOOKUP(AO26081, Ellens_additions!$A$2:$B$252, 2, FALSE)), 0), AP26081)</f>
        <v>0</v>
      </c>
    </row>
    <row r="26082" spans="1:43" ht="14.4" hidden="1" x14ac:dyDescent="0.3">
      <c r="A26082" t="s">
        <v>4003</v>
      </c>
      <c r="B26082">
        <v>4909004</v>
      </c>
      <c r="C26082" t="s">
        <v>135</v>
      </c>
      <c r="D26082" t="s">
        <v>174</v>
      </c>
      <c r="E26082" t="s">
        <v>316</v>
      </c>
      <c r="F26082" t="s">
        <v>288</v>
      </c>
      <c r="H26082" t="s">
        <v>4004</v>
      </c>
      <c r="J26082" t="s">
        <v>140</v>
      </c>
      <c r="K26082">
        <v>159358.56</v>
      </c>
      <c r="L26082">
        <v>383617.76</v>
      </c>
      <c r="N26082" t="s">
        <v>1494</v>
      </c>
      <c r="O26082" t="s">
        <v>448</v>
      </c>
      <c r="P26082" t="s">
        <v>1495</v>
      </c>
      <c r="Q26082" t="s">
        <v>144</v>
      </c>
      <c r="S26082">
        <v>0</v>
      </c>
      <c r="T26082">
        <v>0</v>
      </c>
      <c r="V26082" t="s">
        <v>146</v>
      </c>
      <c r="W26082" t="s">
        <v>184</v>
      </c>
      <c r="X26082" t="s">
        <v>7</v>
      </c>
      <c r="Y26082" t="s">
        <v>1494</v>
      </c>
      <c r="Z26082" t="s">
        <v>448</v>
      </c>
      <c r="AA26082" t="s">
        <v>456</v>
      </c>
      <c r="AB26082">
        <v>0</v>
      </c>
      <c r="AE26082" t="s">
        <v>1496</v>
      </c>
      <c r="AF26082" t="s">
        <v>448</v>
      </c>
      <c r="AG26082" t="s">
        <v>560</v>
      </c>
      <c r="AL26082" t="s">
        <v>4005</v>
      </c>
      <c r="AM26082" t="s">
        <v>4006</v>
      </c>
      <c r="AN26082" t="s">
        <v>4007</v>
      </c>
      <c r="AO26082" t="s">
        <v>1494</v>
      </c>
      <c r="AQ26082">
        <f>IF(ISBLANK(AP26082), IFERROR(IF(VLOOKUP(AO26082, Ellens_additions!$A$2:$B$252, 2, FALSE) = "", "", VLOOKUP(AO26082, Ellens_additions!$A$2:$B$252, 2, FALSE)), 0), AP26082)</f>
        <v>0</v>
      </c>
    </row>
    <row r="26083" spans="1:43" ht="14.4" hidden="1" x14ac:dyDescent="0.3">
      <c r="A26083" t="s">
        <v>4008</v>
      </c>
      <c r="B26083">
        <v>4909005</v>
      </c>
      <c r="C26083" t="s">
        <v>135</v>
      </c>
      <c r="D26083" t="s">
        <v>174</v>
      </c>
      <c r="E26083" t="s">
        <v>316</v>
      </c>
      <c r="F26083" t="s">
        <v>288</v>
      </c>
      <c r="H26083" t="s">
        <v>4009</v>
      </c>
      <c r="J26083" t="s">
        <v>140</v>
      </c>
      <c r="K26083">
        <v>159357.46</v>
      </c>
      <c r="L26083">
        <v>383618.18</v>
      </c>
      <c r="N26083" t="s">
        <v>1494</v>
      </c>
      <c r="O26083" t="s">
        <v>448</v>
      </c>
      <c r="P26083" t="s">
        <v>1495</v>
      </c>
      <c r="Q26083" t="s">
        <v>144</v>
      </c>
      <c r="S26083">
        <v>0</v>
      </c>
      <c r="T26083">
        <v>0</v>
      </c>
      <c r="V26083" t="s">
        <v>146</v>
      </c>
      <c r="W26083" t="s">
        <v>184</v>
      </c>
      <c r="X26083" t="s">
        <v>7</v>
      </c>
      <c r="Y26083" t="s">
        <v>1494</v>
      </c>
      <c r="Z26083" t="s">
        <v>448</v>
      </c>
      <c r="AA26083" t="s">
        <v>456</v>
      </c>
      <c r="AB26083">
        <v>0</v>
      </c>
      <c r="AE26083" t="s">
        <v>1496</v>
      </c>
      <c r="AF26083" t="s">
        <v>448</v>
      </c>
      <c r="AG26083" t="s">
        <v>560</v>
      </c>
      <c r="AL26083" t="s">
        <v>4010</v>
      </c>
      <c r="AM26083" t="s">
        <v>4011</v>
      </c>
      <c r="AN26083" t="s">
        <v>4012</v>
      </c>
      <c r="AO26083" t="s">
        <v>1494</v>
      </c>
      <c r="AQ26083">
        <f>IF(ISBLANK(AP26083), IFERROR(IF(VLOOKUP(AO26083, Ellens_additions!$A$2:$B$252, 2, FALSE) = "", "", VLOOKUP(AO26083, Ellens_additions!$A$2:$B$252, 2, FALSE)), 0), AP26083)</f>
        <v>0</v>
      </c>
    </row>
    <row r="26084" spans="1:43" ht="14.4" hidden="1" x14ac:dyDescent="0.3">
      <c r="A26084" t="s">
        <v>4013</v>
      </c>
      <c r="B26084">
        <v>4909006</v>
      </c>
      <c r="C26084" t="s">
        <v>135</v>
      </c>
      <c r="D26084" t="s">
        <v>174</v>
      </c>
      <c r="E26084" t="s">
        <v>316</v>
      </c>
      <c r="F26084" t="s">
        <v>288</v>
      </c>
      <c r="H26084" t="s">
        <v>4014</v>
      </c>
      <c r="J26084" t="s">
        <v>140</v>
      </c>
      <c r="K26084">
        <v>159356.49</v>
      </c>
      <c r="L26084">
        <v>383618.55</v>
      </c>
      <c r="N26084" t="s">
        <v>1494</v>
      </c>
      <c r="O26084" t="s">
        <v>448</v>
      </c>
      <c r="P26084" t="s">
        <v>1495</v>
      </c>
      <c r="Q26084" t="s">
        <v>144</v>
      </c>
      <c r="S26084">
        <v>0</v>
      </c>
      <c r="T26084">
        <v>0</v>
      </c>
      <c r="V26084" t="s">
        <v>146</v>
      </c>
      <c r="W26084" t="s">
        <v>184</v>
      </c>
      <c r="X26084" t="s">
        <v>7</v>
      </c>
      <c r="Y26084" t="s">
        <v>1494</v>
      </c>
      <c r="Z26084" t="s">
        <v>448</v>
      </c>
      <c r="AA26084" t="s">
        <v>456</v>
      </c>
      <c r="AB26084">
        <v>0</v>
      </c>
      <c r="AE26084" t="s">
        <v>1496</v>
      </c>
      <c r="AF26084" t="s">
        <v>448</v>
      </c>
      <c r="AG26084" t="s">
        <v>560</v>
      </c>
      <c r="AL26084" t="s">
        <v>4015</v>
      </c>
      <c r="AM26084" t="s">
        <v>4016</v>
      </c>
      <c r="AN26084" t="s">
        <v>4017</v>
      </c>
      <c r="AO26084" t="s">
        <v>1494</v>
      </c>
      <c r="AQ26084">
        <f>IF(ISBLANK(AP26084), IFERROR(IF(VLOOKUP(AO26084, Ellens_additions!$A$2:$B$252, 2, FALSE) = "", "", VLOOKUP(AO26084, Ellens_additions!$A$2:$B$252, 2, FALSE)), 0), AP26084)</f>
        <v>0</v>
      </c>
    </row>
    <row r="26085" spans="1:43" ht="14.4" hidden="1" x14ac:dyDescent="0.3">
      <c r="A26085" t="s">
        <v>4018</v>
      </c>
      <c r="B26085">
        <v>4909008</v>
      </c>
      <c r="C26085" t="s">
        <v>135</v>
      </c>
      <c r="D26085" t="s">
        <v>174</v>
      </c>
      <c r="E26085" t="s">
        <v>316</v>
      </c>
      <c r="F26085" t="s">
        <v>288</v>
      </c>
      <c r="H26085" t="s">
        <v>4019</v>
      </c>
      <c r="J26085" t="s">
        <v>140</v>
      </c>
      <c r="K26085">
        <v>159354.64000000001</v>
      </c>
      <c r="L26085">
        <v>383619.3</v>
      </c>
      <c r="N26085" t="s">
        <v>1494</v>
      </c>
      <c r="O26085" t="s">
        <v>448</v>
      </c>
      <c r="P26085" t="s">
        <v>1495</v>
      </c>
      <c r="Q26085" t="s">
        <v>144</v>
      </c>
      <c r="S26085">
        <v>0</v>
      </c>
      <c r="T26085">
        <v>0</v>
      </c>
      <c r="V26085" t="s">
        <v>146</v>
      </c>
      <c r="W26085" t="s">
        <v>184</v>
      </c>
      <c r="X26085" t="s">
        <v>7</v>
      </c>
      <c r="Y26085" t="s">
        <v>1494</v>
      </c>
      <c r="Z26085" t="s">
        <v>448</v>
      </c>
      <c r="AA26085" t="s">
        <v>456</v>
      </c>
      <c r="AB26085">
        <v>0</v>
      </c>
      <c r="AE26085" t="s">
        <v>1496</v>
      </c>
      <c r="AF26085" t="s">
        <v>448</v>
      </c>
      <c r="AG26085" t="s">
        <v>560</v>
      </c>
      <c r="AL26085" t="s">
        <v>4020</v>
      </c>
      <c r="AM26085" t="s">
        <v>4021</v>
      </c>
      <c r="AN26085" t="s">
        <v>4022</v>
      </c>
      <c r="AO26085" t="s">
        <v>1494</v>
      </c>
      <c r="AQ26085">
        <f>IF(ISBLANK(AP26085), IFERROR(IF(VLOOKUP(AO26085, Ellens_additions!$A$2:$B$252, 2, FALSE) = "", "", VLOOKUP(AO26085, Ellens_additions!$A$2:$B$252, 2, FALSE)), 0), AP26085)</f>
        <v>0</v>
      </c>
    </row>
    <row r="26086" spans="1:43" ht="14.4" hidden="1" x14ac:dyDescent="0.3">
      <c r="A26086" t="s">
        <v>4023</v>
      </c>
      <c r="B26086">
        <v>4909010</v>
      </c>
      <c r="C26086" t="s">
        <v>135</v>
      </c>
      <c r="D26086" t="s">
        <v>174</v>
      </c>
      <c r="E26086" t="s">
        <v>316</v>
      </c>
      <c r="F26086" t="s">
        <v>288</v>
      </c>
      <c r="H26086" t="s">
        <v>4024</v>
      </c>
      <c r="J26086" t="s">
        <v>140</v>
      </c>
      <c r="K26086">
        <v>159352.78</v>
      </c>
      <c r="L26086">
        <v>383620.07</v>
      </c>
      <c r="N26086" t="s">
        <v>1494</v>
      </c>
      <c r="O26086" t="s">
        <v>448</v>
      </c>
      <c r="P26086" t="s">
        <v>1495</v>
      </c>
      <c r="Q26086" t="s">
        <v>144</v>
      </c>
      <c r="S26086">
        <v>0</v>
      </c>
      <c r="T26086">
        <v>0</v>
      </c>
      <c r="V26086" t="s">
        <v>146</v>
      </c>
      <c r="W26086" t="s">
        <v>184</v>
      </c>
      <c r="X26086" t="s">
        <v>7</v>
      </c>
      <c r="Y26086" t="s">
        <v>1494</v>
      </c>
      <c r="Z26086" t="s">
        <v>448</v>
      </c>
      <c r="AA26086" t="s">
        <v>456</v>
      </c>
      <c r="AB26086">
        <v>0</v>
      </c>
      <c r="AE26086" t="s">
        <v>1496</v>
      </c>
      <c r="AF26086" t="s">
        <v>448</v>
      </c>
      <c r="AG26086" t="s">
        <v>560</v>
      </c>
      <c r="AL26086" t="s">
        <v>4025</v>
      </c>
      <c r="AM26086" t="s">
        <v>4026</v>
      </c>
      <c r="AN26086" t="s">
        <v>4027</v>
      </c>
      <c r="AO26086" t="s">
        <v>1494</v>
      </c>
      <c r="AQ26086">
        <f>IF(ISBLANK(AP26086), IFERROR(IF(VLOOKUP(AO26086, Ellens_additions!$A$2:$B$252, 2, FALSE) = "", "", VLOOKUP(AO26086, Ellens_additions!$A$2:$B$252, 2, FALSE)), 0), AP26086)</f>
        <v>0</v>
      </c>
    </row>
    <row r="26087" spans="1:43" ht="14.4" hidden="1" x14ac:dyDescent="0.3">
      <c r="A26087" t="s">
        <v>4028</v>
      </c>
      <c r="B26087">
        <v>4909012</v>
      </c>
      <c r="C26087" t="s">
        <v>135</v>
      </c>
      <c r="D26087" t="s">
        <v>174</v>
      </c>
      <c r="E26087" t="s">
        <v>316</v>
      </c>
      <c r="F26087" t="s">
        <v>288</v>
      </c>
      <c r="H26087" t="s">
        <v>4029</v>
      </c>
      <c r="J26087" t="s">
        <v>140</v>
      </c>
      <c r="K26087">
        <v>159350.70000000001</v>
      </c>
      <c r="L26087">
        <v>383621.02</v>
      </c>
      <c r="N26087" t="s">
        <v>1494</v>
      </c>
      <c r="O26087" t="s">
        <v>448</v>
      </c>
      <c r="P26087" t="s">
        <v>1495</v>
      </c>
      <c r="Q26087" t="s">
        <v>144</v>
      </c>
      <c r="S26087">
        <v>0</v>
      </c>
      <c r="T26087">
        <v>0</v>
      </c>
      <c r="V26087" t="s">
        <v>146</v>
      </c>
      <c r="W26087" t="s">
        <v>184</v>
      </c>
      <c r="X26087" t="s">
        <v>7</v>
      </c>
      <c r="Y26087" t="s">
        <v>1494</v>
      </c>
      <c r="Z26087" t="s">
        <v>448</v>
      </c>
      <c r="AA26087" t="s">
        <v>456</v>
      </c>
      <c r="AB26087">
        <v>0</v>
      </c>
      <c r="AE26087" t="s">
        <v>1496</v>
      </c>
      <c r="AF26087" t="s">
        <v>448</v>
      </c>
      <c r="AG26087" t="s">
        <v>560</v>
      </c>
      <c r="AL26087" t="s">
        <v>4030</v>
      </c>
      <c r="AM26087" t="s">
        <v>4031</v>
      </c>
      <c r="AN26087" t="s">
        <v>4032</v>
      </c>
      <c r="AO26087" t="s">
        <v>1494</v>
      </c>
      <c r="AQ26087">
        <f>IF(ISBLANK(AP26087), IFERROR(IF(VLOOKUP(AO26087, Ellens_additions!$A$2:$B$252, 2, FALSE) = "", "", VLOOKUP(AO26087, Ellens_additions!$A$2:$B$252, 2, FALSE)), 0), AP26087)</f>
        <v>0</v>
      </c>
    </row>
    <row r="26088" spans="1:43" ht="14.4" hidden="1" x14ac:dyDescent="0.3">
      <c r="A26088" t="s">
        <v>4033</v>
      </c>
      <c r="B26088">
        <v>4909018</v>
      </c>
      <c r="C26088" t="s">
        <v>135</v>
      </c>
      <c r="D26088" t="s">
        <v>174</v>
      </c>
      <c r="E26088" t="s">
        <v>316</v>
      </c>
      <c r="F26088" t="s">
        <v>288</v>
      </c>
      <c r="H26088" t="s">
        <v>4034</v>
      </c>
      <c r="J26088" t="s">
        <v>140</v>
      </c>
      <c r="K26088">
        <v>159345.5</v>
      </c>
      <c r="L26088">
        <v>383625.04</v>
      </c>
      <c r="N26088" t="s">
        <v>1494</v>
      </c>
      <c r="O26088" t="s">
        <v>448</v>
      </c>
      <c r="P26088" t="s">
        <v>1495</v>
      </c>
      <c r="Q26088" t="s">
        <v>144</v>
      </c>
      <c r="S26088">
        <v>0</v>
      </c>
      <c r="T26088">
        <v>0</v>
      </c>
      <c r="V26088" t="s">
        <v>146</v>
      </c>
      <c r="W26088" t="s">
        <v>184</v>
      </c>
      <c r="X26088" t="s">
        <v>7</v>
      </c>
      <c r="Y26088" t="s">
        <v>1494</v>
      </c>
      <c r="Z26088" t="s">
        <v>448</v>
      </c>
      <c r="AA26088" t="s">
        <v>456</v>
      </c>
      <c r="AB26088">
        <v>0</v>
      </c>
      <c r="AE26088" t="s">
        <v>1496</v>
      </c>
      <c r="AF26088" t="s">
        <v>448</v>
      </c>
      <c r="AG26088" t="s">
        <v>560</v>
      </c>
      <c r="AL26088" t="s">
        <v>4035</v>
      </c>
      <c r="AM26088" t="s">
        <v>4036</v>
      </c>
      <c r="AN26088" t="s">
        <v>4037</v>
      </c>
      <c r="AO26088" t="s">
        <v>1494</v>
      </c>
      <c r="AQ26088">
        <f>IF(ISBLANK(AP26088), IFERROR(IF(VLOOKUP(AO26088, Ellens_additions!$A$2:$B$252, 2, FALSE) = "", "", VLOOKUP(AO26088, Ellens_additions!$A$2:$B$252, 2, FALSE)), 0), AP26088)</f>
        <v>0</v>
      </c>
    </row>
    <row r="26089" spans="1:43" ht="14.4" hidden="1" x14ac:dyDescent="0.3">
      <c r="A26089" t="s">
        <v>4038</v>
      </c>
      <c r="B26089">
        <v>4909020</v>
      </c>
      <c r="C26089" t="s">
        <v>135</v>
      </c>
      <c r="D26089" t="s">
        <v>174</v>
      </c>
      <c r="E26089" t="s">
        <v>316</v>
      </c>
      <c r="F26089" t="s">
        <v>288</v>
      </c>
      <c r="H26089" t="s">
        <v>4039</v>
      </c>
      <c r="J26089" t="s">
        <v>140</v>
      </c>
      <c r="K26089">
        <v>159344.62</v>
      </c>
      <c r="L26089">
        <v>383627.02</v>
      </c>
      <c r="N26089" t="s">
        <v>1494</v>
      </c>
      <c r="O26089" t="s">
        <v>448</v>
      </c>
      <c r="P26089" t="s">
        <v>1495</v>
      </c>
      <c r="Q26089" t="s">
        <v>144</v>
      </c>
      <c r="S26089">
        <v>0</v>
      </c>
      <c r="T26089">
        <v>0</v>
      </c>
      <c r="V26089" t="s">
        <v>146</v>
      </c>
      <c r="W26089" t="s">
        <v>184</v>
      </c>
      <c r="X26089" t="s">
        <v>7</v>
      </c>
      <c r="Y26089" t="s">
        <v>1494</v>
      </c>
      <c r="Z26089" t="s">
        <v>448</v>
      </c>
      <c r="AA26089" t="s">
        <v>456</v>
      </c>
      <c r="AB26089">
        <v>0</v>
      </c>
      <c r="AE26089" t="s">
        <v>1496</v>
      </c>
      <c r="AF26089" t="s">
        <v>448</v>
      </c>
      <c r="AG26089" t="s">
        <v>560</v>
      </c>
      <c r="AL26089" t="s">
        <v>4040</v>
      </c>
      <c r="AM26089" t="s">
        <v>4041</v>
      </c>
      <c r="AN26089" t="s">
        <v>4042</v>
      </c>
      <c r="AO26089" t="s">
        <v>1494</v>
      </c>
      <c r="AQ26089">
        <f>IF(ISBLANK(AP26089), IFERROR(IF(VLOOKUP(AO26089, Ellens_additions!$A$2:$B$252, 2, FALSE) = "", "", VLOOKUP(AO26089, Ellens_additions!$A$2:$B$252, 2, FALSE)), 0), AP26089)</f>
        <v>0</v>
      </c>
    </row>
    <row r="26090" spans="1:43" ht="14.4" hidden="1" x14ac:dyDescent="0.3">
      <c r="A26090" t="s">
        <v>4043</v>
      </c>
      <c r="B26090">
        <v>4909021</v>
      </c>
      <c r="C26090" t="s">
        <v>135</v>
      </c>
      <c r="D26090" t="s">
        <v>174</v>
      </c>
      <c r="E26090" t="s">
        <v>316</v>
      </c>
      <c r="F26090" t="s">
        <v>288</v>
      </c>
      <c r="H26090" t="s">
        <v>4044</v>
      </c>
      <c r="J26090" t="s">
        <v>140</v>
      </c>
      <c r="K26090">
        <v>159344.29999999999</v>
      </c>
      <c r="L26090">
        <v>383627.94</v>
      </c>
      <c r="N26090" t="s">
        <v>1494</v>
      </c>
      <c r="O26090" t="s">
        <v>448</v>
      </c>
      <c r="P26090" t="s">
        <v>1495</v>
      </c>
      <c r="Q26090" t="s">
        <v>144</v>
      </c>
      <c r="S26090">
        <v>0</v>
      </c>
      <c r="T26090">
        <v>0</v>
      </c>
      <c r="V26090" t="s">
        <v>146</v>
      </c>
      <c r="W26090" t="s">
        <v>184</v>
      </c>
      <c r="X26090" t="s">
        <v>7</v>
      </c>
      <c r="Y26090" t="s">
        <v>1494</v>
      </c>
      <c r="Z26090" t="s">
        <v>448</v>
      </c>
      <c r="AA26090" t="s">
        <v>456</v>
      </c>
      <c r="AB26090">
        <v>0</v>
      </c>
      <c r="AE26090" t="s">
        <v>1496</v>
      </c>
      <c r="AF26090" t="s">
        <v>448</v>
      </c>
      <c r="AG26090" t="s">
        <v>560</v>
      </c>
      <c r="AL26090" t="s">
        <v>4045</v>
      </c>
      <c r="AM26090" t="s">
        <v>4046</v>
      </c>
      <c r="AN26090" t="s">
        <v>4047</v>
      </c>
      <c r="AO26090" t="s">
        <v>1494</v>
      </c>
      <c r="AQ26090">
        <f>IF(ISBLANK(AP26090), IFERROR(IF(VLOOKUP(AO26090, Ellens_additions!$A$2:$B$252, 2, FALSE) = "", "", VLOOKUP(AO26090, Ellens_additions!$A$2:$B$252, 2, FALSE)), 0), AP26090)</f>
        <v>0</v>
      </c>
    </row>
    <row r="26091" spans="1:43" ht="14.4" hidden="1" x14ac:dyDescent="0.3">
      <c r="A26091" t="s">
        <v>4048</v>
      </c>
      <c r="B26091">
        <v>4909029</v>
      </c>
      <c r="C26091" t="s">
        <v>135</v>
      </c>
      <c r="D26091" t="s">
        <v>174</v>
      </c>
      <c r="E26091" t="s">
        <v>316</v>
      </c>
      <c r="F26091" t="s">
        <v>288</v>
      </c>
      <c r="H26091" t="s">
        <v>4049</v>
      </c>
      <c r="J26091" t="s">
        <v>140</v>
      </c>
      <c r="K26091">
        <v>159342.28</v>
      </c>
      <c r="L26091">
        <v>383635.06</v>
      </c>
      <c r="N26091" t="s">
        <v>1494</v>
      </c>
      <c r="O26091" t="s">
        <v>448</v>
      </c>
      <c r="P26091" t="s">
        <v>1495</v>
      </c>
      <c r="Q26091" t="s">
        <v>144</v>
      </c>
      <c r="S26091">
        <v>0</v>
      </c>
      <c r="T26091">
        <v>0</v>
      </c>
      <c r="V26091" t="s">
        <v>146</v>
      </c>
      <c r="W26091" t="s">
        <v>184</v>
      </c>
      <c r="X26091" t="s">
        <v>7</v>
      </c>
      <c r="Y26091" t="s">
        <v>1494</v>
      </c>
      <c r="Z26091" t="s">
        <v>448</v>
      </c>
      <c r="AA26091" t="s">
        <v>456</v>
      </c>
      <c r="AB26091">
        <v>0</v>
      </c>
      <c r="AE26091" t="s">
        <v>1496</v>
      </c>
      <c r="AF26091" t="s">
        <v>448</v>
      </c>
      <c r="AG26091" t="s">
        <v>560</v>
      </c>
      <c r="AL26091" t="s">
        <v>4050</v>
      </c>
      <c r="AM26091" t="s">
        <v>4051</v>
      </c>
      <c r="AN26091" t="s">
        <v>4052</v>
      </c>
      <c r="AO26091" t="s">
        <v>1494</v>
      </c>
      <c r="AQ26091">
        <f>IF(ISBLANK(AP26091), IFERROR(IF(VLOOKUP(AO26091, Ellens_additions!$A$2:$B$252, 2, FALSE) = "", "", VLOOKUP(AO26091, Ellens_additions!$A$2:$B$252, 2, FALSE)), 0), AP26091)</f>
        <v>0</v>
      </c>
    </row>
    <row r="26092" spans="1:43" ht="14.4" hidden="1" x14ac:dyDescent="0.3">
      <c r="A26092" t="s">
        <v>4053</v>
      </c>
      <c r="B26092">
        <v>4909030</v>
      </c>
      <c r="C26092" t="s">
        <v>135</v>
      </c>
      <c r="D26092" t="s">
        <v>174</v>
      </c>
      <c r="E26092" t="s">
        <v>316</v>
      </c>
      <c r="F26092" t="s">
        <v>288</v>
      </c>
      <c r="H26092" t="s">
        <v>4054</v>
      </c>
      <c r="J26092" t="s">
        <v>140</v>
      </c>
      <c r="K26092">
        <v>159341.98000000001</v>
      </c>
      <c r="L26092">
        <v>383635.95</v>
      </c>
      <c r="N26092" t="s">
        <v>1494</v>
      </c>
      <c r="O26092" t="s">
        <v>448</v>
      </c>
      <c r="P26092" t="s">
        <v>1495</v>
      </c>
      <c r="Q26092" t="s">
        <v>144</v>
      </c>
      <c r="S26092">
        <v>0</v>
      </c>
      <c r="T26092">
        <v>0</v>
      </c>
      <c r="V26092" t="s">
        <v>146</v>
      </c>
      <c r="W26092" t="s">
        <v>184</v>
      </c>
      <c r="X26092" t="s">
        <v>7</v>
      </c>
      <c r="Y26092" t="s">
        <v>1494</v>
      </c>
      <c r="Z26092" t="s">
        <v>448</v>
      </c>
      <c r="AA26092" t="s">
        <v>456</v>
      </c>
      <c r="AB26092">
        <v>0</v>
      </c>
      <c r="AE26092" t="s">
        <v>1496</v>
      </c>
      <c r="AF26092" t="s">
        <v>448</v>
      </c>
      <c r="AG26092" t="s">
        <v>560</v>
      </c>
      <c r="AL26092" t="s">
        <v>4055</v>
      </c>
      <c r="AM26092" t="s">
        <v>4056</v>
      </c>
      <c r="AN26092" t="s">
        <v>4057</v>
      </c>
      <c r="AO26092" t="s">
        <v>1494</v>
      </c>
      <c r="AQ26092">
        <f>IF(ISBLANK(AP26092), IFERROR(IF(VLOOKUP(AO26092, Ellens_additions!$A$2:$B$252, 2, FALSE) = "", "", VLOOKUP(AO26092, Ellens_additions!$A$2:$B$252, 2, FALSE)), 0), AP26092)</f>
        <v>0</v>
      </c>
    </row>
    <row r="26093" spans="1:43" ht="14.4" hidden="1" x14ac:dyDescent="0.3">
      <c r="A26093" t="s">
        <v>4058</v>
      </c>
      <c r="B26093">
        <v>4909034</v>
      </c>
      <c r="C26093" t="s">
        <v>135</v>
      </c>
      <c r="D26093" t="s">
        <v>174</v>
      </c>
      <c r="E26093" t="s">
        <v>316</v>
      </c>
      <c r="F26093" t="s">
        <v>288</v>
      </c>
      <c r="H26093" t="s">
        <v>4059</v>
      </c>
      <c r="J26093" t="s">
        <v>140</v>
      </c>
      <c r="K26093">
        <v>159341.03</v>
      </c>
      <c r="L26093">
        <v>383639.54</v>
      </c>
      <c r="N26093" t="s">
        <v>1494</v>
      </c>
      <c r="O26093" t="s">
        <v>448</v>
      </c>
      <c r="P26093" t="s">
        <v>1495</v>
      </c>
      <c r="Q26093" t="s">
        <v>144</v>
      </c>
      <c r="S26093">
        <v>0</v>
      </c>
      <c r="T26093">
        <v>0</v>
      </c>
      <c r="V26093" t="s">
        <v>146</v>
      </c>
      <c r="W26093" t="s">
        <v>184</v>
      </c>
      <c r="X26093" t="s">
        <v>7</v>
      </c>
      <c r="Y26093" t="s">
        <v>1494</v>
      </c>
      <c r="Z26093" t="s">
        <v>448</v>
      </c>
      <c r="AA26093" t="s">
        <v>456</v>
      </c>
      <c r="AB26093">
        <v>0</v>
      </c>
      <c r="AE26093" t="s">
        <v>1496</v>
      </c>
      <c r="AF26093" t="s">
        <v>448</v>
      </c>
      <c r="AG26093" t="s">
        <v>560</v>
      </c>
      <c r="AL26093" t="s">
        <v>4060</v>
      </c>
      <c r="AM26093" t="s">
        <v>4061</v>
      </c>
      <c r="AN26093" t="s">
        <v>4062</v>
      </c>
      <c r="AO26093" t="s">
        <v>1494</v>
      </c>
      <c r="AQ26093">
        <f>IF(ISBLANK(AP26093), IFERROR(IF(VLOOKUP(AO26093, Ellens_additions!$A$2:$B$252, 2, FALSE) = "", "", VLOOKUP(AO26093, Ellens_additions!$A$2:$B$252, 2, FALSE)), 0), AP26093)</f>
        <v>0</v>
      </c>
    </row>
    <row r="26094" spans="1:43" ht="14.4" hidden="1" x14ac:dyDescent="0.3">
      <c r="A26094" t="s">
        <v>4063</v>
      </c>
      <c r="B26094">
        <v>4909037</v>
      </c>
      <c r="C26094" t="s">
        <v>135</v>
      </c>
      <c r="D26094" t="s">
        <v>174</v>
      </c>
      <c r="E26094" t="s">
        <v>316</v>
      </c>
      <c r="F26094" t="s">
        <v>288</v>
      </c>
      <c r="H26094" t="s">
        <v>4064</v>
      </c>
      <c r="J26094" t="s">
        <v>140</v>
      </c>
      <c r="K26094">
        <v>159340.32</v>
      </c>
      <c r="L26094">
        <v>383642.24</v>
      </c>
      <c r="N26094" t="s">
        <v>1494</v>
      </c>
      <c r="O26094" t="s">
        <v>448</v>
      </c>
      <c r="P26094" t="s">
        <v>1495</v>
      </c>
      <c r="Q26094" t="s">
        <v>144</v>
      </c>
      <c r="S26094">
        <v>0</v>
      </c>
      <c r="T26094">
        <v>0</v>
      </c>
      <c r="V26094" t="s">
        <v>146</v>
      </c>
      <c r="W26094" t="s">
        <v>184</v>
      </c>
      <c r="X26094" t="s">
        <v>7</v>
      </c>
      <c r="Y26094" t="s">
        <v>1494</v>
      </c>
      <c r="Z26094" t="s">
        <v>448</v>
      </c>
      <c r="AA26094" t="s">
        <v>456</v>
      </c>
      <c r="AB26094">
        <v>0</v>
      </c>
      <c r="AE26094" t="s">
        <v>1496</v>
      </c>
      <c r="AF26094" t="s">
        <v>448</v>
      </c>
      <c r="AG26094" t="s">
        <v>560</v>
      </c>
      <c r="AL26094" t="s">
        <v>4065</v>
      </c>
      <c r="AM26094" t="s">
        <v>4066</v>
      </c>
      <c r="AN26094" t="s">
        <v>4067</v>
      </c>
      <c r="AO26094" t="s">
        <v>1494</v>
      </c>
      <c r="AQ26094">
        <f>IF(ISBLANK(AP26094), IFERROR(IF(VLOOKUP(AO26094, Ellens_additions!$A$2:$B$252, 2, FALSE) = "", "", VLOOKUP(AO26094, Ellens_additions!$A$2:$B$252, 2, FALSE)), 0), AP26094)</f>
        <v>0</v>
      </c>
    </row>
    <row r="26095" spans="1:43" ht="14.4" hidden="1" x14ac:dyDescent="0.3">
      <c r="A26095" t="s">
        <v>4068</v>
      </c>
      <c r="B26095">
        <v>4909041</v>
      </c>
      <c r="C26095" t="s">
        <v>135</v>
      </c>
      <c r="D26095" t="s">
        <v>174</v>
      </c>
      <c r="E26095" t="s">
        <v>316</v>
      </c>
      <c r="F26095" t="s">
        <v>288</v>
      </c>
      <c r="H26095" t="s">
        <v>4069</v>
      </c>
      <c r="J26095" t="s">
        <v>140</v>
      </c>
      <c r="K26095">
        <v>159339.29</v>
      </c>
      <c r="L26095">
        <v>383645.95</v>
      </c>
      <c r="N26095" t="s">
        <v>1494</v>
      </c>
      <c r="O26095" t="s">
        <v>448</v>
      </c>
      <c r="P26095" t="s">
        <v>1495</v>
      </c>
      <c r="Q26095" t="s">
        <v>144</v>
      </c>
      <c r="S26095">
        <v>0</v>
      </c>
      <c r="T26095">
        <v>0</v>
      </c>
      <c r="V26095" t="s">
        <v>146</v>
      </c>
      <c r="W26095" t="s">
        <v>184</v>
      </c>
      <c r="X26095" t="s">
        <v>7</v>
      </c>
      <c r="Y26095" t="s">
        <v>1494</v>
      </c>
      <c r="Z26095" t="s">
        <v>448</v>
      </c>
      <c r="AA26095" t="s">
        <v>456</v>
      </c>
      <c r="AB26095">
        <v>0</v>
      </c>
      <c r="AE26095" t="s">
        <v>1496</v>
      </c>
      <c r="AF26095" t="s">
        <v>448</v>
      </c>
      <c r="AG26095" t="s">
        <v>560</v>
      </c>
      <c r="AL26095" t="s">
        <v>4070</v>
      </c>
      <c r="AM26095" t="s">
        <v>4071</v>
      </c>
      <c r="AN26095" t="s">
        <v>4072</v>
      </c>
      <c r="AO26095" t="s">
        <v>1494</v>
      </c>
      <c r="AQ26095">
        <f>IF(ISBLANK(AP26095), IFERROR(IF(VLOOKUP(AO26095, Ellens_additions!$A$2:$B$252, 2, FALSE) = "", "", VLOOKUP(AO26095, Ellens_additions!$A$2:$B$252, 2, FALSE)), 0), AP26095)</f>
        <v>0</v>
      </c>
    </row>
    <row r="26096" spans="1:43" ht="14.4" hidden="1" x14ac:dyDescent="0.3">
      <c r="A26096" t="s">
        <v>4073</v>
      </c>
      <c r="B26096">
        <v>4909042</v>
      </c>
      <c r="C26096" t="s">
        <v>135</v>
      </c>
      <c r="D26096" t="s">
        <v>174</v>
      </c>
      <c r="E26096" t="s">
        <v>316</v>
      </c>
      <c r="F26096" t="s">
        <v>288</v>
      </c>
      <c r="H26096" t="s">
        <v>4074</v>
      </c>
      <c r="J26096" t="s">
        <v>140</v>
      </c>
      <c r="K26096">
        <v>159324.57</v>
      </c>
      <c r="L26096">
        <v>383644.19</v>
      </c>
      <c r="N26096" t="s">
        <v>1494</v>
      </c>
      <c r="O26096" t="s">
        <v>448</v>
      </c>
      <c r="P26096" t="s">
        <v>1495</v>
      </c>
      <c r="Q26096" t="s">
        <v>144</v>
      </c>
      <c r="S26096">
        <v>0</v>
      </c>
      <c r="T26096">
        <v>0</v>
      </c>
      <c r="V26096" t="s">
        <v>146</v>
      </c>
      <c r="W26096" t="s">
        <v>184</v>
      </c>
      <c r="X26096" t="s">
        <v>7</v>
      </c>
      <c r="Y26096" t="s">
        <v>1494</v>
      </c>
      <c r="Z26096" t="s">
        <v>448</v>
      </c>
      <c r="AA26096" t="s">
        <v>456</v>
      </c>
      <c r="AB26096">
        <v>0</v>
      </c>
      <c r="AE26096" t="s">
        <v>1496</v>
      </c>
      <c r="AF26096" t="s">
        <v>448</v>
      </c>
      <c r="AG26096" t="s">
        <v>560</v>
      </c>
      <c r="AL26096" t="s">
        <v>4075</v>
      </c>
      <c r="AM26096" t="s">
        <v>4076</v>
      </c>
      <c r="AN26096" t="s">
        <v>4077</v>
      </c>
      <c r="AO26096" t="s">
        <v>1494</v>
      </c>
      <c r="AQ26096">
        <f>IF(ISBLANK(AP26096), IFERROR(IF(VLOOKUP(AO26096, Ellens_additions!$A$2:$B$252, 2, FALSE) = "", "", VLOOKUP(AO26096, Ellens_additions!$A$2:$B$252, 2, FALSE)), 0), AP26096)</f>
        <v>0</v>
      </c>
    </row>
    <row r="26097" spans="1:43" ht="14.4" hidden="1" x14ac:dyDescent="0.3">
      <c r="A26097" t="s">
        <v>4078</v>
      </c>
      <c r="B26097">
        <v>4909043</v>
      </c>
      <c r="C26097" t="s">
        <v>135</v>
      </c>
      <c r="D26097" t="s">
        <v>174</v>
      </c>
      <c r="E26097" t="s">
        <v>316</v>
      </c>
      <c r="F26097" t="s">
        <v>288</v>
      </c>
      <c r="H26097" t="s">
        <v>4079</v>
      </c>
      <c r="J26097" t="s">
        <v>140</v>
      </c>
      <c r="K26097">
        <v>159324.87</v>
      </c>
      <c r="L26097">
        <v>383642.9</v>
      </c>
      <c r="N26097" t="s">
        <v>1494</v>
      </c>
      <c r="O26097" t="s">
        <v>448</v>
      </c>
      <c r="P26097" t="s">
        <v>1495</v>
      </c>
      <c r="Q26097" t="s">
        <v>144</v>
      </c>
      <c r="S26097">
        <v>0</v>
      </c>
      <c r="T26097">
        <v>0</v>
      </c>
      <c r="V26097" t="s">
        <v>146</v>
      </c>
      <c r="W26097" t="s">
        <v>184</v>
      </c>
      <c r="X26097" t="s">
        <v>7</v>
      </c>
      <c r="Y26097" t="s">
        <v>1494</v>
      </c>
      <c r="Z26097" t="s">
        <v>448</v>
      </c>
      <c r="AA26097" t="s">
        <v>456</v>
      </c>
      <c r="AB26097">
        <v>0</v>
      </c>
      <c r="AE26097" t="s">
        <v>1496</v>
      </c>
      <c r="AF26097" t="s">
        <v>448</v>
      </c>
      <c r="AG26097" t="s">
        <v>560</v>
      </c>
      <c r="AL26097" t="s">
        <v>4080</v>
      </c>
      <c r="AM26097" t="s">
        <v>4081</v>
      </c>
      <c r="AN26097" t="s">
        <v>4082</v>
      </c>
      <c r="AO26097" t="s">
        <v>1494</v>
      </c>
      <c r="AQ26097">
        <f>IF(ISBLANK(AP26097), IFERROR(IF(VLOOKUP(AO26097, Ellens_additions!$A$2:$B$252, 2, FALSE) = "", "", VLOOKUP(AO26097, Ellens_additions!$A$2:$B$252, 2, FALSE)), 0), AP26097)</f>
        <v>0</v>
      </c>
    </row>
    <row r="26098" spans="1:43" ht="14.4" hidden="1" x14ac:dyDescent="0.3">
      <c r="A26098" t="s">
        <v>4083</v>
      </c>
      <c r="B26098">
        <v>4909044</v>
      </c>
      <c r="C26098" t="s">
        <v>135</v>
      </c>
      <c r="D26098" t="s">
        <v>174</v>
      </c>
      <c r="E26098" t="s">
        <v>316</v>
      </c>
      <c r="F26098" t="s">
        <v>288</v>
      </c>
      <c r="H26098" t="s">
        <v>4084</v>
      </c>
      <c r="J26098" t="s">
        <v>140</v>
      </c>
      <c r="K26098">
        <v>159325.07</v>
      </c>
      <c r="L26098">
        <v>383641.32</v>
      </c>
      <c r="N26098" t="s">
        <v>1494</v>
      </c>
      <c r="O26098" t="s">
        <v>448</v>
      </c>
      <c r="P26098" t="s">
        <v>1495</v>
      </c>
      <c r="Q26098" t="s">
        <v>144</v>
      </c>
      <c r="S26098">
        <v>0</v>
      </c>
      <c r="T26098">
        <v>0</v>
      </c>
      <c r="V26098" t="s">
        <v>146</v>
      </c>
      <c r="W26098" t="s">
        <v>184</v>
      </c>
      <c r="X26098" t="s">
        <v>7</v>
      </c>
      <c r="Y26098" t="s">
        <v>1494</v>
      </c>
      <c r="Z26098" t="s">
        <v>448</v>
      </c>
      <c r="AA26098" t="s">
        <v>456</v>
      </c>
      <c r="AB26098">
        <v>0</v>
      </c>
      <c r="AE26098" t="s">
        <v>1496</v>
      </c>
      <c r="AF26098" t="s">
        <v>448</v>
      </c>
      <c r="AG26098" t="s">
        <v>560</v>
      </c>
      <c r="AL26098" t="s">
        <v>4085</v>
      </c>
      <c r="AM26098" t="s">
        <v>4086</v>
      </c>
      <c r="AN26098" t="s">
        <v>4087</v>
      </c>
      <c r="AO26098" t="s">
        <v>1494</v>
      </c>
      <c r="AQ26098">
        <f>IF(ISBLANK(AP26098), IFERROR(IF(VLOOKUP(AO26098, Ellens_additions!$A$2:$B$252, 2, FALSE) = "", "", VLOOKUP(AO26098, Ellens_additions!$A$2:$B$252, 2, FALSE)), 0), AP26098)</f>
        <v>0</v>
      </c>
    </row>
    <row r="26099" spans="1:43" ht="14.4" hidden="1" x14ac:dyDescent="0.3">
      <c r="A26099" t="s">
        <v>4088</v>
      </c>
      <c r="B26099">
        <v>4909050</v>
      </c>
      <c r="C26099" t="s">
        <v>135</v>
      </c>
      <c r="D26099" t="s">
        <v>174</v>
      </c>
      <c r="E26099" t="s">
        <v>316</v>
      </c>
      <c r="F26099" t="s">
        <v>288</v>
      </c>
      <c r="H26099" t="s">
        <v>4089</v>
      </c>
      <c r="J26099" t="s">
        <v>140</v>
      </c>
      <c r="K26099">
        <v>159325.96</v>
      </c>
      <c r="L26099">
        <v>383634.87</v>
      </c>
      <c r="N26099" t="s">
        <v>1494</v>
      </c>
      <c r="O26099" t="s">
        <v>448</v>
      </c>
      <c r="P26099" t="s">
        <v>1495</v>
      </c>
      <c r="Q26099" t="s">
        <v>144</v>
      </c>
      <c r="S26099">
        <v>0</v>
      </c>
      <c r="T26099">
        <v>0</v>
      </c>
      <c r="V26099" t="s">
        <v>146</v>
      </c>
      <c r="W26099" t="s">
        <v>184</v>
      </c>
      <c r="X26099" t="s">
        <v>7</v>
      </c>
      <c r="Y26099" t="s">
        <v>1494</v>
      </c>
      <c r="Z26099" t="s">
        <v>448</v>
      </c>
      <c r="AA26099" t="s">
        <v>456</v>
      </c>
      <c r="AB26099">
        <v>0</v>
      </c>
      <c r="AE26099" t="s">
        <v>1496</v>
      </c>
      <c r="AF26099" t="s">
        <v>448</v>
      </c>
      <c r="AG26099" t="s">
        <v>560</v>
      </c>
      <c r="AL26099" t="s">
        <v>4090</v>
      </c>
      <c r="AM26099" t="s">
        <v>4091</v>
      </c>
      <c r="AN26099" t="s">
        <v>4092</v>
      </c>
      <c r="AO26099" t="s">
        <v>1494</v>
      </c>
      <c r="AQ26099">
        <f>IF(ISBLANK(AP26099), IFERROR(IF(VLOOKUP(AO26099, Ellens_additions!$A$2:$B$252, 2, FALSE) = "", "", VLOOKUP(AO26099, Ellens_additions!$A$2:$B$252, 2, FALSE)), 0), AP26099)</f>
        <v>0</v>
      </c>
    </row>
    <row r="26100" spans="1:43" ht="14.4" hidden="1" x14ac:dyDescent="0.3">
      <c r="A26100" t="s">
        <v>4093</v>
      </c>
      <c r="B26100">
        <v>4909052</v>
      </c>
      <c r="C26100" t="s">
        <v>135</v>
      </c>
      <c r="D26100" t="s">
        <v>174</v>
      </c>
      <c r="E26100" t="s">
        <v>316</v>
      </c>
      <c r="F26100" t="s">
        <v>288</v>
      </c>
      <c r="H26100" t="s">
        <v>4094</v>
      </c>
      <c r="J26100" t="s">
        <v>140</v>
      </c>
      <c r="K26100">
        <v>159326.35999999999</v>
      </c>
      <c r="L26100">
        <v>383632.49</v>
      </c>
      <c r="N26100" t="s">
        <v>1494</v>
      </c>
      <c r="O26100" t="s">
        <v>448</v>
      </c>
      <c r="P26100" t="s">
        <v>1495</v>
      </c>
      <c r="Q26100" t="s">
        <v>144</v>
      </c>
      <c r="S26100">
        <v>0</v>
      </c>
      <c r="T26100">
        <v>0</v>
      </c>
      <c r="V26100" t="s">
        <v>146</v>
      </c>
      <c r="W26100" t="s">
        <v>184</v>
      </c>
      <c r="X26100" t="s">
        <v>7</v>
      </c>
      <c r="Y26100" t="s">
        <v>1494</v>
      </c>
      <c r="Z26100" t="s">
        <v>448</v>
      </c>
      <c r="AA26100" t="s">
        <v>456</v>
      </c>
      <c r="AB26100">
        <v>0</v>
      </c>
      <c r="AE26100" t="s">
        <v>1496</v>
      </c>
      <c r="AF26100" t="s">
        <v>448</v>
      </c>
      <c r="AG26100" t="s">
        <v>560</v>
      </c>
      <c r="AL26100" t="s">
        <v>4095</v>
      </c>
      <c r="AM26100" t="s">
        <v>4096</v>
      </c>
      <c r="AN26100" t="s">
        <v>4097</v>
      </c>
      <c r="AO26100" t="s">
        <v>1494</v>
      </c>
      <c r="AQ26100">
        <f>IF(ISBLANK(AP26100), IFERROR(IF(VLOOKUP(AO26100, Ellens_additions!$A$2:$B$252, 2, FALSE) = "", "", VLOOKUP(AO26100, Ellens_additions!$A$2:$B$252, 2, FALSE)), 0), AP26100)</f>
        <v>0</v>
      </c>
    </row>
    <row r="26101" spans="1:43" ht="14.4" hidden="1" x14ac:dyDescent="0.3">
      <c r="A26101" t="s">
        <v>4098</v>
      </c>
      <c r="B26101">
        <v>4909063</v>
      </c>
      <c r="C26101" t="s">
        <v>135</v>
      </c>
      <c r="D26101" t="s">
        <v>174</v>
      </c>
      <c r="E26101" t="s">
        <v>316</v>
      </c>
      <c r="F26101" t="s">
        <v>288</v>
      </c>
      <c r="H26101" t="s">
        <v>4099</v>
      </c>
      <c r="J26101" t="s">
        <v>140</v>
      </c>
      <c r="K26101">
        <v>159328.07999999999</v>
      </c>
      <c r="L26101">
        <v>383620.68</v>
      </c>
      <c r="N26101" t="s">
        <v>1494</v>
      </c>
      <c r="O26101" t="s">
        <v>448</v>
      </c>
      <c r="P26101" t="s">
        <v>1495</v>
      </c>
      <c r="Q26101" t="s">
        <v>144</v>
      </c>
      <c r="S26101">
        <v>0</v>
      </c>
      <c r="T26101">
        <v>0</v>
      </c>
      <c r="V26101" t="s">
        <v>146</v>
      </c>
      <c r="W26101" t="s">
        <v>184</v>
      </c>
      <c r="X26101" t="s">
        <v>7</v>
      </c>
      <c r="Y26101" t="s">
        <v>1494</v>
      </c>
      <c r="Z26101" t="s">
        <v>448</v>
      </c>
      <c r="AA26101" t="s">
        <v>456</v>
      </c>
      <c r="AB26101">
        <v>0</v>
      </c>
      <c r="AE26101" t="s">
        <v>1496</v>
      </c>
      <c r="AF26101" t="s">
        <v>448</v>
      </c>
      <c r="AG26101" t="s">
        <v>560</v>
      </c>
      <c r="AL26101" t="s">
        <v>4100</v>
      </c>
      <c r="AM26101" t="s">
        <v>4101</v>
      </c>
      <c r="AN26101" t="s">
        <v>4102</v>
      </c>
      <c r="AO26101" t="s">
        <v>1494</v>
      </c>
      <c r="AQ26101">
        <f>IF(ISBLANK(AP26101), IFERROR(IF(VLOOKUP(AO26101, Ellens_additions!$A$2:$B$252, 2, FALSE) = "", "", VLOOKUP(AO26101, Ellens_additions!$A$2:$B$252, 2, FALSE)), 0), AP26101)</f>
        <v>0</v>
      </c>
    </row>
    <row r="26102" spans="1:43" ht="14.4" hidden="1" x14ac:dyDescent="0.3">
      <c r="A26102" t="s">
        <v>4103</v>
      </c>
      <c r="B26102">
        <v>4909065</v>
      </c>
      <c r="C26102" t="s">
        <v>135</v>
      </c>
      <c r="D26102" t="s">
        <v>174</v>
      </c>
      <c r="E26102" t="s">
        <v>316</v>
      </c>
      <c r="F26102" t="s">
        <v>288</v>
      </c>
      <c r="H26102" t="s">
        <v>4104</v>
      </c>
      <c r="J26102" t="s">
        <v>140</v>
      </c>
      <c r="K26102">
        <v>159327.95000000001</v>
      </c>
      <c r="L26102">
        <v>383618.99</v>
      </c>
      <c r="N26102" t="s">
        <v>1494</v>
      </c>
      <c r="O26102" t="s">
        <v>448</v>
      </c>
      <c r="P26102" t="s">
        <v>1495</v>
      </c>
      <c r="Q26102" t="s">
        <v>144</v>
      </c>
      <c r="S26102">
        <v>0</v>
      </c>
      <c r="T26102">
        <v>0</v>
      </c>
      <c r="V26102" t="s">
        <v>146</v>
      </c>
      <c r="W26102" t="s">
        <v>184</v>
      </c>
      <c r="X26102" t="s">
        <v>7</v>
      </c>
      <c r="Y26102" t="s">
        <v>1494</v>
      </c>
      <c r="Z26102" t="s">
        <v>448</v>
      </c>
      <c r="AA26102" t="s">
        <v>456</v>
      </c>
      <c r="AB26102">
        <v>0</v>
      </c>
      <c r="AE26102" t="s">
        <v>1496</v>
      </c>
      <c r="AF26102" t="s">
        <v>448</v>
      </c>
      <c r="AG26102" t="s">
        <v>560</v>
      </c>
      <c r="AL26102" t="s">
        <v>4105</v>
      </c>
      <c r="AM26102" t="s">
        <v>4106</v>
      </c>
      <c r="AN26102" t="s">
        <v>4107</v>
      </c>
      <c r="AO26102" t="s">
        <v>1494</v>
      </c>
      <c r="AQ26102">
        <f>IF(ISBLANK(AP26102), IFERROR(IF(VLOOKUP(AO26102, Ellens_additions!$A$2:$B$252, 2, FALSE) = "", "", VLOOKUP(AO26102, Ellens_additions!$A$2:$B$252, 2, FALSE)), 0), AP26102)</f>
        <v>0</v>
      </c>
    </row>
    <row r="26103" spans="1:43" ht="14.4" hidden="1" x14ac:dyDescent="0.3">
      <c r="A26103" t="s">
        <v>4108</v>
      </c>
      <c r="B26103">
        <v>4909067</v>
      </c>
      <c r="C26103" t="s">
        <v>135</v>
      </c>
      <c r="D26103" t="s">
        <v>174</v>
      </c>
      <c r="E26103" t="s">
        <v>316</v>
      </c>
      <c r="F26103" t="s">
        <v>288</v>
      </c>
      <c r="H26103" t="s">
        <v>4109</v>
      </c>
      <c r="J26103" t="s">
        <v>140</v>
      </c>
      <c r="K26103">
        <v>159321.29999999999</v>
      </c>
      <c r="L26103">
        <v>383641.81</v>
      </c>
      <c r="N26103" t="s">
        <v>1494</v>
      </c>
      <c r="O26103" t="s">
        <v>448</v>
      </c>
      <c r="P26103" t="s">
        <v>1495</v>
      </c>
      <c r="Q26103" t="s">
        <v>144</v>
      </c>
      <c r="S26103">
        <v>0</v>
      </c>
      <c r="T26103">
        <v>0</v>
      </c>
      <c r="V26103" t="s">
        <v>146</v>
      </c>
      <c r="W26103" t="s">
        <v>184</v>
      </c>
      <c r="X26103" t="s">
        <v>7</v>
      </c>
      <c r="Y26103" t="s">
        <v>1494</v>
      </c>
      <c r="Z26103" t="s">
        <v>448</v>
      </c>
      <c r="AA26103" t="s">
        <v>456</v>
      </c>
      <c r="AB26103">
        <v>0</v>
      </c>
      <c r="AE26103" t="s">
        <v>1496</v>
      </c>
      <c r="AF26103" t="s">
        <v>448</v>
      </c>
      <c r="AG26103" t="s">
        <v>560</v>
      </c>
      <c r="AL26103" t="s">
        <v>4110</v>
      </c>
      <c r="AM26103" t="s">
        <v>4111</v>
      </c>
      <c r="AN26103" t="s">
        <v>4112</v>
      </c>
      <c r="AO26103" t="s">
        <v>1494</v>
      </c>
      <c r="AQ26103">
        <f>IF(ISBLANK(AP26103), IFERROR(IF(VLOOKUP(AO26103, Ellens_additions!$A$2:$B$252, 2, FALSE) = "", "", VLOOKUP(AO26103, Ellens_additions!$A$2:$B$252, 2, FALSE)), 0), AP26103)</f>
        <v>0</v>
      </c>
    </row>
    <row r="26104" spans="1:43" ht="14.4" hidden="1" x14ac:dyDescent="0.3">
      <c r="A26104" t="s">
        <v>4113</v>
      </c>
      <c r="B26104">
        <v>4909069</v>
      </c>
      <c r="C26104" t="s">
        <v>135</v>
      </c>
      <c r="D26104" t="s">
        <v>174</v>
      </c>
      <c r="E26104" t="s">
        <v>316</v>
      </c>
      <c r="F26104" t="s">
        <v>288</v>
      </c>
      <c r="H26104" t="s">
        <v>4114</v>
      </c>
      <c r="J26104" t="s">
        <v>140</v>
      </c>
      <c r="K26104">
        <v>159321.5</v>
      </c>
      <c r="L26104">
        <v>383639.53</v>
      </c>
      <c r="N26104" t="s">
        <v>1494</v>
      </c>
      <c r="O26104" t="s">
        <v>448</v>
      </c>
      <c r="P26104" t="s">
        <v>1495</v>
      </c>
      <c r="Q26104" t="s">
        <v>144</v>
      </c>
      <c r="S26104">
        <v>0</v>
      </c>
      <c r="T26104">
        <v>0</v>
      </c>
      <c r="V26104" t="s">
        <v>146</v>
      </c>
      <c r="W26104" t="s">
        <v>184</v>
      </c>
      <c r="X26104" t="s">
        <v>7</v>
      </c>
      <c r="Y26104" t="s">
        <v>1494</v>
      </c>
      <c r="Z26104" t="s">
        <v>448</v>
      </c>
      <c r="AA26104" t="s">
        <v>456</v>
      </c>
      <c r="AB26104">
        <v>0</v>
      </c>
      <c r="AE26104" t="s">
        <v>1496</v>
      </c>
      <c r="AF26104" t="s">
        <v>448</v>
      </c>
      <c r="AG26104" t="s">
        <v>560</v>
      </c>
      <c r="AL26104" t="s">
        <v>4115</v>
      </c>
      <c r="AM26104" t="s">
        <v>4116</v>
      </c>
      <c r="AN26104" t="s">
        <v>4117</v>
      </c>
      <c r="AO26104" t="s">
        <v>1494</v>
      </c>
      <c r="AQ26104">
        <f>IF(ISBLANK(AP26104), IFERROR(IF(VLOOKUP(AO26104, Ellens_additions!$A$2:$B$252, 2, FALSE) = "", "", VLOOKUP(AO26104, Ellens_additions!$A$2:$B$252, 2, FALSE)), 0), AP26104)</f>
        <v>0</v>
      </c>
    </row>
    <row r="26105" spans="1:43" ht="14.4" hidden="1" x14ac:dyDescent="0.3">
      <c r="A26105" t="s">
        <v>4118</v>
      </c>
      <c r="B26105">
        <v>4909072</v>
      </c>
      <c r="C26105" t="s">
        <v>135</v>
      </c>
      <c r="D26105" t="s">
        <v>174</v>
      </c>
      <c r="E26105" t="s">
        <v>316</v>
      </c>
      <c r="F26105" t="s">
        <v>288</v>
      </c>
      <c r="H26105" t="s">
        <v>4119</v>
      </c>
      <c r="J26105" t="s">
        <v>140</v>
      </c>
      <c r="K26105">
        <v>159321.95000000001</v>
      </c>
      <c r="L26105">
        <v>383636.53</v>
      </c>
      <c r="N26105" t="s">
        <v>1494</v>
      </c>
      <c r="O26105" t="s">
        <v>448</v>
      </c>
      <c r="P26105" t="s">
        <v>1495</v>
      </c>
      <c r="Q26105" t="s">
        <v>144</v>
      </c>
      <c r="S26105">
        <v>0</v>
      </c>
      <c r="T26105">
        <v>0</v>
      </c>
      <c r="V26105" t="s">
        <v>146</v>
      </c>
      <c r="W26105" t="s">
        <v>184</v>
      </c>
      <c r="X26105" t="s">
        <v>7</v>
      </c>
      <c r="Y26105" t="s">
        <v>1494</v>
      </c>
      <c r="Z26105" t="s">
        <v>448</v>
      </c>
      <c r="AA26105" t="s">
        <v>456</v>
      </c>
      <c r="AB26105">
        <v>0</v>
      </c>
      <c r="AE26105" t="s">
        <v>1496</v>
      </c>
      <c r="AF26105" t="s">
        <v>448</v>
      </c>
      <c r="AG26105" t="s">
        <v>560</v>
      </c>
      <c r="AL26105" t="s">
        <v>4120</v>
      </c>
      <c r="AM26105" t="s">
        <v>4121</v>
      </c>
      <c r="AN26105" t="s">
        <v>4122</v>
      </c>
      <c r="AO26105" t="s">
        <v>1494</v>
      </c>
      <c r="AQ26105">
        <f>IF(ISBLANK(AP26105), IFERROR(IF(VLOOKUP(AO26105, Ellens_additions!$A$2:$B$252, 2, FALSE) = "", "", VLOOKUP(AO26105, Ellens_additions!$A$2:$B$252, 2, FALSE)), 0), AP26105)</f>
        <v>0</v>
      </c>
    </row>
    <row r="26106" spans="1:43" ht="14.4" hidden="1" x14ac:dyDescent="0.3">
      <c r="A26106" t="s">
        <v>4123</v>
      </c>
      <c r="B26106">
        <v>4909074</v>
      </c>
      <c r="C26106" t="s">
        <v>135</v>
      </c>
      <c r="D26106" t="s">
        <v>174</v>
      </c>
      <c r="E26106" t="s">
        <v>316</v>
      </c>
      <c r="F26106" t="s">
        <v>288</v>
      </c>
      <c r="H26106" t="s">
        <v>4124</v>
      </c>
      <c r="J26106" t="s">
        <v>140</v>
      </c>
      <c r="K26106">
        <v>159322.39000000001</v>
      </c>
      <c r="L26106">
        <v>383634.27</v>
      </c>
      <c r="N26106" t="s">
        <v>1494</v>
      </c>
      <c r="O26106" t="s">
        <v>448</v>
      </c>
      <c r="P26106" t="s">
        <v>1495</v>
      </c>
      <c r="Q26106" t="s">
        <v>144</v>
      </c>
      <c r="S26106">
        <v>0</v>
      </c>
      <c r="T26106">
        <v>0</v>
      </c>
      <c r="V26106" t="s">
        <v>146</v>
      </c>
      <c r="W26106" t="s">
        <v>184</v>
      </c>
      <c r="X26106" t="s">
        <v>7</v>
      </c>
      <c r="Y26106" t="s">
        <v>1494</v>
      </c>
      <c r="Z26106" t="s">
        <v>448</v>
      </c>
      <c r="AA26106" t="s">
        <v>456</v>
      </c>
      <c r="AB26106">
        <v>0</v>
      </c>
      <c r="AE26106" t="s">
        <v>1496</v>
      </c>
      <c r="AF26106" t="s">
        <v>448</v>
      </c>
      <c r="AG26106" t="s">
        <v>560</v>
      </c>
      <c r="AL26106" t="s">
        <v>4125</v>
      </c>
      <c r="AM26106" t="s">
        <v>4126</v>
      </c>
      <c r="AN26106" t="s">
        <v>4127</v>
      </c>
      <c r="AO26106" t="s">
        <v>1494</v>
      </c>
      <c r="AQ26106">
        <f>IF(ISBLANK(AP26106), IFERROR(IF(VLOOKUP(AO26106, Ellens_additions!$A$2:$B$252, 2, FALSE) = "", "", VLOOKUP(AO26106, Ellens_additions!$A$2:$B$252, 2, FALSE)), 0), AP26106)</f>
        <v>0</v>
      </c>
    </row>
    <row r="26107" spans="1:43" ht="14.4" hidden="1" x14ac:dyDescent="0.3">
      <c r="A26107" t="s">
        <v>4128</v>
      </c>
      <c r="B26107">
        <v>4909075</v>
      </c>
      <c r="C26107" t="s">
        <v>135</v>
      </c>
      <c r="D26107" t="s">
        <v>174</v>
      </c>
      <c r="E26107" t="s">
        <v>316</v>
      </c>
      <c r="F26107" t="s">
        <v>288</v>
      </c>
      <c r="H26107" t="s">
        <v>4129</v>
      </c>
      <c r="J26107" t="s">
        <v>140</v>
      </c>
      <c r="K26107">
        <v>159322.49</v>
      </c>
      <c r="L26107">
        <v>383633.18</v>
      </c>
      <c r="N26107" t="s">
        <v>1494</v>
      </c>
      <c r="O26107" t="s">
        <v>448</v>
      </c>
      <c r="P26107" t="s">
        <v>1495</v>
      </c>
      <c r="Q26107" t="s">
        <v>144</v>
      </c>
      <c r="S26107">
        <v>0</v>
      </c>
      <c r="T26107">
        <v>0</v>
      </c>
      <c r="V26107" t="s">
        <v>146</v>
      </c>
      <c r="W26107" t="s">
        <v>184</v>
      </c>
      <c r="X26107" t="s">
        <v>7</v>
      </c>
      <c r="Y26107" t="s">
        <v>1494</v>
      </c>
      <c r="Z26107" t="s">
        <v>448</v>
      </c>
      <c r="AA26107" t="s">
        <v>456</v>
      </c>
      <c r="AB26107">
        <v>0</v>
      </c>
      <c r="AE26107" t="s">
        <v>1496</v>
      </c>
      <c r="AF26107" t="s">
        <v>448</v>
      </c>
      <c r="AG26107" t="s">
        <v>560</v>
      </c>
      <c r="AL26107" t="s">
        <v>4130</v>
      </c>
      <c r="AM26107" t="s">
        <v>4131</v>
      </c>
      <c r="AN26107" t="s">
        <v>4132</v>
      </c>
      <c r="AO26107" t="s">
        <v>1494</v>
      </c>
      <c r="AQ26107">
        <f>IF(ISBLANK(AP26107), IFERROR(IF(VLOOKUP(AO26107, Ellens_additions!$A$2:$B$252, 2, FALSE) = "", "", VLOOKUP(AO26107, Ellens_additions!$A$2:$B$252, 2, FALSE)), 0), AP26107)</f>
        <v>0</v>
      </c>
    </row>
    <row r="26108" spans="1:43" ht="14.4" hidden="1" x14ac:dyDescent="0.3">
      <c r="A26108" t="s">
        <v>4133</v>
      </c>
      <c r="B26108">
        <v>4909077</v>
      </c>
      <c r="C26108" t="s">
        <v>135</v>
      </c>
      <c r="D26108" t="s">
        <v>174</v>
      </c>
      <c r="E26108" t="s">
        <v>316</v>
      </c>
      <c r="F26108" t="s">
        <v>288</v>
      </c>
      <c r="H26108" t="s">
        <v>4134</v>
      </c>
      <c r="J26108" t="s">
        <v>140</v>
      </c>
      <c r="K26108">
        <v>159322.89000000001</v>
      </c>
      <c r="L26108">
        <v>383631.2</v>
      </c>
      <c r="N26108" t="s">
        <v>1494</v>
      </c>
      <c r="O26108" t="s">
        <v>448</v>
      </c>
      <c r="P26108" t="s">
        <v>1495</v>
      </c>
      <c r="Q26108" t="s">
        <v>144</v>
      </c>
      <c r="S26108">
        <v>0</v>
      </c>
      <c r="T26108">
        <v>0</v>
      </c>
      <c r="V26108" t="s">
        <v>146</v>
      </c>
      <c r="W26108" t="s">
        <v>184</v>
      </c>
      <c r="X26108" t="s">
        <v>7</v>
      </c>
      <c r="Y26108" t="s">
        <v>1494</v>
      </c>
      <c r="Z26108" t="s">
        <v>448</v>
      </c>
      <c r="AA26108" t="s">
        <v>456</v>
      </c>
      <c r="AB26108">
        <v>0</v>
      </c>
      <c r="AE26108" t="s">
        <v>1496</v>
      </c>
      <c r="AF26108" t="s">
        <v>448</v>
      </c>
      <c r="AG26108" t="s">
        <v>560</v>
      </c>
      <c r="AL26108" t="s">
        <v>4135</v>
      </c>
      <c r="AM26108" t="s">
        <v>4136</v>
      </c>
      <c r="AN26108" t="s">
        <v>4137</v>
      </c>
      <c r="AO26108" t="s">
        <v>1494</v>
      </c>
      <c r="AQ26108">
        <f>IF(ISBLANK(AP26108), IFERROR(IF(VLOOKUP(AO26108, Ellens_additions!$A$2:$B$252, 2, FALSE) = "", "", VLOOKUP(AO26108, Ellens_additions!$A$2:$B$252, 2, FALSE)), 0), AP26108)</f>
        <v>0</v>
      </c>
    </row>
    <row r="26109" spans="1:43" ht="14.4" hidden="1" x14ac:dyDescent="0.3">
      <c r="A26109" t="s">
        <v>4138</v>
      </c>
      <c r="B26109">
        <v>4909079</v>
      </c>
      <c r="C26109" t="s">
        <v>135</v>
      </c>
      <c r="D26109" t="s">
        <v>174</v>
      </c>
      <c r="E26109" t="s">
        <v>316</v>
      </c>
      <c r="F26109" t="s">
        <v>288</v>
      </c>
      <c r="H26109" t="s">
        <v>4139</v>
      </c>
      <c r="J26109" t="s">
        <v>140</v>
      </c>
      <c r="K26109">
        <v>159323.28</v>
      </c>
      <c r="L26109">
        <v>383628.81</v>
      </c>
      <c r="N26109" t="s">
        <v>1494</v>
      </c>
      <c r="O26109" t="s">
        <v>448</v>
      </c>
      <c r="P26109" t="s">
        <v>1495</v>
      </c>
      <c r="Q26109" t="s">
        <v>144</v>
      </c>
      <c r="S26109">
        <v>0</v>
      </c>
      <c r="T26109">
        <v>0</v>
      </c>
      <c r="V26109" t="s">
        <v>146</v>
      </c>
      <c r="W26109" t="s">
        <v>184</v>
      </c>
      <c r="X26109" t="s">
        <v>7</v>
      </c>
      <c r="Y26109" t="s">
        <v>1494</v>
      </c>
      <c r="Z26109" t="s">
        <v>448</v>
      </c>
      <c r="AA26109" t="s">
        <v>456</v>
      </c>
      <c r="AB26109">
        <v>0</v>
      </c>
      <c r="AE26109" t="s">
        <v>1496</v>
      </c>
      <c r="AF26109" t="s">
        <v>448</v>
      </c>
      <c r="AG26109" t="s">
        <v>560</v>
      </c>
      <c r="AL26109" t="s">
        <v>4140</v>
      </c>
      <c r="AM26109" t="s">
        <v>4141</v>
      </c>
      <c r="AN26109" t="s">
        <v>4142</v>
      </c>
      <c r="AO26109" t="s">
        <v>1494</v>
      </c>
      <c r="AQ26109">
        <f>IF(ISBLANK(AP26109), IFERROR(IF(VLOOKUP(AO26109, Ellens_additions!$A$2:$B$252, 2, FALSE) = "", "", VLOOKUP(AO26109, Ellens_additions!$A$2:$B$252, 2, FALSE)), 0), AP26109)</f>
        <v>0</v>
      </c>
    </row>
    <row r="26110" spans="1:43" ht="14.4" hidden="1" x14ac:dyDescent="0.3">
      <c r="A26110" t="s">
        <v>4143</v>
      </c>
      <c r="B26110">
        <v>4909080</v>
      </c>
      <c r="C26110" t="s">
        <v>135</v>
      </c>
      <c r="D26110" t="s">
        <v>174</v>
      </c>
      <c r="E26110" t="s">
        <v>316</v>
      </c>
      <c r="F26110" t="s">
        <v>288</v>
      </c>
      <c r="H26110" t="s">
        <v>4144</v>
      </c>
      <c r="J26110" t="s">
        <v>140</v>
      </c>
      <c r="K26110">
        <v>159323.38</v>
      </c>
      <c r="L26110">
        <v>383627.52000000002</v>
      </c>
      <c r="N26110" t="s">
        <v>1494</v>
      </c>
      <c r="O26110" t="s">
        <v>448</v>
      </c>
      <c r="P26110" t="s">
        <v>1495</v>
      </c>
      <c r="Q26110" t="s">
        <v>144</v>
      </c>
      <c r="S26110">
        <v>0</v>
      </c>
      <c r="T26110">
        <v>0</v>
      </c>
      <c r="V26110" t="s">
        <v>146</v>
      </c>
      <c r="W26110" t="s">
        <v>184</v>
      </c>
      <c r="X26110" t="s">
        <v>7</v>
      </c>
      <c r="Y26110" t="s">
        <v>1494</v>
      </c>
      <c r="Z26110" t="s">
        <v>448</v>
      </c>
      <c r="AA26110" t="s">
        <v>456</v>
      </c>
      <c r="AB26110">
        <v>0</v>
      </c>
      <c r="AE26110" t="s">
        <v>1496</v>
      </c>
      <c r="AF26110" t="s">
        <v>448</v>
      </c>
      <c r="AG26110" t="s">
        <v>560</v>
      </c>
      <c r="AL26110" t="s">
        <v>4145</v>
      </c>
      <c r="AM26110" t="s">
        <v>4146</v>
      </c>
      <c r="AN26110" t="s">
        <v>4147</v>
      </c>
      <c r="AO26110" t="s">
        <v>1494</v>
      </c>
      <c r="AQ26110">
        <f>IF(ISBLANK(AP26110), IFERROR(IF(VLOOKUP(AO26110, Ellens_additions!$A$2:$B$252, 2, FALSE) = "", "", VLOOKUP(AO26110, Ellens_additions!$A$2:$B$252, 2, FALSE)), 0), AP26110)</f>
        <v>0</v>
      </c>
    </row>
    <row r="26111" spans="1:43" ht="14.4" hidden="1" x14ac:dyDescent="0.3">
      <c r="A26111" t="s">
        <v>4148</v>
      </c>
      <c r="B26111">
        <v>4909088</v>
      </c>
      <c r="C26111" t="s">
        <v>135</v>
      </c>
      <c r="D26111" t="s">
        <v>174</v>
      </c>
      <c r="E26111" t="s">
        <v>316</v>
      </c>
      <c r="F26111" t="s">
        <v>288</v>
      </c>
      <c r="H26111" t="s">
        <v>4149</v>
      </c>
      <c r="J26111" t="s">
        <v>140</v>
      </c>
      <c r="K26111">
        <v>159322.28</v>
      </c>
      <c r="L26111">
        <v>383621.26</v>
      </c>
      <c r="N26111" t="s">
        <v>1494</v>
      </c>
      <c r="O26111" t="s">
        <v>448</v>
      </c>
      <c r="P26111" t="s">
        <v>1495</v>
      </c>
      <c r="Q26111" t="s">
        <v>144</v>
      </c>
      <c r="S26111">
        <v>0</v>
      </c>
      <c r="T26111">
        <v>0</v>
      </c>
      <c r="V26111" t="s">
        <v>146</v>
      </c>
      <c r="W26111" t="s">
        <v>184</v>
      </c>
      <c r="X26111" t="s">
        <v>7</v>
      </c>
      <c r="Y26111" t="s">
        <v>1494</v>
      </c>
      <c r="Z26111" t="s">
        <v>448</v>
      </c>
      <c r="AA26111" t="s">
        <v>456</v>
      </c>
      <c r="AB26111">
        <v>0</v>
      </c>
      <c r="AE26111" t="s">
        <v>1496</v>
      </c>
      <c r="AF26111" t="s">
        <v>448</v>
      </c>
      <c r="AG26111" t="s">
        <v>560</v>
      </c>
      <c r="AL26111" t="s">
        <v>4150</v>
      </c>
      <c r="AM26111" t="s">
        <v>4151</v>
      </c>
      <c r="AN26111" t="s">
        <v>4152</v>
      </c>
      <c r="AO26111" t="s">
        <v>1494</v>
      </c>
      <c r="AQ26111">
        <f>IF(ISBLANK(AP26111), IFERROR(IF(VLOOKUP(AO26111, Ellens_additions!$A$2:$B$252, 2, FALSE) = "", "", VLOOKUP(AO26111, Ellens_additions!$A$2:$B$252, 2, FALSE)), 0), AP26111)</f>
        <v>0</v>
      </c>
    </row>
    <row r="26112" spans="1:43" ht="14.4" hidden="1" x14ac:dyDescent="0.3">
      <c r="A26112" t="s">
        <v>4153</v>
      </c>
      <c r="B26112">
        <v>4909089</v>
      </c>
      <c r="C26112" t="s">
        <v>135</v>
      </c>
      <c r="D26112" t="s">
        <v>174</v>
      </c>
      <c r="E26112" t="s">
        <v>316</v>
      </c>
      <c r="F26112" t="s">
        <v>288</v>
      </c>
      <c r="H26112" t="s">
        <v>4154</v>
      </c>
      <c r="J26112" t="s">
        <v>140</v>
      </c>
      <c r="K26112">
        <v>159321.78</v>
      </c>
      <c r="L26112">
        <v>383620.47</v>
      </c>
      <c r="N26112" t="s">
        <v>1494</v>
      </c>
      <c r="O26112" t="s">
        <v>448</v>
      </c>
      <c r="P26112" t="s">
        <v>1495</v>
      </c>
      <c r="Q26112" t="s">
        <v>144</v>
      </c>
      <c r="S26112">
        <v>0</v>
      </c>
      <c r="T26112">
        <v>0</v>
      </c>
      <c r="V26112" t="s">
        <v>146</v>
      </c>
      <c r="W26112" t="s">
        <v>184</v>
      </c>
      <c r="X26112" t="s">
        <v>7</v>
      </c>
      <c r="Y26112" t="s">
        <v>1494</v>
      </c>
      <c r="Z26112" t="s">
        <v>448</v>
      </c>
      <c r="AA26112" t="s">
        <v>456</v>
      </c>
      <c r="AB26112">
        <v>0</v>
      </c>
      <c r="AE26112" t="s">
        <v>1496</v>
      </c>
      <c r="AF26112" t="s">
        <v>448</v>
      </c>
      <c r="AG26112" t="s">
        <v>560</v>
      </c>
      <c r="AL26112" t="s">
        <v>4155</v>
      </c>
      <c r="AM26112" t="s">
        <v>4156</v>
      </c>
      <c r="AN26112" t="s">
        <v>4157</v>
      </c>
      <c r="AO26112" t="s">
        <v>1494</v>
      </c>
      <c r="AQ26112">
        <f>IF(ISBLANK(AP26112), IFERROR(IF(VLOOKUP(AO26112, Ellens_additions!$A$2:$B$252, 2, FALSE) = "", "", VLOOKUP(AO26112, Ellens_additions!$A$2:$B$252, 2, FALSE)), 0), AP26112)</f>
        <v>0</v>
      </c>
    </row>
    <row r="26113" spans="1:43" ht="14.4" hidden="1" x14ac:dyDescent="0.3">
      <c r="A26113" t="s">
        <v>4158</v>
      </c>
      <c r="B26113">
        <v>4909093</v>
      </c>
      <c r="C26113" t="s">
        <v>135</v>
      </c>
      <c r="D26113" t="s">
        <v>174</v>
      </c>
      <c r="E26113" t="s">
        <v>316</v>
      </c>
      <c r="F26113" t="s">
        <v>288</v>
      </c>
      <c r="H26113" t="s">
        <v>4159</v>
      </c>
      <c r="J26113" t="s">
        <v>140</v>
      </c>
      <c r="K26113">
        <v>159319.17000000001</v>
      </c>
      <c r="L26113">
        <v>383616.79</v>
      </c>
      <c r="N26113" t="s">
        <v>1494</v>
      </c>
      <c r="O26113" t="s">
        <v>448</v>
      </c>
      <c r="P26113" t="s">
        <v>1495</v>
      </c>
      <c r="Q26113" t="s">
        <v>144</v>
      </c>
      <c r="S26113">
        <v>0</v>
      </c>
      <c r="T26113">
        <v>0</v>
      </c>
      <c r="V26113" t="s">
        <v>146</v>
      </c>
      <c r="W26113" t="s">
        <v>184</v>
      </c>
      <c r="X26113" t="s">
        <v>7</v>
      </c>
      <c r="Y26113" t="s">
        <v>1494</v>
      </c>
      <c r="Z26113" t="s">
        <v>448</v>
      </c>
      <c r="AA26113" t="s">
        <v>456</v>
      </c>
      <c r="AB26113">
        <v>0</v>
      </c>
      <c r="AE26113" t="s">
        <v>1496</v>
      </c>
      <c r="AF26113" t="s">
        <v>448</v>
      </c>
      <c r="AG26113" t="s">
        <v>560</v>
      </c>
      <c r="AL26113" t="s">
        <v>4160</v>
      </c>
      <c r="AM26113" t="s">
        <v>4161</v>
      </c>
      <c r="AN26113" t="s">
        <v>4162</v>
      </c>
      <c r="AO26113" t="s">
        <v>1494</v>
      </c>
      <c r="AQ26113">
        <f>IF(ISBLANK(AP26113), IFERROR(IF(VLOOKUP(AO26113, Ellens_additions!$A$2:$B$252, 2, FALSE) = "", "", VLOOKUP(AO26113, Ellens_additions!$A$2:$B$252, 2, FALSE)), 0), AP26113)</f>
        <v>0</v>
      </c>
    </row>
    <row r="26114" spans="1:43" ht="14.4" hidden="1" x14ac:dyDescent="0.3">
      <c r="A26114" t="s">
        <v>4163</v>
      </c>
      <c r="B26114">
        <v>4909095</v>
      </c>
      <c r="C26114" t="s">
        <v>135</v>
      </c>
      <c r="D26114" t="s">
        <v>174</v>
      </c>
      <c r="E26114" t="s">
        <v>316</v>
      </c>
      <c r="F26114" t="s">
        <v>288</v>
      </c>
      <c r="H26114" t="s">
        <v>4164</v>
      </c>
      <c r="J26114" t="s">
        <v>140</v>
      </c>
      <c r="K26114">
        <v>159317.48000000001</v>
      </c>
      <c r="L26114">
        <v>383614.96</v>
      </c>
      <c r="N26114" t="s">
        <v>1494</v>
      </c>
      <c r="O26114" t="s">
        <v>448</v>
      </c>
      <c r="P26114" t="s">
        <v>1495</v>
      </c>
      <c r="Q26114" t="s">
        <v>144</v>
      </c>
      <c r="S26114">
        <v>0</v>
      </c>
      <c r="T26114">
        <v>0</v>
      </c>
      <c r="V26114" t="s">
        <v>146</v>
      </c>
      <c r="W26114" t="s">
        <v>184</v>
      </c>
      <c r="X26114" t="s">
        <v>7</v>
      </c>
      <c r="Y26114" t="s">
        <v>1494</v>
      </c>
      <c r="Z26114" t="s">
        <v>448</v>
      </c>
      <c r="AA26114" t="s">
        <v>456</v>
      </c>
      <c r="AB26114">
        <v>0</v>
      </c>
      <c r="AE26114" t="s">
        <v>1496</v>
      </c>
      <c r="AF26114" t="s">
        <v>448</v>
      </c>
      <c r="AG26114" t="s">
        <v>560</v>
      </c>
      <c r="AL26114" t="s">
        <v>4165</v>
      </c>
      <c r="AM26114" t="s">
        <v>4166</v>
      </c>
      <c r="AN26114" t="s">
        <v>4167</v>
      </c>
      <c r="AO26114" t="s">
        <v>1494</v>
      </c>
      <c r="AQ26114">
        <f>IF(ISBLANK(AP26114), IFERROR(IF(VLOOKUP(AO26114, Ellens_additions!$A$2:$B$252, 2, FALSE) = "", "", VLOOKUP(AO26114, Ellens_additions!$A$2:$B$252, 2, FALSE)), 0), AP26114)</f>
        <v>0</v>
      </c>
    </row>
    <row r="26115" spans="1:43" ht="14.4" hidden="1" x14ac:dyDescent="0.3">
      <c r="A26115" t="s">
        <v>4168</v>
      </c>
      <c r="B26115">
        <v>4909096</v>
      </c>
      <c r="C26115" t="s">
        <v>135</v>
      </c>
      <c r="D26115" t="s">
        <v>174</v>
      </c>
      <c r="E26115" t="s">
        <v>316</v>
      </c>
      <c r="F26115" t="s">
        <v>288</v>
      </c>
      <c r="H26115" t="s">
        <v>4169</v>
      </c>
      <c r="J26115" t="s">
        <v>140</v>
      </c>
      <c r="K26115">
        <v>159316.51</v>
      </c>
      <c r="L26115">
        <v>383613.64</v>
      </c>
      <c r="N26115" t="s">
        <v>1494</v>
      </c>
      <c r="O26115" t="s">
        <v>448</v>
      </c>
      <c r="P26115" t="s">
        <v>1495</v>
      </c>
      <c r="Q26115" t="s">
        <v>144</v>
      </c>
      <c r="S26115">
        <v>0</v>
      </c>
      <c r="T26115">
        <v>0</v>
      </c>
      <c r="V26115" t="s">
        <v>146</v>
      </c>
      <c r="W26115" t="s">
        <v>184</v>
      </c>
      <c r="X26115" t="s">
        <v>7</v>
      </c>
      <c r="Y26115" t="s">
        <v>1494</v>
      </c>
      <c r="Z26115" t="s">
        <v>448</v>
      </c>
      <c r="AA26115" t="s">
        <v>456</v>
      </c>
      <c r="AB26115">
        <v>0</v>
      </c>
      <c r="AE26115" t="s">
        <v>1496</v>
      </c>
      <c r="AF26115" t="s">
        <v>448</v>
      </c>
      <c r="AG26115" t="s">
        <v>560</v>
      </c>
      <c r="AL26115" t="s">
        <v>4170</v>
      </c>
      <c r="AM26115" t="s">
        <v>4171</v>
      </c>
      <c r="AN26115" t="s">
        <v>4172</v>
      </c>
      <c r="AO26115" t="s">
        <v>1494</v>
      </c>
      <c r="AQ26115">
        <f>IF(ISBLANK(AP26115), IFERROR(IF(VLOOKUP(AO26115, Ellens_additions!$A$2:$B$252, 2, FALSE) = "", "", VLOOKUP(AO26115, Ellens_additions!$A$2:$B$252, 2, FALSE)), 0), AP26115)</f>
        <v>0</v>
      </c>
    </row>
    <row r="26116" spans="1:43" ht="14.4" hidden="1" x14ac:dyDescent="0.3">
      <c r="A26116" t="s">
        <v>4173</v>
      </c>
      <c r="B26116">
        <v>4909105</v>
      </c>
      <c r="C26116" t="s">
        <v>135</v>
      </c>
      <c r="D26116" t="s">
        <v>174</v>
      </c>
      <c r="E26116" t="s">
        <v>316</v>
      </c>
      <c r="F26116" t="s">
        <v>288</v>
      </c>
      <c r="H26116" t="s">
        <v>4174</v>
      </c>
      <c r="J26116" t="s">
        <v>140</v>
      </c>
      <c r="K26116">
        <v>159308.71</v>
      </c>
      <c r="L26116">
        <v>383606.97</v>
      </c>
      <c r="N26116" t="s">
        <v>1494</v>
      </c>
      <c r="O26116" t="s">
        <v>448</v>
      </c>
      <c r="P26116" t="s">
        <v>1495</v>
      </c>
      <c r="Q26116" t="s">
        <v>144</v>
      </c>
      <c r="S26116">
        <v>0</v>
      </c>
      <c r="T26116">
        <v>0</v>
      </c>
      <c r="V26116" t="s">
        <v>146</v>
      </c>
      <c r="W26116" t="s">
        <v>184</v>
      </c>
      <c r="X26116" t="s">
        <v>7</v>
      </c>
      <c r="Y26116" t="s">
        <v>1494</v>
      </c>
      <c r="Z26116" t="s">
        <v>448</v>
      </c>
      <c r="AA26116" t="s">
        <v>456</v>
      </c>
      <c r="AB26116">
        <v>0</v>
      </c>
      <c r="AE26116" t="s">
        <v>1496</v>
      </c>
      <c r="AF26116" t="s">
        <v>448</v>
      </c>
      <c r="AG26116" t="s">
        <v>560</v>
      </c>
      <c r="AL26116" t="s">
        <v>4175</v>
      </c>
      <c r="AM26116" t="s">
        <v>4176</v>
      </c>
      <c r="AN26116" t="s">
        <v>4177</v>
      </c>
      <c r="AO26116" t="s">
        <v>1494</v>
      </c>
      <c r="AQ26116">
        <f>IF(ISBLANK(AP26116), IFERROR(IF(VLOOKUP(AO26116, Ellens_additions!$A$2:$B$252, 2, FALSE) = "", "", VLOOKUP(AO26116, Ellens_additions!$A$2:$B$252, 2, FALSE)), 0), AP26116)</f>
        <v>0</v>
      </c>
    </row>
    <row r="26117" spans="1:43" ht="14.4" hidden="1" x14ac:dyDescent="0.3">
      <c r="A26117" t="s">
        <v>4178</v>
      </c>
      <c r="B26117">
        <v>4909106</v>
      </c>
      <c r="C26117" t="s">
        <v>135</v>
      </c>
      <c r="D26117" t="s">
        <v>174</v>
      </c>
      <c r="E26117" t="s">
        <v>316</v>
      </c>
      <c r="F26117" t="s">
        <v>288</v>
      </c>
      <c r="H26117" t="s">
        <v>4179</v>
      </c>
      <c r="J26117" t="s">
        <v>140</v>
      </c>
      <c r="K26117">
        <v>159308.01</v>
      </c>
      <c r="L26117">
        <v>383606.28</v>
      </c>
      <c r="N26117" t="s">
        <v>1494</v>
      </c>
      <c r="O26117" t="s">
        <v>448</v>
      </c>
      <c r="P26117" t="s">
        <v>1495</v>
      </c>
      <c r="Q26117" t="s">
        <v>144</v>
      </c>
      <c r="S26117">
        <v>0</v>
      </c>
      <c r="T26117">
        <v>0</v>
      </c>
      <c r="V26117" t="s">
        <v>146</v>
      </c>
      <c r="W26117" t="s">
        <v>184</v>
      </c>
      <c r="X26117" t="s">
        <v>7</v>
      </c>
      <c r="Y26117" t="s">
        <v>1494</v>
      </c>
      <c r="Z26117" t="s">
        <v>448</v>
      </c>
      <c r="AA26117" t="s">
        <v>456</v>
      </c>
      <c r="AB26117">
        <v>0</v>
      </c>
      <c r="AE26117" t="s">
        <v>1496</v>
      </c>
      <c r="AF26117" t="s">
        <v>448</v>
      </c>
      <c r="AG26117" t="s">
        <v>560</v>
      </c>
      <c r="AL26117" t="s">
        <v>4180</v>
      </c>
      <c r="AM26117" t="s">
        <v>4181</v>
      </c>
      <c r="AN26117" t="s">
        <v>4182</v>
      </c>
      <c r="AO26117" t="s">
        <v>1494</v>
      </c>
      <c r="AQ26117">
        <f>IF(ISBLANK(AP26117), IFERROR(IF(VLOOKUP(AO26117, Ellens_additions!$A$2:$B$252, 2, FALSE) = "", "", VLOOKUP(AO26117, Ellens_additions!$A$2:$B$252, 2, FALSE)), 0), AP26117)</f>
        <v>0</v>
      </c>
    </row>
    <row r="26118" spans="1:43" ht="14.4" hidden="1" x14ac:dyDescent="0.3">
      <c r="A26118" t="s">
        <v>4183</v>
      </c>
      <c r="B26118">
        <v>4909108</v>
      </c>
      <c r="C26118" t="s">
        <v>135</v>
      </c>
      <c r="D26118" t="s">
        <v>174</v>
      </c>
      <c r="E26118" t="s">
        <v>316</v>
      </c>
      <c r="F26118" t="s">
        <v>288</v>
      </c>
      <c r="H26118" t="s">
        <v>4184</v>
      </c>
      <c r="J26118" t="s">
        <v>140</v>
      </c>
      <c r="K26118">
        <v>159306.72</v>
      </c>
      <c r="L26118">
        <v>383604.69</v>
      </c>
      <c r="N26118" t="s">
        <v>1494</v>
      </c>
      <c r="O26118" t="s">
        <v>448</v>
      </c>
      <c r="P26118" t="s">
        <v>1495</v>
      </c>
      <c r="Q26118" t="s">
        <v>144</v>
      </c>
      <c r="S26118">
        <v>0</v>
      </c>
      <c r="T26118">
        <v>0</v>
      </c>
      <c r="V26118" t="s">
        <v>146</v>
      </c>
      <c r="W26118" t="s">
        <v>184</v>
      </c>
      <c r="X26118" t="s">
        <v>7</v>
      </c>
      <c r="Y26118" t="s">
        <v>1494</v>
      </c>
      <c r="Z26118" t="s">
        <v>448</v>
      </c>
      <c r="AA26118" t="s">
        <v>456</v>
      </c>
      <c r="AB26118">
        <v>0</v>
      </c>
      <c r="AE26118" t="s">
        <v>1496</v>
      </c>
      <c r="AF26118" t="s">
        <v>448</v>
      </c>
      <c r="AG26118" t="s">
        <v>560</v>
      </c>
      <c r="AL26118" t="s">
        <v>4185</v>
      </c>
      <c r="AM26118" t="s">
        <v>4186</v>
      </c>
      <c r="AN26118" t="s">
        <v>4187</v>
      </c>
      <c r="AO26118" t="s">
        <v>1494</v>
      </c>
      <c r="AQ26118">
        <f>IF(ISBLANK(AP26118), IFERROR(IF(VLOOKUP(AO26118, Ellens_additions!$A$2:$B$252, 2, FALSE) = "", "", VLOOKUP(AO26118, Ellens_additions!$A$2:$B$252, 2, FALSE)), 0), AP26118)</f>
        <v>0</v>
      </c>
    </row>
    <row r="26119" spans="1:43" ht="14.4" hidden="1" x14ac:dyDescent="0.3">
      <c r="A26119" t="s">
        <v>4188</v>
      </c>
      <c r="B26119">
        <v>4909116</v>
      </c>
      <c r="C26119" t="s">
        <v>135</v>
      </c>
      <c r="D26119" t="s">
        <v>174</v>
      </c>
      <c r="E26119" t="s">
        <v>316</v>
      </c>
      <c r="F26119" t="s">
        <v>288</v>
      </c>
      <c r="H26119" t="s">
        <v>4189</v>
      </c>
      <c r="J26119" t="s">
        <v>140</v>
      </c>
      <c r="K26119">
        <v>159300.57</v>
      </c>
      <c r="L26119">
        <v>383596.36</v>
      </c>
      <c r="N26119" t="s">
        <v>1494</v>
      </c>
      <c r="O26119" t="s">
        <v>448</v>
      </c>
      <c r="P26119" t="s">
        <v>1495</v>
      </c>
      <c r="Q26119" t="s">
        <v>144</v>
      </c>
      <c r="S26119">
        <v>0</v>
      </c>
      <c r="T26119">
        <v>0</v>
      </c>
      <c r="V26119" t="s">
        <v>146</v>
      </c>
      <c r="W26119" t="s">
        <v>184</v>
      </c>
      <c r="X26119" t="s">
        <v>7</v>
      </c>
      <c r="Y26119" t="s">
        <v>1494</v>
      </c>
      <c r="Z26119" t="s">
        <v>448</v>
      </c>
      <c r="AA26119" t="s">
        <v>456</v>
      </c>
      <c r="AB26119">
        <v>0</v>
      </c>
      <c r="AE26119" t="s">
        <v>1496</v>
      </c>
      <c r="AF26119" t="s">
        <v>448</v>
      </c>
      <c r="AG26119" t="s">
        <v>560</v>
      </c>
      <c r="AL26119" t="s">
        <v>4190</v>
      </c>
      <c r="AM26119" t="s">
        <v>4191</v>
      </c>
      <c r="AN26119" t="s">
        <v>4192</v>
      </c>
      <c r="AO26119" t="s">
        <v>1494</v>
      </c>
      <c r="AQ26119">
        <f>IF(ISBLANK(AP26119), IFERROR(IF(VLOOKUP(AO26119, Ellens_additions!$A$2:$B$252, 2, FALSE) = "", "", VLOOKUP(AO26119, Ellens_additions!$A$2:$B$252, 2, FALSE)), 0), AP26119)</f>
        <v>0</v>
      </c>
    </row>
    <row r="26120" spans="1:43" ht="14.4" hidden="1" x14ac:dyDescent="0.3">
      <c r="A26120" t="s">
        <v>4193</v>
      </c>
      <c r="B26120">
        <v>4909117</v>
      </c>
      <c r="C26120" t="s">
        <v>135</v>
      </c>
      <c r="D26120" t="s">
        <v>174</v>
      </c>
      <c r="E26120" t="s">
        <v>316</v>
      </c>
      <c r="F26120" t="s">
        <v>288</v>
      </c>
      <c r="H26120" t="s">
        <v>4194</v>
      </c>
      <c r="J26120" t="s">
        <v>140</v>
      </c>
      <c r="K26120">
        <v>159299.87</v>
      </c>
      <c r="L26120">
        <v>383595.76</v>
      </c>
      <c r="N26120" t="s">
        <v>1494</v>
      </c>
      <c r="O26120" t="s">
        <v>448</v>
      </c>
      <c r="P26120" t="s">
        <v>1495</v>
      </c>
      <c r="Q26120" t="s">
        <v>144</v>
      </c>
      <c r="S26120">
        <v>0</v>
      </c>
      <c r="T26120">
        <v>0</v>
      </c>
      <c r="V26120" t="s">
        <v>146</v>
      </c>
      <c r="W26120" t="s">
        <v>184</v>
      </c>
      <c r="X26120" t="s">
        <v>7</v>
      </c>
      <c r="Y26120" t="s">
        <v>1494</v>
      </c>
      <c r="Z26120" t="s">
        <v>448</v>
      </c>
      <c r="AA26120" t="s">
        <v>456</v>
      </c>
      <c r="AB26120">
        <v>0</v>
      </c>
      <c r="AE26120" t="s">
        <v>1496</v>
      </c>
      <c r="AF26120" t="s">
        <v>448</v>
      </c>
      <c r="AG26120" t="s">
        <v>560</v>
      </c>
      <c r="AL26120" t="s">
        <v>4195</v>
      </c>
      <c r="AM26120" t="s">
        <v>4196</v>
      </c>
      <c r="AN26120" t="s">
        <v>4197</v>
      </c>
      <c r="AO26120" t="s">
        <v>1494</v>
      </c>
      <c r="AQ26120">
        <f>IF(ISBLANK(AP26120), IFERROR(IF(VLOOKUP(AO26120, Ellens_additions!$A$2:$B$252, 2, FALSE) = "", "", VLOOKUP(AO26120, Ellens_additions!$A$2:$B$252, 2, FALSE)), 0), AP26120)</f>
        <v>0</v>
      </c>
    </row>
    <row r="26121" spans="1:43" ht="14.4" hidden="1" x14ac:dyDescent="0.3">
      <c r="A26121" t="s">
        <v>4198</v>
      </c>
      <c r="B26121">
        <v>4909118</v>
      </c>
      <c r="C26121" t="s">
        <v>135</v>
      </c>
      <c r="D26121" t="s">
        <v>174</v>
      </c>
      <c r="E26121" t="s">
        <v>316</v>
      </c>
      <c r="F26121" t="s">
        <v>288</v>
      </c>
      <c r="H26121" t="s">
        <v>4199</v>
      </c>
      <c r="J26121" t="s">
        <v>140</v>
      </c>
      <c r="K26121">
        <v>159299.07999999999</v>
      </c>
      <c r="L26121">
        <v>383594.97</v>
      </c>
      <c r="N26121" t="s">
        <v>1494</v>
      </c>
      <c r="O26121" t="s">
        <v>448</v>
      </c>
      <c r="P26121" t="s">
        <v>1495</v>
      </c>
      <c r="Q26121" t="s">
        <v>144</v>
      </c>
      <c r="S26121">
        <v>0</v>
      </c>
      <c r="T26121">
        <v>0</v>
      </c>
      <c r="V26121" t="s">
        <v>146</v>
      </c>
      <c r="W26121" t="s">
        <v>184</v>
      </c>
      <c r="X26121" t="s">
        <v>7</v>
      </c>
      <c r="Y26121" t="s">
        <v>1494</v>
      </c>
      <c r="Z26121" t="s">
        <v>448</v>
      </c>
      <c r="AA26121" t="s">
        <v>456</v>
      </c>
      <c r="AB26121">
        <v>0</v>
      </c>
      <c r="AE26121" t="s">
        <v>1496</v>
      </c>
      <c r="AF26121" t="s">
        <v>448</v>
      </c>
      <c r="AG26121" t="s">
        <v>560</v>
      </c>
      <c r="AL26121" t="s">
        <v>4200</v>
      </c>
      <c r="AM26121" t="s">
        <v>4201</v>
      </c>
      <c r="AN26121" t="s">
        <v>4202</v>
      </c>
      <c r="AO26121" t="s">
        <v>1494</v>
      </c>
      <c r="AQ26121">
        <f>IF(ISBLANK(AP26121), IFERROR(IF(VLOOKUP(AO26121, Ellens_additions!$A$2:$B$252, 2, FALSE) = "", "", VLOOKUP(AO26121, Ellens_additions!$A$2:$B$252, 2, FALSE)), 0), AP26121)</f>
        <v>0</v>
      </c>
    </row>
    <row r="26122" spans="1:43" ht="14.4" hidden="1" x14ac:dyDescent="0.3">
      <c r="A26122" t="s">
        <v>4203</v>
      </c>
      <c r="B26122">
        <v>4909120</v>
      </c>
      <c r="C26122" t="s">
        <v>135</v>
      </c>
      <c r="D26122" t="s">
        <v>174</v>
      </c>
      <c r="E26122" t="s">
        <v>316</v>
      </c>
      <c r="F26122" t="s">
        <v>288</v>
      </c>
      <c r="H26122" t="s">
        <v>4204</v>
      </c>
      <c r="J26122" t="s">
        <v>140</v>
      </c>
      <c r="K26122">
        <v>159297.39000000001</v>
      </c>
      <c r="L26122">
        <v>383593.28</v>
      </c>
      <c r="N26122" t="s">
        <v>1494</v>
      </c>
      <c r="O26122" t="s">
        <v>448</v>
      </c>
      <c r="P26122" t="s">
        <v>1495</v>
      </c>
      <c r="Q26122" t="s">
        <v>144</v>
      </c>
      <c r="S26122">
        <v>0</v>
      </c>
      <c r="T26122">
        <v>0</v>
      </c>
      <c r="V26122" t="s">
        <v>146</v>
      </c>
      <c r="W26122" t="s">
        <v>184</v>
      </c>
      <c r="X26122" t="s">
        <v>7</v>
      </c>
      <c r="Y26122" t="s">
        <v>1494</v>
      </c>
      <c r="Z26122" t="s">
        <v>448</v>
      </c>
      <c r="AA26122" t="s">
        <v>456</v>
      </c>
      <c r="AB26122">
        <v>0</v>
      </c>
      <c r="AE26122" t="s">
        <v>1496</v>
      </c>
      <c r="AF26122" t="s">
        <v>448</v>
      </c>
      <c r="AG26122" t="s">
        <v>560</v>
      </c>
      <c r="AL26122" t="s">
        <v>4205</v>
      </c>
      <c r="AM26122" t="s">
        <v>4206</v>
      </c>
      <c r="AN26122" t="s">
        <v>4207</v>
      </c>
      <c r="AO26122" t="s">
        <v>1494</v>
      </c>
      <c r="AQ26122">
        <f>IF(ISBLANK(AP26122), IFERROR(IF(VLOOKUP(AO26122, Ellens_additions!$A$2:$B$252, 2, FALSE) = "", "", VLOOKUP(AO26122, Ellens_additions!$A$2:$B$252, 2, FALSE)), 0), AP26122)</f>
        <v>0</v>
      </c>
    </row>
    <row r="26123" spans="1:43" ht="14.4" hidden="1" x14ac:dyDescent="0.3">
      <c r="A26123" t="s">
        <v>4208</v>
      </c>
      <c r="B26123">
        <v>4909121</v>
      </c>
      <c r="C26123" t="s">
        <v>135</v>
      </c>
      <c r="D26123" t="s">
        <v>174</v>
      </c>
      <c r="E26123" t="s">
        <v>316</v>
      </c>
      <c r="F26123" t="s">
        <v>288</v>
      </c>
      <c r="H26123" t="s">
        <v>4209</v>
      </c>
      <c r="J26123" t="s">
        <v>140</v>
      </c>
      <c r="K26123">
        <v>159296.57999999999</v>
      </c>
      <c r="L26123">
        <v>383592.83</v>
      </c>
      <c r="N26123" t="s">
        <v>1494</v>
      </c>
      <c r="O26123" t="s">
        <v>448</v>
      </c>
      <c r="P26123" t="s">
        <v>1495</v>
      </c>
      <c r="Q26123" t="s">
        <v>144</v>
      </c>
      <c r="S26123">
        <v>0</v>
      </c>
      <c r="T26123">
        <v>0</v>
      </c>
      <c r="V26123" t="s">
        <v>146</v>
      </c>
      <c r="W26123" t="s">
        <v>184</v>
      </c>
      <c r="X26123" t="s">
        <v>7</v>
      </c>
      <c r="Y26123" t="s">
        <v>1494</v>
      </c>
      <c r="Z26123" t="s">
        <v>448</v>
      </c>
      <c r="AA26123" t="s">
        <v>456</v>
      </c>
      <c r="AB26123">
        <v>0</v>
      </c>
      <c r="AE26123" t="s">
        <v>1496</v>
      </c>
      <c r="AF26123" t="s">
        <v>448</v>
      </c>
      <c r="AG26123" t="s">
        <v>560</v>
      </c>
      <c r="AL26123" t="s">
        <v>4210</v>
      </c>
      <c r="AM26123" t="s">
        <v>4211</v>
      </c>
      <c r="AN26123" t="s">
        <v>4212</v>
      </c>
      <c r="AO26123" t="s">
        <v>1494</v>
      </c>
      <c r="AQ26123">
        <f>IF(ISBLANK(AP26123), IFERROR(IF(VLOOKUP(AO26123, Ellens_additions!$A$2:$B$252, 2, FALSE) = "", "", VLOOKUP(AO26123, Ellens_additions!$A$2:$B$252, 2, FALSE)), 0), AP26123)</f>
        <v>0</v>
      </c>
    </row>
    <row r="26124" spans="1:43" ht="14.4" hidden="1" x14ac:dyDescent="0.3">
      <c r="A26124" t="s">
        <v>4213</v>
      </c>
      <c r="B26124">
        <v>4909122</v>
      </c>
      <c r="C26124" t="s">
        <v>135</v>
      </c>
      <c r="D26124" t="s">
        <v>174</v>
      </c>
      <c r="E26124" t="s">
        <v>316</v>
      </c>
      <c r="F26124" t="s">
        <v>288</v>
      </c>
      <c r="H26124" t="s">
        <v>4214</v>
      </c>
      <c r="J26124" t="s">
        <v>140</v>
      </c>
      <c r="K26124">
        <v>159295.60999999999</v>
      </c>
      <c r="L26124">
        <v>383592.29</v>
      </c>
      <c r="N26124" t="s">
        <v>1494</v>
      </c>
      <c r="O26124" t="s">
        <v>448</v>
      </c>
      <c r="P26124" t="s">
        <v>1495</v>
      </c>
      <c r="Q26124" t="s">
        <v>144</v>
      </c>
      <c r="S26124">
        <v>0</v>
      </c>
      <c r="T26124">
        <v>0</v>
      </c>
      <c r="V26124" t="s">
        <v>146</v>
      </c>
      <c r="W26124" t="s">
        <v>184</v>
      </c>
      <c r="X26124" t="s">
        <v>7</v>
      </c>
      <c r="Y26124" t="s">
        <v>1494</v>
      </c>
      <c r="Z26124" t="s">
        <v>448</v>
      </c>
      <c r="AA26124" t="s">
        <v>456</v>
      </c>
      <c r="AB26124">
        <v>0</v>
      </c>
      <c r="AE26124" t="s">
        <v>1496</v>
      </c>
      <c r="AF26124" t="s">
        <v>448</v>
      </c>
      <c r="AG26124" t="s">
        <v>560</v>
      </c>
      <c r="AL26124" t="s">
        <v>4215</v>
      </c>
      <c r="AM26124" t="s">
        <v>4216</v>
      </c>
      <c r="AN26124" t="s">
        <v>4217</v>
      </c>
      <c r="AO26124" t="s">
        <v>1494</v>
      </c>
      <c r="AQ26124">
        <f>IF(ISBLANK(AP26124), IFERROR(IF(VLOOKUP(AO26124, Ellens_additions!$A$2:$B$252, 2, FALSE) = "", "", VLOOKUP(AO26124, Ellens_additions!$A$2:$B$252, 2, FALSE)), 0), AP26124)</f>
        <v>0</v>
      </c>
    </row>
    <row r="26125" spans="1:43" ht="14.4" hidden="1" x14ac:dyDescent="0.3">
      <c r="A26125" t="s">
        <v>4218</v>
      </c>
      <c r="B26125">
        <v>4909125</v>
      </c>
      <c r="C26125" t="s">
        <v>135</v>
      </c>
      <c r="D26125" t="s">
        <v>174</v>
      </c>
      <c r="E26125" t="s">
        <v>316</v>
      </c>
      <c r="F26125" t="s">
        <v>288</v>
      </c>
      <c r="H26125" t="s">
        <v>4219</v>
      </c>
      <c r="J26125" t="s">
        <v>140</v>
      </c>
      <c r="K26125">
        <v>159292.43</v>
      </c>
      <c r="L26125">
        <v>383591.1</v>
      </c>
      <c r="N26125" t="s">
        <v>1494</v>
      </c>
      <c r="O26125" t="s">
        <v>448</v>
      </c>
      <c r="P26125" t="s">
        <v>1495</v>
      </c>
      <c r="Q26125" t="s">
        <v>144</v>
      </c>
      <c r="S26125">
        <v>0</v>
      </c>
      <c r="T26125">
        <v>0</v>
      </c>
      <c r="V26125" t="s">
        <v>146</v>
      </c>
      <c r="W26125" t="s">
        <v>184</v>
      </c>
      <c r="X26125" t="s">
        <v>7</v>
      </c>
      <c r="Y26125" t="s">
        <v>1494</v>
      </c>
      <c r="Z26125" t="s">
        <v>448</v>
      </c>
      <c r="AA26125" t="s">
        <v>456</v>
      </c>
      <c r="AB26125">
        <v>0</v>
      </c>
      <c r="AE26125" t="s">
        <v>1496</v>
      </c>
      <c r="AF26125" t="s">
        <v>448</v>
      </c>
      <c r="AG26125" t="s">
        <v>560</v>
      </c>
      <c r="AL26125" t="s">
        <v>4220</v>
      </c>
      <c r="AM26125" t="s">
        <v>4221</v>
      </c>
      <c r="AN26125" t="s">
        <v>4222</v>
      </c>
      <c r="AO26125" t="s">
        <v>1494</v>
      </c>
      <c r="AQ26125">
        <f>IF(ISBLANK(AP26125), IFERROR(IF(VLOOKUP(AO26125, Ellens_additions!$A$2:$B$252, 2, FALSE) = "", "", VLOOKUP(AO26125, Ellens_additions!$A$2:$B$252, 2, FALSE)), 0), AP26125)</f>
        <v>0</v>
      </c>
    </row>
    <row r="26126" spans="1:43" ht="14.4" hidden="1" x14ac:dyDescent="0.3">
      <c r="A26126" t="s">
        <v>4223</v>
      </c>
      <c r="B26126">
        <v>4909126</v>
      </c>
      <c r="C26126" t="s">
        <v>135</v>
      </c>
      <c r="D26126" t="s">
        <v>174</v>
      </c>
      <c r="E26126" t="s">
        <v>316</v>
      </c>
      <c r="F26126" t="s">
        <v>288</v>
      </c>
      <c r="H26126" t="s">
        <v>4224</v>
      </c>
      <c r="J26126" t="s">
        <v>140</v>
      </c>
      <c r="K26126">
        <v>159291.14000000001</v>
      </c>
      <c r="L26126">
        <v>383590.7</v>
      </c>
      <c r="N26126" t="s">
        <v>1494</v>
      </c>
      <c r="O26126" t="s">
        <v>448</v>
      </c>
      <c r="P26126" t="s">
        <v>1495</v>
      </c>
      <c r="Q26126" t="s">
        <v>144</v>
      </c>
      <c r="S26126">
        <v>0</v>
      </c>
      <c r="T26126">
        <v>0</v>
      </c>
      <c r="V26126" t="s">
        <v>146</v>
      </c>
      <c r="W26126" t="s">
        <v>184</v>
      </c>
      <c r="X26126" t="s">
        <v>7</v>
      </c>
      <c r="Y26126" t="s">
        <v>1494</v>
      </c>
      <c r="Z26126" t="s">
        <v>448</v>
      </c>
      <c r="AA26126" t="s">
        <v>456</v>
      </c>
      <c r="AB26126">
        <v>0</v>
      </c>
      <c r="AE26126" t="s">
        <v>1496</v>
      </c>
      <c r="AF26126" t="s">
        <v>448</v>
      </c>
      <c r="AG26126" t="s">
        <v>560</v>
      </c>
      <c r="AL26126" t="s">
        <v>4225</v>
      </c>
      <c r="AM26126" t="s">
        <v>4226</v>
      </c>
      <c r="AN26126" t="s">
        <v>4227</v>
      </c>
      <c r="AO26126" t="s">
        <v>1494</v>
      </c>
      <c r="AQ26126">
        <f>IF(ISBLANK(AP26126), IFERROR(IF(VLOOKUP(AO26126, Ellens_additions!$A$2:$B$252, 2, FALSE) = "", "", VLOOKUP(AO26126, Ellens_additions!$A$2:$B$252, 2, FALSE)), 0), AP26126)</f>
        <v>0</v>
      </c>
    </row>
    <row r="26127" spans="1:43" ht="14.4" hidden="1" x14ac:dyDescent="0.3">
      <c r="A26127" t="s">
        <v>4228</v>
      </c>
      <c r="B26127">
        <v>4909133</v>
      </c>
      <c r="C26127" t="s">
        <v>135</v>
      </c>
      <c r="D26127" t="s">
        <v>174</v>
      </c>
      <c r="E26127" t="s">
        <v>316</v>
      </c>
      <c r="F26127" t="s">
        <v>288</v>
      </c>
      <c r="H26127" t="s">
        <v>4229</v>
      </c>
      <c r="J26127" t="s">
        <v>140</v>
      </c>
      <c r="K26127">
        <v>159284.21</v>
      </c>
      <c r="L26127">
        <v>383589.88</v>
      </c>
      <c r="N26127" t="s">
        <v>1494</v>
      </c>
      <c r="O26127" t="s">
        <v>448</v>
      </c>
      <c r="P26127" t="s">
        <v>1495</v>
      </c>
      <c r="Q26127" t="s">
        <v>144</v>
      </c>
      <c r="S26127">
        <v>0</v>
      </c>
      <c r="T26127">
        <v>0</v>
      </c>
      <c r="V26127" t="s">
        <v>146</v>
      </c>
      <c r="W26127" t="s">
        <v>184</v>
      </c>
      <c r="X26127" t="s">
        <v>7</v>
      </c>
      <c r="Y26127" t="s">
        <v>1494</v>
      </c>
      <c r="Z26127" t="s">
        <v>448</v>
      </c>
      <c r="AA26127" t="s">
        <v>456</v>
      </c>
      <c r="AB26127">
        <v>0</v>
      </c>
      <c r="AE26127" t="s">
        <v>1496</v>
      </c>
      <c r="AF26127" t="s">
        <v>448</v>
      </c>
      <c r="AG26127" t="s">
        <v>560</v>
      </c>
      <c r="AL26127" t="s">
        <v>4230</v>
      </c>
      <c r="AM26127" t="s">
        <v>4231</v>
      </c>
      <c r="AN26127" t="s">
        <v>4232</v>
      </c>
      <c r="AO26127" t="s">
        <v>1494</v>
      </c>
      <c r="AQ26127">
        <f>IF(ISBLANK(AP26127), IFERROR(IF(VLOOKUP(AO26127, Ellens_additions!$A$2:$B$252, 2, FALSE) = "", "", VLOOKUP(AO26127, Ellens_additions!$A$2:$B$252, 2, FALSE)), 0), AP26127)</f>
        <v>0</v>
      </c>
    </row>
    <row r="26128" spans="1:43" ht="14.4" hidden="1" x14ac:dyDescent="0.3">
      <c r="A26128" t="s">
        <v>4233</v>
      </c>
      <c r="B26128">
        <v>4909135</v>
      </c>
      <c r="C26128" t="s">
        <v>135</v>
      </c>
      <c r="D26128" t="s">
        <v>174</v>
      </c>
      <c r="E26128" t="s">
        <v>316</v>
      </c>
      <c r="F26128" t="s">
        <v>288</v>
      </c>
      <c r="H26128" t="s">
        <v>4234</v>
      </c>
      <c r="J26128" t="s">
        <v>140</v>
      </c>
      <c r="K26128">
        <v>159282.15</v>
      </c>
      <c r="L26128">
        <v>383589.82</v>
      </c>
      <c r="N26128" t="s">
        <v>1494</v>
      </c>
      <c r="O26128" t="s">
        <v>448</v>
      </c>
      <c r="P26128" t="s">
        <v>1495</v>
      </c>
      <c r="Q26128" t="s">
        <v>144</v>
      </c>
      <c r="S26128">
        <v>0</v>
      </c>
      <c r="T26128">
        <v>0</v>
      </c>
      <c r="V26128" t="s">
        <v>146</v>
      </c>
      <c r="W26128" t="s">
        <v>184</v>
      </c>
      <c r="X26128" t="s">
        <v>7</v>
      </c>
      <c r="Y26128" t="s">
        <v>1494</v>
      </c>
      <c r="Z26128" t="s">
        <v>448</v>
      </c>
      <c r="AA26128" t="s">
        <v>456</v>
      </c>
      <c r="AB26128">
        <v>0</v>
      </c>
      <c r="AE26128" t="s">
        <v>1496</v>
      </c>
      <c r="AF26128" t="s">
        <v>448</v>
      </c>
      <c r="AG26128" t="s">
        <v>560</v>
      </c>
      <c r="AL26128" t="s">
        <v>4235</v>
      </c>
      <c r="AM26128" t="s">
        <v>4236</v>
      </c>
      <c r="AN26128" t="s">
        <v>4237</v>
      </c>
      <c r="AO26128" t="s">
        <v>1494</v>
      </c>
      <c r="AQ26128">
        <f>IF(ISBLANK(AP26128), IFERROR(IF(VLOOKUP(AO26128, Ellens_additions!$A$2:$B$252, 2, FALSE) = "", "", VLOOKUP(AO26128, Ellens_additions!$A$2:$B$252, 2, FALSE)), 0), AP26128)</f>
        <v>0</v>
      </c>
    </row>
    <row r="26129" spans="1:43" ht="14.4" hidden="1" x14ac:dyDescent="0.3">
      <c r="A26129" t="s">
        <v>4238</v>
      </c>
      <c r="B26129">
        <v>4909139</v>
      </c>
      <c r="C26129" t="s">
        <v>135</v>
      </c>
      <c r="D26129" t="s">
        <v>174</v>
      </c>
      <c r="E26129" t="s">
        <v>316</v>
      </c>
      <c r="F26129" t="s">
        <v>288</v>
      </c>
      <c r="H26129" t="s">
        <v>4239</v>
      </c>
      <c r="J26129" t="s">
        <v>140</v>
      </c>
      <c r="K26129">
        <v>159277.96</v>
      </c>
      <c r="L26129">
        <v>383590.02</v>
      </c>
      <c r="N26129" t="s">
        <v>1494</v>
      </c>
      <c r="O26129" t="s">
        <v>448</v>
      </c>
      <c r="P26129" t="s">
        <v>1495</v>
      </c>
      <c r="Q26129" t="s">
        <v>144</v>
      </c>
      <c r="S26129">
        <v>0</v>
      </c>
      <c r="T26129">
        <v>0</v>
      </c>
      <c r="V26129" t="s">
        <v>146</v>
      </c>
      <c r="W26129" t="s">
        <v>184</v>
      </c>
      <c r="X26129" t="s">
        <v>7</v>
      </c>
      <c r="Y26129" t="s">
        <v>1494</v>
      </c>
      <c r="Z26129" t="s">
        <v>448</v>
      </c>
      <c r="AA26129" t="s">
        <v>456</v>
      </c>
      <c r="AB26129">
        <v>0</v>
      </c>
      <c r="AE26129" t="s">
        <v>1496</v>
      </c>
      <c r="AF26129" t="s">
        <v>448</v>
      </c>
      <c r="AG26129" t="s">
        <v>560</v>
      </c>
      <c r="AL26129" t="s">
        <v>4240</v>
      </c>
      <c r="AM26129" t="s">
        <v>4241</v>
      </c>
      <c r="AN26129" t="s">
        <v>4242</v>
      </c>
      <c r="AO26129" t="s">
        <v>1494</v>
      </c>
      <c r="AQ26129">
        <f>IF(ISBLANK(AP26129), IFERROR(IF(VLOOKUP(AO26129, Ellens_additions!$A$2:$B$252, 2, FALSE) = "", "", VLOOKUP(AO26129, Ellens_additions!$A$2:$B$252, 2, FALSE)), 0), AP26129)</f>
        <v>0</v>
      </c>
    </row>
    <row r="26130" spans="1:43" ht="14.4" hidden="1" x14ac:dyDescent="0.3">
      <c r="A26130" t="s">
        <v>4243</v>
      </c>
      <c r="B26130">
        <v>4909140</v>
      </c>
      <c r="C26130" t="s">
        <v>135</v>
      </c>
      <c r="D26130" t="s">
        <v>174</v>
      </c>
      <c r="E26130" t="s">
        <v>316</v>
      </c>
      <c r="F26130" t="s">
        <v>288</v>
      </c>
      <c r="H26130" t="s">
        <v>4244</v>
      </c>
      <c r="J26130" t="s">
        <v>140</v>
      </c>
      <c r="K26130">
        <v>159277.04999999999</v>
      </c>
      <c r="L26130">
        <v>383590.11</v>
      </c>
      <c r="N26130" t="s">
        <v>1494</v>
      </c>
      <c r="O26130" t="s">
        <v>448</v>
      </c>
      <c r="P26130" t="s">
        <v>1495</v>
      </c>
      <c r="Q26130" t="s">
        <v>144</v>
      </c>
      <c r="S26130">
        <v>0</v>
      </c>
      <c r="T26130">
        <v>0</v>
      </c>
      <c r="V26130" t="s">
        <v>146</v>
      </c>
      <c r="W26130" t="s">
        <v>184</v>
      </c>
      <c r="X26130" t="s">
        <v>7</v>
      </c>
      <c r="Y26130" t="s">
        <v>1494</v>
      </c>
      <c r="Z26130" t="s">
        <v>448</v>
      </c>
      <c r="AA26130" t="s">
        <v>456</v>
      </c>
      <c r="AB26130">
        <v>0</v>
      </c>
      <c r="AE26130" t="s">
        <v>1496</v>
      </c>
      <c r="AF26130" t="s">
        <v>448</v>
      </c>
      <c r="AG26130" t="s">
        <v>560</v>
      </c>
      <c r="AL26130" t="s">
        <v>4245</v>
      </c>
      <c r="AM26130" t="s">
        <v>4246</v>
      </c>
      <c r="AN26130" t="s">
        <v>4247</v>
      </c>
      <c r="AO26130" t="s">
        <v>1494</v>
      </c>
      <c r="AQ26130">
        <f>IF(ISBLANK(AP26130), IFERROR(IF(VLOOKUP(AO26130, Ellens_additions!$A$2:$B$252, 2, FALSE) = "", "", VLOOKUP(AO26130, Ellens_additions!$A$2:$B$252, 2, FALSE)), 0), AP26130)</f>
        <v>0</v>
      </c>
    </row>
    <row r="26131" spans="1:43" ht="14.4" hidden="1" x14ac:dyDescent="0.3">
      <c r="A26131" t="s">
        <v>4248</v>
      </c>
      <c r="B26131">
        <v>4909141</v>
      </c>
      <c r="C26131" t="s">
        <v>135</v>
      </c>
      <c r="D26131" t="s">
        <v>174</v>
      </c>
      <c r="E26131" t="s">
        <v>316</v>
      </c>
      <c r="F26131" t="s">
        <v>288</v>
      </c>
      <c r="H26131" t="s">
        <v>4249</v>
      </c>
      <c r="J26131" t="s">
        <v>140</v>
      </c>
      <c r="K26131">
        <v>159321.41</v>
      </c>
      <c r="L26131">
        <v>383609.65</v>
      </c>
      <c r="N26131" t="s">
        <v>1494</v>
      </c>
      <c r="O26131" t="s">
        <v>448</v>
      </c>
      <c r="P26131" t="s">
        <v>1495</v>
      </c>
      <c r="Q26131" t="s">
        <v>144</v>
      </c>
      <c r="S26131">
        <v>0</v>
      </c>
      <c r="T26131">
        <v>0</v>
      </c>
      <c r="V26131" t="s">
        <v>146</v>
      </c>
      <c r="W26131" t="s">
        <v>184</v>
      </c>
      <c r="X26131" t="s">
        <v>7</v>
      </c>
      <c r="Y26131" t="s">
        <v>1494</v>
      </c>
      <c r="Z26131" t="s">
        <v>448</v>
      </c>
      <c r="AA26131" t="s">
        <v>456</v>
      </c>
      <c r="AB26131">
        <v>0</v>
      </c>
      <c r="AE26131" t="s">
        <v>1496</v>
      </c>
      <c r="AF26131" t="s">
        <v>448</v>
      </c>
      <c r="AG26131" t="s">
        <v>560</v>
      </c>
      <c r="AL26131" t="s">
        <v>4250</v>
      </c>
      <c r="AM26131" t="s">
        <v>4251</v>
      </c>
      <c r="AN26131" t="s">
        <v>4252</v>
      </c>
      <c r="AO26131" t="s">
        <v>1494</v>
      </c>
      <c r="AQ26131">
        <f>IF(ISBLANK(AP26131), IFERROR(IF(VLOOKUP(AO26131, Ellens_additions!$A$2:$B$252, 2, FALSE) = "", "", VLOOKUP(AO26131, Ellens_additions!$A$2:$B$252, 2, FALSE)), 0), AP26131)</f>
        <v>0</v>
      </c>
    </row>
    <row r="26132" spans="1:43" ht="14.4" hidden="1" x14ac:dyDescent="0.3">
      <c r="A26132" t="s">
        <v>4253</v>
      </c>
      <c r="B26132">
        <v>4909142</v>
      </c>
      <c r="C26132" t="s">
        <v>135</v>
      </c>
      <c r="D26132" t="s">
        <v>174</v>
      </c>
      <c r="E26132" t="s">
        <v>316</v>
      </c>
      <c r="F26132" t="s">
        <v>288</v>
      </c>
      <c r="H26132" t="s">
        <v>4254</v>
      </c>
      <c r="J26132" t="s">
        <v>140</v>
      </c>
      <c r="K26132">
        <v>159320.71</v>
      </c>
      <c r="L26132">
        <v>383609.26</v>
      </c>
      <c r="N26132" t="s">
        <v>1494</v>
      </c>
      <c r="O26132" t="s">
        <v>448</v>
      </c>
      <c r="P26132" t="s">
        <v>1495</v>
      </c>
      <c r="Q26132" t="s">
        <v>144</v>
      </c>
      <c r="S26132">
        <v>0</v>
      </c>
      <c r="T26132">
        <v>0</v>
      </c>
      <c r="V26132" t="s">
        <v>146</v>
      </c>
      <c r="W26132" t="s">
        <v>184</v>
      </c>
      <c r="X26132" t="s">
        <v>7</v>
      </c>
      <c r="Y26132" t="s">
        <v>1494</v>
      </c>
      <c r="Z26132" t="s">
        <v>448</v>
      </c>
      <c r="AA26132" t="s">
        <v>456</v>
      </c>
      <c r="AB26132">
        <v>0</v>
      </c>
      <c r="AE26132" t="s">
        <v>1496</v>
      </c>
      <c r="AF26132" t="s">
        <v>448</v>
      </c>
      <c r="AG26132" t="s">
        <v>560</v>
      </c>
      <c r="AL26132" t="s">
        <v>4255</v>
      </c>
      <c r="AM26132" t="s">
        <v>4256</v>
      </c>
      <c r="AN26132" t="s">
        <v>4257</v>
      </c>
      <c r="AO26132" t="s">
        <v>1494</v>
      </c>
      <c r="AQ26132">
        <f>IF(ISBLANK(AP26132), IFERROR(IF(VLOOKUP(AO26132, Ellens_additions!$A$2:$B$252, 2, FALSE) = "", "", VLOOKUP(AO26132, Ellens_additions!$A$2:$B$252, 2, FALSE)), 0), AP26132)</f>
        <v>0</v>
      </c>
    </row>
    <row r="26133" spans="1:43" ht="14.4" hidden="1" x14ac:dyDescent="0.3">
      <c r="A26133" t="s">
        <v>4258</v>
      </c>
      <c r="B26133">
        <v>4909147</v>
      </c>
      <c r="C26133" t="s">
        <v>135</v>
      </c>
      <c r="D26133" t="s">
        <v>174</v>
      </c>
      <c r="E26133" t="s">
        <v>316</v>
      </c>
      <c r="F26133" t="s">
        <v>288</v>
      </c>
      <c r="H26133" t="s">
        <v>4259</v>
      </c>
      <c r="J26133" t="s">
        <v>140</v>
      </c>
      <c r="K26133">
        <v>159315.65</v>
      </c>
      <c r="L26133">
        <v>383605.78700000001</v>
      </c>
      <c r="N26133" t="s">
        <v>1494</v>
      </c>
      <c r="O26133" t="s">
        <v>448</v>
      </c>
      <c r="P26133" t="s">
        <v>1495</v>
      </c>
      <c r="Q26133" t="s">
        <v>144</v>
      </c>
      <c r="S26133">
        <v>0</v>
      </c>
      <c r="T26133">
        <v>0</v>
      </c>
      <c r="V26133" t="s">
        <v>146</v>
      </c>
      <c r="W26133" t="s">
        <v>184</v>
      </c>
      <c r="X26133" t="s">
        <v>7</v>
      </c>
      <c r="Y26133" t="s">
        <v>1494</v>
      </c>
      <c r="Z26133" t="s">
        <v>448</v>
      </c>
      <c r="AA26133" t="s">
        <v>456</v>
      </c>
      <c r="AB26133">
        <v>0</v>
      </c>
      <c r="AE26133" t="s">
        <v>1496</v>
      </c>
      <c r="AF26133" t="s">
        <v>448</v>
      </c>
      <c r="AG26133" t="s">
        <v>560</v>
      </c>
      <c r="AL26133" t="s">
        <v>4260</v>
      </c>
      <c r="AM26133" t="s">
        <v>4261</v>
      </c>
      <c r="AN26133" t="s">
        <v>4262</v>
      </c>
      <c r="AO26133" t="s">
        <v>1494</v>
      </c>
      <c r="AQ26133">
        <f>IF(ISBLANK(AP26133), IFERROR(IF(VLOOKUP(AO26133, Ellens_additions!$A$2:$B$252, 2, FALSE) = "", "", VLOOKUP(AO26133, Ellens_additions!$A$2:$B$252, 2, FALSE)), 0), AP26133)</f>
        <v>0</v>
      </c>
    </row>
    <row r="26134" spans="1:43" ht="14.4" hidden="1" x14ac:dyDescent="0.3">
      <c r="A26134" t="s">
        <v>4263</v>
      </c>
      <c r="B26134">
        <v>4909149</v>
      </c>
      <c r="C26134" t="s">
        <v>135</v>
      </c>
      <c r="D26134" t="s">
        <v>174</v>
      </c>
      <c r="E26134" t="s">
        <v>316</v>
      </c>
      <c r="F26134" t="s">
        <v>288</v>
      </c>
      <c r="H26134" t="s">
        <v>4264</v>
      </c>
      <c r="J26134" t="s">
        <v>140</v>
      </c>
      <c r="K26134">
        <v>159314.26</v>
      </c>
      <c r="L26134">
        <v>383604.59</v>
      </c>
      <c r="N26134" t="s">
        <v>1494</v>
      </c>
      <c r="O26134" t="s">
        <v>448</v>
      </c>
      <c r="P26134" t="s">
        <v>1495</v>
      </c>
      <c r="Q26134" t="s">
        <v>144</v>
      </c>
      <c r="S26134">
        <v>0</v>
      </c>
      <c r="T26134">
        <v>0</v>
      </c>
      <c r="V26134" t="s">
        <v>146</v>
      </c>
      <c r="W26134" t="s">
        <v>184</v>
      </c>
      <c r="X26134" t="s">
        <v>7</v>
      </c>
      <c r="Y26134" t="s">
        <v>1494</v>
      </c>
      <c r="Z26134" t="s">
        <v>448</v>
      </c>
      <c r="AA26134" t="s">
        <v>456</v>
      </c>
      <c r="AB26134">
        <v>0</v>
      </c>
      <c r="AE26134" t="s">
        <v>1496</v>
      </c>
      <c r="AF26134" t="s">
        <v>448</v>
      </c>
      <c r="AG26134" t="s">
        <v>560</v>
      </c>
      <c r="AL26134" t="s">
        <v>4265</v>
      </c>
      <c r="AM26134" t="s">
        <v>4266</v>
      </c>
      <c r="AN26134" t="s">
        <v>4267</v>
      </c>
      <c r="AO26134" t="s">
        <v>1494</v>
      </c>
      <c r="AQ26134">
        <f>IF(ISBLANK(AP26134), IFERROR(IF(VLOOKUP(AO26134, Ellens_additions!$A$2:$B$252, 2, FALSE) = "", "", VLOOKUP(AO26134, Ellens_additions!$A$2:$B$252, 2, FALSE)), 0), AP26134)</f>
        <v>0</v>
      </c>
    </row>
    <row r="26135" spans="1:43" ht="14.4" hidden="1" x14ac:dyDescent="0.3">
      <c r="A26135" t="s">
        <v>4268</v>
      </c>
      <c r="B26135">
        <v>4909150</v>
      </c>
      <c r="C26135" t="s">
        <v>135</v>
      </c>
      <c r="D26135" t="s">
        <v>174</v>
      </c>
      <c r="E26135" t="s">
        <v>316</v>
      </c>
      <c r="F26135" t="s">
        <v>288</v>
      </c>
      <c r="H26135" t="s">
        <v>4269</v>
      </c>
      <c r="J26135" t="s">
        <v>140</v>
      </c>
      <c r="K26135">
        <v>159313.37</v>
      </c>
      <c r="L26135">
        <v>383603.9</v>
      </c>
      <c r="N26135" t="s">
        <v>1494</v>
      </c>
      <c r="O26135" t="s">
        <v>448</v>
      </c>
      <c r="P26135" t="s">
        <v>1495</v>
      </c>
      <c r="Q26135" t="s">
        <v>144</v>
      </c>
      <c r="S26135">
        <v>0</v>
      </c>
      <c r="T26135">
        <v>0</v>
      </c>
      <c r="V26135" t="s">
        <v>146</v>
      </c>
      <c r="W26135" t="s">
        <v>184</v>
      </c>
      <c r="X26135" t="s">
        <v>7</v>
      </c>
      <c r="Y26135" t="s">
        <v>1494</v>
      </c>
      <c r="Z26135" t="s">
        <v>448</v>
      </c>
      <c r="AA26135" t="s">
        <v>456</v>
      </c>
      <c r="AB26135">
        <v>0</v>
      </c>
      <c r="AE26135" t="s">
        <v>1496</v>
      </c>
      <c r="AF26135" t="s">
        <v>448</v>
      </c>
      <c r="AG26135" t="s">
        <v>560</v>
      </c>
      <c r="AL26135" t="s">
        <v>4270</v>
      </c>
      <c r="AM26135" t="s">
        <v>4271</v>
      </c>
      <c r="AN26135" t="s">
        <v>4272</v>
      </c>
      <c r="AO26135" t="s">
        <v>1494</v>
      </c>
      <c r="AQ26135">
        <f>IF(ISBLANK(AP26135), IFERROR(IF(VLOOKUP(AO26135, Ellens_additions!$A$2:$B$252, 2, FALSE) = "", "", VLOOKUP(AO26135, Ellens_additions!$A$2:$B$252, 2, FALSE)), 0), AP26135)</f>
        <v>0</v>
      </c>
    </row>
    <row r="26136" spans="1:43" ht="14.4" hidden="1" x14ac:dyDescent="0.3">
      <c r="A26136" t="s">
        <v>4273</v>
      </c>
      <c r="B26136">
        <v>4909152</v>
      </c>
      <c r="C26136" t="s">
        <v>135</v>
      </c>
      <c r="D26136" t="s">
        <v>174</v>
      </c>
      <c r="E26136" t="s">
        <v>316</v>
      </c>
      <c r="F26136" t="s">
        <v>288</v>
      </c>
      <c r="H26136" t="s">
        <v>4274</v>
      </c>
      <c r="J26136" t="s">
        <v>140</v>
      </c>
      <c r="K26136">
        <v>159312.07999999999</v>
      </c>
      <c r="L26136">
        <v>383602.61</v>
      </c>
      <c r="N26136" t="s">
        <v>1494</v>
      </c>
      <c r="O26136" t="s">
        <v>448</v>
      </c>
      <c r="P26136" t="s">
        <v>1495</v>
      </c>
      <c r="Q26136" t="s">
        <v>144</v>
      </c>
      <c r="S26136">
        <v>0</v>
      </c>
      <c r="T26136">
        <v>0</v>
      </c>
      <c r="V26136" t="s">
        <v>146</v>
      </c>
      <c r="W26136" t="s">
        <v>184</v>
      </c>
      <c r="X26136" t="s">
        <v>7</v>
      </c>
      <c r="Y26136" t="s">
        <v>1494</v>
      </c>
      <c r="Z26136" t="s">
        <v>448</v>
      </c>
      <c r="AA26136" t="s">
        <v>456</v>
      </c>
      <c r="AB26136">
        <v>0</v>
      </c>
      <c r="AE26136" t="s">
        <v>1496</v>
      </c>
      <c r="AF26136" t="s">
        <v>448</v>
      </c>
      <c r="AG26136" t="s">
        <v>560</v>
      </c>
      <c r="AL26136" t="s">
        <v>4275</v>
      </c>
      <c r="AM26136" t="s">
        <v>4276</v>
      </c>
      <c r="AN26136" t="s">
        <v>4277</v>
      </c>
      <c r="AO26136" t="s">
        <v>1494</v>
      </c>
      <c r="AQ26136">
        <f>IF(ISBLANK(AP26136), IFERROR(IF(VLOOKUP(AO26136, Ellens_additions!$A$2:$B$252, 2, FALSE) = "", "", VLOOKUP(AO26136, Ellens_additions!$A$2:$B$252, 2, FALSE)), 0), AP26136)</f>
        <v>0</v>
      </c>
    </row>
    <row r="26137" spans="1:43" ht="14.4" hidden="1" x14ac:dyDescent="0.3">
      <c r="A26137" t="s">
        <v>4278</v>
      </c>
      <c r="B26137">
        <v>4909153</v>
      </c>
      <c r="C26137" t="s">
        <v>135</v>
      </c>
      <c r="D26137" t="s">
        <v>174</v>
      </c>
      <c r="E26137" t="s">
        <v>316</v>
      </c>
      <c r="F26137" t="s">
        <v>288</v>
      </c>
      <c r="H26137" t="s">
        <v>4279</v>
      </c>
      <c r="J26137" t="s">
        <v>140</v>
      </c>
      <c r="K26137">
        <v>159310.99</v>
      </c>
      <c r="L26137">
        <v>383601.52</v>
      </c>
      <c r="N26137" t="s">
        <v>1494</v>
      </c>
      <c r="O26137" t="s">
        <v>448</v>
      </c>
      <c r="P26137" t="s">
        <v>1495</v>
      </c>
      <c r="Q26137" t="s">
        <v>144</v>
      </c>
      <c r="S26137">
        <v>0</v>
      </c>
      <c r="T26137">
        <v>0</v>
      </c>
      <c r="V26137" t="s">
        <v>146</v>
      </c>
      <c r="W26137" t="s">
        <v>184</v>
      </c>
      <c r="X26137" t="s">
        <v>7</v>
      </c>
      <c r="Y26137" t="s">
        <v>1494</v>
      </c>
      <c r="Z26137" t="s">
        <v>448</v>
      </c>
      <c r="AA26137" t="s">
        <v>456</v>
      </c>
      <c r="AB26137">
        <v>0</v>
      </c>
      <c r="AE26137" t="s">
        <v>1496</v>
      </c>
      <c r="AF26137" t="s">
        <v>448</v>
      </c>
      <c r="AG26137" t="s">
        <v>560</v>
      </c>
      <c r="AL26137" t="s">
        <v>4280</v>
      </c>
      <c r="AM26137" t="s">
        <v>4281</v>
      </c>
      <c r="AN26137" t="s">
        <v>4282</v>
      </c>
      <c r="AO26137" t="s">
        <v>1494</v>
      </c>
      <c r="AQ26137">
        <f>IF(ISBLANK(AP26137), IFERROR(IF(VLOOKUP(AO26137, Ellens_additions!$A$2:$B$252, 2, FALSE) = "", "", VLOOKUP(AO26137, Ellens_additions!$A$2:$B$252, 2, FALSE)), 0), AP26137)</f>
        <v>0</v>
      </c>
    </row>
    <row r="26138" spans="1:43" ht="14.4" hidden="1" x14ac:dyDescent="0.3">
      <c r="A26138" t="s">
        <v>4283</v>
      </c>
      <c r="B26138">
        <v>4909158</v>
      </c>
      <c r="C26138" t="s">
        <v>135</v>
      </c>
      <c r="D26138" t="s">
        <v>174</v>
      </c>
      <c r="E26138" t="s">
        <v>316</v>
      </c>
      <c r="F26138" t="s">
        <v>288</v>
      </c>
      <c r="H26138" t="s">
        <v>4284</v>
      </c>
      <c r="J26138" t="s">
        <v>140</v>
      </c>
      <c r="K26138">
        <v>159307.81</v>
      </c>
      <c r="L26138">
        <v>383597.25</v>
      </c>
      <c r="N26138" t="s">
        <v>1494</v>
      </c>
      <c r="O26138" t="s">
        <v>448</v>
      </c>
      <c r="P26138" t="s">
        <v>1495</v>
      </c>
      <c r="Q26138" t="s">
        <v>144</v>
      </c>
      <c r="S26138">
        <v>0</v>
      </c>
      <c r="T26138">
        <v>0</v>
      </c>
      <c r="V26138" t="s">
        <v>146</v>
      </c>
      <c r="W26138" t="s">
        <v>184</v>
      </c>
      <c r="X26138" t="s">
        <v>7</v>
      </c>
      <c r="Y26138" t="s">
        <v>1494</v>
      </c>
      <c r="Z26138" t="s">
        <v>448</v>
      </c>
      <c r="AA26138" t="s">
        <v>456</v>
      </c>
      <c r="AB26138">
        <v>0</v>
      </c>
      <c r="AE26138" t="s">
        <v>1496</v>
      </c>
      <c r="AF26138" t="s">
        <v>448</v>
      </c>
      <c r="AG26138" t="s">
        <v>560</v>
      </c>
      <c r="AL26138" t="s">
        <v>4285</v>
      </c>
      <c r="AM26138" t="s">
        <v>4286</v>
      </c>
      <c r="AN26138" t="s">
        <v>4287</v>
      </c>
      <c r="AO26138" t="s">
        <v>1494</v>
      </c>
      <c r="AQ26138">
        <f>IF(ISBLANK(AP26138), IFERROR(IF(VLOOKUP(AO26138, Ellens_additions!$A$2:$B$252, 2, FALSE) = "", "", VLOOKUP(AO26138, Ellens_additions!$A$2:$B$252, 2, FALSE)), 0), AP26138)</f>
        <v>0</v>
      </c>
    </row>
    <row r="26139" spans="1:43" ht="14.4" hidden="1" x14ac:dyDescent="0.3">
      <c r="A26139" t="s">
        <v>4288</v>
      </c>
      <c r="B26139">
        <v>4909163</v>
      </c>
      <c r="C26139" t="s">
        <v>135</v>
      </c>
      <c r="D26139" t="s">
        <v>174</v>
      </c>
      <c r="E26139" t="s">
        <v>316</v>
      </c>
      <c r="F26139" t="s">
        <v>288</v>
      </c>
      <c r="H26139" t="s">
        <v>4289</v>
      </c>
      <c r="J26139" t="s">
        <v>140</v>
      </c>
      <c r="K26139">
        <v>159304.93</v>
      </c>
      <c r="L26139">
        <v>383592.29</v>
      </c>
      <c r="N26139" t="s">
        <v>1494</v>
      </c>
      <c r="O26139" t="s">
        <v>448</v>
      </c>
      <c r="P26139" t="s">
        <v>1495</v>
      </c>
      <c r="Q26139" t="s">
        <v>144</v>
      </c>
      <c r="S26139">
        <v>0</v>
      </c>
      <c r="T26139">
        <v>0</v>
      </c>
      <c r="V26139" t="s">
        <v>146</v>
      </c>
      <c r="W26139" t="s">
        <v>184</v>
      </c>
      <c r="X26139" t="s">
        <v>7</v>
      </c>
      <c r="Y26139" t="s">
        <v>1494</v>
      </c>
      <c r="Z26139" t="s">
        <v>448</v>
      </c>
      <c r="AA26139" t="s">
        <v>456</v>
      </c>
      <c r="AB26139">
        <v>0</v>
      </c>
      <c r="AE26139" t="s">
        <v>1496</v>
      </c>
      <c r="AF26139" t="s">
        <v>448</v>
      </c>
      <c r="AG26139" t="s">
        <v>560</v>
      </c>
      <c r="AL26139" t="s">
        <v>4290</v>
      </c>
      <c r="AM26139" t="s">
        <v>4291</v>
      </c>
      <c r="AN26139" t="s">
        <v>4292</v>
      </c>
      <c r="AO26139" t="s">
        <v>1494</v>
      </c>
      <c r="AQ26139">
        <f>IF(ISBLANK(AP26139), IFERROR(IF(VLOOKUP(AO26139, Ellens_additions!$A$2:$B$252, 2, FALSE) = "", "", VLOOKUP(AO26139, Ellens_additions!$A$2:$B$252, 2, FALSE)), 0), AP26139)</f>
        <v>0</v>
      </c>
    </row>
    <row r="26140" spans="1:43" ht="14.4" hidden="1" x14ac:dyDescent="0.3">
      <c r="A26140" t="s">
        <v>4293</v>
      </c>
      <c r="B26140">
        <v>4909166</v>
      </c>
      <c r="C26140" t="s">
        <v>135</v>
      </c>
      <c r="D26140" t="s">
        <v>174</v>
      </c>
      <c r="E26140" t="s">
        <v>316</v>
      </c>
      <c r="F26140" t="s">
        <v>288</v>
      </c>
      <c r="H26140" t="s">
        <v>4294</v>
      </c>
      <c r="J26140" t="s">
        <v>140</v>
      </c>
      <c r="K26140">
        <v>159303.64000000001</v>
      </c>
      <c r="L26140">
        <v>383589.31</v>
      </c>
      <c r="N26140" t="s">
        <v>1494</v>
      </c>
      <c r="O26140" t="s">
        <v>448</v>
      </c>
      <c r="P26140" t="s">
        <v>1495</v>
      </c>
      <c r="Q26140" t="s">
        <v>144</v>
      </c>
      <c r="S26140">
        <v>0</v>
      </c>
      <c r="T26140">
        <v>0</v>
      </c>
      <c r="V26140" t="s">
        <v>146</v>
      </c>
      <c r="W26140" t="s">
        <v>184</v>
      </c>
      <c r="X26140" t="s">
        <v>7</v>
      </c>
      <c r="Y26140" t="s">
        <v>1494</v>
      </c>
      <c r="Z26140" t="s">
        <v>448</v>
      </c>
      <c r="AA26140" t="s">
        <v>456</v>
      </c>
      <c r="AB26140">
        <v>0</v>
      </c>
      <c r="AE26140" t="s">
        <v>1496</v>
      </c>
      <c r="AF26140" t="s">
        <v>448</v>
      </c>
      <c r="AG26140" t="s">
        <v>560</v>
      </c>
      <c r="AL26140" t="s">
        <v>4295</v>
      </c>
      <c r="AM26140" t="s">
        <v>4296</v>
      </c>
      <c r="AN26140" t="s">
        <v>4297</v>
      </c>
      <c r="AO26140" t="s">
        <v>1494</v>
      </c>
      <c r="AQ26140">
        <f>IF(ISBLANK(AP26140), IFERROR(IF(VLOOKUP(AO26140, Ellens_additions!$A$2:$B$252, 2, FALSE) = "", "", VLOOKUP(AO26140, Ellens_additions!$A$2:$B$252, 2, FALSE)), 0), AP26140)</f>
        <v>0</v>
      </c>
    </row>
    <row r="26141" spans="1:43" ht="14.4" hidden="1" x14ac:dyDescent="0.3">
      <c r="A26141" t="s">
        <v>4298</v>
      </c>
      <c r="B26141">
        <v>4909167</v>
      </c>
      <c r="C26141" t="s">
        <v>135</v>
      </c>
      <c r="D26141" t="s">
        <v>174</v>
      </c>
      <c r="E26141" t="s">
        <v>316</v>
      </c>
      <c r="F26141" t="s">
        <v>288</v>
      </c>
      <c r="H26141" t="s">
        <v>4299</v>
      </c>
      <c r="J26141" t="s">
        <v>140</v>
      </c>
      <c r="K26141">
        <v>159303.15</v>
      </c>
      <c r="L26141">
        <v>383587.83</v>
      </c>
      <c r="N26141" t="s">
        <v>1494</v>
      </c>
      <c r="O26141" t="s">
        <v>448</v>
      </c>
      <c r="P26141" t="s">
        <v>1495</v>
      </c>
      <c r="Q26141" t="s">
        <v>144</v>
      </c>
      <c r="S26141">
        <v>0</v>
      </c>
      <c r="T26141">
        <v>0</v>
      </c>
      <c r="V26141" t="s">
        <v>146</v>
      </c>
      <c r="W26141" t="s">
        <v>184</v>
      </c>
      <c r="X26141" t="s">
        <v>7</v>
      </c>
      <c r="Y26141" t="s">
        <v>1494</v>
      </c>
      <c r="Z26141" t="s">
        <v>448</v>
      </c>
      <c r="AA26141" t="s">
        <v>456</v>
      </c>
      <c r="AB26141">
        <v>0</v>
      </c>
      <c r="AE26141" t="s">
        <v>1496</v>
      </c>
      <c r="AF26141" t="s">
        <v>448</v>
      </c>
      <c r="AG26141" t="s">
        <v>560</v>
      </c>
      <c r="AL26141" t="s">
        <v>4300</v>
      </c>
      <c r="AM26141" t="s">
        <v>4301</v>
      </c>
      <c r="AN26141" t="s">
        <v>4302</v>
      </c>
      <c r="AO26141" t="s">
        <v>1494</v>
      </c>
      <c r="AQ26141">
        <f>IF(ISBLANK(AP26141), IFERROR(IF(VLOOKUP(AO26141, Ellens_additions!$A$2:$B$252, 2, FALSE) = "", "", VLOOKUP(AO26141, Ellens_additions!$A$2:$B$252, 2, FALSE)), 0), AP26141)</f>
        <v>0</v>
      </c>
    </row>
    <row r="26142" spans="1:43" ht="14.4" hidden="1" x14ac:dyDescent="0.3">
      <c r="A26142" t="s">
        <v>4303</v>
      </c>
      <c r="B26142">
        <v>4909168</v>
      </c>
      <c r="C26142" t="s">
        <v>135</v>
      </c>
      <c r="D26142" t="s">
        <v>174</v>
      </c>
      <c r="E26142" t="s">
        <v>316</v>
      </c>
      <c r="F26142" t="s">
        <v>288</v>
      </c>
      <c r="H26142" t="s">
        <v>4304</v>
      </c>
      <c r="J26142" t="s">
        <v>140</v>
      </c>
      <c r="K26142">
        <v>159302.65</v>
      </c>
      <c r="L26142">
        <v>383586.73</v>
      </c>
      <c r="N26142" t="s">
        <v>1494</v>
      </c>
      <c r="O26142" t="s">
        <v>448</v>
      </c>
      <c r="P26142" t="s">
        <v>1495</v>
      </c>
      <c r="Q26142" t="s">
        <v>144</v>
      </c>
      <c r="S26142">
        <v>0</v>
      </c>
      <c r="T26142">
        <v>0</v>
      </c>
      <c r="V26142" t="s">
        <v>146</v>
      </c>
      <c r="W26142" t="s">
        <v>184</v>
      </c>
      <c r="X26142" t="s">
        <v>7</v>
      </c>
      <c r="Y26142" t="s">
        <v>1494</v>
      </c>
      <c r="Z26142" t="s">
        <v>448</v>
      </c>
      <c r="AA26142" t="s">
        <v>456</v>
      </c>
      <c r="AB26142">
        <v>0</v>
      </c>
      <c r="AE26142" t="s">
        <v>1496</v>
      </c>
      <c r="AF26142" t="s">
        <v>448</v>
      </c>
      <c r="AG26142" t="s">
        <v>560</v>
      </c>
      <c r="AL26142" t="s">
        <v>4305</v>
      </c>
      <c r="AM26142" t="s">
        <v>4306</v>
      </c>
      <c r="AN26142" t="s">
        <v>4307</v>
      </c>
      <c r="AO26142" t="s">
        <v>1494</v>
      </c>
      <c r="AQ26142">
        <f>IF(ISBLANK(AP26142), IFERROR(IF(VLOOKUP(AO26142, Ellens_additions!$A$2:$B$252, 2, FALSE) = "", "", VLOOKUP(AO26142, Ellens_additions!$A$2:$B$252, 2, FALSE)), 0), AP26142)</f>
        <v>0</v>
      </c>
    </row>
    <row r="26143" spans="1:43" ht="14.4" hidden="1" x14ac:dyDescent="0.3">
      <c r="A26143" t="s">
        <v>4308</v>
      </c>
      <c r="B26143">
        <v>4909170</v>
      </c>
      <c r="C26143" t="s">
        <v>135</v>
      </c>
      <c r="D26143" t="s">
        <v>174</v>
      </c>
      <c r="E26143" t="s">
        <v>316</v>
      </c>
      <c r="F26143" t="s">
        <v>288</v>
      </c>
      <c r="H26143" t="s">
        <v>4309</v>
      </c>
      <c r="J26143" t="s">
        <v>140</v>
      </c>
      <c r="K26143">
        <v>159302.15599999999</v>
      </c>
      <c r="L26143">
        <v>383584.75</v>
      </c>
      <c r="N26143" t="s">
        <v>1494</v>
      </c>
      <c r="O26143" t="s">
        <v>448</v>
      </c>
      <c r="P26143" t="s">
        <v>1495</v>
      </c>
      <c r="Q26143" t="s">
        <v>144</v>
      </c>
      <c r="S26143">
        <v>0</v>
      </c>
      <c r="T26143">
        <v>0</v>
      </c>
      <c r="V26143" t="s">
        <v>146</v>
      </c>
      <c r="W26143" t="s">
        <v>184</v>
      </c>
      <c r="X26143" t="s">
        <v>7</v>
      </c>
      <c r="Y26143" t="s">
        <v>1494</v>
      </c>
      <c r="Z26143" t="s">
        <v>448</v>
      </c>
      <c r="AA26143" t="s">
        <v>456</v>
      </c>
      <c r="AB26143">
        <v>0</v>
      </c>
      <c r="AE26143" t="s">
        <v>1496</v>
      </c>
      <c r="AF26143" t="s">
        <v>448</v>
      </c>
      <c r="AG26143" t="s">
        <v>560</v>
      </c>
      <c r="AL26143" t="s">
        <v>4310</v>
      </c>
      <c r="AM26143" t="s">
        <v>4311</v>
      </c>
      <c r="AN26143" t="s">
        <v>4312</v>
      </c>
      <c r="AO26143" t="s">
        <v>1494</v>
      </c>
      <c r="AQ26143">
        <f>IF(ISBLANK(AP26143), IFERROR(IF(VLOOKUP(AO26143, Ellens_additions!$A$2:$B$252, 2, FALSE) = "", "", VLOOKUP(AO26143, Ellens_additions!$A$2:$B$252, 2, FALSE)), 0), AP26143)</f>
        <v>0</v>
      </c>
    </row>
    <row r="26144" spans="1:43" ht="14.4" hidden="1" x14ac:dyDescent="0.3">
      <c r="A26144" t="s">
        <v>4313</v>
      </c>
      <c r="B26144">
        <v>4909172</v>
      </c>
      <c r="C26144" t="s">
        <v>135</v>
      </c>
      <c r="D26144" t="s">
        <v>174</v>
      </c>
      <c r="E26144" t="s">
        <v>316</v>
      </c>
      <c r="F26144" t="s">
        <v>288</v>
      </c>
      <c r="H26144" t="s">
        <v>4314</v>
      </c>
      <c r="J26144" t="s">
        <v>140</v>
      </c>
      <c r="K26144">
        <v>159301.66</v>
      </c>
      <c r="L26144">
        <v>383582.77</v>
      </c>
      <c r="N26144" t="s">
        <v>1494</v>
      </c>
      <c r="O26144" t="s">
        <v>448</v>
      </c>
      <c r="P26144" t="s">
        <v>1495</v>
      </c>
      <c r="Q26144" t="s">
        <v>144</v>
      </c>
      <c r="S26144">
        <v>0</v>
      </c>
      <c r="T26144">
        <v>0</v>
      </c>
      <c r="V26144" t="s">
        <v>146</v>
      </c>
      <c r="W26144" t="s">
        <v>184</v>
      </c>
      <c r="X26144" t="s">
        <v>7</v>
      </c>
      <c r="Y26144" t="s">
        <v>1494</v>
      </c>
      <c r="Z26144" t="s">
        <v>448</v>
      </c>
      <c r="AA26144" t="s">
        <v>456</v>
      </c>
      <c r="AB26144">
        <v>0</v>
      </c>
      <c r="AE26144" t="s">
        <v>1496</v>
      </c>
      <c r="AF26144" t="s">
        <v>448</v>
      </c>
      <c r="AG26144" t="s">
        <v>560</v>
      </c>
      <c r="AL26144" t="s">
        <v>4315</v>
      </c>
      <c r="AM26144" t="s">
        <v>4316</v>
      </c>
      <c r="AN26144" t="s">
        <v>4317</v>
      </c>
      <c r="AO26144" t="s">
        <v>1494</v>
      </c>
      <c r="AQ26144">
        <f>IF(ISBLANK(AP26144), IFERROR(IF(VLOOKUP(AO26144, Ellens_additions!$A$2:$B$252, 2, FALSE) = "", "", VLOOKUP(AO26144, Ellens_additions!$A$2:$B$252, 2, FALSE)), 0), AP26144)</f>
        <v>0</v>
      </c>
    </row>
    <row r="26145" spans="1:43" ht="14.4" hidden="1" x14ac:dyDescent="0.3">
      <c r="A26145" t="s">
        <v>4318</v>
      </c>
      <c r="B26145">
        <v>4909176</v>
      </c>
      <c r="C26145" t="s">
        <v>135</v>
      </c>
      <c r="D26145" t="s">
        <v>174</v>
      </c>
      <c r="E26145" t="s">
        <v>316</v>
      </c>
      <c r="F26145" t="s">
        <v>288</v>
      </c>
      <c r="H26145" t="s">
        <v>4319</v>
      </c>
      <c r="J26145" t="s">
        <v>140</v>
      </c>
      <c r="K26145">
        <v>159300.69</v>
      </c>
      <c r="L26145">
        <v>383578.77</v>
      </c>
      <c r="N26145" t="s">
        <v>1494</v>
      </c>
      <c r="O26145" t="s">
        <v>448</v>
      </c>
      <c r="P26145" t="s">
        <v>1495</v>
      </c>
      <c r="Q26145" t="s">
        <v>144</v>
      </c>
      <c r="S26145">
        <v>0</v>
      </c>
      <c r="T26145">
        <v>0</v>
      </c>
      <c r="V26145" t="s">
        <v>146</v>
      </c>
      <c r="W26145" t="s">
        <v>184</v>
      </c>
      <c r="X26145" t="s">
        <v>7</v>
      </c>
      <c r="Y26145" t="s">
        <v>1494</v>
      </c>
      <c r="Z26145" t="s">
        <v>448</v>
      </c>
      <c r="AA26145" t="s">
        <v>456</v>
      </c>
      <c r="AB26145">
        <v>0</v>
      </c>
      <c r="AE26145" t="s">
        <v>1496</v>
      </c>
      <c r="AF26145" t="s">
        <v>448</v>
      </c>
      <c r="AG26145" t="s">
        <v>560</v>
      </c>
      <c r="AL26145" t="s">
        <v>4320</v>
      </c>
      <c r="AM26145" t="s">
        <v>4321</v>
      </c>
      <c r="AN26145" t="s">
        <v>4322</v>
      </c>
      <c r="AO26145" t="s">
        <v>1494</v>
      </c>
      <c r="AQ26145">
        <f>IF(ISBLANK(AP26145), IFERROR(IF(VLOOKUP(AO26145, Ellens_additions!$A$2:$B$252, 2, FALSE) = "", "", VLOOKUP(AO26145, Ellens_additions!$A$2:$B$252, 2, FALSE)), 0), AP26145)</f>
        <v>0</v>
      </c>
    </row>
    <row r="26146" spans="1:43" ht="14.4" hidden="1" x14ac:dyDescent="0.3">
      <c r="A26146" t="s">
        <v>4323</v>
      </c>
      <c r="B26146">
        <v>4909179</v>
      </c>
      <c r="C26146" t="s">
        <v>135</v>
      </c>
      <c r="D26146" t="s">
        <v>174</v>
      </c>
      <c r="E26146" t="s">
        <v>316</v>
      </c>
      <c r="F26146" t="s">
        <v>288</v>
      </c>
      <c r="H26146" t="s">
        <v>4324</v>
      </c>
      <c r="J26146" t="s">
        <v>140</v>
      </c>
      <c r="K26146">
        <v>159268.34</v>
      </c>
      <c r="L26146">
        <v>383576.83</v>
      </c>
      <c r="N26146" t="s">
        <v>1494</v>
      </c>
      <c r="O26146" t="s">
        <v>448</v>
      </c>
      <c r="P26146" t="s">
        <v>1495</v>
      </c>
      <c r="Q26146" t="s">
        <v>144</v>
      </c>
      <c r="S26146">
        <v>0</v>
      </c>
      <c r="T26146">
        <v>0</v>
      </c>
      <c r="V26146" t="s">
        <v>146</v>
      </c>
      <c r="W26146" t="s">
        <v>184</v>
      </c>
      <c r="X26146" t="s">
        <v>7</v>
      </c>
      <c r="Y26146" t="s">
        <v>1494</v>
      </c>
      <c r="Z26146" t="s">
        <v>448</v>
      </c>
      <c r="AA26146" t="s">
        <v>456</v>
      </c>
      <c r="AB26146">
        <v>0</v>
      </c>
      <c r="AE26146" t="s">
        <v>1496</v>
      </c>
      <c r="AF26146" t="s">
        <v>448</v>
      </c>
      <c r="AG26146" t="s">
        <v>560</v>
      </c>
      <c r="AL26146" t="s">
        <v>4325</v>
      </c>
      <c r="AM26146" t="s">
        <v>4326</v>
      </c>
      <c r="AN26146" t="s">
        <v>4327</v>
      </c>
      <c r="AO26146" t="s">
        <v>1494</v>
      </c>
      <c r="AQ26146">
        <f>IF(ISBLANK(AP26146), IFERROR(IF(VLOOKUP(AO26146, Ellens_additions!$A$2:$B$252, 2, FALSE) = "", "", VLOOKUP(AO26146, Ellens_additions!$A$2:$B$252, 2, FALSE)), 0), AP26146)</f>
        <v>0</v>
      </c>
    </row>
    <row r="26147" spans="1:43" ht="14.4" hidden="1" x14ac:dyDescent="0.3">
      <c r="A26147" t="s">
        <v>4328</v>
      </c>
      <c r="B26147">
        <v>4909181</v>
      </c>
      <c r="C26147" t="s">
        <v>135</v>
      </c>
      <c r="D26147" t="s">
        <v>174</v>
      </c>
      <c r="E26147" t="s">
        <v>316</v>
      </c>
      <c r="F26147" t="s">
        <v>288</v>
      </c>
      <c r="H26147" t="s">
        <v>4329</v>
      </c>
      <c r="J26147" t="s">
        <v>140</v>
      </c>
      <c r="K26147">
        <v>159270.72</v>
      </c>
      <c r="L26147">
        <v>383576.04</v>
      </c>
      <c r="N26147" t="s">
        <v>1494</v>
      </c>
      <c r="O26147" t="s">
        <v>448</v>
      </c>
      <c r="P26147" t="s">
        <v>1495</v>
      </c>
      <c r="Q26147" t="s">
        <v>144</v>
      </c>
      <c r="S26147">
        <v>0</v>
      </c>
      <c r="T26147">
        <v>0</v>
      </c>
      <c r="V26147" t="s">
        <v>146</v>
      </c>
      <c r="W26147" t="s">
        <v>184</v>
      </c>
      <c r="X26147" t="s">
        <v>7</v>
      </c>
      <c r="Y26147" t="s">
        <v>1494</v>
      </c>
      <c r="Z26147" t="s">
        <v>448</v>
      </c>
      <c r="AA26147" t="s">
        <v>456</v>
      </c>
      <c r="AB26147">
        <v>0</v>
      </c>
      <c r="AE26147" t="s">
        <v>1496</v>
      </c>
      <c r="AF26147" t="s">
        <v>448</v>
      </c>
      <c r="AG26147" t="s">
        <v>560</v>
      </c>
      <c r="AL26147" t="s">
        <v>4330</v>
      </c>
      <c r="AM26147" t="s">
        <v>4331</v>
      </c>
      <c r="AN26147" t="s">
        <v>4332</v>
      </c>
      <c r="AO26147" t="s">
        <v>1494</v>
      </c>
      <c r="AQ26147">
        <f>IF(ISBLANK(AP26147), IFERROR(IF(VLOOKUP(AO26147, Ellens_additions!$A$2:$B$252, 2, FALSE) = "", "", VLOOKUP(AO26147, Ellens_additions!$A$2:$B$252, 2, FALSE)), 0), AP26147)</f>
        <v>0</v>
      </c>
    </row>
    <row r="26148" spans="1:43" ht="14.4" hidden="1" x14ac:dyDescent="0.3">
      <c r="A26148" t="s">
        <v>4333</v>
      </c>
      <c r="B26148">
        <v>4909186</v>
      </c>
      <c r="C26148" t="s">
        <v>135</v>
      </c>
      <c r="D26148" t="s">
        <v>174</v>
      </c>
      <c r="E26148" t="s">
        <v>316</v>
      </c>
      <c r="F26148" t="s">
        <v>288</v>
      </c>
      <c r="H26148" t="s">
        <v>4334</v>
      </c>
      <c r="J26148" t="s">
        <v>140</v>
      </c>
      <c r="K26148">
        <v>159277.07</v>
      </c>
      <c r="L26148">
        <v>383574.45</v>
      </c>
      <c r="N26148" t="s">
        <v>1494</v>
      </c>
      <c r="O26148" t="s">
        <v>448</v>
      </c>
      <c r="P26148" t="s">
        <v>1495</v>
      </c>
      <c r="Q26148" t="s">
        <v>144</v>
      </c>
      <c r="S26148">
        <v>0</v>
      </c>
      <c r="T26148">
        <v>0</v>
      </c>
      <c r="V26148" t="s">
        <v>146</v>
      </c>
      <c r="W26148" t="s">
        <v>184</v>
      </c>
      <c r="X26148" t="s">
        <v>7</v>
      </c>
      <c r="Y26148" t="s">
        <v>1494</v>
      </c>
      <c r="Z26148" t="s">
        <v>448</v>
      </c>
      <c r="AA26148" t="s">
        <v>456</v>
      </c>
      <c r="AB26148">
        <v>0</v>
      </c>
      <c r="AE26148" t="s">
        <v>1496</v>
      </c>
      <c r="AF26148" t="s">
        <v>448</v>
      </c>
      <c r="AG26148" t="s">
        <v>560</v>
      </c>
      <c r="AL26148" t="s">
        <v>4335</v>
      </c>
      <c r="AM26148" t="s">
        <v>4336</v>
      </c>
      <c r="AN26148" t="s">
        <v>4337</v>
      </c>
      <c r="AO26148" t="s">
        <v>1494</v>
      </c>
      <c r="AQ26148">
        <f>IF(ISBLANK(AP26148), IFERROR(IF(VLOOKUP(AO26148, Ellens_additions!$A$2:$B$252, 2, FALSE) = "", "", VLOOKUP(AO26148, Ellens_additions!$A$2:$B$252, 2, FALSE)), 0), AP26148)</f>
        <v>0</v>
      </c>
    </row>
    <row r="26149" spans="1:43" ht="14.4" hidden="1" x14ac:dyDescent="0.3">
      <c r="A26149" t="s">
        <v>4338</v>
      </c>
      <c r="B26149">
        <v>4909187</v>
      </c>
      <c r="C26149" t="s">
        <v>135</v>
      </c>
      <c r="D26149" t="s">
        <v>174</v>
      </c>
      <c r="E26149" t="s">
        <v>316</v>
      </c>
      <c r="F26149" t="s">
        <v>288</v>
      </c>
      <c r="H26149" t="s">
        <v>4339</v>
      </c>
      <c r="J26149" t="s">
        <v>140</v>
      </c>
      <c r="K26149">
        <v>159278.06</v>
      </c>
      <c r="L26149">
        <v>383574.25</v>
      </c>
      <c r="N26149" t="s">
        <v>1494</v>
      </c>
      <c r="O26149" t="s">
        <v>448</v>
      </c>
      <c r="P26149" t="s">
        <v>1495</v>
      </c>
      <c r="Q26149" t="s">
        <v>144</v>
      </c>
      <c r="S26149">
        <v>0</v>
      </c>
      <c r="T26149">
        <v>0</v>
      </c>
      <c r="V26149" t="s">
        <v>146</v>
      </c>
      <c r="W26149" t="s">
        <v>184</v>
      </c>
      <c r="X26149" t="s">
        <v>7</v>
      </c>
      <c r="Y26149" t="s">
        <v>1494</v>
      </c>
      <c r="Z26149" t="s">
        <v>448</v>
      </c>
      <c r="AA26149" t="s">
        <v>456</v>
      </c>
      <c r="AB26149">
        <v>0</v>
      </c>
      <c r="AE26149" t="s">
        <v>1496</v>
      </c>
      <c r="AF26149" t="s">
        <v>448</v>
      </c>
      <c r="AG26149" t="s">
        <v>560</v>
      </c>
      <c r="AL26149" t="s">
        <v>4340</v>
      </c>
      <c r="AM26149" t="s">
        <v>4341</v>
      </c>
      <c r="AN26149" t="s">
        <v>4342</v>
      </c>
      <c r="AO26149" t="s">
        <v>1494</v>
      </c>
      <c r="AQ26149">
        <f>IF(ISBLANK(AP26149), IFERROR(IF(VLOOKUP(AO26149, Ellens_additions!$A$2:$B$252, 2, FALSE) = "", "", VLOOKUP(AO26149, Ellens_additions!$A$2:$B$252, 2, FALSE)), 0), AP26149)</f>
        <v>0</v>
      </c>
    </row>
    <row r="26150" spans="1:43" ht="14.4" hidden="1" x14ac:dyDescent="0.3">
      <c r="A26150" t="s">
        <v>4343</v>
      </c>
      <c r="B26150">
        <v>4909188</v>
      </c>
      <c r="C26150" t="s">
        <v>135</v>
      </c>
      <c r="D26150" t="s">
        <v>174</v>
      </c>
      <c r="E26150" t="s">
        <v>316</v>
      </c>
      <c r="F26150" t="s">
        <v>288</v>
      </c>
      <c r="H26150" t="s">
        <v>4344</v>
      </c>
      <c r="J26150" t="s">
        <v>140</v>
      </c>
      <c r="K26150">
        <v>159279.15</v>
      </c>
      <c r="L26150">
        <v>383574.06</v>
      </c>
      <c r="N26150" t="s">
        <v>1494</v>
      </c>
      <c r="O26150" t="s">
        <v>448</v>
      </c>
      <c r="P26150" t="s">
        <v>1495</v>
      </c>
      <c r="Q26150" t="s">
        <v>144</v>
      </c>
      <c r="S26150">
        <v>0</v>
      </c>
      <c r="T26150">
        <v>0</v>
      </c>
      <c r="V26150" t="s">
        <v>146</v>
      </c>
      <c r="W26150" t="s">
        <v>184</v>
      </c>
      <c r="X26150" t="s">
        <v>7</v>
      </c>
      <c r="Y26150" t="s">
        <v>1494</v>
      </c>
      <c r="Z26150" t="s">
        <v>448</v>
      </c>
      <c r="AA26150" t="s">
        <v>456</v>
      </c>
      <c r="AB26150">
        <v>0</v>
      </c>
      <c r="AE26150" t="s">
        <v>1496</v>
      </c>
      <c r="AF26150" t="s">
        <v>448</v>
      </c>
      <c r="AG26150" t="s">
        <v>560</v>
      </c>
      <c r="AL26150" t="s">
        <v>4345</v>
      </c>
      <c r="AM26150" t="s">
        <v>4346</v>
      </c>
      <c r="AN26150" t="s">
        <v>4347</v>
      </c>
      <c r="AO26150" t="s">
        <v>1494</v>
      </c>
      <c r="AQ26150">
        <f>IF(ISBLANK(AP26150), IFERROR(IF(VLOOKUP(AO26150, Ellens_additions!$A$2:$B$252, 2, FALSE) = "", "", VLOOKUP(AO26150, Ellens_additions!$A$2:$B$252, 2, FALSE)), 0), AP26150)</f>
        <v>0</v>
      </c>
    </row>
    <row r="26151" spans="1:43" ht="14.4" hidden="1" x14ac:dyDescent="0.3">
      <c r="A26151" t="s">
        <v>4348</v>
      </c>
      <c r="B26151">
        <v>4909189</v>
      </c>
      <c r="C26151" t="s">
        <v>135</v>
      </c>
      <c r="D26151" t="s">
        <v>174</v>
      </c>
      <c r="E26151" t="s">
        <v>316</v>
      </c>
      <c r="F26151" t="s">
        <v>288</v>
      </c>
      <c r="H26151" t="s">
        <v>4349</v>
      </c>
      <c r="J26151" t="s">
        <v>140</v>
      </c>
      <c r="K26151">
        <v>159280.04999999999</v>
      </c>
      <c r="L26151">
        <v>383573.86</v>
      </c>
      <c r="N26151" t="s">
        <v>1494</v>
      </c>
      <c r="O26151" t="s">
        <v>448</v>
      </c>
      <c r="P26151" t="s">
        <v>1495</v>
      </c>
      <c r="Q26151" t="s">
        <v>144</v>
      </c>
      <c r="S26151">
        <v>0</v>
      </c>
      <c r="T26151">
        <v>0</v>
      </c>
      <c r="V26151" t="s">
        <v>146</v>
      </c>
      <c r="W26151" t="s">
        <v>184</v>
      </c>
      <c r="X26151" t="s">
        <v>7</v>
      </c>
      <c r="Y26151" t="s">
        <v>1494</v>
      </c>
      <c r="Z26151" t="s">
        <v>448</v>
      </c>
      <c r="AA26151" t="s">
        <v>456</v>
      </c>
      <c r="AB26151">
        <v>0</v>
      </c>
      <c r="AE26151" t="s">
        <v>1496</v>
      </c>
      <c r="AF26151" t="s">
        <v>448</v>
      </c>
      <c r="AG26151" t="s">
        <v>560</v>
      </c>
      <c r="AL26151" t="s">
        <v>4350</v>
      </c>
      <c r="AM26151" t="s">
        <v>4351</v>
      </c>
      <c r="AN26151" t="s">
        <v>4352</v>
      </c>
      <c r="AO26151" t="s">
        <v>1494</v>
      </c>
      <c r="AQ26151">
        <f>IF(ISBLANK(AP26151), IFERROR(IF(VLOOKUP(AO26151, Ellens_additions!$A$2:$B$252, 2, FALSE) = "", "", VLOOKUP(AO26151, Ellens_additions!$A$2:$B$252, 2, FALSE)), 0), AP26151)</f>
        <v>0</v>
      </c>
    </row>
    <row r="26152" spans="1:43" ht="14.4" hidden="1" x14ac:dyDescent="0.3">
      <c r="A26152" t="s">
        <v>4353</v>
      </c>
      <c r="B26152">
        <v>4909192</v>
      </c>
      <c r="C26152" t="s">
        <v>135</v>
      </c>
      <c r="D26152" t="s">
        <v>174</v>
      </c>
      <c r="E26152" t="s">
        <v>316</v>
      </c>
      <c r="F26152" t="s">
        <v>288</v>
      </c>
      <c r="H26152" t="s">
        <v>4354</v>
      </c>
      <c r="J26152" t="s">
        <v>140</v>
      </c>
      <c r="K26152">
        <v>159283.42000000001</v>
      </c>
      <c r="L26152">
        <v>383573.36</v>
      </c>
      <c r="N26152" t="s">
        <v>1494</v>
      </c>
      <c r="O26152" t="s">
        <v>448</v>
      </c>
      <c r="P26152" t="s">
        <v>1495</v>
      </c>
      <c r="Q26152" t="s">
        <v>144</v>
      </c>
      <c r="S26152">
        <v>0</v>
      </c>
      <c r="T26152">
        <v>0</v>
      </c>
      <c r="V26152" t="s">
        <v>146</v>
      </c>
      <c r="W26152" t="s">
        <v>184</v>
      </c>
      <c r="X26152" t="s">
        <v>7</v>
      </c>
      <c r="Y26152" t="s">
        <v>1494</v>
      </c>
      <c r="Z26152" t="s">
        <v>448</v>
      </c>
      <c r="AA26152" t="s">
        <v>456</v>
      </c>
      <c r="AB26152">
        <v>0</v>
      </c>
      <c r="AE26152" t="s">
        <v>1496</v>
      </c>
      <c r="AF26152" t="s">
        <v>448</v>
      </c>
      <c r="AG26152" t="s">
        <v>560</v>
      </c>
      <c r="AL26152" t="s">
        <v>4355</v>
      </c>
      <c r="AM26152" t="s">
        <v>4356</v>
      </c>
      <c r="AN26152" t="s">
        <v>4357</v>
      </c>
      <c r="AO26152" t="s">
        <v>1494</v>
      </c>
      <c r="AQ26152">
        <f>IF(ISBLANK(AP26152), IFERROR(IF(VLOOKUP(AO26152, Ellens_additions!$A$2:$B$252, 2, FALSE) = "", "", VLOOKUP(AO26152, Ellens_additions!$A$2:$B$252, 2, FALSE)), 0), AP26152)</f>
        <v>0</v>
      </c>
    </row>
    <row r="26153" spans="1:43" ht="14.4" hidden="1" x14ac:dyDescent="0.3">
      <c r="A26153" t="s">
        <v>4358</v>
      </c>
      <c r="B26153">
        <v>4909193</v>
      </c>
      <c r="C26153" t="s">
        <v>135</v>
      </c>
      <c r="D26153" t="s">
        <v>174</v>
      </c>
      <c r="E26153" t="s">
        <v>316</v>
      </c>
      <c r="F26153" t="s">
        <v>288</v>
      </c>
      <c r="H26153" t="s">
        <v>4359</v>
      </c>
      <c r="J26153" t="s">
        <v>140</v>
      </c>
      <c r="K26153">
        <v>159284.53</v>
      </c>
      <c r="L26153">
        <v>383573.31</v>
      </c>
      <c r="N26153" t="s">
        <v>1494</v>
      </c>
      <c r="O26153" t="s">
        <v>448</v>
      </c>
      <c r="P26153" t="s">
        <v>1495</v>
      </c>
      <c r="Q26153" t="s">
        <v>144</v>
      </c>
      <c r="S26153">
        <v>0</v>
      </c>
      <c r="T26153">
        <v>0</v>
      </c>
      <c r="V26153" t="s">
        <v>146</v>
      </c>
      <c r="W26153" t="s">
        <v>184</v>
      </c>
      <c r="X26153" t="s">
        <v>7</v>
      </c>
      <c r="Y26153" t="s">
        <v>1494</v>
      </c>
      <c r="Z26153" t="s">
        <v>448</v>
      </c>
      <c r="AA26153" t="s">
        <v>456</v>
      </c>
      <c r="AB26153">
        <v>0</v>
      </c>
      <c r="AE26153" t="s">
        <v>1496</v>
      </c>
      <c r="AF26153" t="s">
        <v>448</v>
      </c>
      <c r="AG26153" t="s">
        <v>560</v>
      </c>
      <c r="AL26153" t="s">
        <v>4360</v>
      </c>
      <c r="AM26153" t="s">
        <v>4361</v>
      </c>
      <c r="AN26153" t="s">
        <v>4362</v>
      </c>
      <c r="AO26153" t="s">
        <v>1494</v>
      </c>
      <c r="AQ26153">
        <f>IF(ISBLANK(AP26153), IFERROR(IF(VLOOKUP(AO26153, Ellens_additions!$A$2:$B$252, 2, FALSE) = "", "", VLOOKUP(AO26153, Ellens_additions!$A$2:$B$252, 2, FALSE)), 0), AP26153)</f>
        <v>0</v>
      </c>
    </row>
    <row r="26154" spans="1:43" ht="14.4" hidden="1" x14ac:dyDescent="0.3">
      <c r="A26154" t="s">
        <v>4363</v>
      </c>
      <c r="B26154">
        <v>4909198</v>
      </c>
      <c r="C26154" t="s">
        <v>135</v>
      </c>
      <c r="D26154" t="s">
        <v>174</v>
      </c>
      <c r="E26154" t="s">
        <v>316</v>
      </c>
      <c r="F26154" t="s">
        <v>288</v>
      </c>
      <c r="H26154" t="s">
        <v>4364</v>
      </c>
      <c r="J26154" t="s">
        <v>140</v>
      </c>
      <c r="K26154">
        <v>159288.98000000001</v>
      </c>
      <c r="L26154">
        <v>383572.77</v>
      </c>
      <c r="N26154" t="s">
        <v>1494</v>
      </c>
      <c r="O26154" t="s">
        <v>448</v>
      </c>
      <c r="P26154" t="s">
        <v>1495</v>
      </c>
      <c r="Q26154" t="s">
        <v>144</v>
      </c>
      <c r="S26154">
        <v>0</v>
      </c>
      <c r="T26154">
        <v>0</v>
      </c>
      <c r="V26154" t="s">
        <v>146</v>
      </c>
      <c r="W26154" t="s">
        <v>184</v>
      </c>
      <c r="X26154" t="s">
        <v>7</v>
      </c>
      <c r="Y26154" t="s">
        <v>1494</v>
      </c>
      <c r="Z26154" t="s">
        <v>448</v>
      </c>
      <c r="AA26154" t="s">
        <v>456</v>
      </c>
      <c r="AB26154">
        <v>0</v>
      </c>
      <c r="AE26154" t="s">
        <v>1496</v>
      </c>
      <c r="AF26154" t="s">
        <v>448</v>
      </c>
      <c r="AG26154" t="s">
        <v>560</v>
      </c>
      <c r="AL26154" t="s">
        <v>4365</v>
      </c>
      <c r="AM26154" t="s">
        <v>4366</v>
      </c>
      <c r="AN26154" t="s">
        <v>4367</v>
      </c>
      <c r="AO26154" t="s">
        <v>1494</v>
      </c>
      <c r="AQ26154">
        <f>IF(ISBLANK(AP26154), IFERROR(IF(VLOOKUP(AO26154, Ellens_additions!$A$2:$B$252, 2, FALSE) = "", "", VLOOKUP(AO26154, Ellens_additions!$A$2:$B$252, 2, FALSE)), 0), AP26154)</f>
        <v>0</v>
      </c>
    </row>
    <row r="26155" spans="1:43" ht="14.4" hidden="1" x14ac:dyDescent="0.3">
      <c r="A26155" t="s">
        <v>4368</v>
      </c>
      <c r="B26155">
        <v>4909199</v>
      </c>
      <c r="C26155" t="s">
        <v>135</v>
      </c>
      <c r="D26155" t="s">
        <v>174</v>
      </c>
      <c r="E26155" t="s">
        <v>316</v>
      </c>
      <c r="F26155" t="s">
        <v>288</v>
      </c>
      <c r="H26155" t="s">
        <v>4369</v>
      </c>
      <c r="J26155" t="s">
        <v>140</v>
      </c>
      <c r="K26155">
        <v>159290.07999999999</v>
      </c>
      <c r="L26155">
        <v>383572.65</v>
      </c>
      <c r="N26155" t="s">
        <v>1494</v>
      </c>
      <c r="O26155" t="s">
        <v>448</v>
      </c>
      <c r="P26155" t="s">
        <v>1495</v>
      </c>
      <c r="Q26155" t="s">
        <v>144</v>
      </c>
      <c r="S26155">
        <v>0</v>
      </c>
      <c r="T26155">
        <v>0</v>
      </c>
      <c r="V26155" t="s">
        <v>146</v>
      </c>
      <c r="W26155" t="s">
        <v>184</v>
      </c>
      <c r="X26155" t="s">
        <v>7</v>
      </c>
      <c r="Y26155" t="s">
        <v>1494</v>
      </c>
      <c r="Z26155" t="s">
        <v>448</v>
      </c>
      <c r="AA26155" t="s">
        <v>456</v>
      </c>
      <c r="AB26155">
        <v>0</v>
      </c>
      <c r="AE26155" t="s">
        <v>1496</v>
      </c>
      <c r="AF26155" t="s">
        <v>448</v>
      </c>
      <c r="AG26155" t="s">
        <v>560</v>
      </c>
      <c r="AL26155" t="s">
        <v>4370</v>
      </c>
      <c r="AM26155" t="s">
        <v>4371</v>
      </c>
      <c r="AN26155" t="s">
        <v>4372</v>
      </c>
      <c r="AO26155" t="s">
        <v>1494</v>
      </c>
      <c r="AQ26155">
        <f>IF(ISBLANK(AP26155), IFERROR(IF(VLOOKUP(AO26155, Ellens_additions!$A$2:$B$252, 2, FALSE) = "", "", VLOOKUP(AO26155, Ellens_additions!$A$2:$B$252, 2, FALSE)), 0), AP26155)</f>
        <v>0</v>
      </c>
    </row>
    <row r="26156" spans="1:43" ht="14.4" hidden="1" x14ac:dyDescent="0.3">
      <c r="A26156" t="s">
        <v>4373</v>
      </c>
      <c r="B26156">
        <v>4909201</v>
      </c>
      <c r="C26156" t="s">
        <v>135</v>
      </c>
      <c r="D26156" t="s">
        <v>174</v>
      </c>
      <c r="E26156" t="s">
        <v>316</v>
      </c>
      <c r="F26156" t="s">
        <v>288</v>
      </c>
      <c r="H26156" t="s">
        <v>4374</v>
      </c>
      <c r="J26156" t="s">
        <v>140</v>
      </c>
      <c r="K26156">
        <v>159292.47</v>
      </c>
      <c r="L26156">
        <v>383572.07</v>
      </c>
      <c r="N26156" t="s">
        <v>1494</v>
      </c>
      <c r="O26156" t="s">
        <v>448</v>
      </c>
      <c r="P26156" t="s">
        <v>1495</v>
      </c>
      <c r="Q26156" t="s">
        <v>144</v>
      </c>
      <c r="S26156">
        <v>0</v>
      </c>
      <c r="T26156">
        <v>0</v>
      </c>
      <c r="V26156" t="s">
        <v>146</v>
      </c>
      <c r="W26156" t="s">
        <v>184</v>
      </c>
      <c r="X26156" t="s">
        <v>7</v>
      </c>
      <c r="Y26156" t="s">
        <v>1494</v>
      </c>
      <c r="Z26156" t="s">
        <v>448</v>
      </c>
      <c r="AA26156" t="s">
        <v>456</v>
      </c>
      <c r="AB26156">
        <v>0</v>
      </c>
      <c r="AE26156" t="s">
        <v>1496</v>
      </c>
      <c r="AF26156" t="s">
        <v>448</v>
      </c>
      <c r="AG26156" t="s">
        <v>560</v>
      </c>
      <c r="AL26156" t="s">
        <v>4375</v>
      </c>
      <c r="AM26156" t="s">
        <v>4376</v>
      </c>
      <c r="AN26156" t="s">
        <v>4377</v>
      </c>
      <c r="AO26156" t="s">
        <v>1494</v>
      </c>
      <c r="AQ26156">
        <f>IF(ISBLANK(AP26156), IFERROR(IF(VLOOKUP(AO26156, Ellens_additions!$A$2:$B$252, 2, FALSE) = "", "", VLOOKUP(AO26156, Ellens_additions!$A$2:$B$252, 2, FALSE)), 0), AP26156)</f>
        <v>0</v>
      </c>
    </row>
    <row r="26157" spans="1:43" ht="14.4" hidden="1" x14ac:dyDescent="0.3">
      <c r="A26157" t="s">
        <v>4378</v>
      </c>
      <c r="B26157">
        <v>4909203</v>
      </c>
      <c r="C26157" t="s">
        <v>135</v>
      </c>
      <c r="D26157" t="s">
        <v>174</v>
      </c>
      <c r="E26157" t="s">
        <v>316</v>
      </c>
      <c r="F26157" t="s">
        <v>288</v>
      </c>
      <c r="H26157" t="s">
        <v>4379</v>
      </c>
      <c r="J26157" t="s">
        <v>140</v>
      </c>
      <c r="K26157">
        <v>159301.07999999999</v>
      </c>
      <c r="L26157">
        <v>383562.45</v>
      </c>
      <c r="N26157" t="s">
        <v>1494</v>
      </c>
      <c r="O26157" t="s">
        <v>448</v>
      </c>
      <c r="P26157" t="s">
        <v>1495</v>
      </c>
      <c r="Q26157" t="s">
        <v>144</v>
      </c>
      <c r="S26157">
        <v>0</v>
      </c>
      <c r="T26157">
        <v>0</v>
      </c>
      <c r="V26157" t="s">
        <v>146</v>
      </c>
      <c r="W26157" t="s">
        <v>184</v>
      </c>
      <c r="X26157" t="s">
        <v>7</v>
      </c>
      <c r="Y26157" t="s">
        <v>1494</v>
      </c>
      <c r="Z26157" t="s">
        <v>448</v>
      </c>
      <c r="AA26157" t="s">
        <v>456</v>
      </c>
      <c r="AB26157">
        <v>0</v>
      </c>
      <c r="AE26157" t="s">
        <v>1496</v>
      </c>
      <c r="AF26157" t="s">
        <v>448</v>
      </c>
      <c r="AG26157" t="s">
        <v>560</v>
      </c>
      <c r="AL26157" t="s">
        <v>4380</v>
      </c>
      <c r="AM26157" t="s">
        <v>4381</v>
      </c>
      <c r="AN26157" t="s">
        <v>4382</v>
      </c>
      <c r="AO26157" t="s">
        <v>1494</v>
      </c>
      <c r="AQ26157">
        <f>IF(ISBLANK(AP26157), IFERROR(IF(VLOOKUP(AO26157, Ellens_additions!$A$2:$B$252, 2, FALSE) = "", "", VLOOKUP(AO26157, Ellens_additions!$A$2:$B$252, 2, FALSE)), 0), AP26157)</f>
        <v>0</v>
      </c>
    </row>
    <row r="26158" spans="1:43" ht="14.4" hidden="1" x14ac:dyDescent="0.3">
      <c r="A26158" t="s">
        <v>4383</v>
      </c>
      <c r="B26158">
        <v>4909210</v>
      </c>
      <c r="C26158" t="s">
        <v>135</v>
      </c>
      <c r="D26158" t="s">
        <v>174</v>
      </c>
      <c r="E26158" t="s">
        <v>316</v>
      </c>
      <c r="F26158" t="s">
        <v>288</v>
      </c>
      <c r="H26158" t="s">
        <v>4384</v>
      </c>
      <c r="J26158" t="s">
        <v>140</v>
      </c>
      <c r="K26158">
        <v>159303.46</v>
      </c>
      <c r="L26158">
        <v>383554.21</v>
      </c>
      <c r="N26158" t="s">
        <v>1494</v>
      </c>
      <c r="O26158" t="s">
        <v>448</v>
      </c>
      <c r="P26158" t="s">
        <v>1495</v>
      </c>
      <c r="Q26158" t="s">
        <v>144</v>
      </c>
      <c r="S26158">
        <v>0</v>
      </c>
      <c r="T26158">
        <v>0</v>
      </c>
      <c r="V26158" t="s">
        <v>146</v>
      </c>
      <c r="W26158" t="s">
        <v>184</v>
      </c>
      <c r="X26158" t="s">
        <v>7</v>
      </c>
      <c r="Y26158" t="s">
        <v>1494</v>
      </c>
      <c r="Z26158" t="s">
        <v>448</v>
      </c>
      <c r="AA26158" t="s">
        <v>456</v>
      </c>
      <c r="AB26158">
        <v>0</v>
      </c>
      <c r="AE26158" t="s">
        <v>1496</v>
      </c>
      <c r="AF26158" t="s">
        <v>448</v>
      </c>
      <c r="AG26158" t="s">
        <v>560</v>
      </c>
      <c r="AL26158" t="s">
        <v>4385</v>
      </c>
      <c r="AM26158" t="s">
        <v>4386</v>
      </c>
      <c r="AN26158" t="s">
        <v>4387</v>
      </c>
      <c r="AO26158" t="s">
        <v>1494</v>
      </c>
      <c r="AQ26158">
        <f>IF(ISBLANK(AP26158), IFERROR(IF(VLOOKUP(AO26158, Ellens_additions!$A$2:$B$252, 2, FALSE) = "", "", VLOOKUP(AO26158, Ellens_additions!$A$2:$B$252, 2, FALSE)), 0), AP26158)</f>
        <v>0</v>
      </c>
    </row>
    <row r="26159" spans="1:43" ht="14.4" hidden="1" x14ac:dyDescent="0.3">
      <c r="A26159" t="s">
        <v>4388</v>
      </c>
      <c r="B26159">
        <v>4909213</v>
      </c>
      <c r="C26159" t="s">
        <v>135</v>
      </c>
      <c r="D26159" t="s">
        <v>174</v>
      </c>
      <c r="E26159" t="s">
        <v>316</v>
      </c>
      <c r="F26159" t="s">
        <v>288</v>
      </c>
      <c r="H26159" t="s">
        <v>4389</v>
      </c>
      <c r="J26159" t="s">
        <v>140</v>
      </c>
      <c r="K26159">
        <v>159304.85</v>
      </c>
      <c r="L26159">
        <v>383551.14</v>
      </c>
      <c r="N26159" t="s">
        <v>1494</v>
      </c>
      <c r="O26159" t="s">
        <v>448</v>
      </c>
      <c r="P26159" t="s">
        <v>1495</v>
      </c>
      <c r="Q26159" t="s">
        <v>144</v>
      </c>
      <c r="S26159">
        <v>0</v>
      </c>
      <c r="T26159">
        <v>0</v>
      </c>
      <c r="V26159" t="s">
        <v>146</v>
      </c>
      <c r="W26159" t="s">
        <v>184</v>
      </c>
      <c r="X26159" t="s">
        <v>7</v>
      </c>
      <c r="Y26159" t="s">
        <v>1494</v>
      </c>
      <c r="Z26159" t="s">
        <v>448</v>
      </c>
      <c r="AA26159" t="s">
        <v>456</v>
      </c>
      <c r="AB26159">
        <v>0</v>
      </c>
      <c r="AE26159" t="s">
        <v>1496</v>
      </c>
      <c r="AF26159" t="s">
        <v>448</v>
      </c>
      <c r="AG26159" t="s">
        <v>560</v>
      </c>
      <c r="AL26159" t="s">
        <v>4390</v>
      </c>
      <c r="AM26159" t="s">
        <v>4391</v>
      </c>
      <c r="AN26159" t="s">
        <v>4392</v>
      </c>
      <c r="AO26159" t="s">
        <v>1494</v>
      </c>
      <c r="AQ26159">
        <f>IF(ISBLANK(AP26159), IFERROR(IF(VLOOKUP(AO26159, Ellens_additions!$A$2:$B$252, 2, FALSE) = "", "", VLOOKUP(AO26159, Ellens_additions!$A$2:$B$252, 2, FALSE)), 0), AP26159)</f>
        <v>0</v>
      </c>
    </row>
    <row r="26160" spans="1:43" ht="14.4" hidden="1" x14ac:dyDescent="0.3">
      <c r="A26160" t="s">
        <v>4393</v>
      </c>
      <c r="B26160">
        <v>4909218</v>
      </c>
      <c r="C26160" t="s">
        <v>135</v>
      </c>
      <c r="D26160" t="s">
        <v>174</v>
      </c>
      <c r="E26160" t="s">
        <v>316</v>
      </c>
      <c r="F26160" t="s">
        <v>288</v>
      </c>
      <c r="H26160" t="s">
        <v>4394</v>
      </c>
      <c r="J26160" t="s">
        <v>140</v>
      </c>
      <c r="K26160">
        <v>159307.43</v>
      </c>
      <c r="L26160">
        <v>383546.67</v>
      </c>
      <c r="N26160" t="s">
        <v>1494</v>
      </c>
      <c r="O26160" t="s">
        <v>448</v>
      </c>
      <c r="P26160" t="s">
        <v>1495</v>
      </c>
      <c r="Q26160" t="s">
        <v>144</v>
      </c>
      <c r="S26160">
        <v>0</v>
      </c>
      <c r="T26160">
        <v>0</v>
      </c>
      <c r="V26160" t="s">
        <v>146</v>
      </c>
      <c r="W26160" t="s">
        <v>184</v>
      </c>
      <c r="X26160" t="s">
        <v>7</v>
      </c>
      <c r="Y26160" t="s">
        <v>1494</v>
      </c>
      <c r="Z26160" t="s">
        <v>448</v>
      </c>
      <c r="AA26160" t="s">
        <v>456</v>
      </c>
      <c r="AB26160">
        <v>0</v>
      </c>
      <c r="AE26160" t="s">
        <v>1496</v>
      </c>
      <c r="AF26160" t="s">
        <v>448</v>
      </c>
      <c r="AG26160" t="s">
        <v>560</v>
      </c>
      <c r="AL26160" t="s">
        <v>4395</v>
      </c>
      <c r="AM26160" t="s">
        <v>4396</v>
      </c>
      <c r="AN26160" t="s">
        <v>4397</v>
      </c>
      <c r="AO26160" t="s">
        <v>1494</v>
      </c>
      <c r="AQ26160">
        <f>IF(ISBLANK(AP26160), IFERROR(IF(VLOOKUP(AO26160, Ellens_additions!$A$2:$B$252, 2, FALSE) = "", "", VLOOKUP(AO26160, Ellens_additions!$A$2:$B$252, 2, FALSE)), 0), AP26160)</f>
        <v>0</v>
      </c>
    </row>
    <row r="26161" spans="1:43" ht="14.4" hidden="1" x14ac:dyDescent="0.3">
      <c r="A26161" t="s">
        <v>4398</v>
      </c>
      <c r="B26161">
        <v>4909219</v>
      </c>
      <c r="C26161" t="s">
        <v>135</v>
      </c>
      <c r="D26161" t="s">
        <v>174</v>
      </c>
      <c r="E26161" t="s">
        <v>316</v>
      </c>
      <c r="F26161" t="s">
        <v>288</v>
      </c>
      <c r="H26161" t="s">
        <v>4399</v>
      </c>
      <c r="J26161" t="s">
        <v>140</v>
      </c>
      <c r="K26161">
        <v>159308.22</v>
      </c>
      <c r="L26161">
        <v>383545.68</v>
      </c>
      <c r="N26161" t="s">
        <v>1494</v>
      </c>
      <c r="O26161" t="s">
        <v>448</v>
      </c>
      <c r="P26161" t="s">
        <v>1495</v>
      </c>
      <c r="Q26161" t="s">
        <v>144</v>
      </c>
      <c r="S26161">
        <v>0</v>
      </c>
      <c r="T26161">
        <v>0</v>
      </c>
      <c r="V26161" t="s">
        <v>146</v>
      </c>
      <c r="W26161" t="s">
        <v>184</v>
      </c>
      <c r="X26161" t="s">
        <v>7</v>
      </c>
      <c r="Y26161" t="s">
        <v>1494</v>
      </c>
      <c r="Z26161" t="s">
        <v>448</v>
      </c>
      <c r="AA26161" t="s">
        <v>456</v>
      </c>
      <c r="AB26161">
        <v>0</v>
      </c>
      <c r="AE26161" t="s">
        <v>1496</v>
      </c>
      <c r="AF26161" t="s">
        <v>448</v>
      </c>
      <c r="AG26161" t="s">
        <v>560</v>
      </c>
      <c r="AL26161" t="s">
        <v>4400</v>
      </c>
      <c r="AM26161" t="s">
        <v>4401</v>
      </c>
      <c r="AN26161" t="s">
        <v>4402</v>
      </c>
      <c r="AO26161" t="s">
        <v>1494</v>
      </c>
      <c r="AQ26161">
        <f>IF(ISBLANK(AP26161), IFERROR(IF(VLOOKUP(AO26161, Ellens_additions!$A$2:$B$252, 2, FALSE) = "", "", VLOOKUP(AO26161, Ellens_additions!$A$2:$B$252, 2, FALSE)), 0), AP26161)</f>
        <v>0</v>
      </c>
    </row>
    <row r="26162" spans="1:43" ht="14.4" hidden="1" x14ac:dyDescent="0.3">
      <c r="A26162" t="s">
        <v>4403</v>
      </c>
      <c r="B26162">
        <v>4909220</v>
      </c>
      <c r="C26162" t="s">
        <v>135</v>
      </c>
      <c r="D26162" t="s">
        <v>174</v>
      </c>
      <c r="E26162" t="s">
        <v>316</v>
      </c>
      <c r="F26162" t="s">
        <v>288</v>
      </c>
      <c r="H26162" t="s">
        <v>4404</v>
      </c>
      <c r="J26162" t="s">
        <v>140</v>
      </c>
      <c r="K26162">
        <v>159308.72</v>
      </c>
      <c r="L26162">
        <v>383544.79</v>
      </c>
      <c r="N26162" t="s">
        <v>1494</v>
      </c>
      <c r="O26162" t="s">
        <v>448</v>
      </c>
      <c r="P26162" t="s">
        <v>1495</v>
      </c>
      <c r="Q26162" t="s">
        <v>144</v>
      </c>
      <c r="S26162">
        <v>0</v>
      </c>
      <c r="T26162">
        <v>0</v>
      </c>
      <c r="V26162" t="s">
        <v>146</v>
      </c>
      <c r="W26162" t="s">
        <v>184</v>
      </c>
      <c r="X26162" t="s">
        <v>7</v>
      </c>
      <c r="Y26162" t="s">
        <v>1494</v>
      </c>
      <c r="Z26162" t="s">
        <v>448</v>
      </c>
      <c r="AA26162" t="s">
        <v>456</v>
      </c>
      <c r="AB26162">
        <v>0</v>
      </c>
      <c r="AE26162" t="s">
        <v>1496</v>
      </c>
      <c r="AF26162" t="s">
        <v>448</v>
      </c>
      <c r="AG26162" t="s">
        <v>560</v>
      </c>
      <c r="AL26162" t="s">
        <v>4405</v>
      </c>
      <c r="AM26162" t="s">
        <v>4406</v>
      </c>
      <c r="AN26162" t="s">
        <v>4407</v>
      </c>
      <c r="AO26162" t="s">
        <v>1494</v>
      </c>
      <c r="AQ26162">
        <f>IF(ISBLANK(AP26162), IFERROR(IF(VLOOKUP(AO26162, Ellens_additions!$A$2:$B$252, 2, FALSE) = "", "", VLOOKUP(AO26162, Ellens_additions!$A$2:$B$252, 2, FALSE)), 0), AP26162)</f>
        <v>0</v>
      </c>
    </row>
    <row r="26163" spans="1:43" ht="14.4" hidden="1" x14ac:dyDescent="0.3">
      <c r="A26163" t="s">
        <v>4408</v>
      </c>
      <c r="B26163">
        <v>4909222</v>
      </c>
      <c r="C26163" t="s">
        <v>135</v>
      </c>
      <c r="D26163" t="s">
        <v>174</v>
      </c>
      <c r="E26163" t="s">
        <v>316</v>
      </c>
      <c r="F26163" t="s">
        <v>288</v>
      </c>
      <c r="H26163" t="s">
        <v>4409</v>
      </c>
      <c r="J26163" t="s">
        <v>140</v>
      </c>
      <c r="K26163">
        <v>159310.01</v>
      </c>
      <c r="L26163">
        <v>383543.2</v>
      </c>
      <c r="N26163" t="s">
        <v>1494</v>
      </c>
      <c r="O26163" t="s">
        <v>448</v>
      </c>
      <c r="P26163" t="s">
        <v>1495</v>
      </c>
      <c r="Q26163" t="s">
        <v>144</v>
      </c>
      <c r="S26163">
        <v>0</v>
      </c>
      <c r="T26163">
        <v>0</v>
      </c>
      <c r="V26163" t="s">
        <v>146</v>
      </c>
      <c r="W26163" t="s">
        <v>184</v>
      </c>
      <c r="X26163" t="s">
        <v>7</v>
      </c>
      <c r="Y26163" t="s">
        <v>1494</v>
      </c>
      <c r="Z26163" t="s">
        <v>448</v>
      </c>
      <c r="AA26163" t="s">
        <v>456</v>
      </c>
      <c r="AB26163">
        <v>0</v>
      </c>
      <c r="AE26163" t="s">
        <v>1496</v>
      </c>
      <c r="AF26163" t="s">
        <v>448</v>
      </c>
      <c r="AG26163" t="s">
        <v>560</v>
      </c>
      <c r="AL26163" t="s">
        <v>4410</v>
      </c>
      <c r="AM26163" t="s">
        <v>4411</v>
      </c>
      <c r="AN26163" t="s">
        <v>4412</v>
      </c>
      <c r="AO26163" t="s">
        <v>1494</v>
      </c>
      <c r="AQ26163">
        <f>IF(ISBLANK(AP26163), IFERROR(IF(VLOOKUP(AO26163, Ellens_additions!$A$2:$B$252, 2, FALSE) = "", "", VLOOKUP(AO26163, Ellens_additions!$A$2:$B$252, 2, FALSE)), 0), AP26163)</f>
        <v>0</v>
      </c>
    </row>
    <row r="26164" spans="1:43" ht="14.4" hidden="1" x14ac:dyDescent="0.3">
      <c r="A26164" t="s">
        <v>4413</v>
      </c>
      <c r="B26164">
        <v>4909224</v>
      </c>
      <c r="C26164" t="s">
        <v>135</v>
      </c>
      <c r="D26164" t="s">
        <v>174</v>
      </c>
      <c r="E26164" t="s">
        <v>316</v>
      </c>
      <c r="F26164" t="s">
        <v>288</v>
      </c>
      <c r="H26164" t="s">
        <v>4414</v>
      </c>
      <c r="J26164" t="s">
        <v>140</v>
      </c>
      <c r="K26164">
        <v>159311.4</v>
      </c>
      <c r="L26164">
        <v>383541.51</v>
      </c>
      <c r="N26164" t="s">
        <v>1494</v>
      </c>
      <c r="O26164" t="s">
        <v>448</v>
      </c>
      <c r="P26164" t="s">
        <v>1495</v>
      </c>
      <c r="Q26164" t="s">
        <v>144</v>
      </c>
      <c r="S26164">
        <v>0</v>
      </c>
      <c r="T26164">
        <v>0</v>
      </c>
      <c r="V26164" t="s">
        <v>146</v>
      </c>
      <c r="W26164" t="s">
        <v>184</v>
      </c>
      <c r="X26164" t="s">
        <v>7</v>
      </c>
      <c r="Y26164" t="s">
        <v>1494</v>
      </c>
      <c r="Z26164" t="s">
        <v>448</v>
      </c>
      <c r="AA26164" t="s">
        <v>456</v>
      </c>
      <c r="AB26164">
        <v>0</v>
      </c>
      <c r="AE26164" t="s">
        <v>1496</v>
      </c>
      <c r="AF26164" t="s">
        <v>448</v>
      </c>
      <c r="AG26164" t="s">
        <v>560</v>
      </c>
      <c r="AL26164" t="s">
        <v>4415</v>
      </c>
      <c r="AM26164" t="s">
        <v>4416</v>
      </c>
      <c r="AN26164" t="s">
        <v>4417</v>
      </c>
      <c r="AO26164" t="s">
        <v>1494</v>
      </c>
      <c r="AQ26164">
        <f>IF(ISBLANK(AP26164), IFERROR(IF(VLOOKUP(AO26164, Ellens_additions!$A$2:$B$252, 2, FALSE) = "", "", VLOOKUP(AO26164, Ellens_additions!$A$2:$B$252, 2, FALSE)), 0), AP26164)</f>
        <v>0</v>
      </c>
    </row>
    <row r="26165" spans="1:43" ht="14.4" hidden="1" x14ac:dyDescent="0.3">
      <c r="A26165" t="s">
        <v>4418</v>
      </c>
      <c r="B26165">
        <v>4909225</v>
      </c>
      <c r="C26165" t="s">
        <v>135</v>
      </c>
      <c r="D26165" t="s">
        <v>174</v>
      </c>
      <c r="E26165" t="s">
        <v>316</v>
      </c>
      <c r="F26165" t="s">
        <v>288</v>
      </c>
      <c r="H26165" t="s">
        <v>4419</v>
      </c>
      <c r="J26165" t="s">
        <v>140</v>
      </c>
      <c r="K26165">
        <v>159312.49</v>
      </c>
      <c r="L26165">
        <v>383540.42</v>
      </c>
      <c r="N26165" t="s">
        <v>1494</v>
      </c>
      <c r="O26165" t="s">
        <v>448</v>
      </c>
      <c r="P26165" t="s">
        <v>1495</v>
      </c>
      <c r="Q26165" t="s">
        <v>144</v>
      </c>
      <c r="S26165">
        <v>0</v>
      </c>
      <c r="T26165">
        <v>0</v>
      </c>
      <c r="V26165" t="s">
        <v>146</v>
      </c>
      <c r="W26165" t="s">
        <v>184</v>
      </c>
      <c r="X26165" t="s">
        <v>7</v>
      </c>
      <c r="Y26165" t="s">
        <v>1494</v>
      </c>
      <c r="Z26165" t="s">
        <v>448</v>
      </c>
      <c r="AA26165" t="s">
        <v>456</v>
      </c>
      <c r="AB26165">
        <v>0</v>
      </c>
      <c r="AE26165" t="s">
        <v>1496</v>
      </c>
      <c r="AF26165" t="s">
        <v>448</v>
      </c>
      <c r="AG26165" t="s">
        <v>560</v>
      </c>
      <c r="AL26165" t="s">
        <v>4420</v>
      </c>
      <c r="AM26165" t="s">
        <v>4421</v>
      </c>
      <c r="AN26165" t="s">
        <v>4422</v>
      </c>
      <c r="AO26165" t="s">
        <v>1494</v>
      </c>
      <c r="AQ26165">
        <f>IF(ISBLANK(AP26165), IFERROR(IF(VLOOKUP(AO26165, Ellens_additions!$A$2:$B$252, 2, FALSE) = "", "", VLOOKUP(AO26165, Ellens_additions!$A$2:$B$252, 2, FALSE)), 0), AP26165)</f>
        <v>0</v>
      </c>
    </row>
    <row r="26166" spans="1:43" ht="14.4" hidden="1" x14ac:dyDescent="0.3">
      <c r="A26166" t="s">
        <v>4423</v>
      </c>
      <c r="B26166">
        <v>4909226</v>
      </c>
      <c r="C26166" t="s">
        <v>135</v>
      </c>
      <c r="D26166" t="s">
        <v>174</v>
      </c>
      <c r="E26166" t="s">
        <v>316</v>
      </c>
      <c r="F26166" t="s">
        <v>288</v>
      </c>
      <c r="H26166" t="s">
        <v>4424</v>
      </c>
      <c r="J26166" t="s">
        <v>140</v>
      </c>
      <c r="K26166">
        <v>159313.29</v>
      </c>
      <c r="L26166">
        <v>383539.43</v>
      </c>
      <c r="N26166" t="s">
        <v>1494</v>
      </c>
      <c r="O26166" t="s">
        <v>448</v>
      </c>
      <c r="P26166" t="s">
        <v>1495</v>
      </c>
      <c r="Q26166" t="s">
        <v>144</v>
      </c>
      <c r="S26166">
        <v>0</v>
      </c>
      <c r="T26166">
        <v>0</v>
      </c>
      <c r="V26166" t="s">
        <v>146</v>
      </c>
      <c r="W26166" t="s">
        <v>184</v>
      </c>
      <c r="X26166" t="s">
        <v>7</v>
      </c>
      <c r="Y26166" t="s">
        <v>1494</v>
      </c>
      <c r="Z26166" t="s">
        <v>448</v>
      </c>
      <c r="AA26166" t="s">
        <v>456</v>
      </c>
      <c r="AB26166">
        <v>0</v>
      </c>
      <c r="AE26166" t="s">
        <v>1496</v>
      </c>
      <c r="AF26166" t="s">
        <v>448</v>
      </c>
      <c r="AG26166" t="s">
        <v>560</v>
      </c>
      <c r="AL26166" t="s">
        <v>4425</v>
      </c>
      <c r="AM26166" t="s">
        <v>4426</v>
      </c>
      <c r="AN26166" t="s">
        <v>4427</v>
      </c>
      <c r="AO26166" t="s">
        <v>1494</v>
      </c>
      <c r="AQ26166">
        <f>IF(ISBLANK(AP26166), IFERROR(IF(VLOOKUP(AO26166, Ellens_additions!$A$2:$B$252, 2, FALSE) = "", "", VLOOKUP(AO26166, Ellens_additions!$A$2:$B$252, 2, FALSE)), 0), AP26166)</f>
        <v>0</v>
      </c>
    </row>
    <row r="26167" spans="1:43" ht="14.4" hidden="1" x14ac:dyDescent="0.3">
      <c r="A26167" t="s">
        <v>4428</v>
      </c>
      <c r="B26167">
        <v>4909227</v>
      </c>
      <c r="C26167" t="s">
        <v>135</v>
      </c>
      <c r="D26167" t="s">
        <v>174</v>
      </c>
      <c r="E26167" t="s">
        <v>316</v>
      </c>
      <c r="F26167" t="s">
        <v>288</v>
      </c>
      <c r="H26167" t="s">
        <v>4429</v>
      </c>
      <c r="J26167" t="s">
        <v>140</v>
      </c>
      <c r="K26167">
        <v>159313.85999999999</v>
      </c>
      <c r="L26167">
        <v>383538.9</v>
      </c>
      <c r="N26167" t="s">
        <v>1494</v>
      </c>
      <c r="O26167" t="s">
        <v>448</v>
      </c>
      <c r="P26167" t="s">
        <v>1495</v>
      </c>
      <c r="Q26167" t="s">
        <v>144</v>
      </c>
      <c r="S26167">
        <v>0</v>
      </c>
      <c r="T26167">
        <v>0</v>
      </c>
      <c r="V26167" t="s">
        <v>146</v>
      </c>
      <c r="W26167" t="s">
        <v>184</v>
      </c>
      <c r="X26167" t="s">
        <v>7</v>
      </c>
      <c r="Y26167" t="s">
        <v>1494</v>
      </c>
      <c r="Z26167" t="s">
        <v>448</v>
      </c>
      <c r="AA26167" t="s">
        <v>456</v>
      </c>
      <c r="AB26167">
        <v>0</v>
      </c>
      <c r="AE26167" t="s">
        <v>1496</v>
      </c>
      <c r="AF26167" t="s">
        <v>448</v>
      </c>
      <c r="AG26167" t="s">
        <v>560</v>
      </c>
      <c r="AL26167" t="s">
        <v>4430</v>
      </c>
      <c r="AM26167" t="s">
        <v>4431</v>
      </c>
      <c r="AN26167" t="s">
        <v>4432</v>
      </c>
      <c r="AO26167" t="s">
        <v>1494</v>
      </c>
      <c r="AQ26167">
        <f>IF(ISBLANK(AP26167), IFERROR(IF(VLOOKUP(AO26167, Ellens_additions!$A$2:$B$252, 2, FALSE) = "", "", VLOOKUP(AO26167, Ellens_additions!$A$2:$B$252, 2, FALSE)), 0), AP26167)</f>
        <v>0</v>
      </c>
    </row>
    <row r="26168" spans="1:43" ht="14.4" hidden="1" x14ac:dyDescent="0.3">
      <c r="A26168" t="s">
        <v>4433</v>
      </c>
      <c r="B26168">
        <v>4909228</v>
      </c>
      <c r="C26168" t="s">
        <v>135</v>
      </c>
      <c r="D26168" t="s">
        <v>174</v>
      </c>
      <c r="E26168" t="s">
        <v>316</v>
      </c>
      <c r="F26168" t="s">
        <v>288</v>
      </c>
      <c r="H26168" t="s">
        <v>4434</v>
      </c>
      <c r="J26168" t="s">
        <v>140</v>
      </c>
      <c r="K26168">
        <v>159314.57</v>
      </c>
      <c r="L26168">
        <v>383538.24</v>
      </c>
      <c r="N26168" t="s">
        <v>1494</v>
      </c>
      <c r="O26168" t="s">
        <v>448</v>
      </c>
      <c r="P26168" t="s">
        <v>1495</v>
      </c>
      <c r="Q26168" t="s">
        <v>144</v>
      </c>
      <c r="S26168">
        <v>0</v>
      </c>
      <c r="T26168">
        <v>0</v>
      </c>
      <c r="V26168" t="s">
        <v>146</v>
      </c>
      <c r="W26168" t="s">
        <v>184</v>
      </c>
      <c r="X26168" t="s">
        <v>7</v>
      </c>
      <c r="Y26168" t="s">
        <v>1494</v>
      </c>
      <c r="Z26168" t="s">
        <v>448</v>
      </c>
      <c r="AA26168" t="s">
        <v>456</v>
      </c>
      <c r="AB26168">
        <v>0</v>
      </c>
      <c r="AE26168" t="s">
        <v>1496</v>
      </c>
      <c r="AF26168" t="s">
        <v>448</v>
      </c>
      <c r="AG26168" t="s">
        <v>560</v>
      </c>
      <c r="AL26168" t="s">
        <v>4435</v>
      </c>
      <c r="AM26168" t="s">
        <v>4436</v>
      </c>
      <c r="AN26168" t="s">
        <v>4437</v>
      </c>
      <c r="AO26168" t="s">
        <v>1494</v>
      </c>
      <c r="AQ26168">
        <f>IF(ISBLANK(AP26168), IFERROR(IF(VLOOKUP(AO26168, Ellens_additions!$A$2:$B$252, 2, FALSE) = "", "", VLOOKUP(AO26168, Ellens_additions!$A$2:$B$252, 2, FALSE)), 0), AP26168)</f>
        <v>0</v>
      </c>
    </row>
    <row r="26169" spans="1:43" ht="14.4" hidden="1" x14ac:dyDescent="0.3">
      <c r="A26169" t="s">
        <v>4438</v>
      </c>
      <c r="B26169">
        <v>4909229</v>
      </c>
      <c r="C26169" t="s">
        <v>135</v>
      </c>
      <c r="D26169" t="s">
        <v>174</v>
      </c>
      <c r="E26169" t="s">
        <v>316</v>
      </c>
      <c r="F26169" t="s">
        <v>288</v>
      </c>
      <c r="H26169" t="s">
        <v>4439</v>
      </c>
      <c r="J26169" t="s">
        <v>140</v>
      </c>
      <c r="K26169">
        <v>159315.47</v>
      </c>
      <c r="L26169">
        <v>383537.44</v>
      </c>
      <c r="N26169" t="s">
        <v>1494</v>
      </c>
      <c r="O26169" t="s">
        <v>448</v>
      </c>
      <c r="P26169" t="s">
        <v>1495</v>
      </c>
      <c r="Q26169" t="s">
        <v>144</v>
      </c>
      <c r="S26169">
        <v>0</v>
      </c>
      <c r="T26169">
        <v>0</v>
      </c>
      <c r="V26169" t="s">
        <v>146</v>
      </c>
      <c r="W26169" t="s">
        <v>184</v>
      </c>
      <c r="X26169" t="s">
        <v>7</v>
      </c>
      <c r="Y26169" t="s">
        <v>1494</v>
      </c>
      <c r="Z26169" t="s">
        <v>448</v>
      </c>
      <c r="AA26169" t="s">
        <v>456</v>
      </c>
      <c r="AB26169">
        <v>0</v>
      </c>
      <c r="AE26169" t="s">
        <v>1496</v>
      </c>
      <c r="AF26169" t="s">
        <v>448</v>
      </c>
      <c r="AG26169" t="s">
        <v>560</v>
      </c>
      <c r="AL26169" t="s">
        <v>4440</v>
      </c>
      <c r="AM26169" t="s">
        <v>4441</v>
      </c>
      <c r="AN26169" t="s">
        <v>4442</v>
      </c>
      <c r="AO26169" t="s">
        <v>1494</v>
      </c>
      <c r="AQ26169">
        <f>IF(ISBLANK(AP26169), IFERROR(IF(VLOOKUP(AO26169, Ellens_additions!$A$2:$B$252, 2, FALSE) = "", "", VLOOKUP(AO26169, Ellens_additions!$A$2:$B$252, 2, FALSE)), 0), AP26169)</f>
        <v>0</v>
      </c>
    </row>
    <row r="26170" spans="1:43" ht="14.4" hidden="1" x14ac:dyDescent="0.3">
      <c r="A26170" t="s">
        <v>4443</v>
      </c>
      <c r="B26170">
        <v>4909230</v>
      </c>
      <c r="C26170" t="s">
        <v>135</v>
      </c>
      <c r="D26170" t="s">
        <v>174</v>
      </c>
      <c r="E26170" t="s">
        <v>316</v>
      </c>
      <c r="F26170" t="s">
        <v>288</v>
      </c>
      <c r="H26170" t="s">
        <v>4444</v>
      </c>
      <c r="J26170" t="s">
        <v>140</v>
      </c>
      <c r="K26170">
        <v>159316.06</v>
      </c>
      <c r="L26170">
        <v>383536.95</v>
      </c>
      <c r="N26170" t="s">
        <v>1494</v>
      </c>
      <c r="O26170" t="s">
        <v>448</v>
      </c>
      <c r="P26170" t="s">
        <v>1495</v>
      </c>
      <c r="Q26170" t="s">
        <v>144</v>
      </c>
      <c r="S26170">
        <v>0</v>
      </c>
      <c r="T26170">
        <v>0</v>
      </c>
      <c r="V26170" t="s">
        <v>146</v>
      </c>
      <c r="W26170" t="s">
        <v>184</v>
      </c>
      <c r="X26170" t="s">
        <v>7</v>
      </c>
      <c r="Y26170" t="s">
        <v>1494</v>
      </c>
      <c r="Z26170" t="s">
        <v>448</v>
      </c>
      <c r="AA26170" t="s">
        <v>456</v>
      </c>
      <c r="AB26170">
        <v>0</v>
      </c>
      <c r="AE26170" t="s">
        <v>1496</v>
      </c>
      <c r="AF26170" t="s">
        <v>448</v>
      </c>
      <c r="AG26170" t="s">
        <v>560</v>
      </c>
      <c r="AL26170" t="s">
        <v>4445</v>
      </c>
      <c r="AM26170" t="s">
        <v>4446</v>
      </c>
      <c r="AN26170" t="s">
        <v>4447</v>
      </c>
      <c r="AO26170" t="s">
        <v>1494</v>
      </c>
      <c r="AQ26170">
        <f>IF(ISBLANK(AP26170), IFERROR(IF(VLOOKUP(AO26170, Ellens_additions!$A$2:$B$252, 2, FALSE) = "", "", VLOOKUP(AO26170, Ellens_additions!$A$2:$B$252, 2, FALSE)), 0), AP26170)</f>
        <v>0</v>
      </c>
    </row>
    <row r="26171" spans="1:43" ht="14.4" hidden="1" x14ac:dyDescent="0.3">
      <c r="A26171" t="s">
        <v>4448</v>
      </c>
      <c r="B26171">
        <v>4909234</v>
      </c>
      <c r="C26171" t="s">
        <v>135</v>
      </c>
      <c r="D26171" t="s">
        <v>174</v>
      </c>
      <c r="E26171" t="s">
        <v>316</v>
      </c>
      <c r="F26171" t="s">
        <v>288</v>
      </c>
      <c r="H26171" t="s">
        <v>4449</v>
      </c>
      <c r="J26171" t="s">
        <v>140</v>
      </c>
      <c r="K26171">
        <v>159319.93</v>
      </c>
      <c r="L26171">
        <v>383534.07</v>
      </c>
      <c r="N26171" t="s">
        <v>1494</v>
      </c>
      <c r="O26171" t="s">
        <v>448</v>
      </c>
      <c r="P26171" t="s">
        <v>1495</v>
      </c>
      <c r="Q26171" t="s">
        <v>144</v>
      </c>
      <c r="S26171">
        <v>0</v>
      </c>
      <c r="T26171">
        <v>0</v>
      </c>
      <c r="V26171" t="s">
        <v>146</v>
      </c>
      <c r="W26171" t="s">
        <v>184</v>
      </c>
      <c r="X26171" t="s">
        <v>7</v>
      </c>
      <c r="Y26171" t="s">
        <v>1494</v>
      </c>
      <c r="Z26171" t="s">
        <v>448</v>
      </c>
      <c r="AA26171" t="s">
        <v>456</v>
      </c>
      <c r="AB26171">
        <v>0</v>
      </c>
      <c r="AE26171" t="s">
        <v>1496</v>
      </c>
      <c r="AF26171" t="s">
        <v>448</v>
      </c>
      <c r="AG26171" t="s">
        <v>560</v>
      </c>
      <c r="AL26171" t="s">
        <v>4450</v>
      </c>
      <c r="AM26171" t="s">
        <v>4451</v>
      </c>
      <c r="AN26171" t="s">
        <v>4452</v>
      </c>
      <c r="AO26171" t="s">
        <v>1494</v>
      </c>
      <c r="AQ26171">
        <f>IF(ISBLANK(AP26171), IFERROR(IF(VLOOKUP(AO26171, Ellens_additions!$A$2:$B$252, 2, FALSE) = "", "", VLOOKUP(AO26171, Ellens_additions!$A$2:$B$252, 2, FALSE)), 0), AP26171)</f>
        <v>0</v>
      </c>
    </row>
    <row r="26172" spans="1:43" ht="14.4" hidden="1" x14ac:dyDescent="0.3">
      <c r="A26172" t="s">
        <v>4453</v>
      </c>
      <c r="B26172">
        <v>4909236</v>
      </c>
      <c r="C26172" t="s">
        <v>135</v>
      </c>
      <c r="D26172" t="s">
        <v>174</v>
      </c>
      <c r="E26172" t="s">
        <v>316</v>
      </c>
      <c r="F26172" t="s">
        <v>288</v>
      </c>
      <c r="H26172" t="s">
        <v>4454</v>
      </c>
      <c r="J26172" t="s">
        <v>140</v>
      </c>
      <c r="K26172">
        <v>159321.51999999999</v>
      </c>
      <c r="L26172">
        <v>383532.98</v>
      </c>
      <c r="N26172" t="s">
        <v>1494</v>
      </c>
      <c r="O26172" t="s">
        <v>448</v>
      </c>
      <c r="P26172" t="s">
        <v>1495</v>
      </c>
      <c r="Q26172" t="s">
        <v>144</v>
      </c>
      <c r="S26172">
        <v>0</v>
      </c>
      <c r="T26172">
        <v>0</v>
      </c>
      <c r="V26172" t="s">
        <v>146</v>
      </c>
      <c r="W26172" t="s">
        <v>184</v>
      </c>
      <c r="X26172" t="s">
        <v>7</v>
      </c>
      <c r="Y26172" t="s">
        <v>1494</v>
      </c>
      <c r="Z26172" t="s">
        <v>448</v>
      </c>
      <c r="AA26172" t="s">
        <v>456</v>
      </c>
      <c r="AB26172">
        <v>0</v>
      </c>
      <c r="AE26172" t="s">
        <v>1496</v>
      </c>
      <c r="AF26172" t="s">
        <v>448</v>
      </c>
      <c r="AG26172" t="s">
        <v>560</v>
      </c>
      <c r="AL26172" t="s">
        <v>4455</v>
      </c>
      <c r="AM26172" t="s">
        <v>4456</v>
      </c>
      <c r="AN26172" t="s">
        <v>4457</v>
      </c>
      <c r="AO26172" t="s">
        <v>1494</v>
      </c>
      <c r="AQ26172">
        <f>IF(ISBLANK(AP26172), IFERROR(IF(VLOOKUP(AO26172, Ellens_additions!$A$2:$B$252, 2, FALSE) = "", "", VLOOKUP(AO26172, Ellens_additions!$A$2:$B$252, 2, FALSE)), 0), AP26172)</f>
        <v>0</v>
      </c>
    </row>
    <row r="26173" spans="1:43" ht="14.4" hidden="1" x14ac:dyDescent="0.3">
      <c r="A26173" t="s">
        <v>4458</v>
      </c>
      <c r="B26173">
        <v>4909237</v>
      </c>
      <c r="C26173" t="s">
        <v>135</v>
      </c>
      <c r="D26173" t="s">
        <v>174</v>
      </c>
      <c r="E26173" t="s">
        <v>316</v>
      </c>
      <c r="F26173" t="s">
        <v>288</v>
      </c>
      <c r="H26173" t="s">
        <v>4459</v>
      </c>
      <c r="J26173" t="s">
        <v>140</v>
      </c>
      <c r="K26173">
        <v>159322.71</v>
      </c>
      <c r="L26173">
        <v>383532.48</v>
      </c>
      <c r="N26173" t="s">
        <v>1494</v>
      </c>
      <c r="O26173" t="s">
        <v>448</v>
      </c>
      <c r="P26173" t="s">
        <v>1495</v>
      </c>
      <c r="Q26173" t="s">
        <v>144</v>
      </c>
      <c r="S26173">
        <v>0</v>
      </c>
      <c r="T26173">
        <v>0</v>
      </c>
      <c r="V26173" t="s">
        <v>146</v>
      </c>
      <c r="W26173" t="s">
        <v>184</v>
      </c>
      <c r="X26173" t="s">
        <v>7</v>
      </c>
      <c r="Y26173" t="s">
        <v>1494</v>
      </c>
      <c r="Z26173" t="s">
        <v>448</v>
      </c>
      <c r="AA26173" t="s">
        <v>456</v>
      </c>
      <c r="AB26173">
        <v>0</v>
      </c>
      <c r="AE26173" t="s">
        <v>1496</v>
      </c>
      <c r="AF26173" t="s">
        <v>448</v>
      </c>
      <c r="AG26173" t="s">
        <v>560</v>
      </c>
      <c r="AL26173" t="s">
        <v>4460</v>
      </c>
      <c r="AM26173" t="s">
        <v>4461</v>
      </c>
      <c r="AN26173" t="s">
        <v>4462</v>
      </c>
      <c r="AO26173" t="s">
        <v>1494</v>
      </c>
      <c r="AQ26173">
        <f>IF(ISBLANK(AP26173), IFERROR(IF(VLOOKUP(AO26173, Ellens_additions!$A$2:$B$252, 2, FALSE) = "", "", VLOOKUP(AO26173, Ellens_additions!$A$2:$B$252, 2, FALSE)), 0), AP26173)</f>
        <v>0</v>
      </c>
    </row>
    <row r="26174" spans="1:43" ht="14.4" hidden="1" x14ac:dyDescent="0.3">
      <c r="A26174" t="s">
        <v>4463</v>
      </c>
      <c r="B26174">
        <v>4909239</v>
      </c>
      <c r="C26174" t="s">
        <v>135</v>
      </c>
      <c r="D26174" t="s">
        <v>174</v>
      </c>
      <c r="E26174" t="s">
        <v>316</v>
      </c>
      <c r="F26174" t="s">
        <v>288</v>
      </c>
      <c r="H26174" t="s">
        <v>4464</v>
      </c>
      <c r="J26174" t="s">
        <v>140</v>
      </c>
      <c r="K26174">
        <v>159324.70000000001</v>
      </c>
      <c r="L26174">
        <v>383531.39</v>
      </c>
      <c r="N26174" t="s">
        <v>1494</v>
      </c>
      <c r="O26174" t="s">
        <v>448</v>
      </c>
      <c r="P26174" t="s">
        <v>1495</v>
      </c>
      <c r="Q26174" t="s">
        <v>144</v>
      </c>
      <c r="S26174">
        <v>0</v>
      </c>
      <c r="T26174">
        <v>0</v>
      </c>
      <c r="V26174" t="s">
        <v>146</v>
      </c>
      <c r="W26174" t="s">
        <v>184</v>
      </c>
      <c r="X26174" t="s">
        <v>7</v>
      </c>
      <c r="Y26174" t="s">
        <v>1494</v>
      </c>
      <c r="Z26174" t="s">
        <v>448</v>
      </c>
      <c r="AA26174" t="s">
        <v>456</v>
      </c>
      <c r="AB26174">
        <v>0</v>
      </c>
      <c r="AE26174" t="s">
        <v>1496</v>
      </c>
      <c r="AF26174" t="s">
        <v>448</v>
      </c>
      <c r="AG26174" t="s">
        <v>560</v>
      </c>
      <c r="AL26174" t="s">
        <v>4465</v>
      </c>
      <c r="AM26174" t="s">
        <v>4466</v>
      </c>
      <c r="AN26174" t="s">
        <v>4467</v>
      </c>
      <c r="AO26174" t="s">
        <v>1494</v>
      </c>
      <c r="AQ26174">
        <f>IF(ISBLANK(AP26174), IFERROR(IF(VLOOKUP(AO26174, Ellens_additions!$A$2:$B$252, 2, FALSE) = "", "", VLOOKUP(AO26174, Ellens_additions!$A$2:$B$252, 2, FALSE)), 0), AP26174)</f>
        <v>0</v>
      </c>
    </row>
    <row r="26175" spans="1:43" ht="14.4" hidden="1" x14ac:dyDescent="0.3">
      <c r="A26175" t="s">
        <v>4468</v>
      </c>
      <c r="B26175">
        <v>4909254</v>
      </c>
      <c r="C26175" t="s">
        <v>135</v>
      </c>
      <c r="D26175" t="s">
        <v>174</v>
      </c>
      <c r="E26175" t="s">
        <v>316</v>
      </c>
      <c r="F26175" t="s">
        <v>288</v>
      </c>
      <c r="H26175" t="s">
        <v>4469</v>
      </c>
      <c r="J26175" t="s">
        <v>140</v>
      </c>
      <c r="K26175">
        <v>159376.78</v>
      </c>
      <c r="L26175">
        <v>383544.71</v>
      </c>
      <c r="N26175" t="s">
        <v>1494</v>
      </c>
      <c r="O26175" t="s">
        <v>448</v>
      </c>
      <c r="P26175" t="s">
        <v>1495</v>
      </c>
      <c r="Q26175" t="s">
        <v>144</v>
      </c>
      <c r="S26175">
        <v>0</v>
      </c>
      <c r="T26175">
        <v>0</v>
      </c>
      <c r="V26175" t="s">
        <v>146</v>
      </c>
      <c r="W26175" t="s">
        <v>184</v>
      </c>
      <c r="X26175" t="s">
        <v>7</v>
      </c>
      <c r="Y26175" t="s">
        <v>1494</v>
      </c>
      <c r="Z26175" t="s">
        <v>448</v>
      </c>
      <c r="AA26175" t="s">
        <v>456</v>
      </c>
      <c r="AB26175">
        <v>0</v>
      </c>
      <c r="AE26175" t="s">
        <v>1496</v>
      </c>
      <c r="AF26175" t="s">
        <v>448</v>
      </c>
      <c r="AG26175" t="s">
        <v>560</v>
      </c>
      <c r="AL26175" t="s">
        <v>4470</v>
      </c>
      <c r="AM26175" t="s">
        <v>4471</v>
      </c>
      <c r="AN26175" t="s">
        <v>4472</v>
      </c>
      <c r="AO26175" t="s">
        <v>1494</v>
      </c>
      <c r="AQ26175">
        <f>IF(ISBLANK(AP26175), IFERROR(IF(VLOOKUP(AO26175, Ellens_additions!$A$2:$B$252, 2, FALSE) = "", "", VLOOKUP(AO26175, Ellens_additions!$A$2:$B$252, 2, FALSE)), 0), AP26175)</f>
        <v>0</v>
      </c>
    </row>
    <row r="26176" spans="1:43" ht="14.4" hidden="1" x14ac:dyDescent="0.3">
      <c r="A26176" t="s">
        <v>4473</v>
      </c>
      <c r="B26176">
        <v>4909257</v>
      </c>
      <c r="C26176" t="s">
        <v>135</v>
      </c>
      <c r="D26176" t="s">
        <v>174</v>
      </c>
      <c r="E26176" t="s">
        <v>316</v>
      </c>
      <c r="F26176" t="s">
        <v>288</v>
      </c>
      <c r="H26176" t="s">
        <v>4474</v>
      </c>
      <c r="J26176" t="s">
        <v>140</v>
      </c>
      <c r="K26176">
        <v>159374.07</v>
      </c>
      <c r="L26176">
        <v>383541.56</v>
      </c>
      <c r="N26176" t="s">
        <v>1494</v>
      </c>
      <c r="O26176" t="s">
        <v>448</v>
      </c>
      <c r="P26176" t="s">
        <v>1495</v>
      </c>
      <c r="Q26176" t="s">
        <v>144</v>
      </c>
      <c r="S26176">
        <v>0</v>
      </c>
      <c r="T26176">
        <v>0</v>
      </c>
      <c r="V26176" t="s">
        <v>146</v>
      </c>
      <c r="W26176" t="s">
        <v>184</v>
      </c>
      <c r="X26176" t="s">
        <v>7</v>
      </c>
      <c r="Y26176" t="s">
        <v>1494</v>
      </c>
      <c r="Z26176" t="s">
        <v>448</v>
      </c>
      <c r="AA26176" t="s">
        <v>456</v>
      </c>
      <c r="AB26176">
        <v>0</v>
      </c>
      <c r="AE26176" t="s">
        <v>1496</v>
      </c>
      <c r="AF26176" t="s">
        <v>448</v>
      </c>
      <c r="AG26176" t="s">
        <v>560</v>
      </c>
      <c r="AL26176" t="s">
        <v>4475</v>
      </c>
      <c r="AM26176" t="s">
        <v>4476</v>
      </c>
      <c r="AN26176" t="s">
        <v>4477</v>
      </c>
      <c r="AO26176" t="s">
        <v>1494</v>
      </c>
      <c r="AQ26176">
        <f>IF(ISBLANK(AP26176), IFERROR(IF(VLOOKUP(AO26176, Ellens_additions!$A$2:$B$252, 2, FALSE) = "", "", VLOOKUP(AO26176, Ellens_additions!$A$2:$B$252, 2, FALSE)), 0), AP26176)</f>
        <v>0</v>
      </c>
    </row>
    <row r="26177" spans="1:43" ht="14.4" hidden="1" x14ac:dyDescent="0.3">
      <c r="A26177" t="s">
        <v>4478</v>
      </c>
      <c r="B26177">
        <v>4909258</v>
      </c>
      <c r="C26177" t="s">
        <v>135</v>
      </c>
      <c r="D26177" t="s">
        <v>174</v>
      </c>
      <c r="E26177" t="s">
        <v>316</v>
      </c>
      <c r="F26177" t="s">
        <v>288</v>
      </c>
      <c r="H26177" t="s">
        <v>4479</v>
      </c>
      <c r="J26177" t="s">
        <v>140</v>
      </c>
      <c r="K26177">
        <v>159373.43</v>
      </c>
      <c r="L26177">
        <v>383540.84</v>
      </c>
      <c r="N26177" t="s">
        <v>1494</v>
      </c>
      <c r="O26177" t="s">
        <v>448</v>
      </c>
      <c r="P26177" t="s">
        <v>1495</v>
      </c>
      <c r="Q26177" t="s">
        <v>144</v>
      </c>
      <c r="S26177">
        <v>0</v>
      </c>
      <c r="T26177">
        <v>0</v>
      </c>
      <c r="V26177" t="s">
        <v>146</v>
      </c>
      <c r="W26177" t="s">
        <v>184</v>
      </c>
      <c r="X26177" t="s">
        <v>7</v>
      </c>
      <c r="Y26177" t="s">
        <v>1494</v>
      </c>
      <c r="Z26177" t="s">
        <v>448</v>
      </c>
      <c r="AA26177" t="s">
        <v>456</v>
      </c>
      <c r="AB26177">
        <v>0</v>
      </c>
      <c r="AE26177" t="s">
        <v>1496</v>
      </c>
      <c r="AF26177" t="s">
        <v>448</v>
      </c>
      <c r="AG26177" t="s">
        <v>560</v>
      </c>
      <c r="AL26177" t="s">
        <v>4480</v>
      </c>
      <c r="AM26177" t="s">
        <v>4481</v>
      </c>
      <c r="AN26177" t="s">
        <v>4482</v>
      </c>
      <c r="AO26177" t="s">
        <v>1494</v>
      </c>
      <c r="AQ26177">
        <f>IF(ISBLANK(AP26177), IFERROR(IF(VLOOKUP(AO26177, Ellens_additions!$A$2:$B$252, 2, FALSE) = "", "", VLOOKUP(AO26177, Ellens_additions!$A$2:$B$252, 2, FALSE)), 0), AP26177)</f>
        <v>0</v>
      </c>
    </row>
    <row r="26178" spans="1:43" ht="14.4" hidden="1" x14ac:dyDescent="0.3">
      <c r="A26178" t="s">
        <v>4483</v>
      </c>
      <c r="B26178">
        <v>4909261</v>
      </c>
      <c r="C26178" t="s">
        <v>135</v>
      </c>
      <c r="D26178" t="s">
        <v>174</v>
      </c>
      <c r="E26178" t="s">
        <v>316</v>
      </c>
      <c r="F26178" t="s">
        <v>288</v>
      </c>
      <c r="H26178" t="s">
        <v>4484</v>
      </c>
      <c r="J26178" t="s">
        <v>140</v>
      </c>
      <c r="K26178">
        <v>159371.01999999999</v>
      </c>
      <c r="L26178">
        <v>383538.43</v>
      </c>
      <c r="N26178" t="s">
        <v>1494</v>
      </c>
      <c r="O26178" t="s">
        <v>448</v>
      </c>
      <c r="P26178" t="s">
        <v>1495</v>
      </c>
      <c r="Q26178" t="s">
        <v>144</v>
      </c>
      <c r="S26178">
        <v>0</v>
      </c>
      <c r="T26178">
        <v>0</v>
      </c>
      <c r="V26178" t="s">
        <v>146</v>
      </c>
      <c r="W26178" t="s">
        <v>184</v>
      </c>
      <c r="X26178" t="s">
        <v>7</v>
      </c>
      <c r="Y26178" t="s">
        <v>1494</v>
      </c>
      <c r="Z26178" t="s">
        <v>448</v>
      </c>
      <c r="AA26178" t="s">
        <v>456</v>
      </c>
      <c r="AB26178">
        <v>0</v>
      </c>
      <c r="AE26178" t="s">
        <v>1496</v>
      </c>
      <c r="AF26178" t="s">
        <v>448</v>
      </c>
      <c r="AG26178" t="s">
        <v>560</v>
      </c>
      <c r="AL26178" t="s">
        <v>4485</v>
      </c>
      <c r="AM26178" t="s">
        <v>4486</v>
      </c>
      <c r="AN26178" t="s">
        <v>4487</v>
      </c>
      <c r="AO26178" t="s">
        <v>1494</v>
      </c>
      <c r="AQ26178">
        <f>IF(ISBLANK(AP26178), IFERROR(IF(VLOOKUP(AO26178, Ellens_additions!$A$2:$B$252, 2, FALSE) = "", "", VLOOKUP(AO26178, Ellens_additions!$A$2:$B$252, 2, FALSE)), 0), AP26178)</f>
        <v>0</v>
      </c>
    </row>
    <row r="26179" spans="1:43" ht="14.4" hidden="1" x14ac:dyDescent="0.3">
      <c r="A26179" t="s">
        <v>4488</v>
      </c>
      <c r="B26179">
        <v>4909263</v>
      </c>
      <c r="C26179" t="s">
        <v>135</v>
      </c>
      <c r="D26179" t="s">
        <v>174</v>
      </c>
      <c r="E26179" t="s">
        <v>316</v>
      </c>
      <c r="F26179" t="s">
        <v>288</v>
      </c>
      <c r="H26179" t="s">
        <v>4489</v>
      </c>
      <c r="J26179" t="s">
        <v>140</v>
      </c>
      <c r="K26179">
        <v>159369.67000000001</v>
      </c>
      <c r="L26179">
        <v>383537.09</v>
      </c>
      <c r="N26179" t="s">
        <v>1494</v>
      </c>
      <c r="O26179" t="s">
        <v>448</v>
      </c>
      <c r="P26179" t="s">
        <v>1495</v>
      </c>
      <c r="Q26179" t="s">
        <v>144</v>
      </c>
      <c r="S26179">
        <v>0</v>
      </c>
      <c r="T26179">
        <v>0</v>
      </c>
      <c r="V26179" t="s">
        <v>146</v>
      </c>
      <c r="W26179" t="s">
        <v>184</v>
      </c>
      <c r="X26179" t="s">
        <v>7</v>
      </c>
      <c r="Y26179" t="s">
        <v>1494</v>
      </c>
      <c r="Z26179" t="s">
        <v>448</v>
      </c>
      <c r="AA26179" t="s">
        <v>456</v>
      </c>
      <c r="AB26179">
        <v>0</v>
      </c>
      <c r="AE26179" t="s">
        <v>1496</v>
      </c>
      <c r="AF26179" t="s">
        <v>448</v>
      </c>
      <c r="AG26179" t="s">
        <v>560</v>
      </c>
      <c r="AL26179" t="s">
        <v>4490</v>
      </c>
      <c r="AM26179" t="s">
        <v>4491</v>
      </c>
      <c r="AN26179" t="s">
        <v>4492</v>
      </c>
      <c r="AO26179" t="s">
        <v>1494</v>
      </c>
      <c r="AQ26179">
        <f>IF(ISBLANK(AP26179), IFERROR(IF(VLOOKUP(AO26179, Ellens_additions!$A$2:$B$252, 2, FALSE) = "", "", VLOOKUP(AO26179, Ellens_additions!$A$2:$B$252, 2, FALSE)), 0), AP26179)</f>
        <v>0</v>
      </c>
    </row>
    <row r="26180" spans="1:43" ht="14.4" hidden="1" x14ac:dyDescent="0.3">
      <c r="A26180" t="s">
        <v>4493</v>
      </c>
      <c r="B26180">
        <v>4909269</v>
      </c>
      <c r="C26180" t="s">
        <v>135</v>
      </c>
      <c r="D26180" t="s">
        <v>174</v>
      </c>
      <c r="E26180" t="s">
        <v>316</v>
      </c>
      <c r="F26180" t="s">
        <v>288</v>
      </c>
      <c r="H26180" t="s">
        <v>4494</v>
      </c>
      <c r="J26180" t="s">
        <v>140</v>
      </c>
      <c r="K26180">
        <v>159367.46</v>
      </c>
      <c r="L26180">
        <v>383530.29</v>
      </c>
      <c r="N26180" t="s">
        <v>1494</v>
      </c>
      <c r="O26180" t="s">
        <v>448</v>
      </c>
      <c r="P26180" t="s">
        <v>1495</v>
      </c>
      <c r="Q26180" t="s">
        <v>144</v>
      </c>
      <c r="S26180">
        <v>0</v>
      </c>
      <c r="T26180">
        <v>0</v>
      </c>
      <c r="V26180" t="s">
        <v>146</v>
      </c>
      <c r="W26180" t="s">
        <v>184</v>
      </c>
      <c r="X26180" t="s">
        <v>7</v>
      </c>
      <c r="Y26180" t="s">
        <v>1494</v>
      </c>
      <c r="Z26180" t="s">
        <v>448</v>
      </c>
      <c r="AA26180" t="s">
        <v>456</v>
      </c>
      <c r="AB26180">
        <v>0</v>
      </c>
      <c r="AE26180" t="s">
        <v>1496</v>
      </c>
      <c r="AF26180" t="s">
        <v>448</v>
      </c>
      <c r="AG26180" t="s">
        <v>560</v>
      </c>
      <c r="AL26180" t="s">
        <v>4495</v>
      </c>
      <c r="AM26180" t="s">
        <v>4496</v>
      </c>
      <c r="AN26180" t="s">
        <v>4497</v>
      </c>
      <c r="AO26180" t="s">
        <v>1494</v>
      </c>
      <c r="AQ26180">
        <f>IF(ISBLANK(AP26180), IFERROR(IF(VLOOKUP(AO26180, Ellens_additions!$A$2:$B$252, 2, FALSE) = "", "", VLOOKUP(AO26180, Ellens_additions!$A$2:$B$252, 2, FALSE)), 0), AP26180)</f>
        <v>0</v>
      </c>
    </row>
    <row r="26181" spans="1:43" ht="14.4" hidden="1" x14ac:dyDescent="0.3">
      <c r="A26181" t="s">
        <v>4498</v>
      </c>
      <c r="B26181">
        <v>4909271</v>
      </c>
      <c r="C26181" t="s">
        <v>135</v>
      </c>
      <c r="D26181" t="s">
        <v>174</v>
      </c>
      <c r="E26181" t="s">
        <v>316</v>
      </c>
      <c r="F26181" t="s">
        <v>288</v>
      </c>
      <c r="H26181" t="s">
        <v>4499</v>
      </c>
      <c r="J26181" t="s">
        <v>140</v>
      </c>
      <c r="K26181">
        <v>159367.9</v>
      </c>
      <c r="L26181">
        <v>383528.14</v>
      </c>
      <c r="N26181" t="s">
        <v>1494</v>
      </c>
      <c r="O26181" t="s">
        <v>448</v>
      </c>
      <c r="P26181" t="s">
        <v>1495</v>
      </c>
      <c r="Q26181" t="s">
        <v>144</v>
      </c>
      <c r="S26181">
        <v>0</v>
      </c>
      <c r="T26181">
        <v>0</v>
      </c>
      <c r="V26181" t="s">
        <v>146</v>
      </c>
      <c r="W26181" t="s">
        <v>184</v>
      </c>
      <c r="X26181" t="s">
        <v>7</v>
      </c>
      <c r="Y26181" t="s">
        <v>1494</v>
      </c>
      <c r="Z26181" t="s">
        <v>448</v>
      </c>
      <c r="AA26181" t="s">
        <v>456</v>
      </c>
      <c r="AB26181">
        <v>0</v>
      </c>
      <c r="AE26181" t="s">
        <v>1496</v>
      </c>
      <c r="AF26181" t="s">
        <v>448</v>
      </c>
      <c r="AG26181" t="s">
        <v>560</v>
      </c>
      <c r="AL26181" t="s">
        <v>4500</v>
      </c>
      <c r="AM26181" t="s">
        <v>4501</v>
      </c>
      <c r="AN26181" t="s">
        <v>4502</v>
      </c>
      <c r="AO26181" t="s">
        <v>1494</v>
      </c>
      <c r="AQ26181">
        <f>IF(ISBLANK(AP26181), IFERROR(IF(VLOOKUP(AO26181, Ellens_additions!$A$2:$B$252, 2, FALSE) = "", "", VLOOKUP(AO26181, Ellens_additions!$A$2:$B$252, 2, FALSE)), 0), AP26181)</f>
        <v>0</v>
      </c>
    </row>
    <row r="26182" spans="1:43" ht="14.4" hidden="1" x14ac:dyDescent="0.3">
      <c r="A26182" t="s">
        <v>4503</v>
      </c>
      <c r="B26182">
        <v>4909272</v>
      </c>
      <c r="C26182" t="s">
        <v>135</v>
      </c>
      <c r="D26182" t="s">
        <v>174</v>
      </c>
      <c r="E26182" t="s">
        <v>316</v>
      </c>
      <c r="F26182" t="s">
        <v>288</v>
      </c>
      <c r="H26182" t="s">
        <v>4504</v>
      </c>
      <c r="J26182" t="s">
        <v>140</v>
      </c>
      <c r="K26182">
        <v>159368.04999999999</v>
      </c>
      <c r="L26182">
        <v>383526.95</v>
      </c>
      <c r="N26182" t="s">
        <v>1494</v>
      </c>
      <c r="O26182" t="s">
        <v>448</v>
      </c>
      <c r="P26182" t="s">
        <v>1495</v>
      </c>
      <c r="Q26182" t="s">
        <v>144</v>
      </c>
      <c r="S26182">
        <v>0</v>
      </c>
      <c r="T26182">
        <v>0</v>
      </c>
      <c r="V26182" t="s">
        <v>146</v>
      </c>
      <c r="W26182" t="s">
        <v>184</v>
      </c>
      <c r="X26182" t="s">
        <v>7</v>
      </c>
      <c r="Y26182" t="s">
        <v>1494</v>
      </c>
      <c r="Z26182" t="s">
        <v>448</v>
      </c>
      <c r="AA26182" t="s">
        <v>456</v>
      </c>
      <c r="AB26182">
        <v>0</v>
      </c>
      <c r="AE26182" t="s">
        <v>1496</v>
      </c>
      <c r="AF26182" t="s">
        <v>448</v>
      </c>
      <c r="AG26182" t="s">
        <v>560</v>
      </c>
      <c r="AL26182" t="s">
        <v>4505</v>
      </c>
      <c r="AM26182" t="s">
        <v>4506</v>
      </c>
      <c r="AN26182" t="s">
        <v>4507</v>
      </c>
      <c r="AO26182" t="s">
        <v>1494</v>
      </c>
      <c r="AQ26182">
        <f>IF(ISBLANK(AP26182), IFERROR(IF(VLOOKUP(AO26182, Ellens_additions!$A$2:$B$252, 2, FALSE) = "", "", VLOOKUP(AO26182, Ellens_additions!$A$2:$B$252, 2, FALSE)), 0), AP26182)</f>
        <v>0</v>
      </c>
    </row>
    <row r="26183" spans="1:43" ht="14.4" hidden="1" x14ac:dyDescent="0.3">
      <c r="A26183" t="s">
        <v>4508</v>
      </c>
      <c r="B26183">
        <v>4909273</v>
      </c>
      <c r="C26183" t="s">
        <v>135</v>
      </c>
      <c r="D26183" t="s">
        <v>174</v>
      </c>
      <c r="E26183" t="s">
        <v>316</v>
      </c>
      <c r="F26183" t="s">
        <v>288</v>
      </c>
      <c r="H26183" t="s">
        <v>4509</v>
      </c>
      <c r="J26183" t="s">
        <v>140</v>
      </c>
      <c r="K26183">
        <v>159368.32000000001</v>
      </c>
      <c r="L26183">
        <v>383525.56</v>
      </c>
      <c r="N26183" t="s">
        <v>1494</v>
      </c>
      <c r="O26183" t="s">
        <v>448</v>
      </c>
      <c r="P26183" t="s">
        <v>1495</v>
      </c>
      <c r="Q26183" t="s">
        <v>144</v>
      </c>
      <c r="S26183">
        <v>0</v>
      </c>
      <c r="T26183">
        <v>0</v>
      </c>
      <c r="V26183" t="s">
        <v>146</v>
      </c>
      <c r="W26183" t="s">
        <v>184</v>
      </c>
      <c r="X26183" t="s">
        <v>7</v>
      </c>
      <c r="Y26183" t="s">
        <v>1494</v>
      </c>
      <c r="Z26183" t="s">
        <v>448</v>
      </c>
      <c r="AA26183" t="s">
        <v>456</v>
      </c>
      <c r="AB26183">
        <v>0</v>
      </c>
      <c r="AE26183" t="s">
        <v>1496</v>
      </c>
      <c r="AF26183" t="s">
        <v>448</v>
      </c>
      <c r="AG26183" t="s">
        <v>560</v>
      </c>
      <c r="AL26183" t="s">
        <v>4510</v>
      </c>
      <c r="AM26183" t="s">
        <v>4511</v>
      </c>
      <c r="AN26183" t="s">
        <v>4512</v>
      </c>
      <c r="AO26183" t="s">
        <v>1494</v>
      </c>
      <c r="AQ26183">
        <f>IF(ISBLANK(AP26183), IFERROR(IF(VLOOKUP(AO26183, Ellens_additions!$A$2:$B$252, 2, FALSE) = "", "", VLOOKUP(AO26183, Ellens_additions!$A$2:$B$252, 2, FALSE)), 0), AP26183)</f>
        <v>0</v>
      </c>
    </row>
    <row r="26184" spans="1:43" ht="14.4" hidden="1" x14ac:dyDescent="0.3">
      <c r="A26184" t="s">
        <v>4513</v>
      </c>
      <c r="B26184">
        <v>4909275</v>
      </c>
      <c r="C26184" t="s">
        <v>135</v>
      </c>
      <c r="D26184" t="s">
        <v>174</v>
      </c>
      <c r="E26184" t="s">
        <v>316</v>
      </c>
      <c r="F26184" t="s">
        <v>288</v>
      </c>
      <c r="H26184" t="s">
        <v>4514</v>
      </c>
      <c r="J26184" t="s">
        <v>140</v>
      </c>
      <c r="K26184">
        <v>159368.78</v>
      </c>
      <c r="L26184">
        <v>383523.24</v>
      </c>
      <c r="N26184" t="s">
        <v>1494</v>
      </c>
      <c r="O26184" t="s">
        <v>448</v>
      </c>
      <c r="P26184" t="s">
        <v>1495</v>
      </c>
      <c r="Q26184" t="s">
        <v>144</v>
      </c>
      <c r="S26184">
        <v>0</v>
      </c>
      <c r="T26184">
        <v>0</v>
      </c>
      <c r="V26184" t="s">
        <v>146</v>
      </c>
      <c r="W26184" t="s">
        <v>184</v>
      </c>
      <c r="X26184" t="s">
        <v>7</v>
      </c>
      <c r="Y26184" t="s">
        <v>1494</v>
      </c>
      <c r="Z26184" t="s">
        <v>448</v>
      </c>
      <c r="AA26184" t="s">
        <v>456</v>
      </c>
      <c r="AB26184">
        <v>0</v>
      </c>
      <c r="AE26184" t="s">
        <v>1496</v>
      </c>
      <c r="AF26184" t="s">
        <v>448</v>
      </c>
      <c r="AG26184" t="s">
        <v>560</v>
      </c>
      <c r="AL26184" t="s">
        <v>4515</v>
      </c>
      <c r="AM26184" t="s">
        <v>4516</v>
      </c>
      <c r="AN26184" t="s">
        <v>4517</v>
      </c>
      <c r="AO26184" t="s">
        <v>1494</v>
      </c>
      <c r="AQ26184">
        <f>IF(ISBLANK(AP26184), IFERROR(IF(VLOOKUP(AO26184, Ellens_additions!$A$2:$B$252, 2, FALSE) = "", "", VLOOKUP(AO26184, Ellens_additions!$A$2:$B$252, 2, FALSE)), 0), AP26184)</f>
        <v>0</v>
      </c>
    </row>
    <row r="26185" spans="1:43" ht="14.4" hidden="1" x14ac:dyDescent="0.3">
      <c r="A26185" t="s">
        <v>4518</v>
      </c>
      <c r="B26185">
        <v>4909278</v>
      </c>
      <c r="C26185" t="s">
        <v>135</v>
      </c>
      <c r="D26185" t="s">
        <v>174</v>
      </c>
      <c r="E26185" t="s">
        <v>316</v>
      </c>
      <c r="F26185" t="s">
        <v>288</v>
      </c>
      <c r="H26185" t="s">
        <v>4519</v>
      </c>
      <c r="J26185" t="s">
        <v>140</v>
      </c>
      <c r="K26185">
        <v>159340.01999999999</v>
      </c>
      <c r="L26185">
        <v>383514.05</v>
      </c>
      <c r="N26185" t="s">
        <v>1494</v>
      </c>
      <c r="O26185" t="s">
        <v>448</v>
      </c>
      <c r="P26185" t="s">
        <v>1495</v>
      </c>
      <c r="Q26185" t="s">
        <v>144</v>
      </c>
      <c r="S26185">
        <v>0</v>
      </c>
      <c r="T26185">
        <v>0</v>
      </c>
      <c r="V26185" t="s">
        <v>146</v>
      </c>
      <c r="W26185" t="s">
        <v>184</v>
      </c>
      <c r="X26185" t="s">
        <v>7</v>
      </c>
      <c r="Y26185" t="s">
        <v>1494</v>
      </c>
      <c r="Z26185" t="s">
        <v>448</v>
      </c>
      <c r="AA26185" t="s">
        <v>456</v>
      </c>
      <c r="AB26185">
        <v>0</v>
      </c>
      <c r="AE26185" t="s">
        <v>1496</v>
      </c>
      <c r="AF26185" t="s">
        <v>448</v>
      </c>
      <c r="AG26185" t="s">
        <v>560</v>
      </c>
      <c r="AL26185" t="s">
        <v>4520</v>
      </c>
      <c r="AM26185" t="s">
        <v>4521</v>
      </c>
      <c r="AN26185" t="s">
        <v>4522</v>
      </c>
      <c r="AO26185" t="s">
        <v>1494</v>
      </c>
      <c r="AQ26185">
        <f>IF(ISBLANK(AP26185), IFERROR(IF(VLOOKUP(AO26185, Ellens_additions!$A$2:$B$252, 2, FALSE) = "", "", VLOOKUP(AO26185, Ellens_additions!$A$2:$B$252, 2, FALSE)), 0), AP26185)</f>
        <v>0</v>
      </c>
    </row>
    <row r="26186" spans="1:43" ht="14.4" hidden="1" x14ac:dyDescent="0.3">
      <c r="A26186" t="s">
        <v>4523</v>
      </c>
      <c r="B26186">
        <v>4909280</v>
      </c>
      <c r="C26186" t="s">
        <v>135</v>
      </c>
      <c r="D26186" t="s">
        <v>174</v>
      </c>
      <c r="E26186" t="s">
        <v>316</v>
      </c>
      <c r="F26186" t="s">
        <v>288</v>
      </c>
      <c r="H26186" t="s">
        <v>4524</v>
      </c>
      <c r="J26186" t="s">
        <v>140</v>
      </c>
      <c r="K26186">
        <v>159339.20000000001</v>
      </c>
      <c r="L26186">
        <v>383516.36</v>
      </c>
      <c r="N26186" t="s">
        <v>1494</v>
      </c>
      <c r="O26186" t="s">
        <v>448</v>
      </c>
      <c r="P26186" t="s">
        <v>1495</v>
      </c>
      <c r="Q26186" t="s">
        <v>144</v>
      </c>
      <c r="S26186">
        <v>0</v>
      </c>
      <c r="T26186">
        <v>0</v>
      </c>
      <c r="V26186" t="s">
        <v>146</v>
      </c>
      <c r="W26186" t="s">
        <v>184</v>
      </c>
      <c r="X26186" t="s">
        <v>7</v>
      </c>
      <c r="Y26186" t="s">
        <v>1494</v>
      </c>
      <c r="Z26186" t="s">
        <v>448</v>
      </c>
      <c r="AA26186" t="s">
        <v>456</v>
      </c>
      <c r="AB26186">
        <v>0</v>
      </c>
      <c r="AE26186" t="s">
        <v>1496</v>
      </c>
      <c r="AF26186" t="s">
        <v>448</v>
      </c>
      <c r="AG26186" t="s">
        <v>560</v>
      </c>
      <c r="AL26186" t="s">
        <v>4525</v>
      </c>
      <c r="AM26186" t="s">
        <v>4526</v>
      </c>
      <c r="AN26186" t="s">
        <v>4527</v>
      </c>
      <c r="AO26186" t="s">
        <v>1494</v>
      </c>
      <c r="AQ26186">
        <f>IF(ISBLANK(AP26186), IFERROR(IF(VLOOKUP(AO26186, Ellens_additions!$A$2:$B$252, 2, FALSE) = "", "", VLOOKUP(AO26186, Ellens_additions!$A$2:$B$252, 2, FALSE)), 0), AP26186)</f>
        <v>0</v>
      </c>
    </row>
    <row r="26187" spans="1:43" ht="14.4" hidden="1" x14ac:dyDescent="0.3">
      <c r="A26187" t="s">
        <v>4528</v>
      </c>
      <c r="B26187">
        <v>4909281</v>
      </c>
      <c r="C26187" t="s">
        <v>135</v>
      </c>
      <c r="D26187" t="s">
        <v>174</v>
      </c>
      <c r="E26187" t="s">
        <v>316</v>
      </c>
      <c r="F26187" t="s">
        <v>288</v>
      </c>
      <c r="H26187" t="s">
        <v>4529</v>
      </c>
      <c r="J26187" t="s">
        <v>140</v>
      </c>
      <c r="K26187">
        <v>159338.81</v>
      </c>
      <c r="L26187">
        <v>383517.41</v>
      </c>
      <c r="N26187" t="s">
        <v>1494</v>
      </c>
      <c r="O26187" t="s">
        <v>448</v>
      </c>
      <c r="P26187" t="s">
        <v>1495</v>
      </c>
      <c r="Q26187" t="s">
        <v>144</v>
      </c>
      <c r="S26187">
        <v>0</v>
      </c>
      <c r="T26187">
        <v>0</v>
      </c>
      <c r="V26187" t="s">
        <v>146</v>
      </c>
      <c r="W26187" t="s">
        <v>184</v>
      </c>
      <c r="X26187" t="s">
        <v>7</v>
      </c>
      <c r="Y26187" t="s">
        <v>1494</v>
      </c>
      <c r="Z26187" t="s">
        <v>448</v>
      </c>
      <c r="AA26187" t="s">
        <v>456</v>
      </c>
      <c r="AB26187">
        <v>0</v>
      </c>
      <c r="AE26187" t="s">
        <v>1496</v>
      </c>
      <c r="AF26187" t="s">
        <v>448</v>
      </c>
      <c r="AG26187" t="s">
        <v>560</v>
      </c>
      <c r="AL26187" t="s">
        <v>4530</v>
      </c>
      <c r="AM26187" t="s">
        <v>4531</v>
      </c>
      <c r="AN26187" t="s">
        <v>4532</v>
      </c>
      <c r="AO26187" t="s">
        <v>1494</v>
      </c>
      <c r="AQ26187">
        <f>IF(ISBLANK(AP26187), IFERROR(IF(VLOOKUP(AO26187, Ellens_additions!$A$2:$B$252, 2, FALSE) = "", "", VLOOKUP(AO26187, Ellens_additions!$A$2:$B$252, 2, FALSE)), 0), AP26187)</f>
        <v>0</v>
      </c>
    </row>
    <row r="26188" spans="1:43" ht="14.4" x14ac:dyDescent="0.3"/>
    <row r="26189" spans="1:43" ht="14.4" x14ac:dyDescent="0.3"/>
    <row r="26190" spans="1:43" ht="14.4" x14ac:dyDescent="0.3"/>
    <row r="26191" spans="1:43" ht="14.4" x14ac:dyDescent="0.3"/>
    <row r="26192" spans="1:43" ht="14.4" x14ac:dyDescent="0.3"/>
    <row r="26193" ht="14.4" x14ac:dyDescent="0.3"/>
    <row r="26194" ht="14.4" x14ac:dyDescent="0.3"/>
    <row r="26195" ht="14.4" x14ac:dyDescent="0.3"/>
    <row r="26196" ht="14.4" x14ac:dyDescent="0.3"/>
    <row r="26197" ht="14.4" x14ac:dyDescent="0.3"/>
    <row r="26198" ht="14.4" x14ac:dyDescent="0.3"/>
    <row r="26199" ht="14.4" x14ac:dyDescent="0.3"/>
    <row r="26200" ht="14.4" x14ac:dyDescent="0.3"/>
    <row r="26201" ht="14.4" x14ac:dyDescent="0.3"/>
    <row r="26202" ht="14.4" x14ac:dyDescent="0.3"/>
    <row r="26203" ht="14.4" x14ac:dyDescent="0.3"/>
    <row r="26204" ht="14.4" x14ac:dyDescent="0.3"/>
    <row r="26205" ht="14.4" x14ac:dyDescent="0.3"/>
    <row r="26206" ht="14.4" x14ac:dyDescent="0.3"/>
    <row r="26207" ht="14.4" x14ac:dyDescent="0.3"/>
    <row r="26208" ht="14.4" x14ac:dyDescent="0.3"/>
    <row r="26209" ht="14.4" x14ac:dyDescent="0.3"/>
    <row r="26210" ht="14.4" x14ac:dyDescent="0.3"/>
    <row r="26211" ht="14.4" x14ac:dyDescent="0.3"/>
    <row r="26212" ht="14.4" x14ac:dyDescent="0.3"/>
    <row r="26213" ht="14.4" x14ac:dyDescent="0.3"/>
    <row r="26214" ht="14.4" x14ac:dyDescent="0.3"/>
    <row r="26215" ht="14.4" x14ac:dyDescent="0.3"/>
    <row r="26216" ht="14.4" x14ac:dyDescent="0.3"/>
    <row r="26217" ht="14.4" x14ac:dyDescent="0.3"/>
    <row r="26218" ht="14.4" x14ac:dyDescent="0.3"/>
    <row r="26219" ht="14.4" x14ac:dyDescent="0.3"/>
    <row r="26220" ht="14.4" x14ac:dyDescent="0.3"/>
    <row r="26221" ht="14.4" x14ac:dyDescent="0.3"/>
    <row r="26222" ht="14.4" x14ac:dyDescent="0.3"/>
    <row r="26223" ht="14.4" x14ac:dyDescent="0.3"/>
    <row r="26224" ht="14.4" x14ac:dyDescent="0.3"/>
    <row r="26225" ht="14.4" x14ac:dyDescent="0.3"/>
    <row r="26226" ht="14.4" x14ac:dyDescent="0.3"/>
    <row r="26227" ht="14.4" x14ac:dyDescent="0.3"/>
    <row r="26228" ht="14.4" x14ac:dyDescent="0.3"/>
    <row r="26229" ht="14.4" x14ac:dyDescent="0.3"/>
    <row r="26230" ht="14.4" x14ac:dyDescent="0.3"/>
    <row r="26231" ht="14.4" x14ac:dyDescent="0.3"/>
    <row r="26232" ht="14.4" x14ac:dyDescent="0.3"/>
    <row r="26233" ht="14.4" x14ac:dyDescent="0.3"/>
    <row r="26234" ht="14.4" x14ac:dyDescent="0.3"/>
    <row r="26235" ht="14.4" x14ac:dyDescent="0.3"/>
    <row r="26236" ht="14.4" x14ac:dyDescent="0.3"/>
    <row r="26237" ht="14.4" x14ac:dyDescent="0.3"/>
    <row r="26238" ht="14.4" x14ac:dyDescent="0.3"/>
    <row r="26239" ht="14.4" x14ac:dyDescent="0.3"/>
    <row r="26240" ht="14.4" x14ac:dyDescent="0.3"/>
    <row r="26241" ht="14.4" x14ac:dyDescent="0.3"/>
    <row r="26242" ht="14.4" x14ac:dyDescent="0.3"/>
    <row r="26243" ht="14.4" x14ac:dyDescent="0.3"/>
    <row r="26244" ht="14.4" x14ac:dyDescent="0.3"/>
    <row r="26245" ht="14.4" x14ac:dyDescent="0.3"/>
    <row r="26246" ht="14.4" x14ac:dyDescent="0.3"/>
    <row r="26247" ht="14.4" x14ac:dyDescent="0.3"/>
    <row r="26248" ht="14.4" x14ac:dyDescent="0.3"/>
    <row r="26249" ht="14.4" x14ac:dyDescent="0.3"/>
    <row r="26250" ht="14.4" x14ac:dyDescent="0.3"/>
    <row r="26251" ht="14.4" x14ac:dyDescent="0.3"/>
    <row r="26252" ht="14.4" x14ac:dyDescent="0.3"/>
    <row r="26253" ht="14.4" x14ac:dyDescent="0.3"/>
    <row r="26254" ht="14.4" x14ac:dyDescent="0.3"/>
    <row r="26255" ht="14.4" x14ac:dyDescent="0.3"/>
    <row r="26256" ht="14.4" x14ac:dyDescent="0.3"/>
    <row r="26257" ht="14.4" x14ac:dyDescent="0.3"/>
    <row r="26258" ht="14.4" x14ac:dyDescent="0.3"/>
    <row r="26259" ht="14.4" x14ac:dyDescent="0.3"/>
    <row r="26260" ht="14.4" x14ac:dyDescent="0.3"/>
    <row r="26261" ht="14.4" x14ac:dyDescent="0.3"/>
    <row r="26262" ht="14.4" x14ac:dyDescent="0.3"/>
    <row r="26263" ht="14.4" x14ac:dyDescent="0.3"/>
    <row r="26264" ht="14.4" x14ac:dyDescent="0.3"/>
    <row r="26265" ht="14.4" x14ac:dyDescent="0.3"/>
    <row r="26266" ht="14.4" x14ac:dyDescent="0.3"/>
    <row r="26267" ht="14.4" x14ac:dyDescent="0.3"/>
    <row r="26268" ht="14.4" x14ac:dyDescent="0.3"/>
    <row r="26269" ht="14.4" x14ac:dyDescent="0.3"/>
    <row r="26270" ht="14.4" x14ac:dyDescent="0.3"/>
    <row r="26271" ht="14.4" x14ac:dyDescent="0.3"/>
    <row r="26272" ht="14.4" x14ac:dyDescent="0.3"/>
    <row r="26273" ht="14.4" x14ac:dyDescent="0.3"/>
    <row r="26274" ht="14.4" x14ac:dyDescent="0.3"/>
    <row r="26275" ht="14.4" x14ac:dyDescent="0.3"/>
    <row r="26276" ht="14.4" x14ac:dyDescent="0.3"/>
    <row r="26277" ht="14.4" x14ac:dyDescent="0.3"/>
    <row r="26278" ht="14.4" x14ac:dyDescent="0.3"/>
    <row r="26279" ht="14.4" x14ac:dyDescent="0.3"/>
    <row r="26280" ht="14.4" x14ac:dyDescent="0.3"/>
    <row r="26281" ht="14.4" x14ac:dyDescent="0.3"/>
    <row r="26282" ht="14.4" x14ac:dyDescent="0.3"/>
    <row r="26283" ht="14.4" x14ac:dyDescent="0.3"/>
    <row r="26284" ht="14.4" x14ac:dyDescent="0.3"/>
    <row r="26285" ht="14.4" x14ac:dyDescent="0.3"/>
    <row r="26286" ht="14.4" x14ac:dyDescent="0.3"/>
    <row r="26287" ht="14.4" x14ac:dyDescent="0.3"/>
    <row r="26288" ht="14.4" x14ac:dyDescent="0.3"/>
    <row r="26289" ht="14.4" x14ac:dyDescent="0.3"/>
    <row r="26290" ht="14.4" x14ac:dyDescent="0.3"/>
    <row r="26291" ht="14.4" x14ac:dyDescent="0.3"/>
    <row r="26292" ht="14.4" x14ac:dyDescent="0.3"/>
    <row r="26293" ht="14.4" x14ac:dyDescent="0.3"/>
    <row r="26294" ht="14.4" x14ac:dyDescent="0.3"/>
    <row r="26295" ht="14.4" x14ac:dyDescent="0.3"/>
    <row r="26296" ht="14.4" x14ac:dyDescent="0.3"/>
    <row r="26297" ht="14.4" x14ac:dyDescent="0.3"/>
    <row r="26298" ht="14.4" x14ac:dyDescent="0.3"/>
    <row r="26299" ht="14.4" x14ac:dyDescent="0.3"/>
    <row r="26300" ht="14.4" x14ac:dyDescent="0.3"/>
    <row r="26301" ht="14.4" x14ac:dyDescent="0.3"/>
    <row r="26302" ht="14.4" x14ac:dyDescent="0.3"/>
    <row r="26303" ht="14.4" x14ac:dyDescent="0.3"/>
    <row r="26304" ht="14.4" x14ac:dyDescent="0.3"/>
    <row r="26305" ht="14.4" x14ac:dyDescent="0.3"/>
    <row r="26306" ht="14.4" x14ac:dyDescent="0.3"/>
    <row r="26307" ht="14.4" x14ac:dyDescent="0.3"/>
    <row r="26308" ht="14.4" x14ac:dyDescent="0.3"/>
    <row r="26309" ht="14.4" x14ac:dyDescent="0.3"/>
    <row r="26310" ht="14.4" x14ac:dyDescent="0.3"/>
    <row r="26311" ht="14.4" x14ac:dyDescent="0.3"/>
    <row r="26312" ht="14.4" x14ac:dyDescent="0.3"/>
    <row r="26313" ht="14.4" x14ac:dyDescent="0.3"/>
    <row r="26314" ht="14.4" x14ac:dyDescent="0.3"/>
    <row r="26315" ht="14.4" x14ac:dyDescent="0.3"/>
    <row r="26316" ht="14.4" x14ac:dyDescent="0.3"/>
    <row r="26317" ht="14.4" x14ac:dyDescent="0.3"/>
    <row r="26318" ht="14.4" x14ac:dyDescent="0.3"/>
    <row r="26319" ht="14.4" x14ac:dyDescent="0.3"/>
    <row r="26320" ht="14.4" x14ac:dyDescent="0.3"/>
    <row r="26321" ht="14.4" x14ac:dyDescent="0.3"/>
    <row r="26322" ht="14.4" x14ac:dyDescent="0.3"/>
    <row r="26323" ht="14.4" x14ac:dyDescent="0.3"/>
    <row r="26324" ht="14.4" x14ac:dyDescent="0.3"/>
    <row r="26325" ht="14.4" x14ac:dyDescent="0.3"/>
    <row r="26326" ht="14.4" x14ac:dyDescent="0.3"/>
    <row r="26327" ht="14.4" x14ac:dyDescent="0.3"/>
    <row r="26328" ht="14.4" x14ac:dyDescent="0.3"/>
    <row r="26329" ht="14.4" x14ac:dyDescent="0.3"/>
    <row r="26330" ht="14.4" x14ac:dyDescent="0.3"/>
    <row r="26331" ht="14.4" x14ac:dyDescent="0.3"/>
    <row r="26332" ht="14.4" x14ac:dyDescent="0.3"/>
    <row r="26333" ht="14.4" x14ac:dyDescent="0.3"/>
    <row r="26334" ht="14.4" x14ac:dyDescent="0.3"/>
    <row r="26335" ht="14.4" x14ac:dyDescent="0.3"/>
    <row r="26336" ht="14.4" x14ac:dyDescent="0.3"/>
    <row r="26337" ht="14.4" x14ac:dyDescent="0.3"/>
    <row r="26338" ht="14.4" x14ac:dyDescent="0.3"/>
    <row r="26339" ht="14.4" x14ac:dyDescent="0.3"/>
    <row r="26340" ht="14.4" x14ac:dyDescent="0.3"/>
    <row r="26341" ht="14.4" x14ac:dyDescent="0.3"/>
    <row r="26342" ht="14.4" x14ac:dyDescent="0.3"/>
    <row r="26343" ht="14.4" x14ac:dyDescent="0.3"/>
    <row r="26344" ht="14.4" x14ac:dyDescent="0.3"/>
    <row r="26345" ht="14.4" x14ac:dyDescent="0.3"/>
    <row r="26346" ht="14.4" x14ac:dyDescent="0.3"/>
    <row r="26347" ht="14.4" x14ac:dyDescent="0.3"/>
    <row r="26348" ht="14.4" x14ac:dyDescent="0.3"/>
    <row r="26349" ht="14.4" x14ac:dyDescent="0.3"/>
    <row r="26350" ht="14.4" x14ac:dyDescent="0.3"/>
    <row r="26351" ht="14.4" x14ac:dyDescent="0.3"/>
    <row r="26352" ht="14.4" x14ac:dyDescent="0.3"/>
    <row r="26353" ht="14.4" x14ac:dyDescent="0.3"/>
    <row r="26354" ht="14.4" x14ac:dyDescent="0.3"/>
    <row r="26355" ht="14.4" x14ac:dyDescent="0.3"/>
    <row r="26356" ht="14.4" x14ac:dyDescent="0.3"/>
    <row r="26357" ht="14.4" x14ac:dyDescent="0.3"/>
    <row r="26358" ht="14.4" x14ac:dyDescent="0.3"/>
    <row r="26359" ht="14.4" x14ac:dyDescent="0.3"/>
    <row r="26360" ht="14.4" x14ac:dyDescent="0.3"/>
    <row r="26361" ht="14.4" x14ac:dyDescent="0.3"/>
    <row r="26362" ht="14.4" x14ac:dyDescent="0.3"/>
    <row r="26363" ht="14.4" x14ac:dyDescent="0.3"/>
    <row r="26364" ht="14.4" x14ac:dyDescent="0.3"/>
    <row r="26365" ht="14.4" x14ac:dyDescent="0.3"/>
    <row r="26366" ht="14.4" x14ac:dyDescent="0.3"/>
    <row r="26367" ht="14.4" x14ac:dyDescent="0.3"/>
    <row r="26368" ht="14.4" x14ac:dyDescent="0.3"/>
    <row r="26369" ht="14.4" x14ac:dyDescent="0.3"/>
    <row r="26370" ht="14.4" x14ac:dyDescent="0.3"/>
    <row r="26371" ht="14.4" x14ac:dyDescent="0.3"/>
    <row r="26372" ht="14.4" x14ac:dyDescent="0.3"/>
    <row r="26373" ht="14.4" x14ac:dyDescent="0.3"/>
    <row r="26374" ht="14.4" x14ac:dyDescent="0.3"/>
    <row r="26375" ht="14.4" x14ac:dyDescent="0.3"/>
    <row r="26376" ht="14.4" x14ac:dyDescent="0.3"/>
    <row r="26377" ht="14.4" x14ac:dyDescent="0.3"/>
    <row r="26378" ht="14.4" x14ac:dyDescent="0.3"/>
    <row r="26379" ht="14.4" x14ac:dyDescent="0.3"/>
    <row r="26380" ht="14.4" x14ac:dyDescent="0.3"/>
    <row r="26381" ht="14.4" x14ac:dyDescent="0.3"/>
    <row r="26382" ht="14.4" x14ac:dyDescent="0.3"/>
    <row r="26383" ht="14.4" x14ac:dyDescent="0.3"/>
    <row r="26384" ht="14.4" x14ac:dyDescent="0.3"/>
    <row r="26385" ht="14.4" x14ac:dyDescent="0.3"/>
    <row r="26386" ht="14.4" x14ac:dyDescent="0.3"/>
    <row r="26387" ht="14.4" x14ac:dyDescent="0.3"/>
    <row r="26388" ht="14.4" x14ac:dyDescent="0.3"/>
    <row r="26389" ht="14.4" x14ac:dyDescent="0.3"/>
    <row r="26390" ht="14.4" x14ac:dyDescent="0.3"/>
    <row r="26391" ht="14.4" x14ac:dyDescent="0.3"/>
    <row r="26392" ht="14.4" x14ac:dyDescent="0.3"/>
    <row r="26393" ht="14.4" x14ac:dyDescent="0.3"/>
    <row r="26394" ht="14.4" x14ac:dyDescent="0.3"/>
    <row r="26395" ht="14.4" x14ac:dyDescent="0.3"/>
    <row r="26396" ht="14.4" x14ac:dyDescent="0.3"/>
    <row r="26397" ht="14.4" x14ac:dyDescent="0.3"/>
    <row r="26398" ht="14.4" x14ac:dyDescent="0.3"/>
    <row r="26399" ht="14.4" x14ac:dyDescent="0.3"/>
    <row r="26400" ht="14.4" x14ac:dyDescent="0.3"/>
    <row r="26401" ht="14.4" x14ac:dyDescent="0.3"/>
    <row r="26402" ht="14.4" x14ac:dyDescent="0.3"/>
    <row r="26403" ht="14.4" x14ac:dyDescent="0.3"/>
    <row r="26404" ht="14.4" x14ac:dyDescent="0.3"/>
    <row r="26405" ht="14.4" x14ac:dyDescent="0.3"/>
    <row r="26406" ht="14.4" x14ac:dyDescent="0.3"/>
    <row r="26407" ht="14.4" x14ac:dyDescent="0.3"/>
    <row r="26408" ht="14.4" x14ac:dyDescent="0.3"/>
    <row r="26409" ht="14.4" x14ac:dyDescent="0.3"/>
    <row r="26410" ht="14.4" x14ac:dyDescent="0.3"/>
    <row r="26411" ht="14.4" x14ac:dyDescent="0.3"/>
    <row r="26412" ht="14.4" x14ac:dyDescent="0.3"/>
    <row r="26413" ht="14.4" x14ac:dyDescent="0.3"/>
    <row r="26414" ht="14.4" x14ac:dyDescent="0.3"/>
    <row r="26415" ht="14.4" x14ac:dyDescent="0.3"/>
    <row r="26416" ht="14.4" x14ac:dyDescent="0.3"/>
    <row r="26417" ht="14.4" x14ac:dyDescent="0.3"/>
    <row r="26418" ht="14.4" x14ac:dyDescent="0.3"/>
    <row r="26419" ht="14.4" x14ac:dyDescent="0.3"/>
    <row r="26420" ht="14.4" x14ac:dyDescent="0.3"/>
    <row r="26421" ht="14.4" x14ac:dyDescent="0.3"/>
    <row r="26422" ht="14.4" x14ac:dyDescent="0.3"/>
    <row r="26423" ht="14.4" x14ac:dyDescent="0.3"/>
    <row r="26424" ht="14.4" x14ac:dyDescent="0.3"/>
    <row r="26425" ht="14.4" x14ac:dyDescent="0.3"/>
    <row r="26426" ht="14.4" x14ac:dyDescent="0.3"/>
    <row r="26427" ht="14.4" x14ac:dyDescent="0.3"/>
    <row r="26428" ht="14.4" x14ac:dyDescent="0.3"/>
    <row r="26429" ht="14.4" x14ac:dyDescent="0.3"/>
    <row r="26430" ht="14.4" x14ac:dyDescent="0.3"/>
    <row r="26431" ht="14.4" x14ac:dyDescent="0.3"/>
    <row r="26432" ht="14.4" x14ac:dyDescent="0.3"/>
    <row r="26433" ht="14.4" x14ac:dyDescent="0.3"/>
    <row r="26434" ht="14.4" x14ac:dyDescent="0.3"/>
    <row r="26435" ht="14.4" x14ac:dyDescent="0.3"/>
    <row r="26436" ht="14.4" x14ac:dyDescent="0.3"/>
    <row r="26437" ht="14.4" x14ac:dyDescent="0.3"/>
    <row r="26438" ht="14.4" x14ac:dyDescent="0.3"/>
    <row r="26439" ht="14.4" x14ac:dyDescent="0.3"/>
    <row r="26440" ht="14.4" x14ac:dyDescent="0.3"/>
    <row r="26441" ht="14.4" x14ac:dyDescent="0.3"/>
    <row r="26442" ht="14.4" x14ac:dyDescent="0.3"/>
    <row r="26443" ht="14.4" x14ac:dyDescent="0.3"/>
    <row r="26444" ht="14.4" x14ac:dyDescent="0.3"/>
    <row r="26445" ht="14.4" x14ac:dyDescent="0.3"/>
    <row r="26446" ht="14.4" x14ac:dyDescent="0.3"/>
    <row r="26447" ht="14.4" x14ac:dyDescent="0.3"/>
    <row r="26448" ht="14.4" x14ac:dyDescent="0.3"/>
    <row r="26449" ht="14.4" x14ac:dyDescent="0.3"/>
    <row r="26450" ht="14.4" x14ac:dyDescent="0.3"/>
    <row r="26451" ht="14.4" x14ac:dyDescent="0.3"/>
    <row r="26452" ht="14.4" x14ac:dyDescent="0.3"/>
    <row r="26453" ht="14.4" x14ac:dyDescent="0.3"/>
    <row r="26454" ht="14.4" x14ac:dyDescent="0.3"/>
    <row r="26455" ht="14.4" x14ac:dyDescent="0.3"/>
    <row r="26456" ht="14.4" x14ac:dyDescent="0.3"/>
    <row r="26457" ht="14.4" x14ac:dyDescent="0.3"/>
    <row r="26458" ht="14.4" x14ac:dyDescent="0.3"/>
    <row r="26459" ht="14.4" x14ac:dyDescent="0.3"/>
    <row r="26460" ht="14.4" x14ac:dyDescent="0.3"/>
    <row r="26461" ht="14.4" x14ac:dyDescent="0.3"/>
    <row r="26462" ht="14.4" x14ac:dyDescent="0.3"/>
    <row r="26463" ht="14.4" x14ac:dyDescent="0.3"/>
    <row r="26464" ht="14.4" x14ac:dyDescent="0.3"/>
    <row r="26465" ht="14.4" x14ac:dyDescent="0.3"/>
    <row r="26466" ht="14.4" x14ac:dyDescent="0.3"/>
    <row r="26467" ht="14.4" x14ac:dyDescent="0.3"/>
    <row r="26468" ht="14.4" x14ac:dyDescent="0.3"/>
    <row r="26469" ht="14.4" x14ac:dyDescent="0.3"/>
    <row r="26470" ht="14.4" x14ac:dyDescent="0.3"/>
    <row r="26471" ht="14.4" x14ac:dyDescent="0.3"/>
    <row r="26472" ht="14.4" x14ac:dyDescent="0.3"/>
    <row r="26473" ht="14.4" x14ac:dyDescent="0.3"/>
    <row r="26474" ht="14.4" x14ac:dyDescent="0.3"/>
    <row r="26475" ht="14.4" x14ac:dyDescent="0.3"/>
    <row r="26476" ht="14.4" x14ac:dyDescent="0.3"/>
    <row r="26477" ht="14.4" x14ac:dyDescent="0.3"/>
    <row r="26478" ht="14.4" x14ac:dyDescent="0.3"/>
    <row r="26479" ht="14.4" x14ac:dyDescent="0.3"/>
    <row r="26480" ht="14.4" x14ac:dyDescent="0.3"/>
    <row r="26481" ht="14.4" x14ac:dyDescent="0.3"/>
    <row r="26482" ht="14.4" x14ac:dyDescent="0.3"/>
    <row r="26483" ht="14.4" x14ac:dyDescent="0.3"/>
    <row r="26484" ht="14.4" x14ac:dyDescent="0.3"/>
    <row r="26485" ht="14.4" x14ac:dyDescent="0.3"/>
    <row r="26486" ht="14.4" x14ac:dyDescent="0.3"/>
    <row r="26487" ht="14.4" x14ac:dyDescent="0.3"/>
    <row r="26488" ht="14.4" x14ac:dyDescent="0.3"/>
    <row r="26489" ht="14.4" x14ac:dyDescent="0.3"/>
    <row r="26490" ht="14.4" x14ac:dyDescent="0.3"/>
    <row r="26491" ht="14.4" x14ac:dyDescent="0.3"/>
    <row r="26492" ht="14.4" x14ac:dyDescent="0.3"/>
    <row r="26493" ht="14.4" x14ac:dyDescent="0.3"/>
    <row r="26494" ht="14.4" x14ac:dyDescent="0.3"/>
    <row r="26495" ht="14.4" x14ac:dyDescent="0.3"/>
    <row r="26496" ht="14.4" x14ac:dyDescent="0.3"/>
    <row r="26497" ht="14.4" x14ac:dyDescent="0.3"/>
    <row r="26498" ht="14.4" x14ac:dyDescent="0.3"/>
    <row r="26499" ht="14.4" x14ac:dyDescent="0.3"/>
    <row r="26500" ht="14.4" x14ac:dyDescent="0.3"/>
    <row r="26501" ht="14.4" x14ac:dyDescent="0.3"/>
    <row r="26502" ht="14.4" x14ac:dyDescent="0.3"/>
    <row r="26503" ht="14.4" x14ac:dyDescent="0.3"/>
    <row r="26504" ht="14.4" x14ac:dyDescent="0.3"/>
    <row r="26505" ht="14.4" x14ac:dyDescent="0.3"/>
    <row r="26506" ht="14.4" x14ac:dyDescent="0.3"/>
    <row r="26507" ht="14.4" x14ac:dyDescent="0.3"/>
    <row r="26508" ht="14.4" x14ac:dyDescent="0.3"/>
    <row r="26509" ht="14.4" x14ac:dyDescent="0.3"/>
    <row r="26510" ht="14.4" x14ac:dyDescent="0.3"/>
    <row r="26511" ht="14.4" x14ac:dyDescent="0.3"/>
    <row r="26512" ht="14.4" x14ac:dyDescent="0.3"/>
    <row r="26513" ht="14.4" x14ac:dyDescent="0.3"/>
    <row r="26514" ht="14.4" x14ac:dyDescent="0.3"/>
    <row r="26515" ht="14.4" x14ac:dyDescent="0.3"/>
    <row r="26516" ht="14.4" x14ac:dyDescent="0.3"/>
    <row r="26517" ht="14.4" x14ac:dyDescent="0.3"/>
    <row r="26518" ht="14.4" x14ac:dyDescent="0.3"/>
    <row r="26519" ht="14.4" x14ac:dyDescent="0.3"/>
    <row r="26520" ht="14.4" x14ac:dyDescent="0.3"/>
    <row r="26521" ht="14.4" x14ac:dyDescent="0.3"/>
    <row r="26522" ht="14.4" x14ac:dyDescent="0.3"/>
    <row r="26523" ht="14.4" x14ac:dyDescent="0.3"/>
    <row r="26524" ht="14.4" x14ac:dyDescent="0.3"/>
    <row r="26525" ht="14.4" x14ac:dyDescent="0.3"/>
    <row r="26526" ht="14.4" x14ac:dyDescent="0.3"/>
    <row r="26527" ht="14.4" x14ac:dyDescent="0.3"/>
    <row r="26528" ht="14.4" x14ac:dyDescent="0.3"/>
    <row r="26529" ht="14.4" x14ac:dyDescent="0.3"/>
    <row r="26530" ht="14.4" x14ac:dyDescent="0.3"/>
    <row r="26531" ht="14.4" x14ac:dyDescent="0.3"/>
    <row r="26532" ht="14.4" x14ac:dyDescent="0.3"/>
    <row r="26533" ht="14.4" x14ac:dyDescent="0.3"/>
    <row r="26534" ht="14.4" x14ac:dyDescent="0.3"/>
    <row r="26535" ht="14.4" x14ac:dyDescent="0.3"/>
    <row r="26536" ht="14.4" x14ac:dyDescent="0.3"/>
    <row r="26537" ht="14.4" x14ac:dyDescent="0.3"/>
    <row r="26538" ht="14.4" x14ac:dyDescent="0.3"/>
    <row r="26539" ht="14.4" x14ac:dyDescent="0.3"/>
    <row r="26540" ht="14.4" x14ac:dyDescent="0.3"/>
    <row r="26541" ht="14.4" x14ac:dyDescent="0.3"/>
    <row r="26542" ht="14.4" x14ac:dyDescent="0.3"/>
    <row r="26543" ht="14.4" x14ac:dyDescent="0.3"/>
    <row r="26544" ht="14.4" x14ac:dyDescent="0.3"/>
    <row r="26545" ht="14.4" x14ac:dyDescent="0.3"/>
    <row r="26546" ht="14.4" x14ac:dyDescent="0.3"/>
    <row r="26547" ht="14.4" x14ac:dyDescent="0.3"/>
    <row r="26548" ht="14.4" x14ac:dyDescent="0.3"/>
    <row r="26549" ht="14.4" x14ac:dyDescent="0.3"/>
    <row r="26550" ht="14.4" x14ac:dyDescent="0.3"/>
    <row r="26551" ht="14.4" x14ac:dyDescent="0.3"/>
    <row r="26552" ht="14.4" x14ac:dyDescent="0.3"/>
    <row r="26553" ht="14.4" x14ac:dyDescent="0.3"/>
    <row r="26554" ht="14.4" x14ac:dyDescent="0.3"/>
    <row r="26555" ht="14.4" x14ac:dyDescent="0.3"/>
    <row r="26556" ht="14.4" x14ac:dyDescent="0.3"/>
    <row r="26557" ht="14.4" x14ac:dyDescent="0.3"/>
    <row r="26558" ht="14.4" x14ac:dyDescent="0.3"/>
    <row r="26559" ht="14.4" x14ac:dyDescent="0.3"/>
    <row r="26560" ht="14.4" x14ac:dyDescent="0.3"/>
    <row r="26561" ht="14.4" x14ac:dyDescent="0.3"/>
    <row r="26562" ht="14.4" x14ac:dyDescent="0.3"/>
    <row r="26563" ht="14.4" x14ac:dyDescent="0.3"/>
    <row r="26564" ht="14.4" x14ac:dyDescent="0.3"/>
    <row r="26565" ht="14.4" x14ac:dyDescent="0.3"/>
    <row r="26566" ht="14.4" x14ac:dyDescent="0.3"/>
    <row r="26567" ht="14.4" x14ac:dyDescent="0.3"/>
    <row r="26568" ht="14.4" x14ac:dyDescent="0.3"/>
    <row r="26569" ht="14.4" x14ac:dyDescent="0.3"/>
    <row r="26570" ht="14.4" x14ac:dyDescent="0.3"/>
    <row r="26571" ht="14.4" x14ac:dyDescent="0.3"/>
    <row r="26572" ht="14.4" x14ac:dyDescent="0.3"/>
    <row r="26573" ht="14.4" x14ac:dyDescent="0.3"/>
    <row r="26574" ht="14.4" x14ac:dyDescent="0.3"/>
    <row r="26575" ht="14.4" x14ac:dyDescent="0.3"/>
    <row r="26576" ht="14.4" x14ac:dyDescent="0.3"/>
    <row r="26577" ht="14.4" x14ac:dyDescent="0.3"/>
    <row r="26578" ht="14.4" x14ac:dyDescent="0.3"/>
    <row r="26579" ht="14.4" x14ac:dyDescent="0.3"/>
    <row r="26580" ht="14.4" x14ac:dyDescent="0.3"/>
    <row r="26581" ht="14.4" x14ac:dyDescent="0.3"/>
    <row r="26582" ht="14.4" x14ac:dyDescent="0.3"/>
    <row r="26583" ht="14.4" x14ac:dyDescent="0.3"/>
    <row r="26584" ht="14.4" x14ac:dyDescent="0.3"/>
    <row r="26585" ht="14.4" x14ac:dyDescent="0.3"/>
    <row r="26586" ht="14.4" x14ac:dyDescent="0.3"/>
    <row r="26587" ht="14.4" x14ac:dyDescent="0.3"/>
    <row r="26588" ht="14.4" x14ac:dyDescent="0.3"/>
    <row r="26589" ht="14.4" x14ac:dyDescent="0.3"/>
    <row r="26590" ht="14.4" x14ac:dyDescent="0.3"/>
    <row r="26591" ht="14.4" x14ac:dyDescent="0.3"/>
    <row r="26592" ht="14.4" x14ac:dyDescent="0.3"/>
    <row r="26593" ht="14.4" x14ac:dyDescent="0.3"/>
    <row r="26594" ht="14.4" x14ac:dyDescent="0.3"/>
    <row r="26595" ht="14.4" x14ac:dyDescent="0.3"/>
    <row r="26596" ht="14.4" x14ac:dyDescent="0.3"/>
    <row r="26597" ht="14.4" x14ac:dyDescent="0.3"/>
    <row r="26598" ht="14.4" x14ac:dyDescent="0.3"/>
    <row r="26599" ht="14.4" x14ac:dyDescent="0.3"/>
    <row r="26600" ht="14.4" x14ac:dyDescent="0.3"/>
    <row r="26601" ht="14.4" x14ac:dyDescent="0.3"/>
    <row r="26602" ht="14.4" x14ac:dyDescent="0.3"/>
    <row r="26603" ht="14.4" x14ac:dyDescent="0.3"/>
    <row r="26604" ht="14.4" x14ac:dyDescent="0.3"/>
    <row r="26605" ht="14.4" x14ac:dyDescent="0.3"/>
    <row r="26606" ht="14.4" x14ac:dyDescent="0.3"/>
    <row r="26607" ht="14.4" x14ac:dyDescent="0.3"/>
    <row r="26608" ht="14.4" x14ac:dyDescent="0.3"/>
    <row r="26609" ht="14.4" x14ac:dyDescent="0.3"/>
    <row r="26610" ht="14.4" x14ac:dyDescent="0.3"/>
    <row r="26611" ht="14.4" x14ac:dyDescent="0.3"/>
    <row r="26612" ht="14.4" x14ac:dyDescent="0.3"/>
    <row r="26613" ht="14.4" x14ac:dyDescent="0.3"/>
    <row r="26614" ht="14.4" x14ac:dyDescent="0.3"/>
    <row r="26615" ht="14.4" x14ac:dyDescent="0.3"/>
    <row r="26616" ht="14.4" x14ac:dyDescent="0.3"/>
    <row r="26617" ht="14.4" x14ac:dyDescent="0.3"/>
    <row r="26618" ht="14.4" x14ac:dyDescent="0.3"/>
    <row r="26619" ht="14.4" x14ac:dyDescent="0.3"/>
    <row r="26620" ht="14.4" x14ac:dyDescent="0.3"/>
    <row r="26621" ht="14.4" x14ac:dyDescent="0.3"/>
    <row r="26622" ht="14.4" x14ac:dyDescent="0.3"/>
    <row r="26623" ht="14.4" x14ac:dyDescent="0.3"/>
    <row r="26624" ht="14.4" x14ac:dyDescent="0.3"/>
    <row r="26625" ht="14.4" x14ac:dyDescent="0.3"/>
    <row r="26626" ht="14.4" x14ac:dyDescent="0.3"/>
    <row r="26627" ht="14.4" x14ac:dyDescent="0.3"/>
    <row r="26628" ht="14.4" x14ac:dyDescent="0.3"/>
    <row r="26629" ht="14.4" x14ac:dyDescent="0.3"/>
    <row r="26630" ht="14.4" x14ac:dyDescent="0.3"/>
    <row r="26631" ht="14.4" x14ac:dyDescent="0.3"/>
    <row r="26632" ht="14.4" x14ac:dyDescent="0.3"/>
    <row r="26633" ht="14.4" x14ac:dyDescent="0.3"/>
    <row r="26634" ht="14.4" x14ac:dyDescent="0.3"/>
    <row r="26635" ht="14.4" x14ac:dyDescent="0.3"/>
    <row r="26636" ht="14.4" x14ac:dyDescent="0.3"/>
    <row r="26637" ht="14.4" x14ac:dyDescent="0.3"/>
    <row r="26638" ht="14.4" x14ac:dyDescent="0.3"/>
    <row r="26639" ht="14.4" x14ac:dyDescent="0.3"/>
    <row r="26640" ht="14.4" x14ac:dyDescent="0.3"/>
    <row r="26641" ht="14.4" x14ac:dyDescent="0.3"/>
    <row r="26642" ht="14.4" x14ac:dyDescent="0.3"/>
    <row r="26643" ht="14.4" x14ac:dyDescent="0.3"/>
    <row r="26644" ht="14.4" x14ac:dyDescent="0.3"/>
    <row r="26645" ht="14.4" x14ac:dyDescent="0.3"/>
    <row r="26646" ht="14.4" x14ac:dyDescent="0.3"/>
    <row r="26647" ht="14.4" x14ac:dyDescent="0.3"/>
    <row r="26648" ht="14.4" x14ac:dyDescent="0.3"/>
    <row r="26649" ht="14.4" x14ac:dyDescent="0.3"/>
    <row r="26650" ht="14.4" x14ac:dyDescent="0.3"/>
    <row r="26651" ht="14.4" x14ac:dyDescent="0.3"/>
    <row r="26652" ht="14.4" x14ac:dyDescent="0.3"/>
    <row r="26653" ht="14.4" x14ac:dyDescent="0.3"/>
    <row r="26654" ht="14.4" x14ac:dyDescent="0.3"/>
    <row r="26655" ht="14.4" x14ac:dyDescent="0.3"/>
    <row r="26656" ht="14.4" x14ac:dyDescent="0.3"/>
    <row r="26657" ht="14.4" x14ac:dyDescent="0.3"/>
    <row r="26658" ht="14.4" x14ac:dyDescent="0.3"/>
    <row r="26659" ht="14.4" x14ac:dyDescent="0.3"/>
    <row r="26660" ht="14.4" x14ac:dyDescent="0.3"/>
    <row r="26661" ht="14.4" x14ac:dyDescent="0.3"/>
    <row r="26662" ht="14.4" x14ac:dyDescent="0.3"/>
    <row r="26663" ht="14.4" x14ac:dyDescent="0.3"/>
    <row r="26664" ht="14.4" x14ac:dyDescent="0.3"/>
    <row r="26665" ht="14.4" x14ac:dyDescent="0.3"/>
    <row r="26666" ht="14.4" x14ac:dyDescent="0.3"/>
    <row r="26667" ht="14.4" x14ac:dyDescent="0.3"/>
    <row r="26668" ht="14.4" x14ac:dyDescent="0.3"/>
    <row r="26669" ht="14.4" x14ac:dyDescent="0.3"/>
    <row r="26670" ht="14.4" x14ac:dyDescent="0.3"/>
    <row r="26671" ht="14.4" x14ac:dyDescent="0.3"/>
    <row r="26672" ht="14.4" x14ac:dyDescent="0.3"/>
    <row r="26673" ht="14.4" x14ac:dyDescent="0.3"/>
    <row r="26674" ht="14.4" x14ac:dyDescent="0.3"/>
    <row r="26675" ht="14.4" x14ac:dyDescent="0.3"/>
    <row r="26676" ht="14.4" x14ac:dyDescent="0.3"/>
    <row r="26677" ht="14.4" x14ac:dyDescent="0.3"/>
    <row r="26678" ht="14.4" x14ac:dyDescent="0.3"/>
    <row r="26679" ht="14.4" x14ac:dyDescent="0.3"/>
    <row r="26680" ht="14.4" x14ac:dyDescent="0.3"/>
    <row r="26681" ht="14.4" x14ac:dyDescent="0.3"/>
    <row r="26682" ht="14.4" x14ac:dyDescent="0.3"/>
    <row r="26683" ht="14.4" x14ac:dyDescent="0.3"/>
    <row r="26684" ht="14.4" x14ac:dyDescent="0.3"/>
    <row r="26685" ht="14.4" x14ac:dyDescent="0.3"/>
    <row r="26686" ht="14.4" x14ac:dyDescent="0.3"/>
    <row r="26687" ht="14.4" x14ac:dyDescent="0.3"/>
    <row r="26688" ht="14.4" x14ac:dyDescent="0.3"/>
    <row r="26689" ht="14.4" x14ac:dyDescent="0.3"/>
    <row r="26690" ht="14.4" x14ac:dyDescent="0.3"/>
    <row r="26691" ht="14.4" x14ac:dyDescent="0.3"/>
    <row r="26692" ht="14.4" x14ac:dyDescent="0.3"/>
    <row r="26693" ht="14.4" x14ac:dyDescent="0.3"/>
    <row r="26694" ht="14.4" x14ac:dyDescent="0.3"/>
    <row r="26695" ht="14.4" x14ac:dyDescent="0.3"/>
    <row r="26696" ht="14.4" x14ac:dyDescent="0.3"/>
    <row r="26697" ht="14.4" x14ac:dyDescent="0.3"/>
    <row r="26698" ht="14.4" x14ac:dyDescent="0.3"/>
    <row r="26699" ht="14.4" x14ac:dyDescent="0.3"/>
    <row r="26700" ht="14.4" x14ac:dyDescent="0.3"/>
    <row r="26701" ht="14.4" x14ac:dyDescent="0.3"/>
    <row r="26702" ht="14.4" x14ac:dyDescent="0.3"/>
    <row r="26703" ht="14.4" x14ac:dyDescent="0.3"/>
    <row r="26704" ht="14.4" x14ac:dyDescent="0.3"/>
    <row r="26705" spans="1:43" ht="14.4" x14ac:dyDescent="0.3"/>
    <row r="26706" spans="1:43" ht="14.4" x14ac:dyDescent="0.3"/>
    <row r="26707" spans="1:43" ht="14.4" x14ac:dyDescent="0.3"/>
    <row r="26708" spans="1:43" ht="14.4" x14ac:dyDescent="0.3"/>
    <row r="26709" spans="1:43" ht="14.4" x14ac:dyDescent="0.3"/>
    <row r="26710" spans="1:43" ht="14.4" x14ac:dyDescent="0.3"/>
    <row r="26711" spans="1:43" ht="14.4" x14ac:dyDescent="0.3"/>
    <row r="26712" spans="1:43" ht="14.4" x14ac:dyDescent="0.3"/>
    <row r="26713" spans="1:43" ht="14.4" x14ac:dyDescent="0.3"/>
    <row r="26714" spans="1:43" ht="14.4" x14ac:dyDescent="0.3"/>
    <row r="26715" spans="1:43" ht="14.4" x14ac:dyDescent="0.3"/>
    <row r="26716" spans="1:43" ht="14.4" x14ac:dyDescent="0.3"/>
    <row r="26717" spans="1:43" ht="14.4" hidden="1" x14ac:dyDescent="0.3">
      <c r="A26717" t="s">
        <v>4536</v>
      </c>
      <c r="B26717">
        <v>4909390</v>
      </c>
      <c r="C26717" t="s">
        <v>135</v>
      </c>
      <c r="D26717" t="s">
        <v>136</v>
      </c>
      <c r="E26717" t="s">
        <v>369</v>
      </c>
      <c r="F26717" t="s">
        <v>370</v>
      </c>
      <c r="H26717" t="s">
        <v>4537</v>
      </c>
      <c r="J26717" t="s">
        <v>140</v>
      </c>
      <c r="K26717">
        <v>157040.51</v>
      </c>
      <c r="L26717">
        <v>382863.55</v>
      </c>
      <c r="N26717" t="s">
        <v>1867</v>
      </c>
      <c r="O26717" t="s">
        <v>1424</v>
      </c>
      <c r="P26717" t="s">
        <v>791</v>
      </c>
      <c r="Q26717" t="s">
        <v>144</v>
      </c>
      <c r="S26717">
        <v>9</v>
      </c>
      <c r="T26717">
        <v>1400</v>
      </c>
      <c r="V26717" t="s">
        <v>848</v>
      </c>
      <c r="W26717" t="s">
        <v>390</v>
      </c>
      <c r="X26717" t="s">
        <v>7</v>
      </c>
      <c r="Y26717" t="s">
        <v>2841</v>
      </c>
      <c r="Z26717" t="s">
        <v>435</v>
      </c>
      <c r="AA26717" t="s">
        <v>404</v>
      </c>
      <c r="AB26717">
        <v>180</v>
      </c>
      <c r="AE26717" t="s">
        <v>2842</v>
      </c>
      <c r="AF26717" t="s">
        <v>435</v>
      </c>
      <c r="AG26717" t="s">
        <v>404</v>
      </c>
      <c r="AL26717" t="s">
        <v>4538</v>
      </c>
      <c r="AM26717" t="s">
        <v>4539</v>
      </c>
      <c r="AN26717" t="s">
        <v>4540</v>
      </c>
      <c r="AO26717" t="s">
        <v>1867</v>
      </c>
      <c r="AQ26717" t="str">
        <f>IF(ISBLANK(AP26717), IFERROR(IF(VLOOKUP(AO26717, Ellens_additions!$A$2:$B$252, 2, FALSE) = "", "", VLOOKUP(AO26717, Ellens_additions!$A$2:$B$252, 2, FALSE)), 0), AP26717)</f>
        <v/>
      </c>
    </row>
    <row r="26718" spans="1:43" ht="14.4" hidden="1" x14ac:dyDescent="0.3">
      <c r="A26718" t="s">
        <v>4541</v>
      </c>
      <c r="B26718">
        <v>4909393</v>
      </c>
      <c r="C26718" t="s">
        <v>135</v>
      </c>
      <c r="D26718" t="s">
        <v>136</v>
      </c>
      <c r="E26718" t="s">
        <v>369</v>
      </c>
      <c r="F26718" t="s">
        <v>370</v>
      </c>
      <c r="H26718" t="s">
        <v>4542</v>
      </c>
      <c r="J26718" t="s">
        <v>140</v>
      </c>
      <c r="K26718">
        <v>157043.57999999999</v>
      </c>
      <c r="L26718">
        <v>382860.91</v>
      </c>
      <c r="N26718" t="s">
        <v>1867</v>
      </c>
      <c r="O26718" t="s">
        <v>1424</v>
      </c>
      <c r="P26718" t="s">
        <v>791</v>
      </c>
      <c r="Q26718" t="s">
        <v>144</v>
      </c>
      <c r="S26718">
        <v>9</v>
      </c>
      <c r="T26718">
        <v>1400</v>
      </c>
      <c r="V26718" t="s">
        <v>848</v>
      </c>
      <c r="W26718" t="s">
        <v>390</v>
      </c>
      <c r="X26718" t="s">
        <v>7</v>
      </c>
      <c r="Y26718" t="s">
        <v>2841</v>
      </c>
      <c r="Z26718" t="s">
        <v>435</v>
      </c>
      <c r="AA26718" t="s">
        <v>404</v>
      </c>
      <c r="AB26718">
        <v>180</v>
      </c>
      <c r="AE26718" t="s">
        <v>2842</v>
      </c>
      <c r="AF26718" t="s">
        <v>435</v>
      </c>
      <c r="AG26718" t="s">
        <v>404</v>
      </c>
      <c r="AL26718" t="s">
        <v>4543</v>
      </c>
      <c r="AM26718" t="s">
        <v>4544</v>
      </c>
      <c r="AN26718" t="s">
        <v>4545</v>
      </c>
      <c r="AO26718" t="s">
        <v>1867</v>
      </c>
      <c r="AQ26718" t="str">
        <f>IF(ISBLANK(AP26718), IFERROR(IF(VLOOKUP(AO26718, Ellens_additions!$A$2:$B$252, 2, FALSE) = "", "", VLOOKUP(AO26718, Ellens_additions!$A$2:$B$252, 2, FALSE)), 0), AP26718)</f>
        <v/>
      </c>
    </row>
    <row r="26719" spans="1:43" ht="14.4" hidden="1" x14ac:dyDescent="0.3">
      <c r="A26719" t="s">
        <v>4546</v>
      </c>
      <c r="B26719">
        <v>4909394</v>
      </c>
      <c r="C26719" t="s">
        <v>135</v>
      </c>
      <c r="D26719" t="s">
        <v>136</v>
      </c>
      <c r="E26719" t="s">
        <v>369</v>
      </c>
      <c r="F26719" t="s">
        <v>370</v>
      </c>
      <c r="H26719" t="s">
        <v>4547</v>
      </c>
      <c r="J26719" t="s">
        <v>140</v>
      </c>
      <c r="K26719">
        <v>157044.56</v>
      </c>
      <c r="L26719">
        <v>382860.08</v>
      </c>
      <c r="N26719" t="s">
        <v>1867</v>
      </c>
      <c r="O26719" t="s">
        <v>1424</v>
      </c>
      <c r="P26719" t="s">
        <v>791</v>
      </c>
      <c r="Q26719" t="s">
        <v>144</v>
      </c>
      <c r="S26719">
        <v>9</v>
      </c>
      <c r="T26719">
        <v>1400</v>
      </c>
      <c r="V26719" t="s">
        <v>848</v>
      </c>
      <c r="W26719" t="s">
        <v>390</v>
      </c>
      <c r="X26719" t="s">
        <v>7</v>
      </c>
      <c r="Y26719" t="s">
        <v>2841</v>
      </c>
      <c r="Z26719" t="s">
        <v>435</v>
      </c>
      <c r="AA26719" t="s">
        <v>404</v>
      </c>
      <c r="AB26719">
        <v>180</v>
      </c>
      <c r="AE26719" t="s">
        <v>2842</v>
      </c>
      <c r="AF26719" t="s">
        <v>435</v>
      </c>
      <c r="AG26719" t="s">
        <v>404</v>
      </c>
      <c r="AL26719" t="s">
        <v>4548</v>
      </c>
      <c r="AM26719" t="s">
        <v>4549</v>
      </c>
      <c r="AN26719" t="s">
        <v>4550</v>
      </c>
      <c r="AO26719" t="s">
        <v>1867</v>
      </c>
      <c r="AQ26719" t="str">
        <f>IF(ISBLANK(AP26719), IFERROR(IF(VLOOKUP(AO26719, Ellens_additions!$A$2:$B$252, 2, FALSE) = "", "", VLOOKUP(AO26719, Ellens_additions!$A$2:$B$252, 2, FALSE)), 0), AP26719)</f>
        <v/>
      </c>
    </row>
    <row r="26720" spans="1:43" ht="14.4" hidden="1" x14ac:dyDescent="0.3">
      <c r="A26720" t="s">
        <v>4551</v>
      </c>
      <c r="B26720">
        <v>4909397</v>
      </c>
      <c r="C26720" t="s">
        <v>135</v>
      </c>
      <c r="D26720" t="s">
        <v>136</v>
      </c>
      <c r="E26720" t="s">
        <v>369</v>
      </c>
      <c r="F26720" t="s">
        <v>370</v>
      </c>
      <c r="H26720" t="s">
        <v>4552</v>
      </c>
      <c r="J26720" t="s">
        <v>140</v>
      </c>
      <c r="K26720">
        <v>157047.59</v>
      </c>
      <c r="L26720">
        <v>382857.44</v>
      </c>
      <c r="N26720" t="s">
        <v>1867</v>
      </c>
      <c r="O26720" t="s">
        <v>1424</v>
      </c>
      <c r="P26720" t="s">
        <v>791</v>
      </c>
      <c r="Q26720" t="s">
        <v>144</v>
      </c>
      <c r="S26720">
        <v>9</v>
      </c>
      <c r="T26720">
        <v>1400</v>
      </c>
      <c r="V26720" t="s">
        <v>848</v>
      </c>
      <c r="W26720" t="s">
        <v>390</v>
      </c>
      <c r="X26720" t="s">
        <v>7</v>
      </c>
      <c r="Y26720" t="s">
        <v>2841</v>
      </c>
      <c r="Z26720" t="s">
        <v>435</v>
      </c>
      <c r="AA26720" t="s">
        <v>404</v>
      </c>
      <c r="AB26720">
        <v>180</v>
      </c>
      <c r="AE26720" t="s">
        <v>2842</v>
      </c>
      <c r="AF26720" t="s">
        <v>435</v>
      </c>
      <c r="AG26720" t="s">
        <v>404</v>
      </c>
      <c r="AL26720" t="s">
        <v>4553</v>
      </c>
      <c r="AM26720" t="s">
        <v>4554</v>
      </c>
      <c r="AN26720" t="s">
        <v>4555</v>
      </c>
      <c r="AO26720" t="s">
        <v>1867</v>
      </c>
      <c r="AQ26720" t="str">
        <f>IF(ISBLANK(AP26720), IFERROR(IF(VLOOKUP(AO26720, Ellens_additions!$A$2:$B$252, 2, FALSE) = "", "", VLOOKUP(AO26720, Ellens_additions!$A$2:$B$252, 2, FALSE)), 0), AP26720)</f>
        <v/>
      </c>
    </row>
    <row r="26721" spans="1:43" ht="14.4" hidden="1" x14ac:dyDescent="0.3">
      <c r="A26721" t="s">
        <v>4556</v>
      </c>
      <c r="B26721">
        <v>4909400</v>
      </c>
      <c r="C26721" t="s">
        <v>135</v>
      </c>
      <c r="D26721" t="s">
        <v>136</v>
      </c>
      <c r="E26721" t="s">
        <v>369</v>
      </c>
      <c r="F26721" t="s">
        <v>370</v>
      </c>
      <c r="H26721" t="s">
        <v>4557</v>
      </c>
      <c r="J26721" t="s">
        <v>140</v>
      </c>
      <c r="K26721">
        <v>157050.85</v>
      </c>
      <c r="L26721">
        <v>382854.7</v>
      </c>
      <c r="N26721" t="s">
        <v>1867</v>
      </c>
      <c r="O26721" t="s">
        <v>1424</v>
      </c>
      <c r="P26721" t="s">
        <v>791</v>
      </c>
      <c r="Q26721" t="s">
        <v>144</v>
      </c>
      <c r="S26721">
        <v>9</v>
      </c>
      <c r="T26721">
        <v>1400</v>
      </c>
      <c r="V26721" t="s">
        <v>848</v>
      </c>
      <c r="W26721" t="s">
        <v>390</v>
      </c>
      <c r="X26721" t="s">
        <v>7</v>
      </c>
      <c r="Y26721" t="s">
        <v>2841</v>
      </c>
      <c r="Z26721" t="s">
        <v>435</v>
      </c>
      <c r="AA26721" t="s">
        <v>404</v>
      </c>
      <c r="AB26721">
        <v>180</v>
      </c>
      <c r="AE26721" t="s">
        <v>2842</v>
      </c>
      <c r="AF26721" t="s">
        <v>435</v>
      </c>
      <c r="AG26721" t="s">
        <v>404</v>
      </c>
      <c r="AL26721" t="s">
        <v>4558</v>
      </c>
      <c r="AM26721" t="s">
        <v>4559</v>
      </c>
      <c r="AN26721" t="s">
        <v>4560</v>
      </c>
      <c r="AO26721" t="s">
        <v>1867</v>
      </c>
      <c r="AQ26721" t="str">
        <f>IF(ISBLANK(AP26721), IFERROR(IF(VLOOKUP(AO26721, Ellens_additions!$A$2:$B$252, 2, FALSE) = "", "", VLOOKUP(AO26721, Ellens_additions!$A$2:$B$252, 2, FALSE)), 0), AP26721)</f>
        <v/>
      </c>
    </row>
    <row r="26722" spans="1:43" ht="14.4" x14ac:dyDescent="0.3"/>
    <row r="26723" spans="1:43" ht="14.4" x14ac:dyDescent="0.3"/>
    <row r="26724" spans="1:43" ht="14.4" x14ac:dyDescent="0.3"/>
    <row r="26725" spans="1:43" ht="14.4" x14ac:dyDescent="0.3"/>
    <row r="26726" spans="1:43" ht="14.4" x14ac:dyDescent="0.3"/>
    <row r="26727" spans="1:43" ht="14.4" x14ac:dyDescent="0.3"/>
    <row r="26728" spans="1:43" ht="14.4" x14ac:dyDescent="0.3"/>
    <row r="26729" spans="1:43" ht="14.4" x14ac:dyDescent="0.3"/>
    <row r="26730" spans="1:43" ht="14.4" x14ac:dyDescent="0.3"/>
    <row r="26731" spans="1:43" ht="14.4" x14ac:dyDescent="0.3"/>
    <row r="26732" spans="1:43" ht="14.4" x14ac:dyDescent="0.3"/>
    <row r="26733" spans="1:43" ht="14.4" x14ac:dyDescent="0.3"/>
    <row r="26734" spans="1:43" ht="14.4" x14ac:dyDescent="0.3"/>
    <row r="26735" spans="1:43" ht="14.4" x14ac:dyDescent="0.3"/>
    <row r="26736" spans="1:43" ht="14.4" x14ac:dyDescent="0.3"/>
    <row r="26737" ht="14.4" x14ac:dyDescent="0.3"/>
    <row r="26738" ht="14.4" x14ac:dyDescent="0.3"/>
    <row r="26739" ht="14.4" x14ac:dyDescent="0.3"/>
    <row r="26740" ht="14.4" x14ac:dyDescent="0.3"/>
    <row r="26741" ht="14.4" x14ac:dyDescent="0.3"/>
    <row r="26742" ht="14.4" x14ac:dyDescent="0.3"/>
    <row r="26743" ht="14.4" x14ac:dyDescent="0.3"/>
    <row r="26744" ht="14.4" x14ac:dyDescent="0.3"/>
    <row r="26745" ht="14.4" x14ac:dyDescent="0.3"/>
    <row r="26746" ht="14.4" x14ac:dyDescent="0.3"/>
    <row r="26747" ht="14.4" x14ac:dyDescent="0.3"/>
    <row r="26748" ht="14.4" x14ac:dyDescent="0.3"/>
    <row r="26749" ht="14.4" x14ac:dyDescent="0.3"/>
    <row r="26750" ht="14.4" x14ac:dyDescent="0.3"/>
    <row r="26751" ht="14.4" x14ac:dyDescent="0.3"/>
    <row r="26752" ht="14.4" x14ac:dyDescent="0.3"/>
    <row r="26753" ht="14.4" x14ac:dyDescent="0.3"/>
    <row r="26754" ht="14.4" x14ac:dyDescent="0.3"/>
    <row r="26755" ht="14.4" x14ac:dyDescent="0.3"/>
    <row r="26756" ht="14.4" x14ac:dyDescent="0.3"/>
    <row r="26757" ht="14.4" x14ac:dyDescent="0.3"/>
    <row r="26758" ht="14.4" x14ac:dyDescent="0.3"/>
    <row r="26759" ht="14.4" x14ac:dyDescent="0.3"/>
    <row r="26760" ht="14.4" x14ac:dyDescent="0.3"/>
    <row r="26761" ht="14.4" x14ac:dyDescent="0.3"/>
    <row r="26762" ht="14.4" x14ac:dyDescent="0.3"/>
    <row r="26763" ht="14.4" x14ac:dyDescent="0.3"/>
    <row r="26764" ht="14.4" x14ac:dyDescent="0.3"/>
    <row r="26765" ht="14.4" x14ac:dyDescent="0.3"/>
    <row r="26766" ht="14.4" x14ac:dyDescent="0.3"/>
    <row r="26767" ht="14.4" x14ac:dyDescent="0.3"/>
    <row r="26768" ht="14.4" x14ac:dyDescent="0.3"/>
    <row r="26769" ht="14.4" x14ac:dyDescent="0.3"/>
    <row r="26770" ht="14.4" x14ac:dyDescent="0.3"/>
    <row r="26771" ht="14.4" x14ac:dyDescent="0.3"/>
    <row r="26772" ht="14.4" x14ac:dyDescent="0.3"/>
    <row r="26773" ht="14.4" x14ac:dyDescent="0.3"/>
    <row r="26774" ht="14.4" x14ac:dyDescent="0.3"/>
    <row r="26775" ht="14.4" x14ac:dyDescent="0.3"/>
    <row r="26776" ht="14.4" x14ac:dyDescent="0.3"/>
    <row r="26777" ht="14.4" x14ac:dyDescent="0.3"/>
    <row r="26778" ht="14.4" x14ac:dyDescent="0.3"/>
    <row r="26779" ht="14.4" x14ac:dyDescent="0.3"/>
    <row r="26780" ht="14.4" x14ac:dyDescent="0.3"/>
    <row r="26781" ht="14.4" x14ac:dyDescent="0.3"/>
    <row r="26782" ht="14.4" x14ac:dyDescent="0.3"/>
    <row r="26783" ht="14.4" x14ac:dyDescent="0.3"/>
    <row r="26784" ht="14.4" x14ac:dyDescent="0.3"/>
    <row r="26785" ht="14.4" x14ac:dyDescent="0.3"/>
    <row r="26786" ht="14.4" x14ac:dyDescent="0.3"/>
    <row r="26787" ht="14.4" x14ac:dyDescent="0.3"/>
    <row r="26788" ht="14.4" x14ac:dyDescent="0.3"/>
    <row r="26789" ht="14.4" x14ac:dyDescent="0.3"/>
    <row r="26790" ht="14.4" x14ac:dyDescent="0.3"/>
    <row r="26791" ht="14.4" x14ac:dyDescent="0.3"/>
    <row r="26792" ht="14.4" x14ac:dyDescent="0.3"/>
    <row r="26793" ht="14.4" x14ac:dyDescent="0.3"/>
    <row r="26794" ht="14.4" x14ac:dyDescent="0.3"/>
    <row r="26795" ht="14.4" x14ac:dyDescent="0.3"/>
    <row r="26796" ht="14.4" x14ac:dyDescent="0.3"/>
    <row r="26797" ht="14.4" x14ac:dyDescent="0.3"/>
    <row r="26798" ht="14.4" x14ac:dyDescent="0.3"/>
    <row r="26799" ht="14.4" x14ac:dyDescent="0.3"/>
    <row r="26800" ht="14.4" x14ac:dyDescent="0.3"/>
    <row r="26801" ht="14.4" x14ac:dyDescent="0.3"/>
    <row r="26802" ht="14.4" x14ac:dyDescent="0.3"/>
    <row r="26803" ht="14.4" x14ac:dyDescent="0.3"/>
    <row r="26804" ht="14.4" x14ac:dyDescent="0.3"/>
    <row r="26805" ht="14.4" x14ac:dyDescent="0.3"/>
    <row r="26806" ht="14.4" x14ac:dyDescent="0.3"/>
    <row r="26807" ht="14.4" x14ac:dyDescent="0.3"/>
    <row r="26808" ht="14.4" x14ac:dyDescent="0.3"/>
    <row r="26809" ht="14.4" x14ac:dyDescent="0.3"/>
    <row r="26810" ht="14.4" x14ac:dyDescent="0.3"/>
    <row r="26811" ht="14.4" x14ac:dyDescent="0.3"/>
    <row r="26812" ht="14.4" x14ac:dyDescent="0.3"/>
    <row r="26813" ht="14.4" x14ac:dyDescent="0.3"/>
    <row r="26814" ht="14.4" x14ac:dyDescent="0.3"/>
    <row r="26815" ht="14.4" x14ac:dyDescent="0.3"/>
    <row r="26816" ht="14.4" x14ac:dyDescent="0.3"/>
    <row r="26817" ht="14.4" x14ac:dyDescent="0.3"/>
    <row r="26818" ht="14.4" x14ac:dyDescent="0.3"/>
    <row r="26819" ht="14.4" x14ac:dyDescent="0.3"/>
    <row r="26820" ht="14.4" x14ac:dyDescent="0.3"/>
    <row r="26821" ht="14.4" x14ac:dyDescent="0.3"/>
    <row r="26822" ht="14.4" x14ac:dyDescent="0.3"/>
    <row r="26823" ht="14.4" x14ac:dyDescent="0.3"/>
    <row r="26824" ht="14.4" x14ac:dyDescent="0.3"/>
    <row r="26825" ht="14.4" x14ac:dyDescent="0.3"/>
    <row r="26826" ht="14.4" x14ac:dyDescent="0.3"/>
    <row r="26827" ht="14.4" x14ac:dyDescent="0.3"/>
    <row r="26828" ht="14.4" x14ac:dyDescent="0.3"/>
    <row r="26829" ht="14.4" x14ac:dyDescent="0.3"/>
    <row r="26830" ht="14.4" x14ac:dyDescent="0.3"/>
    <row r="26831" ht="14.4" x14ac:dyDescent="0.3"/>
    <row r="26832" ht="14.4" x14ac:dyDescent="0.3"/>
    <row r="26833" ht="14.4" x14ac:dyDescent="0.3"/>
    <row r="26834" ht="14.4" x14ac:dyDescent="0.3"/>
    <row r="26835" ht="14.4" x14ac:dyDescent="0.3"/>
    <row r="26836" ht="14.4" x14ac:dyDescent="0.3"/>
    <row r="26837" ht="14.4" x14ac:dyDescent="0.3"/>
    <row r="26838" ht="14.4" x14ac:dyDescent="0.3"/>
    <row r="26839" ht="14.4" x14ac:dyDescent="0.3"/>
    <row r="26840" ht="14.4" x14ac:dyDescent="0.3"/>
    <row r="26841" ht="14.4" x14ac:dyDescent="0.3"/>
    <row r="26842" ht="14.4" x14ac:dyDescent="0.3"/>
    <row r="26843" ht="14.4" x14ac:dyDescent="0.3"/>
    <row r="26844" ht="14.4" x14ac:dyDescent="0.3"/>
    <row r="26845" ht="14.4" x14ac:dyDescent="0.3"/>
    <row r="26846" ht="14.4" x14ac:dyDescent="0.3"/>
    <row r="26847" ht="14.4" x14ac:dyDescent="0.3"/>
    <row r="26848" ht="14.4" x14ac:dyDescent="0.3"/>
    <row r="26849" ht="14.4" x14ac:dyDescent="0.3"/>
    <row r="26850" ht="14.4" x14ac:dyDescent="0.3"/>
    <row r="26851" ht="14.4" x14ac:dyDescent="0.3"/>
    <row r="26852" ht="14.4" x14ac:dyDescent="0.3"/>
    <row r="26853" ht="14.4" x14ac:dyDescent="0.3"/>
    <row r="26854" ht="14.4" x14ac:dyDescent="0.3"/>
    <row r="26855" ht="14.4" x14ac:dyDescent="0.3"/>
    <row r="26856" ht="14.4" x14ac:dyDescent="0.3"/>
    <row r="26857" ht="14.4" x14ac:dyDescent="0.3"/>
    <row r="26858" ht="14.4" x14ac:dyDescent="0.3"/>
    <row r="26859" ht="14.4" x14ac:dyDescent="0.3"/>
    <row r="26860" ht="14.4" x14ac:dyDescent="0.3"/>
    <row r="26861" ht="14.4" x14ac:dyDescent="0.3"/>
    <row r="26862" ht="14.4" x14ac:dyDescent="0.3"/>
    <row r="26863" ht="14.4" x14ac:dyDescent="0.3"/>
    <row r="26864" ht="14.4" x14ac:dyDescent="0.3"/>
    <row r="26865" ht="14.4" x14ac:dyDescent="0.3"/>
    <row r="26866" ht="14.4" x14ac:dyDescent="0.3"/>
    <row r="26867" ht="14.4" x14ac:dyDescent="0.3"/>
    <row r="26868" ht="14.4" x14ac:dyDescent="0.3"/>
    <row r="26869" ht="14.4" x14ac:dyDescent="0.3"/>
    <row r="26870" ht="14.4" x14ac:dyDescent="0.3"/>
    <row r="26871" ht="14.4" x14ac:dyDescent="0.3"/>
    <row r="26872" ht="14.4" x14ac:dyDescent="0.3"/>
    <row r="26873" ht="14.4" x14ac:dyDescent="0.3"/>
    <row r="26874" ht="14.4" x14ac:dyDescent="0.3"/>
    <row r="26875" ht="14.4" x14ac:dyDescent="0.3"/>
    <row r="26876" ht="14.4" x14ac:dyDescent="0.3"/>
    <row r="26877" ht="14.4" x14ac:dyDescent="0.3"/>
    <row r="26878" ht="14.4" x14ac:dyDescent="0.3"/>
    <row r="26879" ht="14.4" x14ac:dyDescent="0.3"/>
    <row r="26880" ht="14.4" x14ac:dyDescent="0.3"/>
    <row r="26881" ht="14.4" x14ac:dyDescent="0.3"/>
    <row r="26882" ht="14.4" x14ac:dyDescent="0.3"/>
    <row r="26883" ht="14.4" x14ac:dyDescent="0.3"/>
    <row r="26884" ht="14.4" x14ac:dyDescent="0.3"/>
    <row r="26885" ht="14.4" x14ac:dyDescent="0.3"/>
    <row r="26886" ht="14.4" x14ac:dyDescent="0.3"/>
    <row r="26887" ht="14.4" x14ac:dyDescent="0.3"/>
    <row r="26888" ht="14.4" x14ac:dyDescent="0.3"/>
    <row r="26889" ht="14.4" x14ac:dyDescent="0.3"/>
    <row r="26890" ht="14.4" x14ac:dyDescent="0.3"/>
    <row r="26891" ht="14.4" x14ac:dyDescent="0.3"/>
    <row r="26892" ht="14.4" x14ac:dyDescent="0.3"/>
    <row r="26893" ht="14.4" x14ac:dyDescent="0.3"/>
    <row r="26894" ht="14.4" x14ac:dyDescent="0.3"/>
    <row r="26895" ht="14.4" x14ac:dyDescent="0.3"/>
    <row r="26896" ht="14.4" x14ac:dyDescent="0.3"/>
    <row r="26897" ht="14.4" x14ac:dyDescent="0.3"/>
    <row r="26898" ht="14.4" x14ac:dyDescent="0.3"/>
    <row r="26899" ht="14.4" x14ac:dyDescent="0.3"/>
    <row r="26900" ht="14.4" x14ac:dyDescent="0.3"/>
    <row r="26901" ht="14.4" x14ac:dyDescent="0.3"/>
    <row r="26902" ht="14.4" x14ac:dyDescent="0.3"/>
    <row r="26903" ht="14.4" x14ac:dyDescent="0.3"/>
    <row r="26904" ht="14.4" x14ac:dyDescent="0.3"/>
    <row r="26905" ht="14.4" x14ac:dyDescent="0.3"/>
    <row r="26906" ht="14.4" x14ac:dyDescent="0.3"/>
    <row r="26907" ht="14.4" x14ac:dyDescent="0.3"/>
    <row r="26908" ht="14.4" x14ac:dyDescent="0.3"/>
    <row r="26909" ht="14.4" x14ac:dyDescent="0.3"/>
    <row r="26910" ht="14.4" x14ac:dyDescent="0.3"/>
    <row r="26911" ht="14.4" x14ac:dyDescent="0.3"/>
    <row r="26912" ht="14.4" x14ac:dyDescent="0.3"/>
    <row r="26913" ht="14.4" x14ac:dyDescent="0.3"/>
    <row r="26914" ht="14.4" x14ac:dyDescent="0.3"/>
    <row r="26915" ht="14.4" x14ac:dyDescent="0.3"/>
    <row r="26916" ht="14.4" x14ac:dyDescent="0.3"/>
    <row r="26917" ht="14.4" x14ac:dyDescent="0.3"/>
    <row r="26918" ht="14.4" x14ac:dyDescent="0.3"/>
    <row r="26919" ht="14.4" x14ac:dyDescent="0.3"/>
    <row r="26920" ht="14.4" x14ac:dyDescent="0.3"/>
    <row r="26921" ht="14.4" x14ac:dyDescent="0.3"/>
    <row r="26922" ht="14.4" x14ac:dyDescent="0.3"/>
    <row r="26923" ht="14.4" x14ac:dyDescent="0.3"/>
    <row r="26924" ht="14.4" x14ac:dyDescent="0.3"/>
    <row r="26925" ht="14.4" x14ac:dyDescent="0.3"/>
    <row r="26926" ht="14.4" x14ac:dyDescent="0.3"/>
    <row r="26927" ht="14.4" x14ac:dyDescent="0.3"/>
    <row r="26928" ht="14.4" x14ac:dyDescent="0.3"/>
    <row r="26929" ht="14.4" x14ac:dyDescent="0.3"/>
    <row r="26930" ht="14.4" x14ac:dyDescent="0.3"/>
    <row r="26931" ht="14.4" x14ac:dyDescent="0.3"/>
    <row r="26932" ht="14.4" x14ac:dyDescent="0.3"/>
    <row r="26933" ht="14.4" x14ac:dyDescent="0.3"/>
    <row r="26934" ht="14.4" x14ac:dyDescent="0.3"/>
    <row r="26935" ht="14.4" x14ac:dyDescent="0.3"/>
    <row r="26936" ht="14.4" x14ac:dyDescent="0.3"/>
    <row r="26937" ht="14.4" x14ac:dyDescent="0.3"/>
    <row r="26938" ht="14.4" x14ac:dyDescent="0.3"/>
    <row r="26939" ht="14.4" x14ac:dyDescent="0.3"/>
    <row r="26940" ht="14.4" x14ac:dyDescent="0.3"/>
    <row r="26941" ht="14.4" x14ac:dyDescent="0.3"/>
    <row r="26942" ht="14.4" x14ac:dyDescent="0.3"/>
    <row r="26943" ht="14.4" x14ac:dyDescent="0.3"/>
    <row r="26944" ht="14.4" x14ac:dyDescent="0.3"/>
    <row r="26945" ht="14.4" x14ac:dyDescent="0.3"/>
    <row r="26946" ht="14.4" x14ac:dyDescent="0.3"/>
    <row r="26947" ht="14.4" x14ac:dyDescent="0.3"/>
    <row r="26948" ht="14.4" x14ac:dyDescent="0.3"/>
    <row r="26949" ht="14.4" x14ac:dyDescent="0.3"/>
    <row r="26950" ht="14.4" x14ac:dyDescent="0.3"/>
    <row r="26951" ht="14.4" x14ac:dyDescent="0.3"/>
    <row r="26952" ht="14.4" x14ac:dyDescent="0.3"/>
    <row r="26953" ht="14.4" x14ac:dyDescent="0.3"/>
    <row r="26954" ht="14.4" x14ac:dyDescent="0.3"/>
    <row r="26955" ht="14.4" x14ac:dyDescent="0.3"/>
    <row r="26956" ht="14.4" x14ac:dyDescent="0.3"/>
    <row r="26957" ht="14.4" x14ac:dyDescent="0.3"/>
    <row r="26958" ht="14.4" x14ac:dyDescent="0.3"/>
    <row r="26959" ht="14.4" x14ac:dyDescent="0.3"/>
    <row r="26960" ht="14.4" x14ac:dyDescent="0.3"/>
    <row r="26961" ht="14.4" x14ac:dyDescent="0.3"/>
    <row r="26962" ht="14.4" x14ac:dyDescent="0.3"/>
    <row r="26963" ht="14.4" x14ac:dyDescent="0.3"/>
    <row r="26964" ht="14.4" x14ac:dyDescent="0.3"/>
    <row r="26965" ht="14.4" x14ac:dyDescent="0.3"/>
    <row r="26966" ht="14.4" x14ac:dyDescent="0.3"/>
    <row r="26967" ht="14.4" x14ac:dyDescent="0.3"/>
    <row r="26968" ht="14.4" x14ac:dyDescent="0.3"/>
    <row r="26969" ht="14.4" x14ac:dyDescent="0.3"/>
    <row r="26970" ht="14.4" x14ac:dyDescent="0.3"/>
    <row r="26971" ht="14.4" x14ac:dyDescent="0.3"/>
    <row r="26972" ht="14.4" x14ac:dyDescent="0.3"/>
    <row r="26973" ht="14.4" x14ac:dyDescent="0.3"/>
    <row r="26974" ht="14.4" x14ac:dyDescent="0.3"/>
    <row r="26975" ht="14.4" x14ac:dyDescent="0.3"/>
    <row r="26976" ht="14.4" x14ac:dyDescent="0.3"/>
    <row r="26977" ht="14.4" x14ac:dyDescent="0.3"/>
    <row r="26978" ht="14.4" x14ac:dyDescent="0.3"/>
    <row r="26979" ht="14.4" x14ac:dyDescent="0.3"/>
    <row r="26980" ht="14.4" x14ac:dyDescent="0.3"/>
    <row r="26981" ht="14.4" x14ac:dyDescent="0.3"/>
    <row r="26982" ht="14.4" x14ac:dyDescent="0.3"/>
    <row r="26983" ht="14.4" x14ac:dyDescent="0.3"/>
    <row r="26984" ht="14.4" x14ac:dyDescent="0.3"/>
    <row r="26985" ht="14.4" x14ac:dyDescent="0.3"/>
    <row r="26986" ht="14.4" x14ac:dyDescent="0.3"/>
    <row r="26987" ht="14.4" x14ac:dyDescent="0.3"/>
    <row r="26988" ht="14.4" x14ac:dyDescent="0.3"/>
    <row r="26989" ht="14.4" x14ac:dyDescent="0.3"/>
    <row r="26990" ht="14.4" x14ac:dyDescent="0.3"/>
    <row r="26991" ht="14.4" x14ac:dyDescent="0.3"/>
    <row r="26992" ht="14.4" x14ac:dyDescent="0.3"/>
    <row r="26993" ht="14.4" x14ac:dyDescent="0.3"/>
    <row r="26994" ht="14.4" x14ac:dyDescent="0.3"/>
    <row r="26995" ht="14.4" x14ac:dyDescent="0.3"/>
    <row r="26996" ht="14.4" x14ac:dyDescent="0.3"/>
    <row r="26997" ht="14.4" x14ac:dyDescent="0.3"/>
    <row r="26998" ht="14.4" x14ac:dyDescent="0.3"/>
    <row r="26999" ht="14.4" x14ac:dyDescent="0.3"/>
    <row r="27000" ht="14.4" x14ac:dyDescent="0.3"/>
    <row r="27001" ht="14.4" x14ac:dyDescent="0.3"/>
    <row r="27002" ht="14.4" x14ac:dyDescent="0.3"/>
    <row r="27003" ht="14.4" x14ac:dyDescent="0.3"/>
    <row r="27004" ht="14.4" x14ac:dyDescent="0.3"/>
    <row r="27005" ht="14.4" x14ac:dyDescent="0.3"/>
    <row r="27006" ht="14.4" x14ac:dyDescent="0.3"/>
    <row r="27007" ht="14.4" x14ac:dyDescent="0.3"/>
    <row r="27008" ht="14.4" x14ac:dyDescent="0.3"/>
    <row r="27009" spans="1:43" ht="14.4" x14ac:dyDescent="0.3"/>
    <row r="27010" spans="1:43" ht="14.4" x14ac:dyDescent="0.3"/>
    <row r="27011" spans="1:43" ht="14.4" x14ac:dyDescent="0.3"/>
    <row r="27012" spans="1:43" ht="14.4" hidden="1" x14ac:dyDescent="0.3">
      <c r="A27012" t="s">
        <v>4562</v>
      </c>
      <c r="B27012">
        <v>4921700</v>
      </c>
      <c r="C27012" t="s">
        <v>424</v>
      </c>
      <c r="D27012" t="s">
        <v>439</v>
      </c>
      <c r="E27012" t="s">
        <v>440</v>
      </c>
      <c r="F27012" t="s">
        <v>765</v>
      </c>
      <c r="H27012" t="s">
        <v>4563</v>
      </c>
      <c r="J27012" t="s">
        <v>140</v>
      </c>
      <c r="K27012">
        <v>157852.93</v>
      </c>
      <c r="L27012">
        <v>387812.39</v>
      </c>
      <c r="M27012">
        <v>1</v>
      </c>
      <c r="N27012" t="s">
        <v>382</v>
      </c>
      <c r="O27012" t="s">
        <v>461</v>
      </c>
      <c r="P27012" t="s">
        <v>836</v>
      </c>
      <c r="Q27012" t="s">
        <v>358</v>
      </c>
      <c r="R27012" t="s">
        <v>145</v>
      </c>
      <c r="S27012">
        <v>35</v>
      </c>
      <c r="T27012">
        <v>3300</v>
      </c>
      <c r="V27012" t="s">
        <v>359</v>
      </c>
      <c r="W27012" t="s">
        <v>184</v>
      </c>
      <c r="X27012" t="s">
        <v>7</v>
      </c>
      <c r="Y27012" t="s">
        <v>2873</v>
      </c>
      <c r="Z27012" t="s">
        <v>807</v>
      </c>
      <c r="AA27012" t="s">
        <v>808</v>
      </c>
      <c r="AB27012">
        <v>0</v>
      </c>
      <c r="AC27012" t="s">
        <v>150</v>
      </c>
      <c r="AE27012" t="s">
        <v>1496</v>
      </c>
      <c r="AF27012" t="s">
        <v>807</v>
      </c>
      <c r="AG27012" t="s">
        <v>808</v>
      </c>
      <c r="AL27012" t="s">
        <v>4564</v>
      </c>
      <c r="AM27012" t="s">
        <v>4565</v>
      </c>
      <c r="AN27012" t="s">
        <v>4566</v>
      </c>
      <c r="AO27012" t="s">
        <v>382</v>
      </c>
      <c r="AQ27012" t="str">
        <f>IF(ISBLANK(AP27012), IFERROR(IF(VLOOKUP(AO27012, Ellens_additions!$A$2:$B$252, 2, FALSE) = "", "", VLOOKUP(AO27012, Ellens_additions!$A$2:$B$252, 2, FALSE)), 0), AP27012)</f>
        <v/>
      </c>
    </row>
    <row r="27013" spans="1:43" ht="14.4" x14ac:dyDescent="0.3"/>
    <row r="27014" spans="1:43" ht="14.4" x14ac:dyDescent="0.3"/>
    <row r="27015" spans="1:43" ht="14.4" x14ac:dyDescent="0.3"/>
    <row r="27016" spans="1:43" ht="14.4" x14ac:dyDescent="0.3"/>
    <row r="27017" spans="1:43" ht="14.4" x14ac:dyDescent="0.3"/>
    <row r="27018" spans="1:43" ht="14.4" x14ac:dyDescent="0.3"/>
    <row r="27019" spans="1:43" ht="14.4" x14ac:dyDescent="0.3"/>
    <row r="27020" spans="1:43" ht="14.4" x14ac:dyDescent="0.3"/>
    <row r="27021" spans="1:43" ht="14.4" x14ac:dyDescent="0.3"/>
    <row r="27022" spans="1:43" ht="14.4" x14ac:dyDescent="0.3"/>
    <row r="27023" spans="1:43" ht="14.4" x14ac:dyDescent="0.3"/>
    <row r="27024" spans="1:43" ht="14.4" x14ac:dyDescent="0.3"/>
    <row r="27025" ht="14.4" x14ac:dyDescent="0.3"/>
    <row r="27026" ht="14.4" x14ac:dyDescent="0.3"/>
    <row r="27027" ht="14.4" x14ac:dyDescent="0.3"/>
    <row r="27028" ht="14.4" x14ac:dyDescent="0.3"/>
    <row r="27029" ht="14.4" x14ac:dyDescent="0.3"/>
    <row r="27030" ht="14.4" x14ac:dyDescent="0.3"/>
    <row r="27031" ht="14.4" x14ac:dyDescent="0.3"/>
    <row r="27032" ht="14.4" x14ac:dyDescent="0.3"/>
    <row r="27033" ht="14.4" x14ac:dyDescent="0.3"/>
    <row r="27034" ht="14.4" x14ac:dyDescent="0.3"/>
    <row r="27035" ht="14.4" x14ac:dyDescent="0.3"/>
    <row r="27036" ht="14.4" x14ac:dyDescent="0.3"/>
    <row r="27037" ht="14.4" x14ac:dyDescent="0.3"/>
    <row r="27038" ht="14.4" x14ac:dyDescent="0.3"/>
    <row r="27039" ht="14.4" x14ac:dyDescent="0.3"/>
    <row r="27040" ht="14.4" x14ac:dyDescent="0.3"/>
    <row r="27041" ht="14.4" x14ac:dyDescent="0.3"/>
    <row r="27042" ht="14.4" x14ac:dyDescent="0.3"/>
    <row r="27043" ht="14.4" x14ac:dyDescent="0.3"/>
    <row r="27044" ht="14.4" x14ac:dyDescent="0.3"/>
    <row r="27045" ht="14.4" x14ac:dyDescent="0.3"/>
    <row r="27046" ht="14.4" x14ac:dyDescent="0.3"/>
    <row r="27047" ht="14.4" x14ac:dyDescent="0.3"/>
    <row r="27048" ht="14.4" x14ac:dyDescent="0.3"/>
    <row r="27049" ht="14.4" x14ac:dyDescent="0.3"/>
    <row r="27050" ht="14.4" x14ac:dyDescent="0.3"/>
    <row r="27051" ht="14.4" x14ac:dyDescent="0.3"/>
    <row r="27052" ht="14.4" x14ac:dyDescent="0.3"/>
    <row r="27053" ht="14.4" x14ac:dyDescent="0.3"/>
    <row r="27054" ht="14.4" x14ac:dyDescent="0.3"/>
    <row r="27055" ht="14.4" x14ac:dyDescent="0.3"/>
    <row r="27056" ht="14.4" x14ac:dyDescent="0.3"/>
    <row r="27057" ht="14.4" x14ac:dyDescent="0.3"/>
    <row r="27058" ht="14.4" x14ac:dyDescent="0.3"/>
    <row r="27059" ht="14.4" x14ac:dyDescent="0.3"/>
    <row r="27060" ht="14.4" x14ac:dyDescent="0.3"/>
    <row r="27061" ht="14.4" x14ac:dyDescent="0.3"/>
    <row r="27062" ht="14.4" x14ac:dyDescent="0.3"/>
    <row r="27063" ht="14.4" x14ac:dyDescent="0.3"/>
    <row r="27064" ht="14.4" x14ac:dyDescent="0.3"/>
    <row r="27065" ht="14.4" x14ac:dyDescent="0.3"/>
    <row r="27066" ht="14.4" x14ac:dyDescent="0.3"/>
    <row r="27067" ht="14.4" x14ac:dyDescent="0.3"/>
    <row r="27068" ht="14.4" x14ac:dyDescent="0.3"/>
    <row r="27069" ht="14.4" x14ac:dyDescent="0.3"/>
    <row r="27070" ht="14.4" x14ac:dyDescent="0.3"/>
    <row r="27071" ht="14.4" x14ac:dyDescent="0.3"/>
    <row r="27072" ht="14.4" x14ac:dyDescent="0.3"/>
    <row r="27073" ht="14.4" x14ac:dyDescent="0.3"/>
    <row r="27074" ht="14.4" x14ac:dyDescent="0.3"/>
    <row r="27075" ht="14.4" x14ac:dyDescent="0.3"/>
    <row r="27076" ht="14.4" x14ac:dyDescent="0.3"/>
    <row r="27077" ht="14.4" x14ac:dyDescent="0.3"/>
    <row r="27078" ht="14.4" x14ac:dyDescent="0.3"/>
    <row r="27079" ht="14.4" x14ac:dyDescent="0.3"/>
    <row r="27080" ht="14.4" x14ac:dyDescent="0.3"/>
    <row r="27081" ht="14.4" x14ac:dyDescent="0.3"/>
    <row r="27082" ht="14.4" x14ac:dyDescent="0.3"/>
    <row r="27083" ht="14.4" x14ac:dyDescent="0.3"/>
    <row r="27084" ht="14.4" x14ac:dyDescent="0.3"/>
    <row r="27085" ht="14.4" x14ac:dyDescent="0.3"/>
    <row r="27086" ht="14.4" x14ac:dyDescent="0.3"/>
    <row r="27087" ht="14.4" x14ac:dyDescent="0.3"/>
    <row r="27088" ht="14.4" x14ac:dyDescent="0.3"/>
    <row r="27089" ht="14.4" x14ac:dyDescent="0.3"/>
    <row r="27090" ht="14.4" x14ac:dyDescent="0.3"/>
    <row r="27091" ht="14.4" x14ac:dyDescent="0.3"/>
    <row r="27092" ht="14.4" x14ac:dyDescent="0.3"/>
    <row r="27093" ht="14.4" x14ac:dyDescent="0.3"/>
    <row r="27094" ht="14.4" x14ac:dyDescent="0.3"/>
    <row r="27095" ht="14.4" x14ac:dyDescent="0.3"/>
    <row r="27096" ht="14.4" x14ac:dyDescent="0.3"/>
    <row r="27097" ht="14.4" x14ac:dyDescent="0.3"/>
    <row r="27098" ht="14.4" x14ac:dyDescent="0.3"/>
    <row r="27099" ht="14.4" x14ac:dyDescent="0.3"/>
    <row r="27100" ht="14.4" x14ac:dyDescent="0.3"/>
    <row r="27101" ht="14.4" x14ac:dyDescent="0.3"/>
    <row r="27102" ht="14.4" x14ac:dyDescent="0.3"/>
    <row r="27103" ht="14.4" x14ac:dyDescent="0.3"/>
    <row r="27104" ht="14.4" x14ac:dyDescent="0.3"/>
    <row r="27105" ht="14.4" x14ac:dyDescent="0.3"/>
    <row r="27106" ht="14.4" x14ac:dyDescent="0.3"/>
    <row r="27107" ht="14.4" x14ac:dyDescent="0.3"/>
    <row r="27108" ht="14.4" x14ac:dyDescent="0.3"/>
    <row r="27109" ht="14.4" x14ac:dyDescent="0.3"/>
    <row r="27110" ht="14.4" x14ac:dyDescent="0.3"/>
    <row r="27111" ht="14.4" x14ac:dyDescent="0.3"/>
    <row r="27112" ht="14.4" x14ac:dyDescent="0.3"/>
    <row r="27113" ht="14.4" x14ac:dyDescent="0.3"/>
    <row r="27114" ht="14.4" x14ac:dyDescent="0.3"/>
    <row r="27115" ht="14.4" x14ac:dyDescent="0.3"/>
    <row r="27116" ht="14.4" x14ac:dyDescent="0.3"/>
    <row r="27117" ht="14.4" x14ac:dyDescent="0.3"/>
    <row r="27118" ht="14.4" x14ac:dyDescent="0.3"/>
    <row r="27119" ht="14.4" x14ac:dyDescent="0.3"/>
    <row r="27120" ht="14.4" x14ac:dyDescent="0.3"/>
    <row r="27121" ht="14.4" x14ac:dyDescent="0.3"/>
    <row r="27122" ht="14.4" x14ac:dyDescent="0.3"/>
    <row r="27123" ht="14.4" x14ac:dyDescent="0.3"/>
    <row r="27124" ht="14.4" x14ac:dyDescent="0.3"/>
    <row r="27125" ht="14.4" x14ac:dyDescent="0.3"/>
    <row r="27126" ht="14.4" x14ac:dyDescent="0.3"/>
    <row r="27127" ht="14.4" x14ac:dyDescent="0.3"/>
    <row r="27128" ht="14.4" x14ac:dyDescent="0.3"/>
    <row r="27129" ht="14.4" x14ac:dyDescent="0.3"/>
    <row r="27130" ht="14.4" x14ac:dyDescent="0.3"/>
    <row r="27131" ht="14.4" x14ac:dyDescent="0.3"/>
    <row r="27132" ht="14.4" x14ac:dyDescent="0.3"/>
    <row r="27133" ht="14.4" x14ac:dyDescent="0.3"/>
    <row r="27134" ht="14.4" x14ac:dyDescent="0.3"/>
    <row r="27135" ht="14.4" x14ac:dyDescent="0.3"/>
    <row r="27136" ht="14.4" x14ac:dyDescent="0.3"/>
    <row r="27137" ht="14.4" x14ac:dyDescent="0.3"/>
    <row r="27138" ht="14.4" x14ac:dyDescent="0.3"/>
    <row r="27139" ht="14.4" x14ac:dyDescent="0.3"/>
    <row r="27140" ht="14.4" x14ac:dyDescent="0.3"/>
    <row r="27141" ht="14.4" x14ac:dyDescent="0.3"/>
    <row r="27142" ht="14.4" x14ac:dyDescent="0.3"/>
    <row r="27143" ht="14.4" x14ac:dyDescent="0.3"/>
    <row r="27144" ht="14.4" x14ac:dyDescent="0.3"/>
    <row r="27145" ht="14.4" x14ac:dyDescent="0.3"/>
    <row r="27146" ht="14.4" x14ac:dyDescent="0.3"/>
    <row r="27147" ht="14.4" x14ac:dyDescent="0.3"/>
    <row r="27148" ht="14.4" x14ac:dyDescent="0.3"/>
    <row r="27149" ht="14.4" x14ac:dyDescent="0.3"/>
    <row r="27150" ht="14.4" x14ac:dyDescent="0.3"/>
    <row r="27151" ht="14.4" x14ac:dyDescent="0.3"/>
    <row r="27152" ht="14.4" x14ac:dyDescent="0.3"/>
    <row r="27153" ht="14.4" x14ac:dyDescent="0.3"/>
    <row r="27154" ht="14.4" x14ac:dyDescent="0.3"/>
    <row r="27155" ht="14.4" x14ac:dyDescent="0.3"/>
    <row r="27156" ht="14.4" x14ac:dyDescent="0.3"/>
    <row r="27157" ht="14.4" x14ac:dyDescent="0.3"/>
    <row r="27158" ht="14.4" x14ac:dyDescent="0.3"/>
    <row r="27159" ht="14.4" x14ac:dyDescent="0.3"/>
    <row r="27160" ht="14.4" x14ac:dyDescent="0.3"/>
    <row r="27161" ht="14.4" x14ac:dyDescent="0.3"/>
    <row r="27162" ht="14.4" x14ac:dyDescent="0.3"/>
    <row r="27163" ht="14.4" x14ac:dyDescent="0.3"/>
    <row r="27164" ht="14.4" x14ac:dyDescent="0.3"/>
    <row r="27165" ht="14.4" x14ac:dyDescent="0.3"/>
    <row r="27166" ht="14.4" x14ac:dyDescent="0.3"/>
    <row r="27167" ht="14.4" x14ac:dyDescent="0.3"/>
    <row r="27168" ht="14.4" x14ac:dyDescent="0.3"/>
    <row r="27169" ht="14.4" x14ac:dyDescent="0.3"/>
    <row r="27170" ht="14.4" x14ac:dyDescent="0.3"/>
    <row r="27171" ht="14.4" x14ac:dyDescent="0.3"/>
    <row r="27172" ht="14.4" x14ac:dyDescent="0.3"/>
    <row r="27173" ht="14.4" x14ac:dyDescent="0.3"/>
    <row r="27174" ht="14.4" x14ac:dyDescent="0.3"/>
    <row r="27175" ht="14.4" x14ac:dyDescent="0.3"/>
    <row r="27176" ht="14.4" x14ac:dyDescent="0.3"/>
    <row r="27177" ht="14.4" x14ac:dyDescent="0.3"/>
    <row r="27178" ht="14.4" x14ac:dyDescent="0.3"/>
    <row r="27179" ht="14.4" x14ac:dyDescent="0.3"/>
    <row r="27180" ht="14.4" x14ac:dyDescent="0.3"/>
    <row r="27181" ht="14.4" x14ac:dyDescent="0.3"/>
    <row r="27182" ht="14.4" x14ac:dyDescent="0.3"/>
    <row r="27183" ht="14.4" x14ac:dyDescent="0.3"/>
    <row r="27184" ht="14.4" x14ac:dyDescent="0.3"/>
    <row r="27185" ht="14.4" x14ac:dyDescent="0.3"/>
    <row r="27186" ht="14.4" x14ac:dyDescent="0.3"/>
    <row r="27187" ht="14.4" x14ac:dyDescent="0.3"/>
    <row r="27188" ht="14.4" x14ac:dyDescent="0.3"/>
    <row r="27189" ht="14.4" x14ac:dyDescent="0.3"/>
    <row r="27190" ht="14.4" x14ac:dyDescent="0.3"/>
    <row r="27191" ht="14.4" x14ac:dyDescent="0.3"/>
    <row r="27192" ht="14.4" x14ac:dyDescent="0.3"/>
    <row r="27193" ht="14.4" x14ac:dyDescent="0.3"/>
    <row r="27194" ht="14.4" x14ac:dyDescent="0.3"/>
    <row r="27195" ht="14.4" x14ac:dyDescent="0.3"/>
    <row r="27196" ht="14.4" x14ac:dyDescent="0.3"/>
    <row r="27197" ht="14.4" x14ac:dyDescent="0.3"/>
    <row r="27198" ht="14.4" x14ac:dyDescent="0.3"/>
    <row r="27199" ht="14.4" x14ac:dyDescent="0.3"/>
    <row r="27200" ht="14.4" x14ac:dyDescent="0.3"/>
    <row r="27201" ht="14.4" x14ac:dyDescent="0.3"/>
    <row r="27202" ht="14.4" x14ac:dyDescent="0.3"/>
    <row r="27203" ht="14.4" x14ac:dyDescent="0.3"/>
    <row r="27204" ht="14.4" x14ac:dyDescent="0.3"/>
    <row r="27205" ht="14.4" x14ac:dyDescent="0.3"/>
    <row r="27206" ht="14.4" x14ac:dyDescent="0.3"/>
    <row r="27207" ht="14.4" x14ac:dyDescent="0.3"/>
    <row r="27208" ht="14.4" x14ac:dyDescent="0.3"/>
    <row r="27209" ht="14.4" x14ac:dyDescent="0.3"/>
    <row r="27210" ht="14.4" x14ac:dyDescent="0.3"/>
    <row r="27211" ht="14.4" x14ac:dyDescent="0.3"/>
    <row r="27212" ht="14.4" x14ac:dyDescent="0.3"/>
    <row r="27213" ht="14.4" x14ac:dyDescent="0.3"/>
    <row r="27214" ht="14.4" x14ac:dyDescent="0.3"/>
    <row r="27215" ht="14.4" x14ac:dyDescent="0.3"/>
    <row r="27216" ht="14.4" x14ac:dyDescent="0.3"/>
    <row r="27217" ht="14.4" x14ac:dyDescent="0.3"/>
    <row r="27218" ht="14.4" x14ac:dyDescent="0.3"/>
    <row r="27219" ht="14.4" x14ac:dyDescent="0.3"/>
    <row r="27220" ht="14.4" x14ac:dyDescent="0.3"/>
    <row r="27221" ht="14.4" x14ac:dyDescent="0.3"/>
    <row r="27222" ht="14.4" x14ac:dyDescent="0.3"/>
    <row r="27223" ht="14.4" x14ac:dyDescent="0.3"/>
    <row r="27224" ht="14.4" x14ac:dyDescent="0.3"/>
    <row r="27225" ht="14.4" x14ac:dyDescent="0.3"/>
    <row r="27226" ht="14.4" x14ac:dyDescent="0.3"/>
    <row r="27227" ht="14.4" x14ac:dyDescent="0.3"/>
    <row r="27228" ht="14.4" x14ac:dyDescent="0.3"/>
    <row r="27229" ht="14.4" x14ac:dyDescent="0.3"/>
    <row r="27230" ht="14.4" x14ac:dyDescent="0.3"/>
    <row r="27231" ht="14.4" x14ac:dyDescent="0.3"/>
    <row r="27232" ht="14.4" x14ac:dyDescent="0.3"/>
    <row r="27233" ht="14.4" x14ac:dyDescent="0.3"/>
    <row r="27234" ht="14.4" x14ac:dyDescent="0.3"/>
    <row r="27235" ht="14.4" x14ac:dyDescent="0.3"/>
    <row r="27236" ht="14.4" x14ac:dyDescent="0.3"/>
    <row r="27237" ht="14.4" x14ac:dyDescent="0.3"/>
    <row r="27238" ht="14.4" x14ac:dyDescent="0.3"/>
    <row r="27239" ht="14.4" x14ac:dyDescent="0.3"/>
    <row r="27240" ht="14.4" x14ac:dyDescent="0.3"/>
    <row r="27241" ht="14.4" x14ac:dyDescent="0.3"/>
    <row r="27242" ht="14.4" x14ac:dyDescent="0.3"/>
    <row r="27243" ht="14.4" x14ac:dyDescent="0.3"/>
    <row r="27244" ht="14.4" x14ac:dyDescent="0.3"/>
    <row r="27245" ht="14.4" x14ac:dyDescent="0.3"/>
    <row r="27246" ht="14.4" x14ac:dyDescent="0.3"/>
    <row r="27247" ht="14.4" x14ac:dyDescent="0.3"/>
    <row r="27248" ht="14.4" x14ac:dyDescent="0.3"/>
    <row r="27249" ht="14.4" x14ac:dyDescent="0.3"/>
    <row r="27250" ht="14.4" x14ac:dyDescent="0.3"/>
    <row r="27251" ht="14.4" x14ac:dyDescent="0.3"/>
    <row r="27252" ht="14.4" x14ac:dyDescent="0.3"/>
    <row r="27253" ht="14.4" x14ac:dyDescent="0.3"/>
    <row r="27254" ht="14.4" x14ac:dyDescent="0.3"/>
    <row r="27255" ht="14.4" x14ac:dyDescent="0.3"/>
    <row r="27256" ht="14.4" x14ac:dyDescent="0.3"/>
    <row r="27257" ht="14.4" x14ac:dyDescent="0.3"/>
    <row r="27258" ht="14.4" x14ac:dyDescent="0.3"/>
    <row r="27259" ht="14.4" x14ac:dyDescent="0.3"/>
    <row r="27260" ht="14.4" x14ac:dyDescent="0.3"/>
    <row r="27261" ht="14.4" x14ac:dyDescent="0.3"/>
    <row r="27262" ht="14.4" x14ac:dyDescent="0.3"/>
    <row r="27263" ht="14.4" x14ac:dyDescent="0.3"/>
    <row r="27264" ht="14.4" x14ac:dyDescent="0.3"/>
    <row r="27265" ht="14.4" x14ac:dyDescent="0.3"/>
    <row r="27266" ht="14.4" x14ac:dyDescent="0.3"/>
    <row r="27267" ht="14.4" x14ac:dyDescent="0.3"/>
    <row r="27268" ht="14.4" x14ac:dyDescent="0.3"/>
    <row r="27269" ht="14.4" x14ac:dyDescent="0.3"/>
    <row r="27270" ht="14.4" x14ac:dyDescent="0.3"/>
    <row r="27271" ht="14.4" x14ac:dyDescent="0.3"/>
    <row r="27272" ht="14.4" x14ac:dyDescent="0.3"/>
    <row r="27273" ht="14.4" x14ac:dyDescent="0.3"/>
    <row r="27274" ht="14.4" x14ac:dyDescent="0.3"/>
    <row r="27275" ht="14.4" x14ac:dyDescent="0.3"/>
    <row r="27276" ht="14.4" x14ac:dyDescent="0.3"/>
    <row r="27277" ht="14.4" x14ac:dyDescent="0.3"/>
    <row r="27278" ht="14.4" x14ac:dyDescent="0.3"/>
    <row r="27279" ht="14.4" x14ac:dyDescent="0.3"/>
    <row r="27280" ht="14.4" x14ac:dyDescent="0.3"/>
    <row r="27281" ht="14.4" x14ac:dyDescent="0.3"/>
    <row r="27282" ht="14.4" x14ac:dyDescent="0.3"/>
    <row r="27283" ht="14.4" x14ac:dyDescent="0.3"/>
    <row r="27284" ht="14.4" x14ac:dyDescent="0.3"/>
    <row r="27285" ht="14.4" x14ac:dyDescent="0.3"/>
    <row r="27286" ht="14.4" x14ac:dyDescent="0.3"/>
    <row r="27287" ht="14.4" x14ac:dyDescent="0.3"/>
    <row r="27288" ht="14.4" x14ac:dyDescent="0.3"/>
    <row r="27289" ht="14.4" x14ac:dyDescent="0.3"/>
    <row r="27290" ht="14.4" x14ac:dyDescent="0.3"/>
    <row r="27291" ht="14.4" x14ac:dyDescent="0.3"/>
    <row r="27292" ht="14.4" x14ac:dyDescent="0.3"/>
    <row r="27293" ht="14.4" x14ac:dyDescent="0.3"/>
    <row r="27294" ht="14.4" x14ac:dyDescent="0.3"/>
    <row r="27295" ht="14.4" x14ac:dyDescent="0.3"/>
    <row r="27296" ht="14.4" x14ac:dyDescent="0.3"/>
    <row r="27297" ht="14.4" x14ac:dyDescent="0.3"/>
    <row r="27298" ht="14.4" x14ac:dyDescent="0.3"/>
    <row r="27299" ht="14.4" x14ac:dyDescent="0.3"/>
    <row r="27300" ht="14.4" x14ac:dyDescent="0.3"/>
    <row r="27301" ht="14.4" x14ac:dyDescent="0.3"/>
    <row r="27302" ht="14.4" x14ac:dyDescent="0.3"/>
    <row r="27303" ht="14.4" x14ac:dyDescent="0.3"/>
    <row r="27304" ht="14.4" x14ac:dyDescent="0.3"/>
    <row r="27305" ht="14.4" x14ac:dyDescent="0.3"/>
    <row r="27306" ht="14.4" x14ac:dyDescent="0.3"/>
    <row r="27307" ht="14.4" x14ac:dyDescent="0.3"/>
    <row r="27308" ht="14.4" x14ac:dyDescent="0.3"/>
    <row r="27309" ht="14.4" x14ac:dyDescent="0.3"/>
    <row r="27310" ht="14.4" x14ac:dyDescent="0.3"/>
    <row r="27311" ht="14.4" x14ac:dyDescent="0.3"/>
    <row r="27312" ht="14.4" x14ac:dyDescent="0.3"/>
    <row r="27313" ht="14.4" x14ac:dyDescent="0.3"/>
    <row r="27314" ht="14.4" x14ac:dyDescent="0.3"/>
    <row r="27315" ht="14.4" x14ac:dyDescent="0.3"/>
    <row r="27316" ht="14.4" x14ac:dyDescent="0.3"/>
    <row r="27317" ht="14.4" x14ac:dyDescent="0.3"/>
    <row r="27318" ht="14.4" x14ac:dyDescent="0.3"/>
    <row r="27319" ht="14.4" x14ac:dyDescent="0.3"/>
    <row r="27320" ht="14.4" x14ac:dyDescent="0.3"/>
    <row r="27321" ht="14.4" x14ac:dyDescent="0.3"/>
    <row r="27322" ht="14.4" x14ac:dyDescent="0.3"/>
    <row r="27323" ht="14.4" x14ac:dyDescent="0.3"/>
    <row r="27324" ht="14.4" x14ac:dyDescent="0.3"/>
    <row r="27325" ht="14.4" x14ac:dyDescent="0.3"/>
    <row r="27326" ht="14.4" x14ac:dyDescent="0.3"/>
    <row r="27327" ht="14.4" x14ac:dyDescent="0.3"/>
    <row r="27328" ht="14.4" x14ac:dyDescent="0.3"/>
    <row r="27329" ht="14.4" x14ac:dyDescent="0.3"/>
    <row r="27330" ht="14.4" x14ac:dyDescent="0.3"/>
    <row r="27331" ht="14.4" x14ac:dyDescent="0.3"/>
    <row r="27332" ht="14.4" x14ac:dyDescent="0.3"/>
    <row r="27333" ht="14.4" x14ac:dyDescent="0.3"/>
    <row r="27334" ht="14.4" x14ac:dyDescent="0.3"/>
    <row r="27335" ht="14.4" x14ac:dyDescent="0.3"/>
    <row r="27336" ht="14.4" x14ac:dyDescent="0.3"/>
    <row r="27337" ht="14.4" x14ac:dyDescent="0.3"/>
    <row r="27338" ht="14.4" x14ac:dyDescent="0.3"/>
    <row r="27339" ht="14.4" x14ac:dyDescent="0.3"/>
    <row r="27340" ht="14.4" x14ac:dyDescent="0.3"/>
    <row r="27341" ht="14.4" x14ac:dyDescent="0.3"/>
    <row r="27342" ht="14.4" x14ac:dyDescent="0.3"/>
    <row r="27343" ht="14.4" x14ac:dyDescent="0.3"/>
    <row r="27344" ht="14.4" x14ac:dyDescent="0.3"/>
    <row r="27345" ht="14.4" x14ac:dyDescent="0.3"/>
    <row r="27346" ht="14.4" x14ac:dyDescent="0.3"/>
    <row r="27347" ht="14.4" x14ac:dyDescent="0.3"/>
    <row r="27348" ht="14.4" x14ac:dyDescent="0.3"/>
    <row r="27349" ht="14.4" x14ac:dyDescent="0.3"/>
    <row r="27350" ht="14.4" x14ac:dyDescent="0.3"/>
    <row r="27351" ht="14.4" x14ac:dyDescent="0.3"/>
    <row r="27352" ht="14.4" x14ac:dyDescent="0.3"/>
    <row r="27353" ht="14.4" x14ac:dyDescent="0.3"/>
    <row r="27354" ht="14.4" x14ac:dyDescent="0.3"/>
    <row r="27355" ht="14.4" x14ac:dyDescent="0.3"/>
    <row r="27356" ht="14.4" x14ac:dyDescent="0.3"/>
    <row r="27357" ht="14.4" x14ac:dyDescent="0.3"/>
    <row r="27358" ht="14.4" x14ac:dyDescent="0.3"/>
    <row r="27359" ht="14.4" x14ac:dyDescent="0.3"/>
    <row r="27360" ht="14.4" x14ac:dyDescent="0.3"/>
    <row r="27361" ht="14.4" x14ac:dyDescent="0.3"/>
    <row r="27362" ht="14.4" x14ac:dyDescent="0.3"/>
    <row r="27363" ht="14.4" x14ac:dyDescent="0.3"/>
    <row r="27364" ht="14.4" x14ac:dyDescent="0.3"/>
    <row r="27365" ht="14.4" x14ac:dyDescent="0.3"/>
    <row r="27366" ht="14.4" x14ac:dyDescent="0.3"/>
    <row r="27367" ht="14.4" x14ac:dyDescent="0.3"/>
    <row r="27368" ht="14.4" x14ac:dyDescent="0.3"/>
    <row r="27369" ht="14.4" x14ac:dyDescent="0.3"/>
    <row r="27370" ht="14.4" x14ac:dyDescent="0.3"/>
    <row r="27371" ht="14.4" x14ac:dyDescent="0.3"/>
    <row r="27372" ht="14.4" x14ac:dyDescent="0.3"/>
    <row r="27373" ht="14.4" x14ac:dyDescent="0.3"/>
    <row r="27374" ht="14.4" x14ac:dyDescent="0.3"/>
    <row r="27375" ht="14.4" x14ac:dyDescent="0.3"/>
    <row r="27376" ht="14.4" x14ac:dyDescent="0.3"/>
    <row r="27377" ht="14.4" x14ac:dyDescent="0.3"/>
    <row r="27378" ht="14.4" x14ac:dyDescent="0.3"/>
    <row r="27379" ht="14.4" x14ac:dyDescent="0.3"/>
    <row r="27380" ht="14.4" x14ac:dyDescent="0.3"/>
    <row r="27381" ht="14.4" x14ac:dyDescent="0.3"/>
    <row r="27382" ht="14.4" x14ac:dyDescent="0.3"/>
    <row r="27383" ht="14.4" x14ac:dyDescent="0.3"/>
    <row r="27384" ht="14.4" x14ac:dyDescent="0.3"/>
    <row r="27385" ht="14.4" x14ac:dyDescent="0.3"/>
    <row r="27386" ht="14.4" x14ac:dyDescent="0.3"/>
    <row r="27387" ht="14.4" x14ac:dyDescent="0.3"/>
    <row r="27388" ht="14.4" x14ac:dyDescent="0.3"/>
    <row r="27389" ht="14.4" x14ac:dyDescent="0.3"/>
    <row r="27390" ht="14.4" x14ac:dyDescent="0.3"/>
    <row r="27391" ht="14.4" x14ac:dyDescent="0.3"/>
    <row r="27392" ht="14.4" x14ac:dyDescent="0.3"/>
    <row r="27393" ht="14.4" x14ac:dyDescent="0.3"/>
    <row r="27394" ht="14.4" x14ac:dyDescent="0.3"/>
    <row r="27395" ht="14.4" x14ac:dyDescent="0.3"/>
    <row r="27396" ht="14.4" x14ac:dyDescent="0.3"/>
    <row r="27397" ht="14.4" x14ac:dyDescent="0.3"/>
    <row r="27398" ht="14.4" x14ac:dyDescent="0.3"/>
    <row r="27399" ht="14.4" x14ac:dyDescent="0.3"/>
    <row r="27400" ht="14.4" x14ac:dyDescent="0.3"/>
    <row r="27401" ht="14.4" x14ac:dyDescent="0.3"/>
    <row r="27402" ht="14.4" x14ac:dyDescent="0.3"/>
    <row r="27403" ht="14.4" x14ac:dyDescent="0.3"/>
    <row r="27404" ht="14.4" x14ac:dyDescent="0.3"/>
    <row r="27405" ht="14.4" x14ac:dyDescent="0.3"/>
    <row r="27406" ht="14.4" x14ac:dyDescent="0.3"/>
    <row r="27407" ht="14.4" x14ac:dyDescent="0.3"/>
    <row r="27408" ht="14.4" x14ac:dyDescent="0.3"/>
    <row r="27409" ht="14.4" x14ac:dyDescent="0.3"/>
    <row r="27410" ht="14.4" x14ac:dyDescent="0.3"/>
    <row r="27411" ht="14.4" x14ac:dyDescent="0.3"/>
    <row r="27412" ht="14.4" x14ac:dyDescent="0.3"/>
    <row r="27413" ht="14.4" x14ac:dyDescent="0.3"/>
    <row r="27414" ht="14.4" x14ac:dyDescent="0.3"/>
    <row r="27415" ht="14.4" x14ac:dyDescent="0.3"/>
    <row r="27416" ht="14.4" x14ac:dyDescent="0.3"/>
    <row r="27417" ht="14.4" x14ac:dyDescent="0.3"/>
    <row r="27418" ht="14.4" x14ac:dyDescent="0.3"/>
    <row r="27419" ht="14.4" x14ac:dyDescent="0.3"/>
    <row r="27420" ht="14.4" x14ac:dyDescent="0.3"/>
    <row r="27421" ht="14.4" x14ac:dyDescent="0.3"/>
    <row r="27422" ht="14.4" x14ac:dyDescent="0.3"/>
    <row r="27423" ht="14.4" x14ac:dyDescent="0.3"/>
    <row r="27424" ht="14.4" x14ac:dyDescent="0.3"/>
    <row r="27425" ht="14.4" x14ac:dyDescent="0.3"/>
    <row r="27426" ht="14.4" x14ac:dyDescent="0.3"/>
    <row r="27427" ht="14.4" x14ac:dyDescent="0.3"/>
    <row r="27428" ht="14.4" x14ac:dyDescent="0.3"/>
    <row r="27429" ht="14.4" x14ac:dyDescent="0.3"/>
    <row r="27430" ht="14.4" x14ac:dyDescent="0.3"/>
    <row r="27431" ht="14.4" x14ac:dyDescent="0.3"/>
    <row r="27432" ht="14.4" x14ac:dyDescent="0.3"/>
    <row r="27433" ht="14.4" x14ac:dyDescent="0.3"/>
    <row r="27434" ht="14.4" x14ac:dyDescent="0.3"/>
    <row r="27435" ht="14.4" x14ac:dyDescent="0.3"/>
    <row r="27436" ht="14.4" x14ac:dyDescent="0.3"/>
    <row r="27437" ht="14.4" x14ac:dyDescent="0.3"/>
    <row r="27438" ht="14.4" x14ac:dyDescent="0.3"/>
    <row r="27439" ht="14.4" x14ac:dyDescent="0.3"/>
    <row r="27440" ht="14.4" x14ac:dyDescent="0.3"/>
    <row r="27441" ht="14.4" x14ac:dyDescent="0.3"/>
    <row r="27442" ht="14.4" x14ac:dyDescent="0.3"/>
    <row r="27443" ht="14.4" x14ac:dyDescent="0.3"/>
    <row r="27444" ht="14.4" x14ac:dyDescent="0.3"/>
    <row r="27445" ht="14.4" x14ac:dyDescent="0.3"/>
    <row r="27446" ht="14.4" x14ac:dyDescent="0.3"/>
    <row r="27447" ht="14.4" x14ac:dyDescent="0.3"/>
    <row r="27448" ht="14.4" x14ac:dyDescent="0.3"/>
    <row r="27449" ht="14.4" x14ac:dyDescent="0.3"/>
    <row r="27450" ht="14.4" x14ac:dyDescent="0.3"/>
    <row r="27451" ht="14.4" x14ac:dyDescent="0.3"/>
    <row r="27452" ht="14.4" x14ac:dyDescent="0.3"/>
    <row r="27453" ht="14.4" x14ac:dyDescent="0.3"/>
    <row r="27454" ht="14.4" x14ac:dyDescent="0.3"/>
    <row r="27455" ht="14.4" x14ac:dyDescent="0.3"/>
    <row r="27456" ht="14.4" x14ac:dyDescent="0.3"/>
    <row r="27457" ht="14.4" x14ac:dyDescent="0.3"/>
    <row r="27458" ht="14.4" x14ac:dyDescent="0.3"/>
    <row r="27459" ht="14.4" x14ac:dyDescent="0.3"/>
    <row r="27460" ht="14.4" x14ac:dyDescent="0.3"/>
    <row r="27461" ht="14.4" x14ac:dyDescent="0.3"/>
    <row r="27462" ht="14.4" x14ac:dyDescent="0.3"/>
    <row r="27463" ht="14.4" x14ac:dyDescent="0.3"/>
    <row r="27464" ht="14.4" x14ac:dyDescent="0.3"/>
    <row r="27465" ht="14.4" x14ac:dyDescent="0.3"/>
    <row r="27466" ht="14.4" x14ac:dyDescent="0.3"/>
    <row r="27467" ht="14.4" x14ac:dyDescent="0.3"/>
    <row r="27468" ht="14.4" x14ac:dyDescent="0.3"/>
    <row r="27469" ht="14.4" x14ac:dyDescent="0.3"/>
    <row r="27470" ht="14.4" x14ac:dyDescent="0.3"/>
    <row r="27471" ht="14.4" x14ac:dyDescent="0.3"/>
    <row r="27472" ht="14.4" x14ac:dyDescent="0.3"/>
    <row r="27473" ht="14.4" x14ac:dyDescent="0.3"/>
    <row r="27474" ht="14.4" x14ac:dyDescent="0.3"/>
    <row r="27475" ht="14.4" x14ac:dyDescent="0.3"/>
    <row r="27476" ht="14.4" x14ac:dyDescent="0.3"/>
    <row r="27477" ht="14.4" x14ac:dyDescent="0.3"/>
    <row r="27478" ht="14.4" x14ac:dyDescent="0.3"/>
    <row r="27479" ht="14.4" x14ac:dyDescent="0.3"/>
    <row r="27480" ht="14.4" x14ac:dyDescent="0.3"/>
    <row r="27481" ht="14.4" x14ac:dyDescent="0.3"/>
    <row r="27482" ht="14.4" x14ac:dyDescent="0.3"/>
    <row r="27483" ht="14.4" x14ac:dyDescent="0.3"/>
    <row r="27484" ht="14.4" x14ac:dyDescent="0.3"/>
    <row r="27485" ht="14.4" x14ac:dyDescent="0.3"/>
    <row r="27486" ht="14.4" x14ac:dyDescent="0.3"/>
    <row r="27487" ht="14.4" x14ac:dyDescent="0.3"/>
    <row r="27488" ht="14.4" x14ac:dyDescent="0.3"/>
    <row r="27489" ht="14.4" x14ac:dyDescent="0.3"/>
    <row r="27490" ht="14.4" x14ac:dyDescent="0.3"/>
    <row r="27491" ht="14.4" x14ac:dyDescent="0.3"/>
    <row r="27492" ht="14.4" x14ac:dyDescent="0.3"/>
    <row r="27493" ht="14.4" x14ac:dyDescent="0.3"/>
    <row r="27494" ht="14.4" x14ac:dyDescent="0.3"/>
    <row r="27495" ht="14.4" x14ac:dyDescent="0.3"/>
    <row r="27496" ht="14.4" x14ac:dyDescent="0.3"/>
    <row r="27497" ht="14.4" x14ac:dyDescent="0.3"/>
    <row r="27498" ht="14.4" x14ac:dyDescent="0.3"/>
    <row r="27499" ht="14.4" x14ac:dyDescent="0.3"/>
    <row r="27500" ht="14.4" x14ac:dyDescent="0.3"/>
    <row r="27501" ht="14.4" x14ac:dyDescent="0.3"/>
    <row r="27502" ht="14.4" x14ac:dyDescent="0.3"/>
    <row r="27503" ht="14.4" x14ac:dyDescent="0.3"/>
    <row r="27504" ht="14.4" x14ac:dyDescent="0.3"/>
    <row r="27505" ht="14.4" x14ac:dyDescent="0.3"/>
    <row r="27506" ht="14.4" x14ac:dyDescent="0.3"/>
    <row r="27507" ht="14.4" x14ac:dyDescent="0.3"/>
    <row r="27508" ht="14.4" x14ac:dyDescent="0.3"/>
    <row r="27509" ht="14.4" x14ac:dyDescent="0.3"/>
    <row r="27510" ht="14.4" x14ac:dyDescent="0.3"/>
    <row r="27511" ht="14.4" x14ac:dyDescent="0.3"/>
    <row r="27512" ht="14.4" x14ac:dyDescent="0.3"/>
    <row r="27513" ht="14.4" x14ac:dyDescent="0.3"/>
    <row r="27514" ht="14.4" x14ac:dyDescent="0.3"/>
    <row r="27515" ht="14.4" x14ac:dyDescent="0.3"/>
    <row r="27516" ht="14.4" x14ac:dyDescent="0.3"/>
    <row r="27517" ht="14.4" x14ac:dyDescent="0.3"/>
    <row r="27518" ht="14.4" x14ac:dyDescent="0.3"/>
    <row r="27519" ht="14.4" x14ac:dyDescent="0.3"/>
    <row r="27520" ht="14.4" x14ac:dyDescent="0.3"/>
    <row r="27521" ht="14.4" x14ac:dyDescent="0.3"/>
    <row r="27522" ht="14.4" x14ac:dyDescent="0.3"/>
    <row r="27523" ht="14.4" x14ac:dyDescent="0.3"/>
    <row r="27524" ht="14.4" x14ac:dyDescent="0.3"/>
    <row r="27525" ht="14.4" x14ac:dyDescent="0.3"/>
    <row r="27526" ht="14.4" x14ac:dyDescent="0.3"/>
    <row r="27527" ht="14.4" x14ac:dyDescent="0.3"/>
    <row r="27528" ht="14.4" x14ac:dyDescent="0.3"/>
    <row r="27529" ht="14.4" x14ac:dyDescent="0.3"/>
    <row r="27530" ht="14.4" x14ac:dyDescent="0.3"/>
    <row r="27531" ht="14.4" x14ac:dyDescent="0.3"/>
    <row r="27532" ht="14.4" x14ac:dyDescent="0.3"/>
    <row r="27533" ht="14.4" x14ac:dyDescent="0.3"/>
    <row r="27534" ht="14.4" x14ac:dyDescent="0.3"/>
    <row r="27535" ht="14.4" x14ac:dyDescent="0.3"/>
    <row r="27536" ht="14.4" x14ac:dyDescent="0.3"/>
    <row r="27537" ht="14.4" x14ac:dyDescent="0.3"/>
    <row r="27538" ht="14.4" x14ac:dyDescent="0.3"/>
    <row r="27539" ht="14.4" x14ac:dyDescent="0.3"/>
    <row r="27540" ht="14.4" x14ac:dyDescent="0.3"/>
    <row r="27541" ht="14.4" x14ac:dyDescent="0.3"/>
    <row r="27542" ht="14.4" x14ac:dyDescent="0.3"/>
    <row r="27543" ht="14.4" x14ac:dyDescent="0.3"/>
    <row r="27544" ht="14.4" x14ac:dyDescent="0.3"/>
    <row r="27545" ht="14.4" x14ac:dyDescent="0.3"/>
    <row r="27546" ht="14.4" x14ac:dyDescent="0.3"/>
    <row r="27547" ht="14.4" x14ac:dyDescent="0.3"/>
    <row r="27548" ht="14.4" x14ac:dyDescent="0.3"/>
    <row r="27549" ht="14.4" x14ac:dyDescent="0.3"/>
    <row r="27550" ht="14.4" x14ac:dyDescent="0.3"/>
    <row r="27551" ht="14.4" x14ac:dyDescent="0.3"/>
    <row r="27552" ht="14.4" x14ac:dyDescent="0.3"/>
    <row r="27553" ht="14.4" x14ac:dyDescent="0.3"/>
    <row r="27554" ht="14.4" x14ac:dyDescent="0.3"/>
    <row r="27555" ht="14.4" x14ac:dyDescent="0.3"/>
    <row r="27556" ht="14.4" x14ac:dyDescent="0.3"/>
    <row r="27557" ht="14.4" x14ac:dyDescent="0.3"/>
    <row r="27558" ht="14.4" x14ac:dyDescent="0.3"/>
    <row r="27559" ht="14.4" x14ac:dyDescent="0.3"/>
    <row r="27560" ht="14.4" x14ac:dyDescent="0.3"/>
    <row r="27561" ht="14.4" x14ac:dyDescent="0.3"/>
    <row r="27562" ht="14.4" x14ac:dyDescent="0.3"/>
    <row r="27563" ht="14.4" x14ac:dyDescent="0.3"/>
    <row r="27564" ht="14.4" x14ac:dyDescent="0.3"/>
    <row r="27565" ht="14.4" x14ac:dyDescent="0.3"/>
    <row r="27566" ht="14.4" x14ac:dyDescent="0.3"/>
    <row r="27567" ht="14.4" x14ac:dyDescent="0.3"/>
    <row r="27568" ht="14.4" x14ac:dyDescent="0.3"/>
    <row r="27569" spans="1:43" ht="14.4" x14ac:dyDescent="0.3"/>
    <row r="27570" spans="1:43" ht="14.4" x14ac:dyDescent="0.3"/>
    <row r="27571" spans="1:43" ht="14.4" x14ac:dyDescent="0.3"/>
    <row r="27572" spans="1:43" ht="14.4" x14ac:dyDescent="0.3"/>
    <row r="27573" spans="1:43" ht="14.4" x14ac:dyDescent="0.3"/>
    <row r="27574" spans="1:43" ht="14.4" x14ac:dyDescent="0.3"/>
    <row r="27575" spans="1:43" ht="14.4" x14ac:dyDescent="0.3"/>
    <row r="27576" spans="1:43" ht="14.4" x14ac:dyDescent="0.3"/>
    <row r="27577" spans="1:43" ht="14.4" hidden="1" x14ac:dyDescent="0.3">
      <c r="A27577" t="s">
        <v>4570</v>
      </c>
      <c r="B27577">
        <v>4910336</v>
      </c>
      <c r="C27577" t="s">
        <v>135</v>
      </c>
      <c r="D27577" t="s">
        <v>136</v>
      </c>
      <c r="E27577" t="s">
        <v>2880</v>
      </c>
      <c r="F27577" t="s">
        <v>411</v>
      </c>
      <c r="H27577" t="s">
        <v>1546</v>
      </c>
      <c r="I27577" t="s">
        <v>2881</v>
      </c>
      <c r="J27577" t="s">
        <v>140</v>
      </c>
      <c r="K27577">
        <v>156158.84</v>
      </c>
      <c r="L27577">
        <v>383942.11</v>
      </c>
      <c r="M27577">
        <v>1</v>
      </c>
      <c r="N27577" t="s">
        <v>2882</v>
      </c>
      <c r="O27577" t="s">
        <v>448</v>
      </c>
      <c r="P27577" t="s">
        <v>2883</v>
      </c>
      <c r="Q27577" t="s">
        <v>144</v>
      </c>
      <c r="S27577">
        <v>5</v>
      </c>
      <c r="T27577">
        <v>220</v>
      </c>
      <c r="V27577" t="s">
        <v>146</v>
      </c>
      <c r="W27577" t="s">
        <v>184</v>
      </c>
      <c r="X27577" t="s">
        <v>7</v>
      </c>
      <c r="Y27577" t="s">
        <v>2884</v>
      </c>
      <c r="Z27577" t="s">
        <v>448</v>
      </c>
      <c r="AA27577" t="s">
        <v>456</v>
      </c>
      <c r="AB27577">
        <v>100</v>
      </c>
      <c r="AE27577" t="s">
        <v>2885</v>
      </c>
      <c r="AF27577" t="s">
        <v>448</v>
      </c>
      <c r="AG27577" t="s">
        <v>665</v>
      </c>
      <c r="AL27577" t="s">
        <v>4571</v>
      </c>
      <c r="AM27577" t="s">
        <v>4572</v>
      </c>
      <c r="AN27577" t="s">
        <v>4573</v>
      </c>
      <c r="AO27577" t="s">
        <v>2882</v>
      </c>
      <c r="AQ27577">
        <f>IF(ISBLANK(AP27577), IFERROR(IF(VLOOKUP(AO27577, Ellens_additions!$A$2:$B$252, 2, FALSE) = "", "", VLOOKUP(AO27577, Ellens_additions!$A$2:$B$252, 2, FALSE)), 0), AP27577)</f>
        <v>0</v>
      </c>
    </row>
    <row r="27578" spans="1:43" ht="14.4" hidden="1" x14ac:dyDescent="0.3">
      <c r="A27578" t="s">
        <v>4574</v>
      </c>
      <c r="B27578">
        <v>4910337</v>
      </c>
      <c r="C27578" t="s">
        <v>135</v>
      </c>
      <c r="D27578" t="s">
        <v>136</v>
      </c>
      <c r="E27578" t="s">
        <v>2880</v>
      </c>
      <c r="F27578" t="s">
        <v>411</v>
      </c>
      <c r="H27578" t="s">
        <v>1547</v>
      </c>
      <c r="I27578" t="s">
        <v>2881</v>
      </c>
      <c r="J27578" t="s">
        <v>140</v>
      </c>
      <c r="K27578">
        <v>156159.28</v>
      </c>
      <c r="L27578">
        <v>383944.94</v>
      </c>
      <c r="M27578">
        <v>1</v>
      </c>
      <c r="N27578" t="s">
        <v>2882</v>
      </c>
      <c r="O27578" t="s">
        <v>448</v>
      </c>
      <c r="P27578" t="s">
        <v>2883</v>
      </c>
      <c r="Q27578" t="s">
        <v>144</v>
      </c>
      <c r="S27578">
        <v>5</v>
      </c>
      <c r="T27578">
        <v>220</v>
      </c>
      <c r="V27578" t="s">
        <v>146</v>
      </c>
      <c r="W27578" t="s">
        <v>184</v>
      </c>
      <c r="X27578" t="s">
        <v>7</v>
      </c>
      <c r="Y27578" t="s">
        <v>2884</v>
      </c>
      <c r="Z27578" t="s">
        <v>448</v>
      </c>
      <c r="AA27578" t="s">
        <v>456</v>
      </c>
      <c r="AB27578">
        <v>100</v>
      </c>
      <c r="AE27578" t="s">
        <v>2885</v>
      </c>
      <c r="AF27578" t="s">
        <v>448</v>
      </c>
      <c r="AG27578" t="s">
        <v>665</v>
      </c>
      <c r="AL27578" t="s">
        <v>4575</v>
      </c>
      <c r="AM27578" t="s">
        <v>4576</v>
      </c>
      <c r="AN27578" t="s">
        <v>4577</v>
      </c>
      <c r="AO27578" t="s">
        <v>2882</v>
      </c>
      <c r="AQ27578">
        <f>IF(ISBLANK(AP27578), IFERROR(IF(VLOOKUP(AO27578, Ellens_additions!$A$2:$B$252, 2, FALSE) = "", "", VLOOKUP(AO27578, Ellens_additions!$A$2:$B$252, 2, FALSE)), 0), AP27578)</f>
        <v>0</v>
      </c>
    </row>
    <row r="27579" spans="1:43" ht="14.4" hidden="1" x14ac:dyDescent="0.3">
      <c r="A27579" t="s">
        <v>4578</v>
      </c>
      <c r="B27579">
        <v>4910339</v>
      </c>
      <c r="C27579" t="s">
        <v>135</v>
      </c>
      <c r="D27579" t="s">
        <v>136</v>
      </c>
      <c r="E27579" t="s">
        <v>2880</v>
      </c>
      <c r="F27579" t="s">
        <v>411</v>
      </c>
      <c r="H27579" t="s">
        <v>1248</v>
      </c>
      <c r="I27579" t="s">
        <v>2881</v>
      </c>
      <c r="J27579" t="s">
        <v>140</v>
      </c>
      <c r="K27579">
        <v>156160.1</v>
      </c>
      <c r="L27579">
        <v>383951.18</v>
      </c>
      <c r="M27579">
        <v>1</v>
      </c>
      <c r="N27579" t="s">
        <v>2882</v>
      </c>
      <c r="O27579" t="s">
        <v>448</v>
      </c>
      <c r="P27579" t="s">
        <v>2883</v>
      </c>
      <c r="Q27579" t="s">
        <v>144</v>
      </c>
      <c r="S27579">
        <v>5</v>
      </c>
      <c r="T27579">
        <v>220</v>
      </c>
      <c r="V27579" t="s">
        <v>146</v>
      </c>
      <c r="W27579" t="s">
        <v>184</v>
      </c>
      <c r="X27579" t="s">
        <v>7</v>
      </c>
      <c r="Y27579" t="s">
        <v>2884</v>
      </c>
      <c r="Z27579" t="s">
        <v>448</v>
      </c>
      <c r="AA27579" t="s">
        <v>456</v>
      </c>
      <c r="AB27579">
        <v>100</v>
      </c>
      <c r="AE27579" t="s">
        <v>2885</v>
      </c>
      <c r="AF27579" t="s">
        <v>448</v>
      </c>
      <c r="AG27579" t="s">
        <v>665</v>
      </c>
      <c r="AL27579" t="s">
        <v>4579</v>
      </c>
      <c r="AM27579" t="s">
        <v>4580</v>
      </c>
      <c r="AN27579" t="s">
        <v>4581</v>
      </c>
      <c r="AO27579" t="s">
        <v>2882</v>
      </c>
      <c r="AQ27579">
        <f>IF(ISBLANK(AP27579), IFERROR(IF(VLOOKUP(AO27579, Ellens_additions!$A$2:$B$252, 2, FALSE) = "", "", VLOOKUP(AO27579, Ellens_additions!$A$2:$B$252, 2, FALSE)), 0), AP27579)</f>
        <v>0</v>
      </c>
    </row>
    <row r="27580" spans="1:43" ht="14.4" hidden="1" x14ac:dyDescent="0.3">
      <c r="A27580" t="s">
        <v>4582</v>
      </c>
      <c r="B27580">
        <v>4910344</v>
      </c>
      <c r="C27580" t="s">
        <v>135</v>
      </c>
      <c r="D27580" t="s">
        <v>136</v>
      </c>
      <c r="E27580" t="s">
        <v>2880</v>
      </c>
      <c r="F27580" t="s">
        <v>411</v>
      </c>
      <c r="H27580" t="s">
        <v>1250</v>
      </c>
      <c r="I27580" t="s">
        <v>2881</v>
      </c>
      <c r="J27580" t="s">
        <v>140</v>
      </c>
      <c r="K27580">
        <v>156163.67000000001</v>
      </c>
      <c r="L27580">
        <v>383940.93</v>
      </c>
      <c r="M27580">
        <v>1</v>
      </c>
      <c r="N27580" t="s">
        <v>2882</v>
      </c>
      <c r="O27580" t="s">
        <v>448</v>
      </c>
      <c r="P27580" t="s">
        <v>2883</v>
      </c>
      <c r="Q27580" t="s">
        <v>144</v>
      </c>
      <c r="S27580">
        <v>5</v>
      </c>
      <c r="T27580">
        <v>220</v>
      </c>
      <c r="V27580" t="s">
        <v>146</v>
      </c>
      <c r="W27580" t="s">
        <v>184</v>
      </c>
      <c r="X27580" t="s">
        <v>7</v>
      </c>
      <c r="Y27580" t="s">
        <v>2884</v>
      </c>
      <c r="Z27580" t="s">
        <v>448</v>
      </c>
      <c r="AA27580" t="s">
        <v>456</v>
      </c>
      <c r="AB27580">
        <v>100</v>
      </c>
      <c r="AE27580" t="s">
        <v>2885</v>
      </c>
      <c r="AF27580" t="s">
        <v>448</v>
      </c>
      <c r="AG27580" t="s">
        <v>665</v>
      </c>
      <c r="AL27580" t="s">
        <v>4583</v>
      </c>
      <c r="AM27580" t="s">
        <v>4584</v>
      </c>
      <c r="AN27580" t="s">
        <v>4585</v>
      </c>
      <c r="AO27580" t="s">
        <v>2882</v>
      </c>
      <c r="AQ27580">
        <f>IF(ISBLANK(AP27580), IFERROR(IF(VLOOKUP(AO27580, Ellens_additions!$A$2:$B$252, 2, FALSE) = "", "", VLOOKUP(AO27580, Ellens_additions!$A$2:$B$252, 2, FALSE)), 0), AP27580)</f>
        <v>0</v>
      </c>
    </row>
    <row r="27581" spans="1:43" ht="14.4" hidden="1" x14ac:dyDescent="0.3">
      <c r="A27581" t="s">
        <v>4586</v>
      </c>
      <c r="B27581">
        <v>4910354</v>
      </c>
      <c r="C27581" t="s">
        <v>135</v>
      </c>
      <c r="D27581" t="s">
        <v>136</v>
      </c>
      <c r="E27581" t="s">
        <v>2880</v>
      </c>
      <c r="F27581" t="s">
        <v>411</v>
      </c>
      <c r="H27581" t="s">
        <v>1865</v>
      </c>
      <c r="I27581" t="s">
        <v>2929</v>
      </c>
      <c r="J27581" t="s">
        <v>140</v>
      </c>
      <c r="K27581">
        <v>155756.65</v>
      </c>
      <c r="L27581">
        <v>383679.17</v>
      </c>
      <c r="M27581">
        <v>1</v>
      </c>
      <c r="N27581" t="s">
        <v>2882</v>
      </c>
      <c r="O27581" t="s">
        <v>448</v>
      </c>
      <c r="P27581" t="s">
        <v>2883</v>
      </c>
      <c r="Q27581" t="s">
        <v>144</v>
      </c>
      <c r="S27581">
        <v>5</v>
      </c>
      <c r="T27581">
        <v>220</v>
      </c>
      <c r="V27581" t="s">
        <v>146</v>
      </c>
      <c r="W27581" t="s">
        <v>184</v>
      </c>
      <c r="X27581" t="s">
        <v>7</v>
      </c>
      <c r="Y27581" t="s">
        <v>2884</v>
      </c>
      <c r="Z27581" t="s">
        <v>448</v>
      </c>
      <c r="AA27581" t="s">
        <v>456</v>
      </c>
      <c r="AB27581">
        <v>100</v>
      </c>
      <c r="AE27581" t="s">
        <v>2885</v>
      </c>
      <c r="AF27581" t="s">
        <v>448</v>
      </c>
      <c r="AG27581" t="s">
        <v>665</v>
      </c>
      <c r="AL27581" t="s">
        <v>4587</v>
      </c>
      <c r="AM27581" t="s">
        <v>4588</v>
      </c>
      <c r="AN27581" t="s">
        <v>4589</v>
      </c>
      <c r="AO27581" t="s">
        <v>2882</v>
      </c>
      <c r="AQ27581">
        <f>IF(ISBLANK(AP27581), IFERROR(IF(VLOOKUP(AO27581, Ellens_additions!$A$2:$B$252, 2, FALSE) = "", "", VLOOKUP(AO27581, Ellens_additions!$A$2:$B$252, 2, FALSE)), 0), AP27581)</f>
        <v>0</v>
      </c>
    </row>
    <row r="27582" spans="1:43" ht="14.4" hidden="1" x14ac:dyDescent="0.3">
      <c r="A27582" t="s">
        <v>4590</v>
      </c>
      <c r="B27582">
        <v>4910356</v>
      </c>
      <c r="C27582" t="s">
        <v>135</v>
      </c>
      <c r="D27582" t="s">
        <v>136</v>
      </c>
      <c r="E27582" t="s">
        <v>2880</v>
      </c>
      <c r="F27582" t="s">
        <v>411</v>
      </c>
      <c r="H27582" t="s">
        <v>1864</v>
      </c>
      <c r="I27582" t="s">
        <v>2929</v>
      </c>
      <c r="J27582" t="s">
        <v>140</v>
      </c>
      <c r="K27582">
        <v>155757.26999999999</v>
      </c>
      <c r="L27582">
        <v>383682.41</v>
      </c>
      <c r="M27582">
        <v>1</v>
      </c>
      <c r="N27582" t="s">
        <v>2882</v>
      </c>
      <c r="O27582" t="s">
        <v>448</v>
      </c>
      <c r="P27582" t="s">
        <v>2883</v>
      </c>
      <c r="Q27582" t="s">
        <v>144</v>
      </c>
      <c r="S27582">
        <v>5</v>
      </c>
      <c r="T27582">
        <v>220</v>
      </c>
      <c r="V27582" t="s">
        <v>146</v>
      </c>
      <c r="W27582" t="s">
        <v>184</v>
      </c>
      <c r="X27582" t="s">
        <v>7</v>
      </c>
      <c r="Y27582" t="s">
        <v>2884</v>
      </c>
      <c r="Z27582" t="s">
        <v>448</v>
      </c>
      <c r="AA27582" t="s">
        <v>456</v>
      </c>
      <c r="AB27582">
        <v>100</v>
      </c>
      <c r="AE27582" t="s">
        <v>2885</v>
      </c>
      <c r="AF27582" t="s">
        <v>448</v>
      </c>
      <c r="AG27582" t="s">
        <v>665</v>
      </c>
      <c r="AL27582" t="s">
        <v>4591</v>
      </c>
      <c r="AM27582" t="s">
        <v>4592</v>
      </c>
      <c r="AN27582" t="s">
        <v>4593</v>
      </c>
      <c r="AO27582" t="s">
        <v>2882</v>
      </c>
      <c r="AQ27582">
        <f>IF(ISBLANK(AP27582), IFERROR(IF(VLOOKUP(AO27582, Ellens_additions!$A$2:$B$252, 2, FALSE) = "", "", VLOOKUP(AO27582, Ellens_additions!$A$2:$B$252, 2, FALSE)), 0), AP27582)</f>
        <v>0</v>
      </c>
    </row>
    <row r="27583" spans="1:43" ht="14.4" hidden="1" x14ac:dyDescent="0.3">
      <c r="A27583" t="s">
        <v>4594</v>
      </c>
      <c r="B27583">
        <v>4910357</v>
      </c>
      <c r="C27583" t="s">
        <v>135</v>
      </c>
      <c r="D27583" t="s">
        <v>136</v>
      </c>
      <c r="E27583" t="s">
        <v>2880</v>
      </c>
      <c r="F27583" t="s">
        <v>411</v>
      </c>
      <c r="H27583" t="s">
        <v>1794</v>
      </c>
      <c r="I27583" t="s">
        <v>2929</v>
      </c>
      <c r="J27583" t="s">
        <v>140</v>
      </c>
      <c r="K27583">
        <v>155753.39000000001</v>
      </c>
      <c r="L27583">
        <v>383680.23</v>
      </c>
      <c r="M27583">
        <v>1</v>
      </c>
      <c r="N27583" t="s">
        <v>2882</v>
      </c>
      <c r="O27583" t="s">
        <v>448</v>
      </c>
      <c r="P27583" t="s">
        <v>2883</v>
      </c>
      <c r="Q27583" t="s">
        <v>144</v>
      </c>
      <c r="S27583">
        <v>5</v>
      </c>
      <c r="T27583">
        <v>220</v>
      </c>
      <c r="V27583" t="s">
        <v>146</v>
      </c>
      <c r="W27583" t="s">
        <v>184</v>
      </c>
      <c r="X27583" t="s">
        <v>7</v>
      </c>
      <c r="Y27583" t="s">
        <v>2884</v>
      </c>
      <c r="Z27583" t="s">
        <v>448</v>
      </c>
      <c r="AA27583" t="s">
        <v>456</v>
      </c>
      <c r="AB27583">
        <v>100</v>
      </c>
      <c r="AE27583" t="s">
        <v>2885</v>
      </c>
      <c r="AF27583" t="s">
        <v>448</v>
      </c>
      <c r="AG27583" t="s">
        <v>665</v>
      </c>
      <c r="AL27583" t="s">
        <v>4595</v>
      </c>
      <c r="AM27583" t="s">
        <v>4596</v>
      </c>
      <c r="AN27583" t="s">
        <v>4597</v>
      </c>
      <c r="AO27583" t="s">
        <v>2882</v>
      </c>
      <c r="AQ27583">
        <f>IF(ISBLANK(AP27583), IFERROR(IF(VLOOKUP(AO27583, Ellens_additions!$A$2:$B$252, 2, FALSE) = "", "", VLOOKUP(AO27583, Ellens_additions!$A$2:$B$252, 2, FALSE)), 0), AP27583)</f>
        <v>0</v>
      </c>
    </row>
    <row r="27584" spans="1:43" ht="14.4" hidden="1" x14ac:dyDescent="0.3">
      <c r="A27584" t="s">
        <v>4598</v>
      </c>
      <c r="B27584">
        <v>4910365</v>
      </c>
      <c r="C27584" t="s">
        <v>135</v>
      </c>
      <c r="D27584" t="s">
        <v>136</v>
      </c>
      <c r="E27584" t="s">
        <v>2880</v>
      </c>
      <c r="F27584" t="s">
        <v>411</v>
      </c>
      <c r="H27584" t="s">
        <v>2043</v>
      </c>
      <c r="I27584" t="s">
        <v>2938</v>
      </c>
      <c r="J27584" t="s">
        <v>140</v>
      </c>
      <c r="K27584">
        <v>156298.87</v>
      </c>
      <c r="L27584">
        <v>383412.88</v>
      </c>
      <c r="M27584">
        <v>1</v>
      </c>
      <c r="N27584" t="s">
        <v>2882</v>
      </c>
      <c r="O27584" t="s">
        <v>448</v>
      </c>
      <c r="P27584" t="s">
        <v>2883</v>
      </c>
      <c r="Q27584" t="s">
        <v>144</v>
      </c>
      <c r="S27584">
        <v>5</v>
      </c>
      <c r="T27584">
        <v>220</v>
      </c>
      <c r="V27584" t="s">
        <v>146</v>
      </c>
      <c r="W27584" t="s">
        <v>184</v>
      </c>
      <c r="X27584" t="s">
        <v>7</v>
      </c>
      <c r="Y27584" t="s">
        <v>2884</v>
      </c>
      <c r="Z27584" t="s">
        <v>448</v>
      </c>
      <c r="AA27584" t="s">
        <v>456</v>
      </c>
      <c r="AB27584">
        <v>100</v>
      </c>
      <c r="AE27584" t="s">
        <v>2885</v>
      </c>
      <c r="AF27584" t="s">
        <v>448</v>
      </c>
      <c r="AG27584" t="s">
        <v>665</v>
      </c>
      <c r="AL27584" t="s">
        <v>4599</v>
      </c>
      <c r="AM27584" t="s">
        <v>4600</v>
      </c>
      <c r="AN27584" t="s">
        <v>4601</v>
      </c>
      <c r="AO27584" t="s">
        <v>2882</v>
      </c>
      <c r="AQ27584">
        <f>IF(ISBLANK(AP27584), IFERROR(IF(VLOOKUP(AO27584, Ellens_additions!$A$2:$B$252, 2, FALSE) = "", "", VLOOKUP(AO27584, Ellens_additions!$A$2:$B$252, 2, FALSE)), 0), AP27584)</f>
        <v>0</v>
      </c>
    </row>
    <row r="27585" spans="1:43" ht="14.4" hidden="1" x14ac:dyDescent="0.3">
      <c r="A27585" t="s">
        <v>4602</v>
      </c>
      <c r="B27585">
        <v>4910368</v>
      </c>
      <c r="C27585" t="s">
        <v>135</v>
      </c>
      <c r="D27585" t="s">
        <v>136</v>
      </c>
      <c r="E27585" t="s">
        <v>2880</v>
      </c>
      <c r="F27585" t="s">
        <v>411</v>
      </c>
      <c r="H27585" t="s">
        <v>401</v>
      </c>
      <c r="I27585" t="s">
        <v>2938</v>
      </c>
      <c r="J27585" t="s">
        <v>140</v>
      </c>
      <c r="K27585">
        <v>156296.82999999999</v>
      </c>
      <c r="L27585">
        <v>383412.5</v>
      </c>
      <c r="M27585">
        <v>1</v>
      </c>
      <c r="N27585" t="s">
        <v>2882</v>
      </c>
      <c r="O27585" t="s">
        <v>448</v>
      </c>
      <c r="P27585" t="s">
        <v>2883</v>
      </c>
      <c r="Q27585" t="s">
        <v>144</v>
      </c>
      <c r="S27585">
        <v>5</v>
      </c>
      <c r="T27585">
        <v>220</v>
      </c>
      <c r="V27585" t="s">
        <v>146</v>
      </c>
      <c r="W27585" t="s">
        <v>184</v>
      </c>
      <c r="X27585" t="s">
        <v>7</v>
      </c>
      <c r="Y27585" t="s">
        <v>2884</v>
      </c>
      <c r="Z27585" t="s">
        <v>448</v>
      </c>
      <c r="AA27585" t="s">
        <v>456</v>
      </c>
      <c r="AB27585">
        <v>100</v>
      </c>
      <c r="AE27585" t="s">
        <v>2885</v>
      </c>
      <c r="AF27585" t="s">
        <v>448</v>
      </c>
      <c r="AG27585" t="s">
        <v>665</v>
      </c>
      <c r="AL27585" t="s">
        <v>4603</v>
      </c>
      <c r="AM27585" t="s">
        <v>4604</v>
      </c>
      <c r="AN27585" t="s">
        <v>4605</v>
      </c>
      <c r="AO27585" t="s">
        <v>2882</v>
      </c>
      <c r="AQ27585">
        <f>IF(ISBLANK(AP27585), IFERROR(IF(VLOOKUP(AO27585, Ellens_additions!$A$2:$B$252, 2, FALSE) = "", "", VLOOKUP(AO27585, Ellens_additions!$A$2:$B$252, 2, FALSE)), 0), AP27585)</f>
        <v>0</v>
      </c>
    </row>
    <row r="27586" spans="1:43" ht="14.4" hidden="1" x14ac:dyDescent="0.3">
      <c r="A27586" t="s">
        <v>4606</v>
      </c>
      <c r="B27586">
        <v>4910373</v>
      </c>
      <c r="C27586" t="s">
        <v>135</v>
      </c>
      <c r="D27586" t="s">
        <v>136</v>
      </c>
      <c r="E27586" t="s">
        <v>2880</v>
      </c>
      <c r="F27586" t="s">
        <v>411</v>
      </c>
      <c r="H27586" t="s">
        <v>3396</v>
      </c>
      <c r="I27586" t="s">
        <v>2964</v>
      </c>
      <c r="J27586" t="s">
        <v>140</v>
      </c>
      <c r="K27586">
        <v>156112.37</v>
      </c>
      <c r="L27586">
        <v>383365.43</v>
      </c>
      <c r="M27586">
        <v>1</v>
      </c>
      <c r="N27586" t="s">
        <v>2882</v>
      </c>
      <c r="O27586" t="s">
        <v>448</v>
      </c>
      <c r="P27586" t="s">
        <v>2883</v>
      </c>
      <c r="Q27586" t="s">
        <v>144</v>
      </c>
      <c r="S27586">
        <v>5</v>
      </c>
      <c r="T27586">
        <v>220</v>
      </c>
      <c r="V27586" t="s">
        <v>146</v>
      </c>
      <c r="W27586" t="s">
        <v>184</v>
      </c>
      <c r="X27586" t="s">
        <v>7</v>
      </c>
      <c r="Y27586" t="s">
        <v>2884</v>
      </c>
      <c r="Z27586" t="s">
        <v>448</v>
      </c>
      <c r="AA27586" t="s">
        <v>456</v>
      </c>
      <c r="AB27586">
        <v>100</v>
      </c>
      <c r="AE27586" t="s">
        <v>2885</v>
      </c>
      <c r="AF27586" t="s">
        <v>448</v>
      </c>
      <c r="AG27586" t="s">
        <v>665</v>
      </c>
      <c r="AL27586" t="s">
        <v>4607</v>
      </c>
      <c r="AM27586" t="s">
        <v>4608</v>
      </c>
      <c r="AN27586" t="s">
        <v>4609</v>
      </c>
      <c r="AO27586" t="s">
        <v>2882</v>
      </c>
      <c r="AQ27586">
        <f>IF(ISBLANK(AP27586), IFERROR(IF(VLOOKUP(AO27586, Ellens_additions!$A$2:$B$252, 2, FALSE) = "", "", VLOOKUP(AO27586, Ellens_additions!$A$2:$B$252, 2, FALSE)), 0), AP27586)</f>
        <v>0</v>
      </c>
    </row>
    <row r="27587" spans="1:43" ht="14.4" hidden="1" x14ac:dyDescent="0.3">
      <c r="A27587" t="s">
        <v>4610</v>
      </c>
      <c r="B27587">
        <v>4910374</v>
      </c>
      <c r="C27587" t="s">
        <v>135</v>
      </c>
      <c r="D27587" t="s">
        <v>136</v>
      </c>
      <c r="E27587" t="s">
        <v>2880</v>
      </c>
      <c r="F27587" t="s">
        <v>411</v>
      </c>
      <c r="H27587" t="s">
        <v>1254</v>
      </c>
      <c r="I27587" t="s">
        <v>2964</v>
      </c>
      <c r="J27587" t="s">
        <v>140</v>
      </c>
      <c r="K27587">
        <v>156131.20000000001</v>
      </c>
      <c r="L27587">
        <v>383382.06</v>
      </c>
      <c r="M27587">
        <v>1</v>
      </c>
      <c r="N27587" t="s">
        <v>2882</v>
      </c>
      <c r="O27587" t="s">
        <v>448</v>
      </c>
      <c r="P27587" t="s">
        <v>2883</v>
      </c>
      <c r="Q27587" t="s">
        <v>144</v>
      </c>
      <c r="S27587">
        <v>5</v>
      </c>
      <c r="T27587">
        <v>220</v>
      </c>
      <c r="V27587" t="s">
        <v>146</v>
      </c>
      <c r="W27587" t="s">
        <v>184</v>
      </c>
      <c r="X27587" t="s">
        <v>7</v>
      </c>
      <c r="Y27587" t="s">
        <v>2884</v>
      </c>
      <c r="Z27587" t="s">
        <v>448</v>
      </c>
      <c r="AA27587" t="s">
        <v>456</v>
      </c>
      <c r="AB27587">
        <v>100</v>
      </c>
      <c r="AE27587" t="s">
        <v>2885</v>
      </c>
      <c r="AF27587" t="s">
        <v>448</v>
      </c>
      <c r="AG27587" t="s">
        <v>665</v>
      </c>
      <c r="AL27587" t="s">
        <v>4611</v>
      </c>
      <c r="AM27587" t="s">
        <v>4612</v>
      </c>
      <c r="AN27587" t="s">
        <v>4613</v>
      </c>
      <c r="AO27587" t="s">
        <v>2882</v>
      </c>
      <c r="AQ27587">
        <f>IF(ISBLANK(AP27587), IFERROR(IF(VLOOKUP(AO27587, Ellens_additions!$A$2:$B$252, 2, FALSE) = "", "", VLOOKUP(AO27587, Ellens_additions!$A$2:$B$252, 2, FALSE)), 0), AP27587)</f>
        <v>0</v>
      </c>
    </row>
    <row r="27588" spans="1:43" ht="14.4" hidden="1" x14ac:dyDescent="0.3">
      <c r="A27588" t="s">
        <v>4614</v>
      </c>
      <c r="B27588">
        <v>4910377</v>
      </c>
      <c r="C27588" t="s">
        <v>135</v>
      </c>
      <c r="D27588" t="s">
        <v>136</v>
      </c>
      <c r="E27588" t="s">
        <v>2880</v>
      </c>
      <c r="F27588" t="s">
        <v>411</v>
      </c>
      <c r="H27588" t="s">
        <v>1943</v>
      </c>
      <c r="I27588" t="s">
        <v>2964</v>
      </c>
      <c r="J27588" t="s">
        <v>140</v>
      </c>
      <c r="K27588">
        <v>156118.74</v>
      </c>
      <c r="L27588">
        <v>383371.25</v>
      </c>
      <c r="M27588">
        <v>1</v>
      </c>
      <c r="N27588" t="s">
        <v>2882</v>
      </c>
      <c r="O27588" t="s">
        <v>448</v>
      </c>
      <c r="P27588" t="s">
        <v>2883</v>
      </c>
      <c r="Q27588" t="s">
        <v>144</v>
      </c>
      <c r="S27588">
        <v>5</v>
      </c>
      <c r="T27588">
        <v>220</v>
      </c>
      <c r="V27588" t="s">
        <v>146</v>
      </c>
      <c r="W27588" t="s">
        <v>184</v>
      </c>
      <c r="X27588" t="s">
        <v>7</v>
      </c>
      <c r="Y27588" t="s">
        <v>2884</v>
      </c>
      <c r="Z27588" t="s">
        <v>448</v>
      </c>
      <c r="AA27588" t="s">
        <v>456</v>
      </c>
      <c r="AB27588">
        <v>100</v>
      </c>
      <c r="AE27588" t="s">
        <v>2885</v>
      </c>
      <c r="AF27588" t="s">
        <v>448</v>
      </c>
      <c r="AG27588" t="s">
        <v>665</v>
      </c>
      <c r="AL27588" t="s">
        <v>4615</v>
      </c>
      <c r="AM27588" t="s">
        <v>4616</v>
      </c>
      <c r="AN27588" t="s">
        <v>4617</v>
      </c>
      <c r="AO27588" t="s">
        <v>2882</v>
      </c>
      <c r="AQ27588">
        <f>IF(ISBLANK(AP27588), IFERROR(IF(VLOOKUP(AO27588, Ellens_additions!$A$2:$B$252, 2, FALSE) = "", "", VLOOKUP(AO27588, Ellens_additions!$A$2:$B$252, 2, FALSE)), 0), AP27588)</f>
        <v>0</v>
      </c>
    </row>
    <row r="27589" spans="1:43" ht="14.4" hidden="1" x14ac:dyDescent="0.3">
      <c r="A27589" t="s">
        <v>4618</v>
      </c>
      <c r="B27589">
        <v>4910378</v>
      </c>
      <c r="C27589" t="s">
        <v>135</v>
      </c>
      <c r="D27589" t="s">
        <v>136</v>
      </c>
      <c r="E27589" t="s">
        <v>2880</v>
      </c>
      <c r="F27589" t="s">
        <v>411</v>
      </c>
      <c r="H27589" t="s">
        <v>2974</v>
      </c>
      <c r="I27589" t="s">
        <v>2964</v>
      </c>
      <c r="J27589" t="s">
        <v>140</v>
      </c>
      <c r="K27589">
        <v>156125.07999999999</v>
      </c>
      <c r="L27589">
        <v>383376.6</v>
      </c>
      <c r="M27589">
        <v>1</v>
      </c>
      <c r="N27589" t="s">
        <v>2882</v>
      </c>
      <c r="O27589" t="s">
        <v>448</v>
      </c>
      <c r="P27589" t="s">
        <v>2883</v>
      </c>
      <c r="Q27589" t="s">
        <v>144</v>
      </c>
      <c r="S27589">
        <v>5</v>
      </c>
      <c r="T27589">
        <v>220</v>
      </c>
      <c r="V27589" t="s">
        <v>146</v>
      </c>
      <c r="W27589" t="s">
        <v>184</v>
      </c>
      <c r="X27589" t="s">
        <v>7</v>
      </c>
      <c r="Y27589" t="s">
        <v>2884</v>
      </c>
      <c r="Z27589" t="s">
        <v>448</v>
      </c>
      <c r="AA27589" t="s">
        <v>456</v>
      </c>
      <c r="AB27589">
        <v>100</v>
      </c>
      <c r="AE27589" t="s">
        <v>2885</v>
      </c>
      <c r="AF27589" t="s">
        <v>448</v>
      </c>
      <c r="AG27589" t="s">
        <v>665</v>
      </c>
      <c r="AL27589" t="s">
        <v>4619</v>
      </c>
      <c r="AM27589" t="s">
        <v>4620</v>
      </c>
      <c r="AN27589" t="s">
        <v>4621</v>
      </c>
      <c r="AO27589" t="s">
        <v>2882</v>
      </c>
      <c r="AQ27589">
        <f>IF(ISBLANK(AP27589), IFERROR(IF(VLOOKUP(AO27589, Ellens_additions!$A$2:$B$252, 2, FALSE) = "", "", VLOOKUP(AO27589, Ellens_additions!$A$2:$B$252, 2, FALSE)), 0), AP27589)</f>
        <v>0</v>
      </c>
    </row>
    <row r="27590" spans="1:43" ht="14.4" hidden="1" x14ac:dyDescent="0.3">
      <c r="A27590" t="s">
        <v>4622</v>
      </c>
      <c r="B27590">
        <v>4910380</v>
      </c>
      <c r="C27590" t="s">
        <v>135</v>
      </c>
      <c r="D27590" t="s">
        <v>136</v>
      </c>
      <c r="E27590" t="s">
        <v>2880</v>
      </c>
      <c r="F27590" t="s">
        <v>411</v>
      </c>
      <c r="H27590" t="s">
        <v>3285</v>
      </c>
      <c r="I27590" t="s">
        <v>2964</v>
      </c>
      <c r="J27590" t="s">
        <v>140</v>
      </c>
      <c r="K27590">
        <v>156132.06</v>
      </c>
      <c r="L27590">
        <v>383388.69</v>
      </c>
      <c r="M27590">
        <v>1</v>
      </c>
      <c r="N27590" t="s">
        <v>2882</v>
      </c>
      <c r="O27590" t="s">
        <v>448</v>
      </c>
      <c r="P27590" t="s">
        <v>2883</v>
      </c>
      <c r="Q27590" t="s">
        <v>144</v>
      </c>
      <c r="S27590">
        <v>5</v>
      </c>
      <c r="T27590">
        <v>220</v>
      </c>
      <c r="V27590" t="s">
        <v>146</v>
      </c>
      <c r="W27590" t="s">
        <v>184</v>
      </c>
      <c r="X27590" t="s">
        <v>7</v>
      </c>
      <c r="Y27590" t="s">
        <v>2884</v>
      </c>
      <c r="Z27590" t="s">
        <v>448</v>
      </c>
      <c r="AA27590" t="s">
        <v>456</v>
      </c>
      <c r="AB27590">
        <v>100</v>
      </c>
      <c r="AE27590" t="s">
        <v>2885</v>
      </c>
      <c r="AF27590" t="s">
        <v>448</v>
      </c>
      <c r="AG27590" t="s">
        <v>665</v>
      </c>
      <c r="AL27590" t="s">
        <v>4623</v>
      </c>
      <c r="AM27590" t="s">
        <v>4624</v>
      </c>
      <c r="AN27590" t="s">
        <v>4625</v>
      </c>
      <c r="AO27590" t="s">
        <v>2882</v>
      </c>
      <c r="AQ27590">
        <f>IF(ISBLANK(AP27590), IFERROR(IF(VLOOKUP(AO27590, Ellens_additions!$A$2:$B$252, 2, FALSE) = "", "", VLOOKUP(AO27590, Ellens_additions!$A$2:$B$252, 2, FALSE)), 0), AP27590)</f>
        <v>0</v>
      </c>
    </row>
    <row r="27591" spans="1:43" ht="14.4" x14ac:dyDescent="0.3"/>
    <row r="27592" spans="1:43" ht="14.4" x14ac:dyDescent="0.3"/>
    <row r="27593" spans="1:43" ht="14.4" x14ac:dyDescent="0.3"/>
    <row r="27594" spans="1:43" ht="14.4" x14ac:dyDescent="0.3"/>
    <row r="27595" spans="1:43" ht="14.4" x14ac:dyDescent="0.3"/>
    <row r="27596" spans="1:43" ht="14.4" x14ac:dyDescent="0.3"/>
    <row r="27597" spans="1:43" ht="14.4" x14ac:dyDescent="0.3"/>
    <row r="27598" spans="1:43" ht="14.4" x14ac:dyDescent="0.3"/>
    <row r="27599" spans="1:43" ht="14.4" x14ac:dyDescent="0.3"/>
    <row r="27600" spans="1:43" ht="14.4" x14ac:dyDescent="0.3"/>
    <row r="27601" ht="14.4" x14ac:dyDescent="0.3"/>
    <row r="27602" ht="14.4" x14ac:dyDescent="0.3"/>
    <row r="27603" ht="14.4" x14ac:dyDescent="0.3"/>
    <row r="27604" ht="14.4" x14ac:dyDescent="0.3"/>
    <row r="27605" ht="14.4" x14ac:dyDescent="0.3"/>
    <row r="27606" ht="14.4" x14ac:dyDescent="0.3"/>
    <row r="27607" ht="14.4" x14ac:dyDescent="0.3"/>
    <row r="27608" ht="14.4" x14ac:dyDescent="0.3"/>
    <row r="27609" ht="14.4" x14ac:dyDescent="0.3"/>
    <row r="27610" ht="14.4" x14ac:dyDescent="0.3"/>
    <row r="27611" ht="14.4" x14ac:dyDescent="0.3"/>
    <row r="27612" ht="14.4" x14ac:dyDescent="0.3"/>
    <row r="27613" ht="14.4" x14ac:dyDescent="0.3"/>
    <row r="27614" ht="14.4" x14ac:dyDescent="0.3"/>
    <row r="27615" ht="14.4" x14ac:dyDescent="0.3"/>
    <row r="27616" ht="14.4" x14ac:dyDescent="0.3"/>
    <row r="27617" ht="14.4" x14ac:dyDescent="0.3"/>
    <row r="27618" ht="14.4" x14ac:dyDescent="0.3"/>
    <row r="27619" ht="14.4" x14ac:dyDescent="0.3"/>
    <row r="27620" ht="14.4" x14ac:dyDescent="0.3"/>
    <row r="27621" ht="14.4" x14ac:dyDescent="0.3"/>
    <row r="27622" ht="14.4" x14ac:dyDescent="0.3"/>
    <row r="27623" ht="14.4" x14ac:dyDescent="0.3"/>
    <row r="27624" ht="14.4" x14ac:dyDescent="0.3"/>
    <row r="27625" ht="14.4" x14ac:dyDescent="0.3"/>
    <row r="27626" ht="14.4" x14ac:dyDescent="0.3"/>
    <row r="27627" ht="14.4" x14ac:dyDescent="0.3"/>
    <row r="27628" ht="14.4" x14ac:dyDescent="0.3"/>
    <row r="27629" ht="14.4" x14ac:dyDescent="0.3"/>
    <row r="27630" ht="14.4" x14ac:dyDescent="0.3"/>
    <row r="27631" ht="14.4" x14ac:dyDescent="0.3"/>
    <row r="27632" ht="14.4" x14ac:dyDescent="0.3"/>
    <row r="27633" ht="14.4" x14ac:dyDescent="0.3"/>
    <row r="27634" ht="14.4" x14ac:dyDescent="0.3"/>
    <row r="27635" ht="14.4" x14ac:dyDescent="0.3"/>
    <row r="27636" ht="14.4" x14ac:dyDescent="0.3"/>
    <row r="27637" ht="14.4" x14ac:dyDescent="0.3"/>
    <row r="27638" ht="14.4" x14ac:dyDescent="0.3"/>
    <row r="27639" ht="14.4" x14ac:dyDescent="0.3"/>
    <row r="27640" ht="14.4" x14ac:dyDescent="0.3"/>
    <row r="27641" ht="14.4" x14ac:dyDescent="0.3"/>
    <row r="27642" ht="14.4" x14ac:dyDescent="0.3"/>
    <row r="27643" ht="14.4" x14ac:dyDescent="0.3"/>
    <row r="27644" ht="14.4" x14ac:dyDescent="0.3"/>
    <row r="27645" ht="14.4" x14ac:dyDescent="0.3"/>
    <row r="27646" ht="14.4" x14ac:dyDescent="0.3"/>
    <row r="27647" ht="14.4" x14ac:dyDescent="0.3"/>
    <row r="27648" ht="14.4" x14ac:dyDescent="0.3"/>
    <row r="27649" ht="14.4" x14ac:dyDescent="0.3"/>
    <row r="27650" ht="14.4" x14ac:dyDescent="0.3"/>
    <row r="27651" ht="14.4" x14ac:dyDescent="0.3"/>
    <row r="27652" ht="14.4" x14ac:dyDescent="0.3"/>
    <row r="27653" ht="14.4" x14ac:dyDescent="0.3"/>
    <row r="27654" ht="14.4" x14ac:dyDescent="0.3"/>
    <row r="27655" ht="14.4" x14ac:dyDescent="0.3"/>
    <row r="27656" ht="14.4" x14ac:dyDescent="0.3"/>
    <row r="27657" ht="14.4" x14ac:dyDescent="0.3"/>
    <row r="27658" ht="14.4" x14ac:dyDescent="0.3"/>
    <row r="27659" ht="14.4" x14ac:dyDescent="0.3"/>
    <row r="27660" ht="14.4" x14ac:dyDescent="0.3"/>
    <row r="27661" ht="14.4" x14ac:dyDescent="0.3"/>
    <row r="27662" ht="14.4" x14ac:dyDescent="0.3"/>
    <row r="27663" ht="14.4" x14ac:dyDescent="0.3"/>
    <row r="27664" ht="14.4" x14ac:dyDescent="0.3"/>
    <row r="27665" ht="14.4" x14ac:dyDescent="0.3"/>
    <row r="27666" ht="14.4" x14ac:dyDescent="0.3"/>
    <row r="27667" ht="14.4" x14ac:dyDescent="0.3"/>
    <row r="27668" ht="14.4" x14ac:dyDescent="0.3"/>
    <row r="27669" ht="14.4" x14ac:dyDescent="0.3"/>
    <row r="27670" ht="14.4" x14ac:dyDescent="0.3"/>
    <row r="27671" ht="14.4" x14ac:dyDescent="0.3"/>
    <row r="27672" ht="14.4" x14ac:dyDescent="0.3"/>
    <row r="27673" ht="14.4" x14ac:dyDescent="0.3"/>
    <row r="27674" ht="14.4" x14ac:dyDescent="0.3"/>
    <row r="27675" ht="14.4" x14ac:dyDescent="0.3"/>
    <row r="27676" ht="14.4" x14ac:dyDescent="0.3"/>
    <row r="27677" ht="14.4" x14ac:dyDescent="0.3"/>
    <row r="27678" ht="14.4" x14ac:dyDescent="0.3"/>
    <row r="27679" ht="14.4" x14ac:dyDescent="0.3"/>
    <row r="27680" ht="14.4" x14ac:dyDescent="0.3"/>
    <row r="27681" ht="14.4" x14ac:dyDescent="0.3"/>
    <row r="27682" ht="14.4" x14ac:dyDescent="0.3"/>
    <row r="27683" ht="14.4" x14ac:dyDescent="0.3"/>
    <row r="27684" ht="14.4" x14ac:dyDescent="0.3"/>
    <row r="27685" ht="14.4" x14ac:dyDescent="0.3"/>
    <row r="27686" ht="14.4" x14ac:dyDescent="0.3"/>
    <row r="27687" ht="14.4" x14ac:dyDescent="0.3"/>
    <row r="27688" ht="14.4" x14ac:dyDescent="0.3"/>
    <row r="27689" ht="14.4" x14ac:dyDescent="0.3"/>
    <row r="27690" ht="14.4" x14ac:dyDescent="0.3"/>
    <row r="27691" ht="14.4" x14ac:dyDescent="0.3"/>
    <row r="27692" ht="14.4" x14ac:dyDescent="0.3"/>
    <row r="27693" ht="14.4" x14ac:dyDescent="0.3"/>
    <row r="27694" ht="14.4" x14ac:dyDescent="0.3"/>
    <row r="27695" ht="14.4" x14ac:dyDescent="0.3"/>
    <row r="27696" ht="14.4" x14ac:dyDescent="0.3"/>
    <row r="27697" ht="14.4" x14ac:dyDescent="0.3"/>
    <row r="27698" ht="14.4" x14ac:dyDescent="0.3"/>
    <row r="27699" ht="14.4" x14ac:dyDescent="0.3"/>
    <row r="27700" ht="14.4" x14ac:dyDescent="0.3"/>
    <row r="27701" ht="14.4" x14ac:dyDescent="0.3"/>
    <row r="27702" ht="14.4" x14ac:dyDescent="0.3"/>
    <row r="27703" ht="14.4" x14ac:dyDescent="0.3"/>
    <row r="27704" ht="14.4" x14ac:dyDescent="0.3"/>
    <row r="27705" ht="14.4" x14ac:dyDescent="0.3"/>
    <row r="27706" ht="14.4" x14ac:dyDescent="0.3"/>
    <row r="27707" ht="14.4" x14ac:dyDescent="0.3"/>
    <row r="27708" ht="14.4" x14ac:dyDescent="0.3"/>
    <row r="27709" ht="14.4" x14ac:dyDescent="0.3"/>
    <row r="27710" ht="14.4" x14ac:dyDescent="0.3"/>
    <row r="27711" ht="14.4" x14ac:dyDescent="0.3"/>
    <row r="27712" ht="14.4" x14ac:dyDescent="0.3"/>
    <row r="27713" ht="14.4" x14ac:dyDescent="0.3"/>
    <row r="27714" ht="14.4" x14ac:dyDescent="0.3"/>
    <row r="27715" ht="14.4" x14ac:dyDescent="0.3"/>
    <row r="27716" ht="14.4" x14ac:dyDescent="0.3"/>
    <row r="27717" ht="14.4" x14ac:dyDescent="0.3"/>
    <row r="27718" ht="14.4" x14ac:dyDescent="0.3"/>
    <row r="27719" ht="14.4" x14ac:dyDescent="0.3"/>
    <row r="27720" ht="14.4" x14ac:dyDescent="0.3"/>
    <row r="27721" ht="14.4" x14ac:dyDescent="0.3"/>
    <row r="27722" ht="14.4" x14ac:dyDescent="0.3"/>
    <row r="27723" ht="14.4" x14ac:dyDescent="0.3"/>
    <row r="27724" ht="14.4" x14ac:dyDescent="0.3"/>
    <row r="27725" ht="14.4" x14ac:dyDescent="0.3"/>
    <row r="27726" ht="14.4" x14ac:dyDescent="0.3"/>
    <row r="27727" ht="14.4" x14ac:dyDescent="0.3"/>
    <row r="27728" ht="14.4" x14ac:dyDescent="0.3"/>
    <row r="27729" ht="14.4" x14ac:dyDescent="0.3"/>
    <row r="27730" ht="14.4" x14ac:dyDescent="0.3"/>
    <row r="27731" ht="14.4" x14ac:dyDescent="0.3"/>
    <row r="27732" ht="14.4" x14ac:dyDescent="0.3"/>
    <row r="27733" ht="14.4" x14ac:dyDescent="0.3"/>
    <row r="27734" ht="14.4" x14ac:dyDescent="0.3"/>
    <row r="27735" ht="14.4" x14ac:dyDescent="0.3"/>
    <row r="27736" ht="14.4" x14ac:dyDescent="0.3"/>
    <row r="27737" ht="14.4" x14ac:dyDescent="0.3"/>
    <row r="27738" ht="14.4" x14ac:dyDescent="0.3"/>
    <row r="27739" ht="14.4" x14ac:dyDescent="0.3"/>
    <row r="27740" ht="14.4" x14ac:dyDescent="0.3"/>
    <row r="27741" ht="14.4" x14ac:dyDescent="0.3"/>
    <row r="27742" ht="14.4" x14ac:dyDescent="0.3"/>
    <row r="27743" ht="14.4" x14ac:dyDescent="0.3"/>
    <row r="27744" ht="14.4" x14ac:dyDescent="0.3"/>
    <row r="27745" ht="14.4" x14ac:dyDescent="0.3"/>
    <row r="27746" ht="14.4" x14ac:dyDescent="0.3"/>
    <row r="27747" ht="14.4" x14ac:dyDescent="0.3"/>
    <row r="27748" ht="14.4" x14ac:dyDescent="0.3"/>
    <row r="27749" ht="14.4" x14ac:dyDescent="0.3"/>
    <row r="27750" ht="14.4" x14ac:dyDescent="0.3"/>
    <row r="27751" ht="14.4" x14ac:dyDescent="0.3"/>
    <row r="27752" ht="14.4" x14ac:dyDescent="0.3"/>
    <row r="27753" ht="14.4" x14ac:dyDescent="0.3"/>
    <row r="27754" ht="14.4" x14ac:dyDescent="0.3"/>
    <row r="27755" ht="14.4" x14ac:dyDescent="0.3"/>
    <row r="27756" ht="14.4" x14ac:dyDescent="0.3"/>
    <row r="27757" ht="14.4" x14ac:dyDescent="0.3"/>
    <row r="27758" ht="14.4" x14ac:dyDescent="0.3"/>
    <row r="27759" ht="14.4" x14ac:dyDescent="0.3"/>
    <row r="27760" ht="14.4" x14ac:dyDescent="0.3"/>
    <row r="27761" ht="14.4" x14ac:dyDescent="0.3"/>
    <row r="27762" ht="14.4" x14ac:dyDescent="0.3"/>
    <row r="27763" ht="14.4" x14ac:dyDescent="0.3"/>
    <row r="27764" ht="14.4" x14ac:dyDescent="0.3"/>
    <row r="27765" ht="14.4" x14ac:dyDescent="0.3"/>
    <row r="27766" ht="14.4" x14ac:dyDescent="0.3"/>
    <row r="27767" ht="14.4" x14ac:dyDescent="0.3"/>
    <row r="27768" ht="14.4" x14ac:dyDescent="0.3"/>
    <row r="27769" ht="14.4" x14ac:dyDescent="0.3"/>
    <row r="27770" ht="14.4" x14ac:dyDescent="0.3"/>
    <row r="27771" ht="14.4" x14ac:dyDescent="0.3"/>
    <row r="27772" ht="14.4" x14ac:dyDescent="0.3"/>
    <row r="27773" ht="14.4" x14ac:dyDescent="0.3"/>
    <row r="27774" ht="14.4" x14ac:dyDescent="0.3"/>
    <row r="27775" ht="14.4" x14ac:dyDescent="0.3"/>
    <row r="27776" ht="14.4" x14ac:dyDescent="0.3"/>
    <row r="27777" ht="14.4" x14ac:dyDescent="0.3"/>
    <row r="27778" ht="14.4" x14ac:dyDescent="0.3"/>
    <row r="27779" ht="14.4" x14ac:dyDescent="0.3"/>
    <row r="27780" ht="14.4" x14ac:dyDescent="0.3"/>
    <row r="27781" ht="14.4" x14ac:dyDescent="0.3"/>
    <row r="27782" ht="14.4" x14ac:dyDescent="0.3"/>
    <row r="27783" ht="14.4" x14ac:dyDescent="0.3"/>
    <row r="27784" ht="14.4" x14ac:dyDescent="0.3"/>
    <row r="27785" ht="14.4" x14ac:dyDescent="0.3"/>
    <row r="27786" ht="14.4" x14ac:dyDescent="0.3"/>
    <row r="27787" ht="14.4" x14ac:dyDescent="0.3"/>
    <row r="27788" ht="14.4" x14ac:dyDescent="0.3"/>
    <row r="27789" ht="14.4" x14ac:dyDescent="0.3"/>
    <row r="27790" ht="14.4" x14ac:dyDescent="0.3"/>
    <row r="27791" ht="14.4" x14ac:dyDescent="0.3"/>
    <row r="27792" ht="14.4" x14ac:dyDescent="0.3"/>
    <row r="27793" ht="14.4" x14ac:dyDescent="0.3"/>
    <row r="27794" ht="14.4" x14ac:dyDescent="0.3"/>
    <row r="27795" ht="14.4" x14ac:dyDescent="0.3"/>
    <row r="27796" ht="14.4" x14ac:dyDescent="0.3"/>
    <row r="27797" ht="14.4" x14ac:dyDescent="0.3"/>
    <row r="27798" ht="14.4" x14ac:dyDescent="0.3"/>
    <row r="27799" ht="14.4" x14ac:dyDescent="0.3"/>
    <row r="27800" ht="14.4" x14ac:dyDescent="0.3"/>
    <row r="27801" ht="14.4" x14ac:dyDescent="0.3"/>
    <row r="27802" ht="14.4" x14ac:dyDescent="0.3"/>
    <row r="27803" ht="14.4" x14ac:dyDescent="0.3"/>
    <row r="27804" ht="14.4" x14ac:dyDescent="0.3"/>
    <row r="27805" ht="14.4" x14ac:dyDescent="0.3"/>
    <row r="27806" ht="14.4" x14ac:dyDescent="0.3"/>
    <row r="27807" ht="14.4" x14ac:dyDescent="0.3"/>
    <row r="27808" ht="14.4" x14ac:dyDescent="0.3"/>
    <row r="27809" ht="14.4" x14ac:dyDescent="0.3"/>
    <row r="27810" ht="14.4" x14ac:dyDescent="0.3"/>
    <row r="27811" ht="14.4" x14ac:dyDescent="0.3"/>
    <row r="27812" ht="14.4" x14ac:dyDescent="0.3"/>
    <row r="27813" ht="14.4" x14ac:dyDescent="0.3"/>
    <row r="27814" ht="14.4" x14ac:dyDescent="0.3"/>
    <row r="27815" ht="14.4" x14ac:dyDescent="0.3"/>
    <row r="27816" ht="14.4" x14ac:dyDescent="0.3"/>
    <row r="27817" ht="14.4" x14ac:dyDescent="0.3"/>
    <row r="27818" ht="14.4" x14ac:dyDescent="0.3"/>
    <row r="27819" ht="14.4" x14ac:dyDescent="0.3"/>
    <row r="27820" ht="14.4" x14ac:dyDescent="0.3"/>
    <row r="27821" ht="14.4" x14ac:dyDescent="0.3"/>
    <row r="27822" ht="14.4" x14ac:dyDescent="0.3"/>
    <row r="27823" ht="14.4" x14ac:dyDescent="0.3"/>
    <row r="27824" ht="14.4" x14ac:dyDescent="0.3"/>
    <row r="27825" ht="14.4" x14ac:dyDescent="0.3"/>
    <row r="27826" ht="14.4" x14ac:dyDescent="0.3"/>
    <row r="27827" ht="14.4" x14ac:dyDescent="0.3"/>
    <row r="27828" ht="14.4" x14ac:dyDescent="0.3"/>
    <row r="27829" ht="14.4" x14ac:dyDescent="0.3"/>
    <row r="27830" ht="14.4" x14ac:dyDescent="0.3"/>
    <row r="27831" ht="14.4" x14ac:dyDescent="0.3"/>
    <row r="27832" ht="14.4" x14ac:dyDescent="0.3"/>
    <row r="27833" ht="14.4" x14ac:dyDescent="0.3"/>
    <row r="27834" ht="14.4" x14ac:dyDescent="0.3"/>
    <row r="27835" ht="14.4" x14ac:dyDescent="0.3"/>
    <row r="27836" ht="14.4" x14ac:dyDescent="0.3"/>
    <row r="27837" ht="14.4" x14ac:dyDescent="0.3"/>
    <row r="27838" ht="14.4" x14ac:dyDescent="0.3"/>
    <row r="27839" ht="14.4" x14ac:dyDescent="0.3"/>
    <row r="27840" ht="14.4" x14ac:dyDescent="0.3"/>
    <row r="27841" ht="14.4" x14ac:dyDescent="0.3"/>
    <row r="27842" ht="14.4" x14ac:dyDescent="0.3"/>
    <row r="27843" ht="14.4" x14ac:dyDescent="0.3"/>
    <row r="27844" ht="14.4" x14ac:dyDescent="0.3"/>
    <row r="27845" ht="14.4" x14ac:dyDescent="0.3"/>
    <row r="27846" ht="14.4" x14ac:dyDescent="0.3"/>
    <row r="27847" ht="14.4" x14ac:dyDescent="0.3"/>
    <row r="27848" ht="14.4" x14ac:dyDescent="0.3"/>
    <row r="27849" ht="14.4" x14ac:dyDescent="0.3"/>
    <row r="27850" ht="14.4" x14ac:dyDescent="0.3"/>
    <row r="27851" ht="14.4" x14ac:dyDescent="0.3"/>
    <row r="27852" ht="14.4" x14ac:dyDescent="0.3"/>
    <row r="27853" ht="14.4" x14ac:dyDescent="0.3"/>
    <row r="27854" ht="14.4" x14ac:dyDescent="0.3"/>
    <row r="27855" ht="14.4" x14ac:dyDescent="0.3"/>
    <row r="27856" ht="14.4" x14ac:dyDescent="0.3"/>
    <row r="27857" ht="14.4" x14ac:dyDescent="0.3"/>
    <row r="27858" ht="14.4" x14ac:dyDescent="0.3"/>
    <row r="27859" ht="14.4" x14ac:dyDescent="0.3"/>
    <row r="27860" ht="14.4" x14ac:dyDescent="0.3"/>
    <row r="27861" ht="14.4" x14ac:dyDescent="0.3"/>
    <row r="27862" ht="14.4" x14ac:dyDescent="0.3"/>
    <row r="27863" ht="14.4" x14ac:dyDescent="0.3"/>
    <row r="27864" ht="14.4" x14ac:dyDescent="0.3"/>
    <row r="27865" ht="14.4" x14ac:dyDescent="0.3"/>
    <row r="27866" ht="14.4" x14ac:dyDescent="0.3"/>
    <row r="27867" ht="14.4" x14ac:dyDescent="0.3"/>
    <row r="27868" ht="14.4" x14ac:dyDescent="0.3"/>
    <row r="27869" ht="14.4" x14ac:dyDescent="0.3"/>
    <row r="27870" ht="14.4" x14ac:dyDescent="0.3"/>
    <row r="27871" ht="14.4" x14ac:dyDescent="0.3"/>
    <row r="27872" ht="14.4" x14ac:dyDescent="0.3"/>
    <row r="27873" ht="14.4" x14ac:dyDescent="0.3"/>
    <row r="27874" ht="14.4" x14ac:dyDescent="0.3"/>
    <row r="27875" ht="14.4" x14ac:dyDescent="0.3"/>
    <row r="27876" ht="14.4" x14ac:dyDescent="0.3"/>
    <row r="27877" ht="14.4" x14ac:dyDescent="0.3"/>
    <row r="27878" ht="14.4" x14ac:dyDescent="0.3"/>
    <row r="27879" ht="14.4" x14ac:dyDescent="0.3"/>
    <row r="27880" ht="14.4" x14ac:dyDescent="0.3"/>
    <row r="27881" ht="14.4" x14ac:dyDescent="0.3"/>
    <row r="27882" ht="14.4" x14ac:dyDescent="0.3"/>
    <row r="27883" ht="14.4" x14ac:dyDescent="0.3"/>
    <row r="27884" ht="14.4" x14ac:dyDescent="0.3"/>
    <row r="27885" ht="14.4" x14ac:dyDescent="0.3"/>
    <row r="27886" ht="14.4" x14ac:dyDescent="0.3"/>
    <row r="27887" ht="14.4" x14ac:dyDescent="0.3"/>
    <row r="27888" ht="14.4" x14ac:dyDescent="0.3"/>
    <row r="27889" ht="14.4" x14ac:dyDescent="0.3"/>
    <row r="27890" ht="14.4" x14ac:dyDescent="0.3"/>
    <row r="27891" ht="14.4" x14ac:dyDescent="0.3"/>
    <row r="27892" ht="14.4" x14ac:dyDescent="0.3"/>
    <row r="27893" ht="14.4" x14ac:dyDescent="0.3"/>
    <row r="27894" ht="14.4" x14ac:dyDescent="0.3"/>
    <row r="27895" ht="14.4" x14ac:dyDescent="0.3"/>
    <row r="27896" ht="14.4" x14ac:dyDescent="0.3"/>
    <row r="27897" ht="14.4" x14ac:dyDescent="0.3"/>
    <row r="27898" ht="14.4" x14ac:dyDescent="0.3"/>
    <row r="27899" ht="14.4" x14ac:dyDescent="0.3"/>
    <row r="27900" ht="14.4" x14ac:dyDescent="0.3"/>
    <row r="27901" ht="14.4" x14ac:dyDescent="0.3"/>
    <row r="27902" ht="14.4" x14ac:dyDescent="0.3"/>
    <row r="27903" ht="14.4" x14ac:dyDescent="0.3"/>
    <row r="27904" ht="14.4" x14ac:dyDescent="0.3"/>
    <row r="27905" ht="14.4" x14ac:dyDescent="0.3"/>
    <row r="27906" ht="14.4" x14ac:dyDescent="0.3"/>
    <row r="27907" ht="14.4" x14ac:dyDescent="0.3"/>
    <row r="27908" ht="14.4" x14ac:dyDescent="0.3"/>
    <row r="27909" ht="14.4" x14ac:dyDescent="0.3"/>
    <row r="27910" ht="14.4" x14ac:dyDescent="0.3"/>
    <row r="27911" ht="14.4" x14ac:dyDescent="0.3"/>
    <row r="27912" ht="14.4" x14ac:dyDescent="0.3"/>
    <row r="27913" ht="14.4" x14ac:dyDescent="0.3"/>
    <row r="27914" ht="14.4" x14ac:dyDescent="0.3"/>
    <row r="27915" ht="14.4" x14ac:dyDescent="0.3"/>
    <row r="27916" ht="14.4" x14ac:dyDescent="0.3"/>
    <row r="27917" ht="14.4" x14ac:dyDescent="0.3"/>
    <row r="27918" ht="14.4" x14ac:dyDescent="0.3"/>
    <row r="27919" ht="14.4" x14ac:dyDescent="0.3"/>
    <row r="27920" ht="14.4" x14ac:dyDescent="0.3"/>
    <row r="27921" ht="14.4" x14ac:dyDescent="0.3"/>
    <row r="27922" ht="14.4" x14ac:dyDescent="0.3"/>
    <row r="27923" ht="14.4" x14ac:dyDescent="0.3"/>
    <row r="27924" ht="14.4" x14ac:dyDescent="0.3"/>
    <row r="27925" ht="14.4" x14ac:dyDescent="0.3"/>
    <row r="27926" ht="14.4" x14ac:dyDescent="0.3"/>
    <row r="27927" ht="14.4" x14ac:dyDescent="0.3"/>
    <row r="27928" ht="14.4" x14ac:dyDescent="0.3"/>
    <row r="27929" ht="14.4" x14ac:dyDescent="0.3"/>
    <row r="27930" ht="14.4" x14ac:dyDescent="0.3"/>
    <row r="27931" ht="14.4" x14ac:dyDescent="0.3"/>
    <row r="27932" ht="14.4" x14ac:dyDescent="0.3"/>
    <row r="27933" ht="14.4" x14ac:dyDescent="0.3"/>
    <row r="27934" ht="14.4" x14ac:dyDescent="0.3"/>
    <row r="27935" ht="14.4" x14ac:dyDescent="0.3"/>
    <row r="27936" ht="14.4" x14ac:dyDescent="0.3"/>
    <row r="27937" ht="14.4" x14ac:dyDescent="0.3"/>
    <row r="27938" ht="14.4" x14ac:dyDescent="0.3"/>
    <row r="27939" ht="14.4" x14ac:dyDescent="0.3"/>
    <row r="27940" ht="14.4" x14ac:dyDescent="0.3"/>
    <row r="27941" ht="14.4" x14ac:dyDescent="0.3"/>
    <row r="27942" ht="14.4" x14ac:dyDescent="0.3"/>
    <row r="27943" ht="14.4" x14ac:dyDescent="0.3"/>
    <row r="27944" ht="14.4" x14ac:dyDescent="0.3"/>
    <row r="27945" ht="14.4" x14ac:dyDescent="0.3"/>
    <row r="27946" ht="14.4" x14ac:dyDescent="0.3"/>
    <row r="27947" ht="14.4" x14ac:dyDescent="0.3"/>
    <row r="27948" ht="14.4" x14ac:dyDescent="0.3"/>
    <row r="27949" ht="14.4" x14ac:dyDescent="0.3"/>
    <row r="27950" ht="14.4" x14ac:dyDescent="0.3"/>
    <row r="27951" ht="14.4" x14ac:dyDescent="0.3"/>
    <row r="27952" ht="14.4" x14ac:dyDescent="0.3"/>
    <row r="27953" spans="1:43" ht="14.4" x14ac:dyDescent="0.3"/>
    <row r="27954" spans="1:43" ht="14.4" hidden="1" x14ac:dyDescent="0.3">
      <c r="A27954" t="s">
        <v>4626</v>
      </c>
      <c r="B27954">
        <v>4903445</v>
      </c>
      <c r="C27954" t="s">
        <v>135</v>
      </c>
      <c r="D27954" t="s">
        <v>136</v>
      </c>
      <c r="E27954" t="s">
        <v>318</v>
      </c>
      <c r="F27954" t="s">
        <v>537</v>
      </c>
      <c r="H27954" t="s">
        <v>534</v>
      </c>
      <c r="J27954" t="s">
        <v>140</v>
      </c>
      <c r="K27954">
        <v>155419.19</v>
      </c>
      <c r="L27954">
        <v>385549.77</v>
      </c>
      <c r="M27954">
        <v>1</v>
      </c>
      <c r="N27954" t="s">
        <v>2977</v>
      </c>
      <c r="O27954" t="s">
        <v>764</v>
      </c>
      <c r="P27954" t="s">
        <v>1245</v>
      </c>
      <c r="Q27954" t="s">
        <v>144</v>
      </c>
      <c r="S27954">
        <v>52</v>
      </c>
      <c r="T27954">
        <v>6800</v>
      </c>
      <c r="V27954" t="s">
        <v>146</v>
      </c>
      <c r="W27954" t="s">
        <v>147</v>
      </c>
      <c r="X27954" t="s">
        <v>7</v>
      </c>
      <c r="Y27954" t="s">
        <v>2033</v>
      </c>
      <c r="Z27954" t="s">
        <v>764</v>
      </c>
      <c r="AA27954" t="s">
        <v>2987</v>
      </c>
      <c r="AB27954">
        <v>0</v>
      </c>
      <c r="AE27954" t="s">
        <v>2035</v>
      </c>
      <c r="AF27954" t="s">
        <v>764</v>
      </c>
      <c r="AG27954" t="s">
        <v>1229</v>
      </c>
      <c r="AL27954" t="s">
        <v>4627</v>
      </c>
      <c r="AM27954" t="s">
        <v>4628</v>
      </c>
      <c r="AN27954" t="s">
        <v>4629</v>
      </c>
      <c r="AO27954" t="s">
        <v>2977</v>
      </c>
      <c r="AP27954" t="s">
        <v>158</v>
      </c>
      <c r="AQ27954" t="str">
        <f>IF(ISBLANK(AP27954), IFERROR(IF(VLOOKUP(AO27954, Ellens_additions!$A$2:$B$252, 2, FALSE) = "", "", VLOOKUP(AO27954, Ellens_additions!$A$2:$B$252, 2, FALSE)), 0), AP27954)</f>
        <v>3000</v>
      </c>
    </row>
    <row r="27955" spans="1:43" ht="14.4" hidden="1" x14ac:dyDescent="0.3">
      <c r="A27955" t="s">
        <v>4630</v>
      </c>
      <c r="B27955">
        <v>4903447</v>
      </c>
      <c r="C27955" t="s">
        <v>135</v>
      </c>
      <c r="D27955" t="s">
        <v>136</v>
      </c>
      <c r="E27955" t="s">
        <v>318</v>
      </c>
      <c r="F27955" t="s">
        <v>537</v>
      </c>
      <c r="H27955" t="s">
        <v>535</v>
      </c>
      <c r="J27955" t="s">
        <v>140</v>
      </c>
      <c r="K27955">
        <v>155465.60000000001</v>
      </c>
      <c r="L27955">
        <v>385582.46</v>
      </c>
      <c r="M27955">
        <v>1</v>
      </c>
      <c r="N27955" t="s">
        <v>2977</v>
      </c>
      <c r="O27955" t="s">
        <v>764</v>
      </c>
      <c r="P27955" t="s">
        <v>1245</v>
      </c>
      <c r="Q27955" t="s">
        <v>144</v>
      </c>
      <c r="S27955">
        <v>52</v>
      </c>
      <c r="T27955">
        <v>6800</v>
      </c>
      <c r="V27955" t="s">
        <v>146</v>
      </c>
      <c r="W27955" t="s">
        <v>147</v>
      </c>
      <c r="X27955" t="s">
        <v>7</v>
      </c>
      <c r="Y27955" t="s">
        <v>2033</v>
      </c>
      <c r="Z27955" t="s">
        <v>764</v>
      </c>
      <c r="AA27955" t="s">
        <v>2987</v>
      </c>
      <c r="AB27955">
        <v>0</v>
      </c>
      <c r="AE27955" t="s">
        <v>2035</v>
      </c>
      <c r="AF27955" t="s">
        <v>764</v>
      </c>
      <c r="AG27955" t="s">
        <v>1229</v>
      </c>
      <c r="AL27955" t="s">
        <v>4631</v>
      </c>
      <c r="AM27955" t="s">
        <v>4632</v>
      </c>
      <c r="AN27955" t="s">
        <v>4633</v>
      </c>
      <c r="AO27955" t="s">
        <v>2977</v>
      </c>
      <c r="AP27955" t="s">
        <v>158</v>
      </c>
      <c r="AQ27955" t="str">
        <f>IF(ISBLANK(AP27955), IFERROR(IF(VLOOKUP(AO27955, Ellens_additions!$A$2:$B$252, 2, FALSE) = "", "", VLOOKUP(AO27955, Ellens_additions!$A$2:$B$252, 2, FALSE)), 0), AP27955)</f>
        <v>3000</v>
      </c>
    </row>
    <row r="27956" spans="1:43" ht="14.4" x14ac:dyDescent="0.3"/>
    <row r="27957" spans="1:43" ht="14.4" x14ac:dyDescent="0.3"/>
    <row r="27958" spans="1:43" ht="14.4" x14ac:dyDescent="0.3"/>
    <row r="27959" spans="1:43" ht="14.4" x14ac:dyDescent="0.3"/>
    <row r="27960" spans="1:43" ht="14.4" x14ac:dyDescent="0.3"/>
    <row r="27961" spans="1:43" ht="14.4" x14ac:dyDescent="0.3"/>
    <row r="27962" spans="1:43" ht="14.4" x14ac:dyDescent="0.3"/>
    <row r="27963" spans="1:43" ht="14.4" x14ac:dyDescent="0.3"/>
    <row r="27964" spans="1:43" ht="14.4" x14ac:dyDescent="0.3"/>
    <row r="27965" spans="1:43" ht="14.4" x14ac:dyDescent="0.3"/>
    <row r="27966" spans="1:43" ht="14.4" x14ac:dyDescent="0.3"/>
    <row r="27967" spans="1:43" ht="14.4" x14ac:dyDescent="0.3"/>
    <row r="27968" spans="1:43" ht="14.4" x14ac:dyDescent="0.3"/>
    <row r="27969" ht="14.4" x14ac:dyDescent="0.3"/>
    <row r="27970" ht="14.4" x14ac:dyDescent="0.3"/>
    <row r="27971" ht="14.4" x14ac:dyDescent="0.3"/>
    <row r="27972" ht="14.4" x14ac:dyDescent="0.3"/>
    <row r="27973" ht="14.4" x14ac:dyDescent="0.3"/>
    <row r="27974" ht="14.4" x14ac:dyDescent="0.3"/>
    <row r="27975" ht="14.4" x14ac:dyDescent="0.3"/>
    <row r="27976" ht="14.4" x14ac:dyDescent="0.3"/>
    <row r="27977" ht="14.4" x14ac:dyDescent="0.3"/>
    <row r="27978" ht="14.4" x14ac:dyDescent="0.3"/>
    <row r="27979" ht="14.4" x14ac:dyDescent="0.3"/>
    <row r="27980" ht="14.4" x14ac:dyDescent="0.3"/>
    <row r="27981" ht="14.4" x14ac:dyDescent="0.3"/>
    <row r="27982" ht="14.4" x14ac:dyDescent="0.3"/>
    <row r="27983" ht="14.4" x14ac:dyDescent="0.3"/>
    <row r="27984" ht="14.4" x14ac:dyDescent="0.3"/>
    <row r="27985" ht="14.4" x14ac:dyDescent="0.3"/>
    <row r="27986" ht="14.4" x14ac:dyDescent="0.3"/>
    <row r="27987" ht="14.4" x14ac:dyDescent="0.3"/>
    <row r="27988" ht="14.4" x14ac:dyDescent="0.3"/>
    <row r="27989" ht="14.4" x14ac:dyDescent="0.3"/>
    <row r="27990" ht="14.4" x14ac:dyDescent="0.3"/>
    <row r="27991" ht="14.4" x14ac:dyDescent="0.3"/>
    <row r="27992" ht="14.4" x14ac:dyDescent="0.3"/>
    <row r="27993" ht="14.4" x14ac:dyDescent="0.3"/>
    <row r="27994" ht="14.4" x14ac:dyDescent="0.3"/>
    <row r="27995" ht="14.4" x14ac:dyDescent="0.3"/>
    <row r="27996" ht="14.4" x14ac:dyDescent="0.3"/>
    <row r="27997" ht="14.4" x14ac:dyDescent="0.3"/>
    <row r="27998" ht="14.4" x14ac:dyDescent="0.3"/>
    <row r="27999" ht="14.4" x14ac:dyDescent="0.3"/>
    <row r="28000" ht="14.4" x14ac:dyDescent="0.3"/>
    <row r="28001" ht="14.4" x14ac:dyDescent="0.3"/>
    <row r="28002" ht="14.4" x14ac:dyDescent="0.3"/>
    <row r="28003" ht="14.4" x14ac:dyDescent="0.3"/>
    <row r="28004" ht="14.4" x14ac:dyDescent="0.3"/>
    <row r="28005" ht="14.4" x14ac:dyDescent="0.3"/>
    <row r="28006" ht="14.4" x14ac:dyDescent="0.3"/>
    <row r="28007" ht="14.4" x14ac:dyDescent="0.3"/>
    <row r="28008" ht="14.4" x14ac:dyDescent="0.3"/>
    <row r="28009" ht="14.4" x14ac:dyDescent="0.3"/>
    <row r="28010" ht="14.4" x14ac:dyDescent="0.3"/>
    <row r="28011" ht="14.4" x14ac:dyDescent="0.3"/>
    <row r="28012" ht="14.4" x14ac:dyDescent="0.3"/>
    <row r="28013" ht="14.4" x14ac:dyDescent="0.3"/>
    <row r="28014" ht="14.4" x14ac:dyDescent="0.3"/>
    <row r="28015" ht="14.4" x14ac:dyDescent="0.3"/>
    <row r="28016" ht="14.4" x14ac:dyDescent="0.3"/>
    <row r="28017" ht="14.4" x14ac:dyDescent="0.3"/>
    <row r="28018" ht="14.4" x14ac:dyDescent="0.3"/>
    <row r="28019" ht="14.4" x14ac:dyDescent="0.3"/>
    <row r="28020" ht="14.4" x14ac:dyDescent="0.3"/>
    <row r="28021" ht="14.4" x14ac:dyDescent="0.3"/>
    <row r="28022" ht="14.4" x14ac:dyDescent="0.3"/>
    <row r="28023" ht="14.4" x14ac:dyDescent="0.3"/>
    <row r="28024" ht="14.4" x14ac:dyDescent="0.3"/>
    <row r="28025" ht="14.4" x14ac:dyDescent="0.3"/>
    <row r="28026" ht="14.4" x14ac:dyDescent="0.3"/>
    <row r="28027" ht="14.4" x14ac:dyDescent="0.3"/>
    <row r="28028" ht="14.4" x14ac:dyDescent="0.3"/>
    <row r="28029" ht="14.4" x14ac:dyDescent="0.3"/>
    <row r="28030" ht="14.4" x14ac:dyDescent="0.3"/>
    <row r="28031" ht="14.4" x14ac:dyDescent="0.3"/>
    <row r="28032" ht="14.4" x14ac:dyDescent="0.3"/>
    <row r="28033" ht="14.4" x14ac:dyDescent="0.3"/>
    <row r="28034" ht="14.4" x14ac:dyDescent="0.3"/>
    <row r="28035" ht="14.4" x14ac:dyDescent="0.3"/>
    <row r="28036" ht="14.4" x14ac:dyDescent="0.3"/>
    <row r="28037" ht="14.4" x14ac:dyDescent="0.3"/>
    <row r="28038" ht="14.4" x14ac:dyDescent="0.3"/>
    <row r="28039" ht="14.4" x14ac:dyDescent="0.3"/>
    <row r="28040" ht="14.4" x14ac:dyDescent="0.3"/>
    <row r="28041" ht="14.4" x14ac:dyDescent="0.3"/>
    <row r="28042" ht="14.4" x14ac:dyDescent="0.3"/>
    <row r="28043" ht="14.4" x14ac:dyDescent="0.3"/>
    <row r="28044" ht="14.4" x14ac:dyDescent="0.3"/>
    <row r="28045" ht="14.4" x14ac:dyDescent="0.3"/>
    <row r="28046" ht="14.4" x14ac:dyDescent="0.3"/>
    <row r="28047" ht="14.4" x14ac:dyDescent="0.3"/>
    <row r="28048" ht="14.4" x14ac:dyDescent="0.3"/>
    <row r="28049" ht="14.4" x14ac:dyDescent="0.3"/>
    <row r="28050" ht="14.4" x14ac:dyDescent="0.3"/>
    <row r="28051" ht="14.4" x14ac:dyDescent="0.3"/>
    <row r="28052" ht="14.4" x14ac:dyDescent="0.3"/>
    <row r="28053" ht="14.4" x14ac:dyDescent="0.3"/>
    <row r="28054" ht="14.4" x14ac:dyDescent="0.3"/>
    <row r="28055" ht="14.4" x14ac:dyDescent="0.3"/>
    <row r="28056" ht="14.4" x14ac:dyDescent="0.3"/>
    <row r="28057" ht="14.4" x14ac:dyDescent="0.3"/>
    <row r="28058" ht="14.4" x14ac:dyDescent="0.3"/>
    <row r="28059" ht="14.4" x14ac:dyDescent="0.3"/>
    <row r="28060" ht="14.4" x14ac:dyDescent="0.3"/>
    <row r="28061" ht="14.4" x14ac:dyDescent="0.3"/>
    <row r="28062" ht="14.4" x14ac:dyDescent="0.3"/>
    <row r="28063" ht="14.4" x14ac:dyDescent="0.3"/>
    <row r="28064" ht="14.4" x14ac:dyDescent="0.3"/>
    <row r="28065" ht="14.4" x14ac:dyDescent="0.3"/>
    <row r="28066" ht="14.4" x14ac:dyDescent="0.3"/>
    <row r="28067" ht="14.4" x14ac:dyDescent="0.3"/>
    <row r="28068" ht="14.4" x14ac:dyDescent="0.3"/>
    <row r="28069" ht="14.4" x14ac:dyDescent="0.3"/>
    <row r="28070" ht="14.4" x14ac:dyDescent="0.3"/>
    <row r="28071" ht="14.4" x14ac:dyDescent="0.3"/>
    <row r="28072" ht="14.4" x14ac:dyDescent="0.3"/>
    <row r="28073" ht="14.4" x14ac:dyDescent="0.3"/>
    <row r="28074" ht="14.4" x14ac:dyDescent="0.3"/>
    <row r="28075" ht="14.4" x14ac:dyDescent="0.3"/>
    <row r="28076" ht="14.4" x14ac:dyDescent="0.3"/>
    <row r="28077" ht="14.4" x14ac:dyDescent="0.3"/>
    <row r="28078" ht="14.4" x14ac:dyDescent="0.3"/>
    <row r="28079" ht="14.4" x14ac:dyDescent="0.3"/>
    <row r="28080" ht="14.4" x14ac:dyDescent="0.3"/>
    <row r="28081" ht="14.4" x14ac:dyDescent="0.3"/>
    <row r="28082" ht="14.4" x14ac:dyDescent="0.3"/>
    <row r="28083" ht="14.4" x14ac:dyDescent="0.3"/>
    <row r="28084" ht="14.4" x14ac:dyDescent="0.3"/>
    <row r="28085" ht="14.4" x14ac:dyDescent="0.3"/>
    <row r="28086" ht="14.4" x14ac:dyDescent="0.3"/>
    <row r="28087" ht="14.4" x14ac:dyDescent="0.3"/>
    <row r="28088" ht="14.4" x14ac:dyDescent="0.3"/>
    <row r="28089" ht="14.4" x14ac:dyDescent="0.3"/>
    <row r="28090" ht="14.4" x14ac:dyDescent="0.3"/>
    <row r="28091" ht="14.4" x14ac:dyDescent="0.3"/>
    <row r="28092" ht="14.4" x14ac:dyDescent="0.3"/>
    <row r="28093" ht="14.4" x14ac:dyDescent="0.3"/>
    <row r="28094" ht="14.4" x14ac:dyDescent="0.3"/>
    <row r="28095" ht="14.4" x14ac:dyDescent="0.3"/>
    <row r="28096" ht="14.4" x14ac:dyDescent="0.3"/>
    <row r="28097" spans="1:43" ht="14.4" x14ac:dyDescent="0.3"/>
    <row r="28098" spans="1:43" ht="14.4" hidden="1" x14ac:dyDescent="0.3">
      <c r="A28098" t="s">
        <v>4634</v>
      </c>
      <c r="B28098">
        <v>4910381</v>
      </c>
      <c r="C28098" t="s">
        <v>135</v>
      </c>
      <c r="D28098" t="s">
        <v>136</v>
      </c>
      <c r="E28098" t="s">
        <v>2880</v>
      </c>
      <c r="F28098" t="s">
        <v>411</v>
      </c>
      <c r="H28098" t="s">
        <v>1255</v>
      </c>
      <c r="I28098" t="s">
        <v>2964</v>
      </c>
      <c r="J28098" t="s">
        <v>140</v>
      </c>
      <c r="K28098">
        <v>156128.60999999999</v>
      </c>
      <c r="L28098">
        <v>383385.65</v>
      </c>
      <c r="M28098">
        <v>1</v>
      </c>
      <c r="N28098" t="s">
        <v>2882</v>
      </c>
      <c r="O28098" t="s">
        <v>448</v>
      </c>
      <c r="P28098" t="s">
        <v>2883</v>
      </c>
      <c r="Q28098" t="s">
        <v>144</v>
      </c>
      <c r="S28098">
        <v>5</v>
      </c>
      <c r="T28098">
        <v>220</v>
      </c>
      <c r="V28098" t="s">
        <v>146</v>
      </c>
      <c r="W28098" t="s">
        <v>184</v>
      </c>
      <c r="X28098" t="s">
        <v>7</v>
      </c>
      <c r="Y28098" t="s">
        <v>2884</v>
      </c>
      <c r="Z28098" t="s">
        <v>448</v>
      </c>
      <c r="AA28098" t="s">
        <v>456</v>
      </c>
      <c r="AB28098">
        <v>100</v>
      </c>
      <c r="AE28098" t="s">
        <v>2885</v>
      </c>
      <c r="AF28098" t="s">
        <v>448</v>
      </c>
      <c r="AG28098" t="s">
        <v>665</v>
      </c>
      <c r="AL28098" t="s">
        <v>4635</v>
      </c>
      <c r="AM28098" t="s">
        <v>4636</v>
      </c>
      <c r="AN28098" t="s">
        <v>4637</v>
      </c>
      <c r="AO28098" t="s">
        <v>2882</v>
      </c>
      <c r="AQ28098">
        <f>IF(ISBLANK(AP28098), IFERROR(IF(VLOOKUP(AO28098, Ellens_additions!$A$2:$B$252, 2, FALSE) = "", "", VLOOKUP(AO28098, Ellens_additions!$A$2:$B$252, 2, FALSE)), 0), AP28098)</f>
        <v>0</v>
      </c>
    </row>
    <row r="28099" spans="1:43" ht="14.4" hidden="1" x14ac:dyDescent="0.3">
      <c r="A28099" t="s">
        <v>4638</v>
      </c>
      <c r="B28099">
        <v>4910382</v>
      </c>
      <c r="C28099" t="s">
        <v>135</v>
      </c>
      <c r="D28099" t="s">
        <v>136</v>
      </c>
      <c r="E28099" t="s">
        <v>2880</v>
      </c>
      <c r="F28099" t="s">
        <v>411</v>
      </c>
      <c r="H28099" t="s">
        <v>1265</v>
      </c>
      <c r="I28099" t="s">
        <v>2964</v>
      </c>
      <c r="J28099" t="s">
        <v>140</v>
      </c>
      <c r="K28099">
        <v>156109.44</v>
      </c>
      <c r="L28099">
        <v>383368.9</v>
      </c>
      <c r="M28099">
        <v>1</v>
      </c>
      <c r="N28099" t="s">
        <v>2882</v>
      </c>
      <c r="O28099" t="s">
        <v>448</v>
      </c>
      <c r="P28099" t="s">
        <v>2883</v>
      </c>
      <c r="Q28099" t="s">
        <v>144</v>
      </c>
      <c r="S28099">
        <v>5</v>
      </c>
      <c r="T28099">
        <v>220</v>
      </c>
      <c r="V28099" t="s">
        <v>146</v>
      </c>
      <c r="W28099" t="s">
        <v>184</v>
      </c>
      <c r="X28099" t="s">
        <v>7</v>
      </c>
      <c r="Y28099" t="s">
        <v>2884</v>
      </c>
      <c r="Z28099" t="s">
        <v>448</v>
      </c>
      <c r="AA28099" t="s">
        <v>456</v>
      </c>
      <c r="AB28099">
        <v>100</v>
      </c>
      <c r="AE28099" t="s">
        <v>2885</v>
      </c>
      <c r="AF28099" t="s">
        <v>448</v>
      </c>
      <c r="AG28099" t="s">
        <v>665</v>
      </c>
      <c r="AL28099" t="s">
        <v>4639</v>
      </c>
      <c r="AM28099" t="s">
        <v>4640</v>
      </c>
      <c r="AN28099" t="s">
        <v>4641</v>
      </c>
      <c r="AO28099" t="s">
        <v>2882</v>
      </c>
      <c r="AQ28099">
        <f>IF(ISBLANK(AP28099), IFERROR(IF(VLOOKUP(AO28099, Ellens_additions!$A$2:$B$252, 2, FALSE) = "", "", VLOOKUP(AO28099, Ellens_additions!$A$2:$B$252, 2, FALSE)), 0), AP28099)</f>
        <v>0</v>
      </c>
    </row>
    <row r="28100" spans="1:43" ht="14.4" hidden="1" x14ac:dyDescent="0.3">
      <c r="A28100" t="s">
        <v>4642</v>
      </c>
      <c r="B28100">
        <v>4910387</v>
      </c>
      <c r="C28100" t="s">
        <v>135</v>
      </c>
      <c r="D28100" t="s">
        <v>136</v>
      </c>
      <c r="E28100" t="s">
        <v>2880</v>
      </c>
      <c r="F28100" t="s">
        <v>411</v>
      </c>
      <c r="H28100" t="s">
        <v>680</v>
      </c>
      <c r="I28100" t="s">
        <v>2964</v>
      </c>
      <c r="J28100" t="s">
        <v>140</v>
      </c>
      <c r="K28100">
        <v>156113.19</v>
      </c>
      <c r="L28100">
        <v>383372.13</v>
      </c>
      <c r="M28100">
        <v>1</v>
      </c>
      <c r="N28100" t="s">
        <v>2882</v>
      </c>
      <c r="O28100" t="s">
        <v>448</v>
      </c>
      <c r="P28100" t="s">
        <v>2883</v>
      </c>
      <c r="Q28100" t="s">
        <v>144</v>
      </c>
      <c r="S28100">
        <v>5</v>
      </c>
      <c r="T28100">
        <v>220</v>
      </c>
      <c r="V28100" t="s">
        <v>146</v>
      </c>
      <c r="W28100" t="s">
        <v>184</v>
      </c>
      <c r="X28100" t="s">
        <v>7</v>
      </c>
      <c r="Y28100" t="s">
        <v>2884</v>
      </c>
      <c r="Z28100" t="s">
        <v>448</v>
      </c>
      <c r="AA28100" t="s">
        <v>456</v>
      </c>
      <c r="AB28100">
        <v>100</v>
      </c>
      <c r="AE28100" t="s">
        <v>2885</v>
      </c>
      <c r="AF28100" t="s">
        <v>448</v>
      </c>
      <c r="AG28100" t="s">
        <v>665</v>
      </c>
      <c r="AL28100" t="s">
        <v>4643</v>
      </c>
      <c r="AM28100" t="s">
        <v>4644</v>
      </c>
      <c r="AN28100" t="s">
        <v>4645</v>
      </c>
      <c r="AO28100" t="s">
        <v>2882</v>
      </c>
      <c r="AQ28100">
        <f>IF(ISBLANK(AP28100), IFERROR(IF(VLOOKUP(AO28100, Ellens_additions!$A$2:$B$252, 2, FALSE) = "", "", VLOOKUP(AO28100, Ellens_additions!$A$2:$B$252, 2, FALSE)), 0), AP28100)</f>
        <v>0</v>
      </c>
    </row>
    <row r="28101" spans="1:43" ht="14.4" x14ac:dyDescent="0.3"/>
    <row r="28102" spans="1:43" ht="14.4" x14ac:dyDescent="0.3"/>
    <row r="28103" spans="1:43" ht="14.4" x14ac:dyDescent="0.3"/>
    <row r="28104" spans="1:43" ht="14.4" x14ac:dyDescent="0.3"/>
    <row r="28105" spans="1:43" ht="14.4" x14ac:dyDescent="0.3"/>
    <row r="28106" spans="1:43" ht="14.4" x14ac:dyDescent="0.3"/>
    <row r="28107" spans="1:43" ht="14.4" x14ac:dyDescent="0.3"/>
    <row r="28108" spans="1:43" ht="14.4" x14ac:dyDescent="0.3"/>
    <row r="28109" spans="1:43" ht="14.4" x14ac:dyDescent="0.3"/>
    <row r="28110" spans="1:43" ht="14.4" x14ac:dyDescent="0.3"/>
    <row r="28111" spans="1:43" ht="14.4" x14ac:dyDescent="0.3"/>
    <row r="28112" spans="1:43" ht="14.4" x14ac:dyDescent="0.3"/>
    <row r="28113" ht="14.4" x14ac:dyDescent="0.3"/>
    <row r="28114" ht="14.4" x14ac:dyDescent="0.3"/>
    <row r="28115" ht="14.4" x14ac:dyDescent="0.3"/>
    <row r="28116" ht="14.4" x14ac:dyDescent="0.3"/>
    <row r="28117" ht="14.4" x14ac:dyDescent="0.3"/>
    <row r="28118" ht="14.4" x14ac:dyDescent="0.3"/>
    <row r="28119" ht="14.4" x14ac:dyDescent="0.3"/>
    <row r="28120" ht="14.4" x14ac:dyDescent="0.3"/>
    <row r="28121" ht="14.4" x14ac:dyDescent="0.3"/>
    <row r="28122" ht="14.4" x14ac:dyDescent="0.3"/>
    <row r="28123" ht="14.4" x14ac:dyDescent="0.3"/>
    <row r="28124" ht="14.4" x14ac:dyDescent="0.3"/>
    <row r="28125" ht="14.4" x14ac:dyDescent="0.3"/>
    <row r="28126" ht="14.4" x14ac:dyDescent="0.3"/>
    <row r="28127" ht="14.4" x14ac:dyDescent="0.3"/>
    <row r="28128" ht="14.4" x14ac:dyDescent="0.3"/>
    <row r="28129" spans="1:43" ht="14.4" x14ac:dyDescent="0.3"/>
    <row r="28130" spans="1:43" ht="14.4" x14ac:dyDescent="0.3"/>
    <row r="28131" spans="1:43" ht="14.4" x14ac:dyDescent="0.3"/>
    <row r="28132" spans="1:43" ht="14.4" x14ac:dyDescent="0.3"/>
    <row r="28133" spans="1:43" ht="14.4" x14ac:dyDescent="0.3"/>
    <row r="28134" spans="1:43" ht="14.4" x14ac:dyDescent="0.3"/>
    <row r="28135" spans="1:43" ht="14.4" x14ac:dyDescent="0.3"/>
    <row r="28136" spans="1:43" ht="14.4" hidden="1" x14ac:dyDescent="0.3">
      <c r="A28136" t="s">
        <v>4647</v>
      </c>
      <c r="B28136">
        <v>4910477</v>
      </c>
      <c r="C28136" t="s">
        <v>135</v>
      </c>
      <c r="D28136" t="s">
        <v>136</v>
      </c>
      <c r="E28136" t="s">
        <v>2880</v>
      </c>
      <c r="F28136" t="s">
        <v>2996</v>
      </c>
      <c r="H28136" t="s">
        <v>4648</v>
      </c>
      <c r="J28136" t="s">
        <v>140</v>
      </c>
      <c r="K28136">
        <v>156535.21</v>
      </c>
      <c r="L28136">
        <v>383694.07</v>
      </c>
      <c r="M28136">
        <v>1</v>
      </c>
      <c r="N28136" t="s">
        <v>382</v>
      </c>
      <c r="O28136" t="s">
        <v>566</v>
      </c>
      <c r="P28136" t="s">
        <v>1873</v>
      </c>
      <c r="Q28136" t="s">
        <v>358</v>
      </c>
      <c r="R28136" t="s">
        <v>145</v>
      </c>
      <c r="S28136">
        <v>35</v>
      </c>
      <c r="T28136">
        <v>3300</v>
      </c>
      <c r="V28136" t="s">
        <v>359</v>
      </c>
      <c r="W28136" t="s">
        <v>184</v>
      </c>
      <c r="X28136" t="s">
        <v>7</v>
      </c>
      <c r="Y28136" t="s">
        <v>2864</v>
      </c>
      <c r="Z28136" t="s">
        <v>566</v>
      </c>
      <c r="AA28136" t="s">
        <v>387</v>
      </c>
      <c r="AB28136">
        <v>0</v>
      </c>
      <c r="AE28136" t="s">
        <v>1496</v>
      </c>
      <c r="AF28136" t="s">
        <v>566</v>
      </c>
      <c r="AG28136" t="s">
        <v>387</v>
      </c>
      <c r="AL28136" t="s">
        <v>4649</v>
      </c>
      <c r="AM28136" t="s">
        <v>4650</v>
      </c>
      <c r="AN28136" t="s">
        <v>4651</v>
      </c>
      <c r="AO28136" t="s">
        <v>382</v>
      </c>
      <c r="AQ28136" t="str">
        <f>IF(ISBLANK(AP28136), IFERROR(IF(VLOOKUP(AO28136, Ellens_additions!$A$2:$B$252, 2, FALSE) = "", "", VLOOKUP(AO28136, Ellens_additions!$A$2:$B$252, 2, FALSE)), 0), AP28136)</f>
        <v/>
      </c>
    </row>
    <row r="28137" spans="1:43" ht="14.4" hidden="1" x14ac:dyDescent="0.3">
      <c r="A28137" t="s">
        <v>4652</v>
      </c>
      <c r="B28137">
        <v>4910479</v>
      </c>
      <c r="C28137" t="s">
        <v>135</v>
      </c>
      <c r="D28137" t="s">
        <v>136</v>
      </c>
      <c r="E28137" t="s">
        <v>2880</v>
      </c>
      <c r="F28137" t="s">
        <v>2996</v>
      </c>
      <c r="H28137" t="s">
        <v>4653</v>
      </c>
      <c r="J28137" t="s">
        <v>140</v>
      </c>
      <c r="K28137">
        <v>156531.39000000001</v>
      </c>
      <c r="L28137">
        <v>383694.63</v>
      </c>
      <c r="M28137">
        <v>1</v>
      </c>
      <c r="N28137" t="s">
        <v>382</v>
      </c>
      <c r="O28137" t="s">
        <v>566</v>
      </c>
      <c r="P28137" t="s">
        <v>1873</v>
      </c>
      <c r="Q28137" t="s">
        <v>358</v>
      </c>
      <c r="R28137" t="s">
        <v>145</v>
      </c>
      <c r="S28137">
        <v>35</v>
      </c>
      <c r="T28137">
        <v>3300</v>
      </c>
      <c r="V28137" t="s">
        <v>359</v>
      </c>
      <c r="W28137" t="s">
        <v>184</v>
      </c>
      <c r="X28137" t="s">
        <v>7</v>
      </c>
      <c r="Y28137" t="s">
        <v>2864</v>
      </c>
      <c r="Z28137" t="s">
        <v>566</v>
      </c>
      <c r="AA28137" t="s">
        <v>387</v>
      </c>
      <c r="AB28137">
        <v>0</v>
      </c>
      <c r="AE28137" t="s">
        <v>1496</v>
      </c>
      <c r="AF28137" t="s">
        <v>566</v>
      </c>
      <c r="AG28137" t="s">
        <v>387</v>
      </c>
      <c r="AL28137" t="s">
        <v>4654</v>
      </c>
      <c r="AM28137" t="s">
        <v>4655</v>
      </c>
      <c r="AN28137" t="s">
        <v>4656</v>
      </c>
      <c r="AO28137" t="s">
        <v>382</v>
      </c>
      <c r="AQ28137" t="str">
        <f>IF(ISBLANK(AP28137), IFERROR(IF(VLOOKUP(AO28137, Ellens_additions!$A$2:$B$252, 2, FALSE) = "", "", VLOOKUP(AO28137, Ellens_additions!$A$2:$B$252, 2, FALSE)), 0), AP28137)</f>
        <v/>
      </c>
    </row>
    <row r="28138" spans="1:43" ht="14.4" hidden="1" x14ac:dyDescent="0.3">
      <c r="A28138" t="s">
        <v>4657</v>
      </c>
      <c r="B28138">
        <v>4910484</v>
      </c>
      <c r="C28138" t="s">
        <v>135</v>
      </c>
      <c r="D28138" t="s">
        <v>136</v>
      </c>
      <c r="E28138" t="s">
        <v>2880</v>
      </c>
      <c r="F28138" t="s">
        <v>2996</v>
      </c>
      <c r="H28138" t="s">
        <v>4658</v>
      </c>
      <c r="J28138" t="s">
        <v>140</v>
      </c>
      <c r="K28138">
        <v>156555.76999999999</v>
      </c>
      <c r="L28138">
        <v>383731.83</v>
      </c>
      <c r="M28138">
        <v>1</v>
      </c>
      <c r="N28138" t="s">
        <v>382</v>
      </c>
      <c r="O28138" t="s">
        <v>566</v>
      </c>
      <c r="P28138" t="s">
        <v>1873</v>
      </c>
      <c r="Q28138" t="s">
        <v>358</v>
      </c>
      <c r="R28138" t="s">
        <v>145</v>
      </c>
      <c r="S28138">
        <v>35</v>
      </c>
      <c r="T28138">
        <v>3300</v>
      </c>
      <c r="V28138" t="s">
        <v>359</v>
      </c>
      <c r="W28138" t="s">
        <v>184</v>
      </c>
      <c r="X28138" t="s">
        <v>7</v>
      </c>
      <c r="Y28138" t="s">
        <v>2864</v>
      </c>
      <c r="Z28138" t="s">
        <v>566</v>
      </c>
      <c r="AA28138" t="s">
        <v>387</v>
      </c>
      <c r="AB28138">
        <v>0</v>
      </c>
      <c r="AE28138" t="s">
        <v>1496</v>
      </c>
      <c r="AF28138" t="s">
        <v>566</v>
      </c>
      <c r="AG28138" t="s">
        <v>387</v>
      </c>
      <c r="AL28138" t="s">
        <v>4659</v>
      </c>
      <c r="AM28138" t="s">
        <v>4660</v>
      </c>
      <c r="AN28138" t="s">
        <v>4661</v>
      </c>
      <c r="AO28138" t="s">
        <v>382</v>
      </c>
      <c r="AQ28138" t="str">
        <f>IF(ISBLANK(AP28138), IFERROR(IF(VLOOKUP(AO28138, Ellens_additions!$A$2:$B$252, 2, FALSE) = "", "", VLOOKUP(AO28138, Ellens_additions!$A$2:$B$252, 2, FALSE)), 0), AP28138)</f>
        <v/>
      </c>
    </row>
    <row r="28139" spans="1:43" ht="14.4" x14ac:dyDescent="0.3"/>
    <row r="28140" spans="1:43" ht="14.4" x14ac:dyDescent="0.3"/>
    <row r="28141" spans="1:43" ht="14.4" x14ac:dyDescent="0.3"/>
    <row r="28142" spans="1:43" ht="14.4" x14ac:dyDescent="0.3"/>
    <row r="28143" spans="1:43" ht="14.4" hidden="1" x14ac:dyDescent="0.3">
      <c r="A28143" t="s">
        <v>4662</v>
      </c>
      <c r="B28143">
        <v>4910498</v>
      </c>
      <c r="C28143" t="s">
        <v>135</v>
      </c>
      <c r="D28143" t="s">
        <v>136</v>
      </c>
      <c r="E28143" t="s">
        <v>344</v>
      </c>
      <c r="F28143" t="s">
        <v>1868</v>
      </c>
      <c r="H28143" t="s">
        <v>229</v>
      </c>
      <c r="J28143" t="s">
        <v>140</v>
      </c>
      <c r="K28143">
        <v>156810.26999999999</v>
      </c>
      <c r="L28143">
        <v>384399.16</v>
      </c>
      <c r="M28143">
        <v>1</v>
      </c>
      <c r="N28143" t="s">
        <v>857</v>
      </c>
      <c r="O28143" t="s">
        <v>1878</v>
      </c>
      <c r="P28143" t="s">
        <v>4663</v>
      </c>
      <c r="Q28143" t="s">
        <v>264</v>
      </c>
      <c r="R28143" t="s">
        <v>145</v>
      </c>
      <c r="S28143">
        <v>42</v>
      </c>
      <c r="T28143">
        <v>3200</v>
      </c>
      <c r="V28143" t="s">
        <v>858</v>
      </c>
      <c r="W28143" t="s">
        <v>147</v>
      </c>
      <c r="X28143" t="s">
        <v>7</v>
      </c>
      <c r="Y28143" t="s">
        <v>859</v>
      </c>
      <c r="Z28143" t="s">
        <v>1878</v>
      </c>
      <c r="AA28143" t="s">
        <v>1879</v>
      </c>
      <c r="AB28143">
        <v>0</v>
      </c>
      <c r="AE28143" t="s">
        <v>853</v>
      </c>
      <c r="AF28143" t="s">
        <v>1878</v>
      </c>
      <c r="AG28143" t="s">
        <v>1879</v>
      </c>
      <c r="AL28143" t="s">
        <v>4664</v>
      </c>
      <c r="AM28143" t="s">
        <v>4665</v>
      </c>
      <c r="AN28143" t="s">
        <v>4666</v>
      </c>
      <c r="AO28143" t="s">
        <v>857</v>
      </c>
      <c r="AQ28143">
        <f>IF(ISBLANK(AP28143), IFERROR(IF(VLOOKUP(AO28143, Ellens_additions!$A$2:$B$252, 2, FALSE) = "", "", VLOOKUP(AO28143, Ellens_additions!$A$2:$B$252, 2, FALSE)), 0), AP28143)</f>
        <v>3000</v>
      </c>
    </row>
    <row r="28144" spans="1:43" ht="14.4" x14ac:dyDescent="0.3"/>
    <row r="28145" spans="1:43" ht="14.4" x14ac:dyDescent="0.3"/>
    <row r="28146" spans="1:43" ht="14.4" x14ac:dyDescent="0.3"/>
    <row r="28147" spans="1:43" ht="14.4" hidden="1" x14ac:dyDescent="0.3">
      <c r="A28147" t="s">
        <v>4667</v>
      </c>
      <c r="B28147">
        <v>4910506</v>
      </c>
      <c r="C28147" t="s">
        <v>135</v>
      </c>
      <c r="D28147" t="s">
        <v>136</v>
      </c>
      <c r="E28147" t="s">
        <v>318</v>
      </c>
      <c r="F28147" t="s">
        <v>537</v>
      </c>
      <c r="H28147" t="s">
        <v>257</v>
      </c>
      <c r="J28147" t="s">
        <v>140</v>
      </c>
      <c r="K28147">
        <v>155408.84400000001</v>
      </c>
      <c r="L28147">
        <v>385389.8199</v>
      </c>
      <c r="M28147">
        <v>1</v>
      </c>
      <c r="N28147" t="s">
        <v>2977</v>
      </c>
      <c r="O28147" t="s">
        <v>851</v>
      </c>
      <c r="P28147" t="s">
        <v>2044</v>
      </c>
      <c r="Q28147" t="s">
        <v>144</v>
      </c>
      <c r="S28147">
        <v>52</v>
      </c>
      <c r="T28147">
        <v>6800</v>
      </c>
      <c r="V28147" t="s">
        <v>146</v>
      </c>
      <c r="W28147" t="s">
        <v>147</v>
      </c>
      <c r="X28147" t="s">
        <v>7</v>
      </c>
      <c r="Y28147" t="s">
        <v>2033</v>
      </c>
      <c r="Z28147" t="s">
        <v>851</v>
      </c>
      <c r="AA28147" t="s">
        <v>2982</v>
      </c>
      <c r="AB28147">
        <v>0</v>
      </c>
      <c r="AE28147" t="s">
        <v>2035</v>
      </c>
      <c r="AF28147" t="s">
        <v>851</v>
      </c>
      <c r="AG28147" t="s">
        <v>1082</v>
      </c>
      <c r="AL28147" t="s">
        <v>4668</v>
      </c>
      <c r="AM28147" t="s">
        <v>4669</v>
      </c>
      <c r="AN28147" t="s">
        <v>4670</v>
      </c>
      <c r="AO28147" t="s">
        <v>2977</v>
      </c>
      <c r="AP28147" t="s">
        <v>158</v>
      </c>
      <c r="AQ28147" t="str">
        <f>IF(ISBLANK(AP28147), IFERROR(IF(VLOOKUP(AO28147, Ellens_additions!$A$2:$B$252, 2, FALSE) = "", "", VLOOKUP(AO28147, Ellens_additions!$A$2:$B$252, 2, FALSE)), 0), AP28147)</f>
        <v>3000</v>
      </c>
    </row>
    <row r="28148" spans="1:43" ht="14.4" hidden="1" x14ac:dyDescent="0.3">
      <c r="A28148" t="s">
        <v>4671</v>
      </c>
      <c r="B28148">
        <v>4910508</v>
      </c>
      <c r="C28148" t="s">
        <v>135</v>
      </c>
      <c r="D28148" t="s">
        <v>136</v>
      </c>
      <c r="E28148" t="s">
        <v>318</v>
      </c>
      <c r="F28148" t="s">
        <v>537</v>
      </c>
      <c r="H28148" t="s">
        <v>346</v>
      </c>
      <c r="J28148" t="s">
        <v>140</v>
      </c>
      <c r="K28148">
        <v>155383.88</v>
      </c>
      <c r="L28148">
        <v>385466.56</v>
      </c>
      <c r="M28148">
        <v>1</v>
      </c>
      <c r="N28148" t="s">
        <v>2977</v>
      </c>
      <c r="O28148" t="s">
        <v>851</v>
      </c>
      <c r="P28148" t="s">
        <v>2044</v>
      </c>
      <c r="Q28148" t="s">
        <v>144</v>
      </c>
      <c r="S28148">
        <v>52</v>
      </c>
      <c r="T28148">
        <v>6800</v>
      </c>
      <c r="V28148" t="s">
        <v>146</v>
      </c>
      <c r="W28148" t="s">
        <v>147</v>
      </c>
      <c r="X28148" t="s">
        <v>7</v>
      </c>
      <c r="Y28148" t="s">
        <v>2033</v>
      </c>
      <c r="Z28148" t="s">
        <v>851</v>
      </c>
      <c r="AA28148" t="s">
        <v>2982</v>
      </c>
      <c r="AB28148">
        <v>0</v>
      </c>
      <c r="AE28148" t="s">
        <v>2035</v>
      </c>
      <c r="AF28148" t="s">
        <v>851</v>
      </c>
      <c r="AG28148" t="s">
        <v>1082</v>
      </c>
      <c r="AL28148" t="s">
        <v>4672</v>
      </c>
      <c r="AM28148" t="s">
        <v>4673</v>
      </c>
      <c r="AN28148" t="s">
        <v>4674</v>
      </c>
      <c r="AO28148" t="s">
        <v>2977</v>
      </c>
      <c r="AP28148" t="s">
        <v>158</v>
      </c>
      <c r="AQ28148" t="str">
        <f>IF(ISBLANK(AP28148), IFERROR(IF(VLOOKUP(AO28148, Ellens_additions!$A$2:$B$252, 2, FALSE) = "", "", VLOOKUP(AO28148, Ellens_additions!$A$2:$B$252, 2, FALSE)), 0), AP28148)</f>
        <v>3000</v>
      </c>
    </row>
    <row r="28149" spans="1:43" ht="14.4" x14ac:dyDescent="0.3"/>
    <row r="28150" spans="1:43" ht="14.4" x14ac:dyDescent="0.3"/>
    <row r="28151" spans="1:43" ht="14.4" x14ac:dyDescent="0.3"/>
    <row r="28152" spans="1:43" ht="14.4" x14ac:dyDescent="0.3"/>
    <row r="28153" spans="1:43" ht="14.4" x14ac:dyDescent="0.3"/>
    <row r="28154" spans="1:43" ht="14.4" x14ac:dyDescent="0.3"/>
    <row r="28155" spans="1:43" ht="14.4" x14ac:dyDescent="0.3"/>
    <row r="28156" spans="1:43" ht="14.4" x14ac:dyDescent="0.3"/>
    <row r="28157" spans="1:43" ht="14.4" x14ac:dyDescent="0.3"/>
    <row r="28158" spans="1:43" ht="14.4" x14ac:dyDescent="0.3"/>
    <row r="28159" spans="1:43" ht="14.4" x14ac:dyDescent="0.3"/>
    <row r="28160" spans="1:43" ht="14.4" x14ac:dyDescent="0.3"/>
    <row r="28161" ht="14.4" x14ac:dyDescent="0.3"/>
    <row r="28162" ht="14.4" x14ac:dyDescent="0.3"/>
    <row r="28163" ht="14.4" x14ac:dyDescent="0.3"/>
    <row r="28164" ht="14.4" x14ac:dyDescent="0.3"/>
    <row r="28165" ht="14.4" x14ac:dyDescent="0.3"/>
    <row r="28166" ht="14.4" x14ac:dyDescent="0.3"/>
    <row r="28167" ht="14.4" x14ac:dyDescent="0.3"/>
    <row r="28168" ht="14.4" x14ac:dyDescent="0.3"/>
    <row r="28169" ht="14.4" x14ac:dyDescent="0.3"/>
    <row r="28170" ht="14.4" x14ac:dyDescent="0.3"/>
    <row r="28171" ht="14.4" x14ac:dyDescent="0.3"/>
    <row r="28172" ht="14.4" x14ac:dyDescent="0.3"/>
    <row r="28173" ht="14.4" x14ac:dyDescent="0.3"/>
    <row r="28174" ht="14.4" x14ac:dyDescent="0.3"/>
    <row r="28175" ht="14.4" x14ac:dyDescent="0.3"/>
    <row r="28176" ht="14.4" x14ac:dyDescent="0.3"/>
    <row r="28177" spans="1:43" ht="14.4" x14ac:dyDescent="0.3"/>
    <row r="28178" spans="1:43" ht="14.4" x14ac:dyDescent="0.3"/>
    <row r="28179" spans="1:43" ht="14.4" x14ac:dyDescent="0.3"/>
    <row r="28180" spans="1:43" ht="14.4" x14ac:dyDescent="0.3"/>
    <row r="28181" spans="1:43" ht="14.4" x14ac:dyDescent="0.3"/>
    <row r="28182" spans="1:43" ht="14.4" x14ac:dyDescent="0.3"/>
    <row r="28183" spans="1:43" ht="14.4" x14ac:dyDescent="0.3"/>
    <row r="28184" spans="1:43" ht="14.4" x14ac:dyDescent="0.3"/>
    <row r="28185" spans="1:43" ht="14.4" x14ac:dyDescent="0.3"/>
    <row r="28186" spans="1:43" ht="14.4" x14ac:dyDescent="0.3"/>
    <row r="28187" spans="1:43" ht="14.4" x14ac:dyDescent="0.3"/>
    <row r="28188" spans="1:43" ht="14.4" x14ac:dyDescent="0.3"/>
    <row r="28189" spans="1:43" ht="14.4" hidden="1" x14ac:dyDescent="0.3">
      <c r="A28189" t="s">
        <v>4675</v>
      </c>
      <c r="B28189">
        <v>4910645</v>
      </c>
      <c r="C28189" t="s">
        <v>135</v>
      </c>
      <c r="D28189" t="s">
        <v>174</v>
      </c>
      <c r="E28189" t="s">
        <v>261</v>
      </c>
      <c r="F28189" t="s">
        <v>695</v>
      </c>
      <c r="H28189" t="s">
        <v>276</v>
      </c>
      <c r="J28189" t="s">
        <v>140</v>
      </c>
      <c r="K28189">
        <v>159120.04</v>
      </c>
      <c r="L28189">
        <v>384659.42</v>
      </c>
      <c r="M28189">
        <v>1</v>
      </c>
      <c r="N28189" t="s">
        <v>696</v>
      </c>
      <c r="O28189" t="s">
        <v>528</v>
      </c>
      <c r="P28189" t="s">
        <v>697</v>
      </c>
      <c r="Q28189" t="s">
        <v>144</v>
      </c>
      <c r="S28189">
        <v>6.8</v>
      </c>
      <c r="T28189">
        <v>800</v>
      </c>
      <c r="V28189" t="s">
        <v>146</v>
      </c>
      <c r="W28189" t="s">
        <v>184</v>
      </c>
      <c r="X28189" t="s">
        <v>7</v>
      </c>
      <c r="Y28189" t="s">
        <v>698</v>
      </c>
      <c r="Z28189" t="s">
        <v>528</v>
      </c>
      <c r="AA28189" t="s">
        <v>312</v>
      </c>
      <c r="AB28189">
        <v>0</v>
      </c>
      <c r="AE28189" t="s">
        <v>763</v>
      </c>
      <c r="AF28189" t="s">
        <v>528</v>
      </c>
      <c r="AG28189" t="s">
        <v>730</v>
      </c>
      <c r="AL28189" t="s">
        <v>4676</v>
      </c>
      <c r="AM28189" t="s">
        <v>4677</v>
      </c>
      <c r="AN28189" t="s">
        <v>4678</v>
      </c>
      <c r="AO28189" t="s">
        <v>696</v>
      </c>
      <c r="AP28189" t="s">
        <v>158</v>
      </c>
      <c r="AQ28189" t="str">
        <f>IF(ISBLANK(AP28189), IFERROR(IF(VLOOKUP(AO28189, Ellens_additions!$A$2:$B$252, 2, FALSE) = "", "", VLOOKUP(AO28189, Ellens_additions!$A$2:$B$252, 2, FALSE)), 0), AP28189)</f>
        <v>3000</v>
      </c>
    </row>
    <row r="28190" spans="1:43" ht="14.4" hidden="1" x14ac:dyDescent="0.3">
      <c r="A28190" t="s">
        <v>4679</v>
      </c>
      <c r="B28190">
        <v>4910647</v>
      </c>
      <c r="C28190" t="s">
        <v>135</v>
      </c>
      <c r="D28190" t="s">
        <v>174</v>
      </c>
      <c r="E28190" t="s">
        <v>261</v>
      </c>
      <c r="F28190" t="s">
        <v>695</v>
      </c>
      <c r="H28190" t="s">
        <v>277</v>
      </c>
      <c r="J28190" t="s">
        <v>140</v>
      </c>
      <c r="K28190">
        <v>159121.12</v>
      </c>
      <c r="L28190">
        <v>384670.81</v>
      </c>
      <c r="M28190">
        <v>1</v>
      </c>
      <c r="N28190" t="s">
        <v>696</v>
      </c>
      <c r="O28190" t="s">
        <v>528</v>
      </c>
      <c r="P28190" t="s">
        <v>697</v>
      </c>
      <c r="Q28190" t="s">
        <v>144</v>
      </c>
      <c r="S28190">
        <v>6.8</v>
      </c>
      <c r="T28190">
        <v>800</v>
      </c>
      <c r="V28190" t="s">
        <v>146</v>
      </c>
      <c r="W28190" t="s">
        <v>184</v>
      </c>
      <c r="X28190" t="s">
        <v>7</v>
      </c>
      <c r="Y28190" t="s">
        <v>698</v>
      </c>
      <c r="Z28190" t="s">
        <v>528</v>
      </c>
      <c r="AA28190" t="s">
        <v>312</v>
      </c>
      <c r="AB28190">
        <v>0</v>
      </c>
      <c r="AE28190" t="s">
        <v>763</v>
      </c>
      <c r="AF28190" t="s">
        <v>528</v>
      </c>
      <c r="AG28190" t="s">
        <v>730</v>
      </c>
      <c r="AL28190" t="s">
        <v>4680</v>
      </c>
      <c r="AM28190" t="s">
        <v>4681</v>
      </c>
      <c r="AN28190" t="s">
        <v>4682</v>
      </c>
      <c r="AO28190" t="s">
        <v>696</v>
      </c>
      <c r="AP28190" t="s">
        <v>158</v>
      </c>
      <c r="AQ28190" t="str">
        <f>IF(ISBLANK(AP28190), IFERROR(IF(VLOOKUP(AO28190, Ellens_additions!$A$2:$B$252, 2, FALSE) = "", "", VLOOKUP(AO28190, Ellens_additions!$A$2:$B$252, 2, FALSE)), 0), AP28190)</f>
        <v>3000</v>
      </c>
    </row>
    <row r="28191" spans="1:43" ht="14.4" x14ac:dyDescent="0.3"/>
    <row r="28192" spans="1:43" ht="14.4" x14ac:dyDescent="0.3"/>
    <row r="28193" ht="14.4" x14ac:dyDescent="0.3"/>
    <row r="28194" ht="14.4" x14ac:dyDescent="0.3"/>
    <row r="28195" ht="14.4" x14ac:dyDescent="0.3"/>
    <row r="28196" ht="14.4" x14ac:dyDescent="0.3"/>
    <row r="28197" ht="14.4" x14ac:dyDescent="0.3"/>
    <row r="28198" ht="14.4" x14ac:dyDescent="0.3"/>
    <row r="28199" ht="14.4" x14ac:dyDescent="0.3"/>
    <row r="28200" ht="14.4" x14ac:dyDescent="0.3"/>
    <row r="28201" ht="14.4" x14ac:dyDescent="0.3"/>
    <row r="28202" ht="14.4" x14ac:dyDescent="0.3"/>
    <row r="28203" ht="14.4" x14ac:dyDescent="0.3"/>
    <row r="28204" ht="14.4" x14ac:dyDescent="0.3"/>
    <row r="28205" ht="14.4" x14ac:dyDescent="0.3"/>
    <row r="28206" ht="14.4" x14ac:dyDescent="0.3"/>
    <row r="28207" ht="14.4" x14ac:dyDescent="0.3"/>
    <row r="28208" ht="14.4" x14ac:dyDescent="0.3"/>
    <row r="28209" ht="14.4" x14ac:dyDescent="0.3"/>
    <row r="28210" ht="14.4" x14ac:dyDescent="0.3"/>
    <row r="28211" ht="14.4" x14ac:dyDescent="0.3"/>
    <row r="28212" ht="14.4" x14ac:dyDescent="0.3"/>
    <row r="28213" ht="14.4" x14ac:dyDescent="0.3"/>
    <row r="28214" ht="14.4" x14ac:dyDescent="0.3"/>
    <row r="28215" ht="14.4" x14ac:dyDescent="0.3"/>
    <row r="28216" ht="14.4" x14ac:dyDescent="0.3"/>
    <row r="28217" ht="14.4" x14ac:dyDescent="0.3"/>
    <row r="28218" ht="14.4" x14ac:dyDescent="0.3"/>
    <row r="28219" ht="14.4" x14ac:dyDescent="0.3"/>
    <row r="28220" ht="14.4" x14ac:dyDescent="0.3"/>
    <row r="28221" ht="14.4" x14ac:dyDescent="0.3"/>
    <row r="28222" ht="14.4" x14ac:dyDescent="0.3"/>
    <row r="28223" ht="14.4" x14ac:dyDescent="0.3"/>
    <row r="28224" ht="14.4" x14ac:dyDescent="0.3"/>
    <row r="28225" spans="1:43" ht="14.4" x14ac:dyDescent="0.3"/>
    <row r="28226" spans="1:43" ht="14.4" x14ac:dyDescent="0.3"/>
    <row r="28227" spans="1:43" ht="14.4" x14ac:dyDescent="0.3"/>
    <row r="28228" spans="1:43" ht="14.4" x14ac:dyDescent="0.3"/>
    <row r="28229" spans="1:43" ht="14.4" x14ac:dyDescent="0.3"/>
    <row r="28230" spans="1:43" ht="14.4" x14ac:dyDescent="0.3"/>
    <row r="28231" spans="1:43" ht="14.4" x14ac:dyDescent="0.3"/>
    <row r="28232" spans="1:43" ht="14.4" x14ac:dyDescent="0.3"/>
    <row r="28233" spans="1:43" ht="14.4" x14ac:dyDescent="0.3"/>
    <row r="28234" spans="1:43" ht="14.4" x14ac:dyDescent="0.3"/>
    <row r="28235" spans="1:43" ht="14.4" x14ac:dyDescent="0.3"/>
    <row r="28236" spans="1:43" ht="14.4" x14ac:dyDescent="0.3"/>
    <row r="28237" spans="1:43" ht="14.4" hidden="1" x14ac:dyDescent="0.3">
      <c r="A28237" t="s">
        <v>4683</v>
      </c>
      <c r="B28237">
        <v>4910778</v>
      </c>
      <c r="C28237" t="s">
        <v>135</v>
      </c>
      <c r="D28237" t="s">
        <v>136</v>
      </c>
      <c r="E28237" t="s">
        <v>2880</v>
      </c>
      <c r="F28237" t="s">
        <v>3035</v>
      </c>
      <c r="H28237" t="s">
        <v>229</v>
      </c>
      <c r="J28237" t="s">
        <v>140</v>
      </c>
      <c r="K28237">
        <v>156486.4988</v>
      </c>
      <c r="L28237">
        <v>383559.92469999997</v>
      </c>
      <c r="M28237">
        <v>1</v>
      </c>
      <c r="N28237" t="s">
        <v>3036</v>
      </c>
      <c r="O28237" t="s">
        <v>790</v>
      </c>
      <c r="P28237" t="s">
        <v>2878</v>
      </c>
      <c r="Q28237" t="s">
        <v>144</v>
      </c>
      <c r="S28237">
        <v>21</v>
      </c>
      <c r="T28237">
        <v>2500</v>
      </c>
      <c r="V28237" t="s">
        <v>146</v>
      </c>
      <c r="W28237" t="s">
        <v>147</v>
      </c>
      <c r="X28237" t="s">
        <v>7</v>
      </c>
      <c r="Y28237" t="s">
        <v>852</v>
      </c>
      <c r="Z28237" t="s">
        <v>790</v>
      </c>
      <c r="AA28237" t="s">
        <v>3037</v>
      </c>
      <c r="AB28237">
        <v>0</v>
      </c>
      <c r="AE28237" t="s">
        <v>853</v>
      </c>
      <c r="AF28237" t="s">
        <v>790</v>
      </c>
      <c r="AG28237" t="s">
        <v>3038</v>
      </c>
      <c r="AL28237" t="s">
        <v>4684</v>
      </c>
      <c r="AM28237" t="s">
        <v>4685</v>
      </c>
      <c r="AN28237" t="s">
        <v>4686</v>
      </c>
      <c r="AO28237" t="s">
        <v>3036</v>
      </c>
      <c r="AP28237" t="s">
        <v>158</v>
      </c>
      <c r="AQ28237" t="str">
        <f>IF(ISBLANK(AP28237), IFERROR(IF(VLOOKUP(AO28237, Ellens_additions!$A$2:$B$252, 2, FALSE) = "", "", VLOOKUP(AO28237, Ellens_additions!$A$2:$B$252, 2, FALSE)), 0), AP28237)</f>
        <v>3000</v>
      </c>
    </row>
    <row r="28238" spans="1:43" ht="14.4" hidden="1" x14ac:dyDescent="0.3">
      <c r="A28238" t="s">
        <v>4687</v>
      </c>
      <c r="B28238">
        <v>4910785</v>
      </c>
      <c r="C28238" t="s">
        <v>135</v>
      </c>
      <c r="D28238" t="s">
        <v>136</v>
      </c>
      <c r="E28238" t="s">
        <v>2880</v>
      </c>
      <c r="F28238" t="s">
        <v>3035</v>
      </c>
      <c r="H28238" t="s">
        <v>255</v>
      </c>
      <c r="J28238" t="s">
        <v>140</v>
      </c>
      <c r="K28238">
        <v>156428.4749</v>
      </c>
      <c r="L28238">
        <v>383616.67820000002</v>
      </c>
      <c r="M28238">
        <v>1</v>
      </c>
      <c r="N28238" t="s">
        <v>3036</v>
      </c>
      <c r="O28238" t="s">
        <v>790</v>
      </c>
      <c r="P28238" t="s">
        <v>2878</v>
      </c>
      <c r="Q28238" t="s">
        <v>144</v>
      </c>
      <c r="S28238">
        <v>21</v>
      </c>
      <c r="T28238">
        <v>2500</v>
      </c>
      <c r="V28238" t="s">
        <v>146</v>
      </c>
      <c r="W28238" t="s">
        <v>147</v>
      </c>
      <c r="X28238" t="s">
        <v>7</v>
      </c>
      <c r="Y28238" t="s">
        <v>852</v>
      </c>
      <c r="Z28238" t="s">
        <v>790</v>
      </c>
      <c r="AA28238" t="s">
        <v>3037</v>
      </c>
      <c r="AB28238">
        <v>0</v>
      </c>
      <c r="AE28238" t="s">
        <v>853</v>
      </c>
      <c r="AF28238" t="s">
        <v>790</v>
      </c>
      <c r="AG28238" t="s">
        <v>3038</v>
      </c>
      <c r="AL28238" t="s">
        <v>4688</v>
      </c>
      <c r="AM28238" t="s">
        <v>4689</v>
      </c>
      <c r="AN28238" t="s">
        <v>4690</v>
      </c>
      <c r="AO28238" t="s">
        <v>3036</v>
      </c>
      <c r="AP28238" t="s">
        <v>158</v>
      </c>
      <c r="AQ28238" t="str">
        <f>IF(ISBLANK(AP28238), IFERROR(IF(VLOOKUP(AO28238, Ellens_additions!$A$2:$B$252, 2, FALSE) = "", "", VLOOKUP(AO28238, Ellens_additions!$A$2:$B$252, 2, FALSE)), 0), AP28238)</f>
        <v>3000</v>
      </c>
    </row>
    <row r="28239" spans="1:43" ht="14.4" x14ac:dyDescent="0.3"/>
    <row r="28240" spans="1:43" ht="14.4" x14ac:dyDescent="0.3"/>
    <row r="28241" ht="14.4" x14ac:dyDescent="0.3"/>
    <row r="28242" ht="14.4" x14ac:dyDescent="0.3"/>
    <row r="28243" ht="14.4" x14ac:dyDescent="0.3"/>
    <row r="28244" ht="14.4" x14ac:dyDescent="0.3"/>
    <row r="28245" ht="14.4" x14ac:dyDescent="0.3"/>
    <row r="28246" ht="14.4" x14ac:dyDescent="0.3"/>
    <row r="28247" ht="14.4" x14ac:dyDescent="0.3"/>
    <row r="28248" ht="14.4" x14ac:dyDescent="0.3"/>
    <row r="28249" ht="14.4" x14ac:dyDescent="0.3"/>
    <row r="28250" ht="14.4" x14ac:dyDescent="0.3"/>
    <row r="28251" ht="14.4" x14ac:dyDescent="0.3"/>
    <row r="28252" ht="14.4" x14ac:dyDescent="0.3"/>
    <row r="28253" ht="14.4" x14ac:dyDescent="0.3"/>
    <row r="28254" ht="14.4" x14ac:dyDescent="0.3"/>
    <row r="28255" ht="14.4" x14ac:dyDescent="0.3"/>
    <row r="28256" ht="14.4" x14ac:dyDescent="0.3"/>
    <row r="28257" ht="14.4" x14ac:dyDescent="0.3"/>
    <row r="28258" ht="14.4" x14ac:dyDescent="0.3"/>
    <row r="28259" ht="14.4" x14ac:dyDescent="0.3"/>
    <row r="28260" ht="14.4" x14ac:dyDescent="0.3"/>
    <row r="28261" ht="14.4" x14ac:dyDescent="0.3"/>
    <row r="28262" ht="14.4" x14ac:dyDescent="0.3"/>
    <row r="28263" ht="14.4" x14ac:dyDescent="0.3"/>
    <row r="28264" ht="14.4" x14ac:dyDescent="0.3"/>
    <row r="28265" ht="14.4" x14ac:dyDescent="0.3"/>
    <row r="28266" ht="14.4" x14ac:dyDescent="0.3"/>
    <row r="28267" ht="14.4" x14ac:dyDescent="0.3"/>
    <row r="28268" ht="14.4" x14ac:dyDescent="0.3"/>
    <row r="28269" ht="14.4" x14ac:dyDescent="0.3"/>
    <row r="28270" ht="14.4" x14ac:dyDescent="0.3"/>
    <row r="28271" ht="14.4" x14ac:dyDescent="0.3"/>
    <row r="28272" ht="14.4" x14ac:dyDescent="0.3"/>
    <row r="28273" ht="14.4" x14ac:dyDescent="0.3"/>
    <row r="28274" ht="14.4" x14ac:dyDescent="0.3"/>
    <row r="28275" ht="14.4" x14ac:dyDescent="0.3"/>
    <row r="28276" ht="14.4" x14ac:dyDescent="0.3"/>
    <row r="28277" ht="14.4" x14ac:dyDescent="0.3"/>
    <row r="28278" ht="14.4" x14ac:dyDescent="0.3"/>
    <row r="28279" ht="14.4" x14ac:dyDescent="0.3"/>
    <row r="28280" ht="14.4" x14ac:dyDescent="0.3"/>
    <row r="28281" ht="14.4" x14ac:dyDescent="0.3"/>
    <row r="28282" ht="14.4" x14ac:dyDescent="0.3"/>
    <row r="28283" ht="14.4" x14ac:dyDescent="0.3"/>
    <row r="28284" ht="14.4" x14ac:dyDescent="0.3"/>
    <row r="28285" ht="14.4" x14ac:dyDescent="0.3"/>
    <row r="28286" ht="14.4" x14ac:dyDescent="0.3"/>
    <row r="28287" ht="14.4" x14ac:dyDescent="0.3"/>
    <row r="28288" ht="14.4" x14ac:dyDescent="0.3"/>
    <row r="28289" ht="14.4" x14ac:dyDescent="0.3"/>
    <row r="28290" ht="14.4" x14ac:dyDescent="0.3"/>
    <row r="28291" ht="14.4" x14ac:dyDescent="0.3"/>
    <row r="28292" ht="14.4" x14ac:dyDescent="0.3"/>
    <row r="28293" ht="14.4" x14ac:dyDescent="0.3"/>
    <row r="28294" ht="14.4" x14ac:dyDescent="0.3"/>
    <row r="28295" ht="14.4" x14ac:dyDescent="0.3"/>
    <row r="28296" ht="14.4" x14ac:dyDescent="0.3"/>
    <row r="28297" ht="14.4" x14ac:dyDescent="0.3"/>
    <row r="28298" ht="14.4" x14ac:dyDescent="0.3"/>
    <row r="28299" ht="14.4" x14ac:dyDescent="0.3"/>
    <row r="28300" ht="14.4" x14ac:dyDescent="0.3"/>
    <row r="28301" ht="14.4" x14ac:dyDescent="0.3"/>
    <row r="28302" ht="14.4" x14ac:dyDescent="0.3"/>
    <row r="28303" ht="14.4" x14ac:dyDescent="0.3"/>
    <row r="28304" ht="14.4" x14ac:dyDescent="0.3"/>
    <row r="28305" ht="14.4" x14ac:dyDescent="0.3"/>
    <row r="28306" ht="14.4" x14ac:dyDescent="0.3"/>
    <row r="28307" ht="14.4" x14ac:dyDescent="0.3"/>
    <row r="28308" ht="14.4" x14ac:dyDescent="0.3"/>
    <row r="28309" ht="14.4" x14ac:dyDescent="0.3"/>
    <row r="28310" ht="14.4" x14ac:dyDescent="0.3"/>
    <row r="28311" ht="14.4" x14ac:dyDescent="0.3"/>
    <row r="28312" ht="14.4" x14ac:dyDescent="0.3"/>
    <row r="28313" ht="14.4" x14ac:dyDescent="0.3"/>
    <row r="28314" ht="14.4" x14ac:dyDescent="0.3"/>
    <row r="28315" ht="14.4" x14ac:dyDescent="0.3"/>
    <row r="28316" ht="14.4" x14ac:dyDescent="0.3"/>
    <row r="28317" ht="14.4" x14ac:dyDescent="0.3"/>
    <row r="28318" ht="14.4" x14ac:dyDescent="0.3"/>
    <row r="28319" ht="14.4" x14ac:dyDescent="0.3"/>
    <row r="28320" ht="14.4" x14ac:dyDescent="0.3"/>
    <row r="28321" ht="14.4" x14ac:dyDescent="0.3"/>
    <row r="28322" ht="14.4" x14ac:dyDescent="0.3"/>
    <row r="28323" ht="14.4" x14ac:dyDescent="0.3"/>
    <row r="28324" ht="14.4" x14ac:dyDescent="0.3"/>
    <row r="28325" ht="14.4" x14ac:dyDescent="0.3"/>
    <row r="28326" ht="14.4" x14ac:dyDescent="0.3"/>
    <row r="28327" ht="14.4" x14ac:dyDescent="0.3"/>
    <row r="28328" ht="14.4" x14ac:dyDescent="0.3"/>
    <row r="28329" ht="14.4" x14ac:dyDescent="0.3"/>
    <row r="28330" ht="14.4" x14ac:dyDescent="0.3"/>
    <row r="28331" ht="14.4" x14ac:dyDescent="0.3"/>
    <row r="28332" ht="14.4" x14ac:dyDescent="0.3"/>
    <row r="28333" ht="14.4" x14ac:dyDescent="0.3"/>
    <row r="28334" ht="14.4" x14ac:dyDescent="0.3"/>
    <row r="28335" ht="14.4" x14ac:dyDescent="0.3"/>
    <row r="28336" ht="14.4" x14ac:dyDescent="0.3"/>
    <row r="28337" ht="14.4" x14ac:dyDescent="0.3"/>
    <row r="28338" ht="14.4" x14ac:dyDescent="0.3"/>
    <row r="28339" ht="14.4" x14ac:dyDescent="0.3"/>
    <row r="28340" ht="14.4" x14ac:dyDescent="0.3"/>
    <row r="28341" ht="14.4" x14ac:dyDescent="0.3"/>
    <row r="28342" ht="14.4" x14ac:dyDescent="0.3"/>
    <row r="28343" ht="14.4" x14ac:dyDescent="0.3"/>
    <row r="28344" ht="14.4" x14ac:dyDescent="0.3"/>
    <row r="28345" ht="14.4" x14ac:dyDescent="0.3"/>
    <row r="28346" ht="14.4" x14ac:dyDescent="0.3"/>
    <row r="28347" ht="14.4" x14ac:dyDescent="0.3"/>
    <row r="28348" ht="14.4" x14ac:dyDescent="0.3"/>
    <row r="28349" ht="14.4" x14ac:dyDescent="0.3"/>
    <row r="28350" ht="14.4" x14ac:dyDescent="0.3"/>
    <row r="28351" ht="14.4" x14ac:dyDescent="0.3"/>
    <row r="28352" ht="14.4" x14ac:dyDescent="0.3"/>
    <row r="28353" ht="14.4" x14ac:dyDescent="0.3"/>
    <row r="28354" ht="14.4" x14ac:dyDescent="0.3"/>
    <row r="28355" ht="14.4" x14ac:dyDescent="0.3"/>
    <row r="28356" ht="14.4" x14ac:dyDescent="0.3"/>
    <row r="28357" ht="14.4" x14ac:dyDescent="0.3"/>
    <row r="28358" ht="14.4" x14ac:dyDescent="0.3"/>
    <row r="28359" ht="14.4" x14ac:dyDescent="0.3"/>
    <row r="28360" ht="14.4" x14ac:dyDescent="0.3"/>
    <row r="28361" ht="14.4" x14ac:dyDescent="0.3"/>
    <row r="28362" ht="14.4" x14ac:dyDescent="0.3"/>
    <row r="28363" ht="14.4" x14ac:dyDescent="0.3"/>
    <row r="28364" ht="14.4" x14ac:dyDescent="0.3"/>
    <row r="28365" ht="14.4" x14ac:dyDescent="0.3"/>
    <row r="28366" ht="14.4" x14ac:dyDescent="0.3"/>
    <row r="28367" ht="14.4" x14ac:dyDescent="0.3"/>
    <row r="28368" ht="14.4" x14ac:dyDescent="0.3"/>
    <row r="28369" ht="14.4" x14ac:dyDescent="0.3"/>
    <row r="28370" ht="14.4" x14ac:dyDescent="0.3"/>
    <row r="28371" ht="14.4" x14ac:dyDescent="0.3"/>
    <row r="28372" ht="14.4" x14ac:dyDescent="0.3"/>
    <row r="28373" ht="14.4" x14ac:dyDescent="0.3"/>
    <row r="28374" ht="14.4" x14ac:dyDescent="0.3"/>
    <row r="28375" ht="14.4" x14ac:dyDescent="0.3"/>
    <row r="28376" ht="14.4" x14ac:dyDescent="0.3"/>
    <row r="28377" ht="14.4" x14ac:dyDescent="0.3"/>
    <row r="28378" ht="14.4" x14ac:dyDescent="0.3"/>
    <row r="28379" ht="14.4" x14ac:dyDescent="0.3"/>
    <row r="28380" ht="14.4" x14ac:dyDescent="0.3"/>
    <row r="28381" ht="14.4" x14ac:dyDescent="0.3"/>
    <row r="28382" ht="14.4" x14ac:dyDescent="0.3"/>
    <row r="28383" ht="14.4" x14ac:dyDescent="0.3"/>
    <row r="28384" ht="14.4" x14ac:dyDescent="0.3"/>
    <row r="28385" ht="14.4" x14ac:dyDescent="0.3"/>
    <row r="28386" ht="14.4" x14ac:dyDescent="0.3"/>
    <row r="28387" ht="14.4" x14ac:dyDescent="0.3"/>
    <row r="28388" ht="14.4" x14ac:dyDescent="0.3"/>
    <row r="28389" ht="14.4" x14ac:dyDescent="0.3"/>
    <row r="28390" ht="14.4" x14ac:dyDescent="0.3"/>
    <row r="28391" ht="14.4" x14ac:dyDescent="0.3"/>
    <row r="28392" ht="14.4" x14ac:dyDescent="0.3"/>
    <row r="28393" ht="14.4" x14ac:dyDescent="0.3"/>
    <row r="28394" ht="14.4" x14ac:dyDescent="0.3"/>
    <row r="28395" ht="14.4" x14ac:dyDescent="0.3"/>
    <row r="28396" ht="14.4" x14ac:dyDescent="0.3"/>
    <row r="28397" ht="14.4" x14ac:dyDescent="0.3"/>
    <row r="28398" ht="14.4" x14ac:dyDescent="0.3"/>
    <row r="28399" ht="14.4" x14ac:dyDescent="0.3"/>
    <row r="28400" ht="14.4" x14ac:dyDescent="0.3"/>
    <row r="28401" ht="14.4" x14ac:dyDescent="0.3"/>
    <row r="28402" ht="14.4" x14ac:dyDescent="0.3"/>
    <row r="28403" ht="14.4" x14ac:dyDescent="0.3"/>
    <row r="28404" ht="14.4" x14ac:dyDescent="0.3"/>
    <row r="28405" ht="14.4" x14ac:dyDescent="0.3"/>
    <row r="28406" ht="14.4" x14ac:dyDescent="0.3"/>
    <row r="28407" ht="14.4" x14ac:dyDescent="0.3"/>
    <row r="28408" ht="14.4" x14ac:dyDescent="0.3"/>
    <row r="28409" ht="14.4" x14ac:dyDescent="0.3"/>
    <row r="28410" ht="14.4" x14ac:dyDescent="0.3"/>
    <row r="28411" ht="14.4" x14ac:dyDescent="0.3"/>
    <row r="28412" ht="14.4" x14ac:dyDescent="0.3"/>
    <row r="28413" ht="14.4" x14ac:dyDescent="0.3"/>
    <row r="28414" ht="14.4" x14ac:dyDescent="0.3"/>
    <row r="28415" ht="14.4" x14ac:dyDescent="0.3"/>
    <row r="28416" ht="14.4" x14ac:dyDescent="0.3"/>
    <row r="28417" ht="14.4" x14ac:dyDescent="0.3"/>
    <row r="28418" ht="14.4" x14ac:dyDescent="0.3"/>
    <row r="28419" ht="14.4" x14ac:dyDescent="0.3"/>
    <row r="28420" ht="14.4" x14ac:dyDescent="0.3"/>
    <row r="28421" ht="14.4" x14ac:dyDescent="0.3"/>
    <row r="28422" ht="14.4" x14ac:dyDescent="0.3"/>
    <row r="28423" ht="14.4" x14ac:dyDescent="0.3"/>
    <row r="28424" ht="14.4" x14ac:dyDescent="0.3"/>
    <row r="28425" ht="14.4" x14ac:dyDescent="0.3"/>
    <row r="28426" ht="14.4" x14ac:dyDescent="0.3"/>
    <row r="28427" ht="14.4" x14ac:dyDescent="0.3"/>
    <row r="28428" ht="14.4" x14ac:dyDescent="0.3"/>
    <row r="28429" ht="14.4" x14ac:dyDescent="0.3"/>
    <row r="28430" ht="14.4" x14ac:dyDescent="0.3"/>
    <row r="28431" ht="14.4" x14ac:dyDescent="0.3"/>
    <row r="28432" ht="14.4" x14ac:dyDescent="0.3"/>
    <row r="28433" ht="14.4" x14ac:dyDescent="0.3"/>
    <row r="28434" ht="14.4" x14ac:dyDescent="0.3"/>
    <row r="28435" ht="14.4" x14ac:dyDescent="0.3"/>
    <row r="28436" ht="14.4" x14ac:dyDescent="0.3"/>
    <row r="28437" ht="14.4" x14ac:dyDescent="0.3"/>
    <row r="28438" ht="14.4" x14ac:dyDescent="0.3"/>
    <row r="28439" ht="14.4" x14ac:dyDescent="0.3"/>
    <row r="28440" ht="14.4" x14ac:dyDescent="0.3"/>
    <row r="28441" ht="14.4" x14ac:dyDescent="0.3"/>
    <row r="28442" ht="14.4" x14ac:dyDescent="0.3"/>
    <row r="28443" ht="14.4" x14ac:dyDescent="0.3"/>
    <row r="28444" ht="14.4" x14ac:dyDescent="0.3"/>
    <row r="28445" ht="14.4" x14ac:dyDescent="0.3"/>
    <row r="28446" ht="14.4" x14ac:dyDescent="0.3"/>
    <row r="28447" ht="14.4" x14ac:dyDescent="0.3"/>
    <row r="28448" ht="14.4" x14ac:dyDescent="0.3"/>
    <row r="28449" ht="14.4" x14ac:dyDescent="0.3"/>
    <row r="28450" ht="14.4" x14ac:dyDescent="0.3"/>
    <row r="28451" ht="14.4" x14ac:dyDescent="0.3"/>
    <row r="28452" ht="14.4" x14ac:dyDescent="0.3"/>
    <row r="28453" ht="14.4" x14ac:dyDescent="0.3"/>
    <row r="28454" ht="14.4" x14ac:dyDescent="0.3"/>
    <row r="28455" ht="14.4" x14ac:dyDescent="0.3"/>
    <row r="28456" ht="14.4" x14ac:dyDescent="0.3"/>
    <row r="28457" ht="14.4" x14ac:dyDescent="0.3"/>
    <row r="28458" ht="14.4" x14ac:dyDescent="0.3"/>
    <row r="28459" ht="14.4" x14ac:dyDescent="0.3"/>
    <row r="28460" ht="14.4" x14ac:dyDescent="0.3"/>
    <row r="28461" ht="14.4" x14ac:dyDescent="0.3"/>
    <row r="28462" ht="14.4" x14ac:dyDescent="0.3"/>
    <row r="28463" ht="14.4" x14ac:dyDescent="0.3"/>
    <row r="28464" ht="14.4" x14ac:dyDescent="0.3"/>
    <row r="28465" ht="14.4" x14ac:dyDescent="0.3"/>
    <row r="28466" ht="14.4" x14ac:dyDescent="0.3"/>
    <row r="28467" ht="14.4" x14ac:dyDescent="0.3"/>
    <row r="28468" ht="14.4" x14ac:dyDescent="0.3"/>
    <row r="28469" ht="14.4" x14ac:dyDescent="0.3"/>
    <row r="28470" ht="14.4" x14ac:dyDescent="0.3"/>
    <row r="28471" ht="14.4" x14ac:dyDescent="0.3"/>
    <row r="28472" ht="14.4" x14ac:dyDescent="0.3"/>
    <row r="28473" ht="14.4" x14ac:dyDescent="0.3"/>
    <row r="28474" ht="14.4" x14ac:dyDescent="0.3"/>
    <row r="28475" ht="14.4" x14ac:dyDescent="0.3"/>
    <row r="28476" ht="14.4" x14ac:dyDescent="0.3"/>
    <row r="28477" ht="14.4" x14ac:dyDescent="0.3"/>
    <row r="28478" ht="14.4" x14ac:dyDescent="0.3"/>
    <row r="28479" ht="14.4" x14ac:dyDescent="0.3"/>
    <row r="28480" ht="14.4" x14ac:dyDescent="0.3"/>
    <row r="28481" ht="14.4" x14ac:dyDescent="0.3"/>
    <row r="28482" ht="14.4" x14ac:dyDescent="0.3"/>
    <row r="28483" ht="14.4" x14ac:dyDescent="0.3"/>
    <row r="28484" ht="14.4" x14ac:dyDescent="0.3"/>
    <row r="28485" ht="14.4" x14ac:dyDescent="0.3"/>
    <row r="28486" ht="14.4" x14ac:dyDescent="0.3"/>
    <row r="28487" ht="14.4" x14ac:dyDescent="0.3"/>
    <row r="28488" ht="14.4" x14ac:dyDescent="0.3"/>
    <row r="28489" ht="14.4" x14ac:dyDescent="0.3"/>
    <row r="28490" ht="14.4" x14ac:dyDescent="0.3"/>
    <row r="28491" ht="14.4" x14ac:dyDescent="0.3"/>
    <row r="28492" ht="14.4" x14ac:dyDescent="0.3"/>
    <row r="28493" ht="14.4" x14ac:dyDescent="0.3"/>
    <row r="28494" ht="14.4" x14ac:dyDescent="0.3"/>
    <row r="28495" ht="14.4" x14ac:dyDescent="0.3"/>
    <row r="28496" ht="14.4" x14ac:dyDescent="0.3"/>
    <row r="28497" ht="14.4" x14ac:dyDescent="0.3"/>
    <row r="28498" ht="14.4" x14ac:dyDescent="0.3"/>
    <row r="28499" ht="14.4" x14ac:dyDescent="0.3"/>
    <row r="28500" ht="14.4" x14ac:dyDescent="0.3"/>
    <row r="28501" ht="14.4" x14ac:dyDescent="0.3"/>
    <row r="28502" ht="14.4" x14ac:dyDescent="0.3"/>
    <row r="28503" ht="14.4" x14ac:dyDescent="0.3"/>
    <row r="28504" ht="14.4" x14ac:dyDescent="0.3"/>
    <row r="28505" ht="14.4" x14ac:dyDescent="0.3"/>
    <row r="28506" ht="14.4" x14ac:dyDescent="0.3"/>
    <row r="28507" ht="14.4" x14ac:dyDescent="0.3"/>
    <row r="28508" ht="14.4" x14ac:dyDescent="0.3"/>
    <row r="28509" ht="14.4" x14ac:dyDescent="0.3"/>
    <row r="28510" ht="14.4" x14ac:dyDescent="0.3"/>
    <row r="28511" ht="14.4" x14ac:dyDescent="0.3"/>
    <row r="28512" ht="14.4" x14ac:dyDescent="0.3"/>
    <row r="28513" ht="14.4" x14ac:dyDescent="0.3"/>
    <row r="28514" ht="14.4" x14ac:dyDescent="0.3"/>
    <row r="28515" ht="14.4" x14ac:dyDescent="0.3"/>
    <row r="28516" ht="14.4" x14ac:dyDescent="0.3"/>
    <row r="28517" ht="14.4" x14ac:dyDescent="0.3"/>
    <row r="28518" ht="14.4" x14ac:dyDescent="0.3"/>
    <row r="28519" ht="14.4" x14ac:dyDescent="0.3"/>
    <row r="28520" ht="14.4" x14ac:dyDescent="0.3"/>
    <row r="28521" ht="14.4" x14ac:dyDescent="0.3"/>
    <row r="28522" ht="14.4" x14ac:dyDescent="0.3"/>
    <row r="28523" ht="14.4" x14ac:dyDescent="0.3"/>
    <row r="28524" ht="14.4" x14ac:dyDescent="0.3"/>
    <row r="28525" ht="14.4" x14ac:dyDescent="0.3"/>
    <row r="28526" ht="14.4" x14ac:dyDescent="0.3"/>
    <row r="28527" ht="14.4" x14ac:dyDescent="0.3"/>
    <row r="28528" ht="14.4" x14ac:dyDescent="0.3"/>
    <row r="28529" ht="14.4" x14ac:dyDescent="0.3"/>
    <row r="28530" ht="14.4" x14ac:dyDescent="0.3"/>
    <row r="28531" ht="14.4" x14ac:dyDescent="0.3"/>
    <row r="28532" ht="14.4" x14ac:dyDescent="0.3"/>
    <row r="28533" ht="14.4" x14ac:dyDescent="0.3"/>
    <row r="28534" ht="14.4" x14ac:dyDescent="0.3"/>
    <row r="28535" ht="14.4" x14ac:dyDescent="0.3"/>
    <row r="28536" ht="14.4" x14ac:dyDescent="0.3"/>
    <row r="28537" ht="14.4" x14ac:dyDescent="0.3"/>
    <row r="28538" ht="14.4" x14ac:dyDescent="0.3"/>
    <row r="28539" ht="14.4" x14ac:dyDescent="0.3"/>
    <row r="28540" ht="14.4" x14ac:dyDescent="0.3"/>
    <row r="28541" ht="14.4" x14ac:dyDescent="0.3"/>
    <row r="28542" ht="14.4" x14ac:dyDescent="0.3"/>
    <row r="28543" ht="14.4" x14ac:dyDescent="0.3"/>
    <row r="28544" ht="14.4" x14ac:dyDescent="0.3"/>
    <row r="28545" ht="14.4" x14ac:dyDescent="0.3"/>
    <row r="28546" ht="14.4" x14ac:dyDescent="0.3"/>
    <row r="28547" ht="14.4" x14ac:dyDescent="0.3"/>
    <row r="28548" ht="14.4" x14ac:dyDescent="0.3"/>
    <row r="28549" ht="14.4" x14ac:dyDescent="0.3"/>
    <row r="28550" ht="14.4" x14ac:dyDescent="0.3"/>
    <row r="28551" ht="14.4" x14ac:dyDescent="0.3"/>
    <row r="28552" ht="14.4" x14ac:dyDescent="0.3"/>
    <row r="28553" ht="14.4" x14ac:dyDescent="0.3"/>
    <row r="28554" ht="14.4" x14ac:dyDescent="0.3"/>
    <row r="28555" ht="14.4" x14ac:dyDescent="0.3"/>
    <row r="28556" ht="14.4" x14ac:dyDescent="0.3"/>
    <row r="28557" ht="14.4" x14ac:dyDescent="0.3"/>
    <row r="28558" ht="14.4" x14ac:dyDescent="0.3"/>
    <row r="28559" ht="14.4" x14ac:dyDescent="0.3"/>
    <row r="28560" ht="14.4" x14ac:dyDescent="0.3"/>
    <row r="28561" ht="14.4" x14ac:dyDescent="0.3"/>
    <row r="28562" ht="14.4" x14ac:dyDescent="0.3"/>
    <row r="28563" ht="14.4" x14ac:dyDescent="0.3"/>
    <row r="28564" ht="14.4" x14ac:dyDescent="0.3"/>
    <row r="28565" ht="14.4" x14ac:dyDescent="0.3"/>
    <row r="28566" ht="14.4" x14ac:dyDescent="0.3"/>
    <row r="28567" ht="14.4" x14ac:dyDescent="0.3"/>
    <row r="28568" ht="14.4" x14ac:dyDescent="0.3"/>
    <row r="28569" ht="14.4" x14ac:dyDescent="0.3"/>
    <row r="28570" ht="14.4" x14ac:dyDescent="0.3"/>
    <row r="28571" ht="14.4" x14ac:dyDescent="0.3"/>
    <row r="28572" ht="14.4" x14ac:dyDescent="0.3"/>
    <row r="28573" ht="14.4" x14ac:dyDescent="0.3"/>
    <row r="28574" ht="14.4" x14ac:dyDescent="0.3"/>
    <row r="28575" ht="14.4" x14ac:dyDescent="0.3"/>
    <row r="28576" ht="14.4" x14ac:dyDescent="0.3"/>
    <row r="28577" ht="14.4" x14ac:dyDescent="0.3"/>
    <row r="28578" ht="14.4" x14ac:dyDescent="0.3"/>
    <row r="28579" ht="14.4" x14ac:dyDescent="0.3"/>
    <row r="28580" ht="14.4" x14ac:dyDescent="0.3"/>
    <row r="28581" ht="14.4" x14ac:dyDescent="0.3"/>
    <row r="28582" ht="14.4" x14ac:dyDescent="0.3"/>
    <row r="28583" ht="14.4" x14ac:dyDescent="0.3"/>
    <row r="28584" ht="14.4" x14ac:dyDescent="0.3"/>
    <row r="28585" ht="14.4" x14ac:dyDescent="0.3"/>
    <row r="28586" ht="14.4" x14ac:dyDescent="0.3"/>
    <row r="28587" ht="14.4" x14ac:dyDescent="0.3"/>
    <row r="28588" ht="14.4" x14ac:dyDescent="0.3"/>
    <row r="28589" ht="14.4" x14ac:dyDescent="0.3"/>
    <row r="28590" ht="14.4" x14ac:dyDescent="0.3"/>
    <row r="28591" ht="14.4" x14ac:dyDescent="0.3"/>
    <row r="28592" ht="14.4" x14ac:dyDescent="0.3"/>
    <row r="28593" ht="14.4" x14ac:dyDescent="0.3"/>
    <row r="28594" ht="14.4" x14ac:dyDescent="0.3"/>
    <row r="28595" ht="14.4" x14ac:dyDescent="0.3"/>
    <row r="28596" ht="14.4" x14ac:dyDescent="0.3"/>
    <row r="28597" ht="14.4" x14ac:dyDescent="0.3"/>
    <row r="28598" ht="14.4" x14ac:dyDescent="0.3"/>
    <row r="28599" ht="14.4" x14ac:dyDescent="0.3"/>
    <row r="28600" ht="14.4" x14ac:dyDescent="0.3"/>
    <row r="28601" ht="14.4" x14ac:dyDescent="0.3"/>
    <row r="28602" ht="14.4" x14ac:dyDescent="0.3"/>
    <row r="28603" ht="14.4" x14ac:dyDescent="0.3"/>
    <row r="28604" ht="14.4" x14ac:dyDescent="0.3"/>
    <row r="28605" ht="14.4" x14ac:dyDescent="0.3"/>
    <row r="28606" ht="14.4" x14ac:dyDescent="0.3"/>
    <row r="28607" ht="14.4" x14ac:dyDescent="0.3"/>
    <row r="28608" ht="14.4" x14ac:dyDescent="0.3"/>
    <row r="28609" ht="14.4" x14ac:dyDescent="0.3"/>
    <row r="28610" ht="14.4" x14ac:dyDescent="0.3"/>
    <row r="28611" ht="14.4" x14ac:dyDescent="0.3"/>
    <row r="28612" ht="14.4" x14ac:dyDescent="0.3"/>
    <row r="28613" ht="14.4" x14ac:dyDescent="0.3"/>
    <row r="28614" ht="14.4" x14ac:dyDescent="0.3"/>
    <row r="28615" ht="14.4" x14ac:dyDescent="0.3"/>
    <row r="28616" ht="14.4" x14ac:dyDescent="0.3"/>
    <row r="28617" ht="14.4" x14ac:dyDescent="0.3"/>
    <row r="28618" ht="14.4" x14ac:dyDescent="0.3"/>
    <row r="28619" ht="14.4" x14ac:dyDescent="0.3"/>
    <row r="28620" ht="14.4" x14ac:dyDescent="0.3"/>
    <row r="28621" ht="14.4" x14ac:dyDescent="0.3"/>
    <row r="28622" ht="14.4" x14ac:dyDescent="0.3"/>
    <row r="28623" ht="14.4" x14ac:dyDescent="0.3"/>
    <row r="28624" ht="14.4" x14ac:dyDescent="0.3"/>
    <row r="28625" ht="14.4" x14ac:dyDescent="0.3"/>
    <row r="28626" ht="14.4" x14ac:dyDescent="0.3"/>
    <row r="28627" ht="14.4" x14ac:dyDescent="0.3"/>
    <row r="28628" ht="14.4" x14ac:dyDescent="0.3"/>
    <row r="28629" ht="14.4" x14ac:dyDescent="0.3"/>
    <row r="28630" ht="14.4" x14ac:dyDescent="0.3"/>
    <row r="28631" ht="14.4" x14ac:dyDescent="0.3"/>
    <row r="28632" ht="14.4" x14ac:dyDescent="0.3"/>
    <row r="28633" ht="14.4" x14ac:dyDescent="0.3"/>
    <row r="28634" ht="14.4" x14ac:dyDescent="0.3"/>
    <row r="28635" ht="14.4" x14ac:dyDescent="0.3"/>
    <row r="28636" ht="14.4" x14ac:dyDescent="0.3"/>
    <row r="28637" ht="14.4" x14ac:dyDescent="0.3"/>
    <row r="28638" ht="14.4" x14ac:dyDescent="0.3"/>
    <row r="28639" ht="14.4" x14ac:dyDescent="0.3"/>
    <row r="28640" ht="14.4" x14ac:dyDescent="0.3"/>
    <row r="28641" ht="14.4" x14ac:dyDescent="0.3"/>
    <row r="28642" ht="14.4" x14ac:dyDescent="0.3"/>
    <row r="28643" ht="14.4" x14ac:dyDescent="0.3"/>
    <row r="28644" ht="14.4" x14ac:dyDescent="0.3"/>
    <row r="28645" ht="14.4" x14ac:dyDescent="0.3"/>
    <row r="28646" ht="14.4" x14ac:dyDescent="0.3"/>
    <row r="28647" ht="14.4" x14ac:dyDescent="0.3"/>
    <row r="28648" ht="14.4" x14ac:dyDescent="0.3"/>
    <row r="28649" ht="14.4" x14ac:dyDescent="0.3"/>
    <row r="28650" ht="14.4" x14ac:dyDescent="0.3"/>
    <row r="28651" ht="14.4" x14ac:dyDescent="0.3"/>
    <row r="28652" ht="14.4" x14ac:dyDescent="0.3"/>
    <row r="28653" ht="14.4" x14ac:dyDescent="0.3"/>
    <row r="28654" ht="14.4" x14ac:dyDescent="0.3"/>
    <row r="28655" ht="14.4" x14ac:dyDescent="0.3"/>
    <row r="28656" ht="14.4" x14ac:dyDescent="0.3"/>
    <row r="28657" ht="14.4" x14ac:dyDescent="0.3"/>
    <row r="28658" ht="14.4" x14ac:dyDescent="0.3"/>
    <row r="28659" ht="14.4" x14ac:dyDescent="0.3"/>
    <row r="28660" ht="14.4" x14ac:dyDescent="0.3"/>
    <row r="28661" ht="14.4" x14ac:dyDescent="0.3"/>
    <row r="28662" ht="14.4" x14ac:dyDescent="0.3"/>
    <row r="28663" ht="14.4" x14ac:dyDescent="0.3"/>
    <row r="28664" ht="14.4" x14ac:dyDescent="0.3"/>
    <row r="28665" ht="14.4" x14ac:dyDescent="0.3"/>
    <row r="28666" ht="14.4" x14ac:dyDescent="0.3"/>
    <row r="28667" ht="14.4" x14ac:dyDescent="0.3"/>
    <row r="28668" ht="14.4" x14ac:dyDescent="0.3"/>
    <row r="28669" ht="14.4" x14ac:dyDescent="0.3"/>
    <row r="28670" ht="14.4" x14ac:dyDescent="0.3"/>
    <row r="28671" ht="14.4" x14ac:dyDescent="0.3"/>
    <row r="28672" ht="14.4" x14ac:dyDescent="0.3"/>
    <row r="28673" ht="14.4" x14ac:dyDescent="0.3"/>
    <row r="28674" ht="14.4" x14ac:dyDescent="0.3"/>
    <row r="28675" ht="14.4" x14ac:dyDescent="0.3"/>
    <row r="28676" ht="14.4" x14ac:dyDescent="0.3"/>
    <row r="28677" ht="14.4" x14ac:dyDescent="0.3"/>
    <row r="28678" ht="14.4" x14ac:dyDescent="0.3"/>
    <row r="28679" ht="14.4" x14ac:dyDescent="0.3"/>
    <row r="28680" ht="14.4" x14ac:dyDescent="0.3"/>
    <row r="28681" ht="14.4" x14ac:dyDescent="0.3"/>
    <row r="28682" ht="14.4" x14ac:dyDescent="0.3"/>
    <row r="28683" ht="14.4" x14ac:dyDescent="0.3"/>
    <row r="28684" ht="14.4" x14ac:dyDescent="0.3"/>
    <row r="28685" ht="14.4" x14ac:dyDescent="0.3"/>
    <row r="28686" ht="14.4" x14ac:dyDescent="0.3"/>
    <row r="28687" ht="14.4" x14ac:dyDescent="0.3"/>
    <row r="28688" ht="14.4" x14ac:dyDescent="0.3"/>
    <row r="28689" ht="14.4" x14ac:dyDescent="0.3"/>
    <row r="28690" ht="14.4" x14ac:dyDescent="0.3"/>
    <row r="28691" ht="14.4" x14ac:dyDescent="0.3"/>
    <row r="28692" ht="14.4" x14ac:dyDescent="0.3"/>
    <row r="28693" ht="14.4" x14ac:dyDescent="0.3"/>
    <row r="28694" ht="14.4" x14ac:dyDescent="0.3"/>
    <row r="28695" ht="14.4" x14ac:dyDescent="0.3"/>
    <row r="28696" ht="14.4" x14ac:dyDescent="0.3"/>
    <row r="28697" ht="14.4" x14ac:dyDescent="0.3"/>
    <row r="28698" ht="14.4" x14ac:dyDescent="0.3"/>
    <row r="28699" ht="14.4" x14ac:dyDescent="0.3"/>
    <row r="28700" ht="14.4" x14ac:dyDescent="0.3"/>
    <row r="28701" ht="14.4" x14ac:dyDescent="0.3"/>
    <row r="28702" ht="14.4" x14ac:dyDescent="0.3"/>
    <row r="28703" ht="14.4" x14ac:dyDescent="0.3"/>
    <row r="28704" ht="14.4" x14ac:dyDescent="0.3"/>
    <row r="28705" ht="14.4" x14ac:dyDescent="0.3"/>
    <row r="28706" ht="14.4" x14ac:dyDescent="0.3"/>
    <row r="28707" ht="14.4" x14ac:dyDescent="0.3"/>
    <row r="28708" ht="14.4" x14ac:dyDescent="0.3"/>
    <row r="28709" ht="14.4" x14ac:dyDescent="0.3"/>
    <row r="28710" ht="14.4" x14ac:dyDescent="0.3"/>
    <row r="28711" ht="14.4" x14ac:dyDescent="0.3"/>
    <row r="28712" ht="14.4" x14ac:dyDescent="0.3"/>
    <row r="28713" ht="14.4" x14ac:dyDescent="0.3"/>
    <row r="28714" ht="14.4" x14ac:dyDescent="0.3"/>
    <row r="28715" ht="14.4" x14ac:dyDescent="0.3"/>
    <row r="28716" ht="14.4" x14ac:dyDescent="0.3"/>
    <row r="28717" ht="14.4" x14ac:dyDescent="0.3"/>
    <row r="28718" ht="14.4" x14ac:dyDescent="0.3"/>
    <row r="28719" ht="14.4" x14ac:dyDescent="0.3"/>
    <row r="28720" ht="14.4" x14ac:dyDescent="0.3"/>
    <row r="28721" ht="14.4" x14ac:dyDescent="0.3"/>
    <row r="28722" ht="14.4" x14ac:dyDescent="0.3"/>
    <row r="28723" ht="14.4" x14ac:dyDescent="0.3"/>
    <row r="28724" ht="14.4" x14ac:dyDescent="0.3"/>
    <row r="28725" ht="14.4" x14ac:dyDescent="0.3"/>
    <row r="28726" ht="14.4" x14ac:dyDescent="0.3"/>
    <row r="28727" ht="14.4" x14ac:dyDescent="0.3"/>
    <row r="28728" ht="14.4" x14ac:dyDescent="0.3"/>
    <row r="28729" ht="14.4" x14ac:dyDescent="0.3"/>
    <row r="28730" ht="14.4" x14ac:dyDescent="0.3"/>
    <row r="28731" ht="14.4" x14ac:dyDescent="0.3"/>
    <row r="28732" ht="14.4" x14ac:dyDescent="0.3"/>
    <row r="28733" ht="14.4" x14ac:dyDescent="0.3"/>
    <row r="28734" ht="14.4" x14ac:dyDescent="0.3"/>
    <row r="28735" ht="14.4" x14ac:dyDescent="0.3"/>
    <row r="28736" ht="14.4" x14ac:dyDescent="0.3"/>
    <row r="28737" ht="14.4" x14ac:dyDescent="0.3"/>
    <row r="28738" ht="14.4" x14ac:dyDescent="0.3"/>
    <row r="28739" ht="14.4" x14ac:dyDescent="0.3"/>
    <row r="28740" ht="14.4" x14ac:dyDescent="0.3"/>
    <row r="28741" ht="14.4" x14ac:dyDescent="0.3"/>
    <row r="28742" ht="14.4" x14ac:dyDescent="0.3"/>
    <row r="28743" ht="14.4" x14ac:dyDescent="0.3"/>
    <row r="28744" ht="14.4" x14ac:dyDescent="0.3"/>
    <row r="28745" ht="14.4" x14ac:dyDescent="0.3"/>
    <row r="28746" ht="14.4" x14ac:dyDescent="0.3"/>
    <row r="28747" ht="14.4" x14ac:dyDescent="0.3"/>
    <row r="28748" ht="14.4" x14ac:dyDescent="0.3"/>
    <row r="28749" ht="14.4" x14ac:dyDescent="0.3"/>
    <row r="28750" ht="14.4" x14ac:dyDescent="0.3"/>
    <row r="28751" ht="14.4" x14ac:dyDescent="0.3"/>
    <row r="28752" ht="14.4" x14ac:dyDescent="0.3"/>
    <row r="28753" ht="14.4" x14ac:dyDescent="0.3"/>
    <row r="28754" ht="14.4" x14ac:dyDescent="0.3"/>
    <row r="28755" ht="14.4" x14ac:dyDescent="0.3"/>
    <row r="28756" ht="14.4" x14ac:dyDescent="0.3"/>
    <row r="28757" ht="14.4" x14ac:dyDescent="0.3"/>
    <row r="28758" ht="14.4" x14ac:dyDescent="0.3"/>
    <row r="28759" ht="14.4" x14ac:dyDescent="0.3"/>
    <row r="28760" ht="14.4" x14ac:dyDescent="0.3"/>
    <row r="28761" ht="14.4" x14ac:dyDescent="0.3"/>
    <row r="28762" ht="14.4" x14ac:dyDescent="0.3"/>
    <row r="28763" ht="14.4" x14ac:dyDescent="0.3"/>
    <row r="28764" ht="14.4" x14ac:dyDescent="0.3"/>
    <row r="28765" ht="14.4" x14ac:dyDescent="0.3"/>
    <row r="28766" ht="14.4" x14ac:dyDescent="0.3"/>
    <row r="28767" ht="14.4" x14ac:dyDescent="0.3"/>
    <row r="28768" ht="14.4" x14ac:dyDescent="0.3"/>
    <row r="28769" ht="14.4" x14ac:dyDescent="0.3"/>
    <row r="28770" ht="14.4" x14ac:dyDescent="0.3"/>
    <row r="28771" ht="14.4" x14ac:dyDescent="0.3"/>
    <row r="28772" ht="14.4" x14ac:dyDescent="0.3"/>
    <row r="28773" ht="14.4" x14ac:dyDescent="0.3"/>
    <row r="28774" ht="14.4" x14ac:dyDescent="0.3"/>
    <row r="28775" ht="14.4" x14ac:dyDescent="0.3"/>
    <row r="28776" ht="14.4" x14ac:dyDescent="0.3"/>
    <row r="28777" ht="14.4" x14ac:dyDescent="0.3"/>
    <row r="28778" ht="14.4" x14ac:dyDescent="0.3"/>
    <row r="28779" ht="14.4" x14ac:dyDescent="0.3"/>
    <row r="28780" ht="14.4" x14ac:dyDescent="0.3"/>
    <row r="28781" ht="14.4" x14ac:dyDescent="0.3"/>
    <row r="28782" ht="14.4" x14ac:dyDescent="0.3"/>
    <row r="28783" ht="14.4" x14ac:dyDescent="0.3"/>
    <row r="28784" ht="14.4" x14ac:dyDescent="0.3"/>
    <row r="28785" ht="14.4" x14ac:dyDescent="0.3"/>
    <row r="28786" ht="14.4" x14ac:dyDescent="0.3"/>
    <row r="28787" ht="14.4" x14ac:dyDescent="0.3"/>
    <row r="28788" ht="14.4" x14ac:dyDescent="0.3"/>
    <row r="28789" ht="14.4" x14ac:dyDescent="0.3"/>
    <row r="28790" ht="14.4" x14ac:dyDescent="0.3"/>
    <row r="28791" ht="14.4" x14ac:dyDescent="0.3"/>
    <row r="28792" ht="14.4" x14ac:dyDescent="0.3"/>
    <row r="28793" ht="14.4" x14ac:dyDescent="0.3"/>
    <row r="28794" ht="14.4" x14ac:dyDescent="0.3"/>
    <row r="28795" ht="14.4" x14ac:dyDescent="0.3"/>
    <row r="28796" ht="14.4" x14ac:dyDescent="0.3"/>
    <row r="28797" ht="14.4" x14ac:dyDescent="0.3"/>
    <row r="28798" ht="14.4" x14ac:dyDescent="0.3"/>
    <row r="28799" ht="14.4" x14ac:dyDescent="0.3"/>
    <row r="28800" ht="14.4" x14ac:dyDescent="0.3"/>
    <row r="28801" ht="14.4" x14ac:dyDescent="0.3"/>
    <row r="28802" ht="14.4" x14ac:dyDescent="0.3"/>
    <row r="28803" ht="14.4" x14ac:dyDescent="0.3"/>
    <row r="28804" ht="14.4" x14ac:dyDescent="0.3"/>
    <row r="28805" ht="14.4" x14ac:dyDescent="0.3"/>
    <row r="28806" ht="14.4" x14ac:dyDescent="0.3"/>
    <row r="28807" ht="14.4" x14ac:dyDescent="0.3"/>
    <row r="28808" ht="14.4" x14ac:dyDescent="0.3"/>
    <row r="28809" ht="14.4" x14ac:dyDescent="0.3"/>
    <row r="28810" ht="14.4" x14ac:dyDescent="0.3"/>
    <row r="28811" ht="14.4" x14ac:dyDescent="0.3"/>
    <row r="28812" ht="14.4" x14ac:dyDescent="0.3"/>
    <row r="28813" ht="14.4" x14ac:dyDescent="0.3"/>
    <row r="28814" ht="14.4" x14ac:dyDescent="0.3"/>
    <row r="28815" ht="14.4" x14ac:dyDescent="0.3"/>
    <row r="28816" ht="14.4" x14ac:dyDescent="0.3"/>
    <row r="28817" ht="14.4" x14ac:dyDescent="0.3"/>
    <row r="28818" ht="14.4" x14ac:dyDescent="0.3"/>
    <row r="28819" ht="14.4" x14ac:dyDescent="0.3"/>
    <row r="28820" ht="14.4" x14ac:dyDescent="0.3"/>
    <row r="28821" ht="14.4" x14ac:dyDescent="0.3"/>
    <row r="28822" ht="14.4" x14ac:dyDescent="0.3"/>
    <row r="28823" ht="14.4" x14ac:dyDescent="0.3"/>
    <row r="28824" ht="14.4" x14ac:dyDescent="0.3"/>
    <row r="28825" ht="14.4" x14ac:dyDescent="0.3"/>
    <row r="28826" ht="14.4" x14ac:dyDescent="0.3"/>
    <row r="28827" ht="14.4" x14ac:dyDescent="0.3"/>
    <row r="28828" ht="14.4" x14ac:dyDescent="0.3"/>
    <row r="28829" ht="14.4" x14ac:dyDescent="0.3"/>
    <row r="28830" ht="14.4" x14ac:dyDescent="0.3"/>
    <row r="28831" ht="14.4" x14ac:dyDescent="0.3"/>
    <row r="28832" ht="14.4" x14ac:dyDescent="0.3"/>
    <row r="28833" ht="14.4" x14ac:dyDescent="0.3"/>
    <row r="28834" ht="14.4" x14ac:dyDescent="0.3"/>
    <row r="28835" ht="14.4" x14ac:dyDescent="0.3"/>
    <row r="28836" ht="14.4" x14ac:dyDescent="0.3"/>
    <row r="28837" ht="14.4" x14ac:dyDescent="0.3"/>
    <row r="28838" ht="14.4" x14ac:dyDescent="0.3"/>
    <row r="28839" ht="14.4" x14ac:dyDescent="0.3"/>
    <row r="28840" ht="14.4" x14ac:dyDescent="0.3"/>
    <row r="28841" ht="14.4" x14ac:dyDescent="0.3"/>
    <row r="28842" ht="14.4" x14ac:dyDescent="0.3"/>
    <row r="28843" ht="14.4" x14ac:dyDescent="0.3"/>
    <row r="28844" ht="14.4" x14ac:dyDescent="0.3"/>
    <row r="28845" ht="14.4" x14ac:dyDescent="0.3"/>
    <row r="28846" ht="14.4" x14ac:dyDescent="0.3"/>
    <row r="28847" ht="14.4" x14ac:dyDescent="0.3"/>
    <row r="28848" ht="14.4" x14ac:dyDescent="0.3"/>
    <row r="28849" ht="14.4" x14ac:dyDescent="0.3"/>
    <row r="28850" ht="14.4" x14ac:dyDescent="0.3"/>
    <row r="28851" ht="14.4" x14ac:dyDescent="0.3"/>
    <row r="28852" ht="14.4" x14ac:dyDescent="0.3"/>
    <row r="28853" ht="14.4" x14ac:dyDescent="0.3"/>
    <row r="28854" ht="14.4" x14ac:dyDescent="0.3"/>
    <row r="28855" ht="14.4" x14ac:dyDescent="0.3"/>
    <row r="28856" ht="14.4" x14ac:dyDescent="0.3"/>
    <row r="28857" ht="14.4" x14ac:dyDescent="0.3"/>
    <row r="28858" ht="14.4" x14ac:dyDescent="0.3"/>
    <row r="28859" ht="14.4" x14ac:dyDescent="0.3"/>
    <row r="28860" ht="14.4" x14ac:dyDescent="0.3"/>
    <row r="28861" ht="14.4" x14ac:dyDescent="0.3"/>
    <row r="28862" ht="14.4" x14ac:dyDescent="0.3"/>
    <row r="28863" ht="14.4" x14ac:dyDescent="0.3"/>
    <row r="28864" ht="14.4" x14ac:dyDescent="0.3"/>
    <row r="28865" ht="14.4" x14ac:dyDescent="0.3"/>
    <row r="28866" ht="14.4" x14ac:dyDescent="0.3"/>
    <row r="28867" ht="14.4" x14ac:dyDescent="0.3"/>
    <row r="28868" ht="14.4" x14ac:dyDescent="0.3"/>
    <row r="28869" ht="14.4" x14ac:dyDescent="0.3"/>
    <row r="28870" ht="14.4" x14ac:dyDescent="0.3"/>
    <row r="28871" ht="14.4" x14ac:dyDescent="0.3"/>
    <row r="28872" ht="14.4" x14ac:dyDescent="0.3"/>
    <row r="28873" ht="14.4" x14ac:dyDescent="0.3"/>
    <row r="28874" ht="14.4" x14ac:dyDescent="0.3"/>
    <row r="28875" ht="14.4" x14ac:dyDescent="0.3"/>
    <row r="28876" ht="14.4" x14ac:dyDescent="0.3"/>
    <row r="28877" ht="14.4" x14ac:dyDescent="0.3"/>
    <row r="28878" ht="14.4" x14ac:dyDescent="0.3"/>
    <row r="28879" ht="14.4" x14ac:dyDescent="0.3"/>
    <row r="28880" ht="14.4" x14ac:dyDescent="0.3"/>
    <row r="28881" ht="14.4" x14ac:dyDescent="0.3"/>
    <row r="28882" ht="14.4" x14ac:dyDescent="0.3"/>
    <row r="28883" ht="14.4" x14ac:dyDescent="0.3"/>
    <row r="28884" ht="14.4" x14ac:dyDescent="0.3"/>
    <row r="28885" ht="14.4" x14ac:dyDescent="0.3"/>
    <row r="28886" ht="14.4" x14ac:dyDescent="0.3"/>
    <row r="28887" ht="14.4" x14ac:dyDescent="0.3"/>
    <row r="28888" ht="14.4" x14ac:dyDescent="0.3"/>
    <row r="28889" ht="14.4" x14ac:dyDescent="0.3"/>
    <row r="28890" ht="14.4" x14ac:dyDescent="0.3"/>
    <row r="28891" ht="14.4" x14ac:dyDescent="0.3"/>
    <row r="28892" ht="14.4" x14ac:dyDescent="0.3"/>
    <row r="28893" ht="14.4" x14ac:dyDescent="0.3"/>
    <row r="28894" ht="14.4" x14ac:dyDescent="0.3"/>
    <row r="28895" ht="14.4" x14ac:dyDescent="0.3"/>
    <row r="28896" ht="14.4" x14ac:dyDescent="0.3"/>
    <row r="28897" ht="14.4" x14ac:dyDescent="0.3"/>
    <row r="28898" ht="14.4" x14ac:dyDescent="0.3"/>
    <row r="28899" ht="14.4" x14ac:dyDescent="0.3"/>
    <row r="28900" ht="14.4" x14ac:dyDescent="0.3"/>
    <row r="28901" ht="14.4" x14ac:dyDescent="0.3"/>
    <row r="28902" ht="14.4" x14ac:dyDescent="0.3"/>
    <row r="28903" ht="14.4" x14ac:dyDescent="0.3"/>
    <row r="28904" ht="14.4" x14ac:dyDescent="0.3"/>
    <row r="28905" ht="14.4" x14ac:dyDescent="0.3"/>
    <row r="28906" ht="14.4" x14ac:dyDescent="0.3"/>
    <row r="28907" ht="14.4" x14ac:dyDescent="0.3"/>
    <row r="28908" ht="14.4" x14ac:dyDescent="0.3"/>
    <row r="28909" ht="14.4" x14ac:dyDescent="0.3"/>
    <row r="28910" ht="14.4" x14ac:dyDescent="0.3"/>
    <row r="28911" ht="14.4" x14ac:dyDescent="0.3"/>
    <row r="28912" ht="14.4" x14ac:dyDescent="0.3"/>
    <row r="28913" ht="14.4" x14ac:dyDescent="0.3"/>
    <row r="28914" ht="14.4" x14ac:dyDescent="0.3"/>
    <row r="28915" ht="14.4" x14ac:dyDescent="0.3"/>
    <row r="28916" ht="14.4" x14ac:dyDescent="0.3"/>
    <row r="28917" ht="14.4" x14ac:dyDescent="0.3"/>
    <row r="28918" ht="14.4" x14ac:dyDescent="0.3"/>
    <row r="28919" ht="14.4" x14ac:dyDescent="0.3"/>
    <row r="28920" ht="14.4" x14ac:dyDescent="0.3"/>
    <row r="28921" ht="14.4" x14ac:dyDescent="0.3"/>
    <row r="28922" ht="14.4" x14ac:dyDescent="0.3"/>
    <row r="28923" ht="14.4" x14ac:dyDescent="0.3"/>
    <row r="28924" ht="14.4" x14ac:dyDescent="0.3"/>
    <row r="28925" ht="14.4" x14ac:dyDescent="0.3"/>
    <row r="28926" ht="14.4" x14ac:dyDescent="0.3"/>
    <row r="28927" ht="14.4" x14ac:dyDescent="0.3"/>
    <row r="28928" ht="14.4" x14ac:dyDescent="0.3"/>
    <row r="28929" ht="14.4" x14ac:dyDescent="0.3"/>
    <row r="28930" ht="14.4" x14ac:dyDescent="0.3"/>
    <row r="28931" ht="14.4" x14ac:dyDescent="0.3"/>
    <row r="28932" ht="14.4" x14ac:dyDescent="0.3"/>
    <row r="28933" ht="14.4" x14ac:dyDescent="0.3"/>
    <row r="28934" ht="14.4" x14ac:dyDescent="0.3"/>
    <row r="28935" ht="14.4" x14ac:dyDescent="0.3"/>
    <row r="28936" ht="14.4" x14ac:dyDescent="0.3"/>
    <row r="28937" ht="14.4" x14ac:dyDescent="0.3"/>
    <row r="28938" ht="14.4" x14ac:dyDescent="0.3"/>
    <row r="28939" ht="14.4" x14ac:dyDescent="0.3"/>
    <row r="28940" ht="14.4" x14ac:dyDescent="0.3"/>
    <row r="28941" ht="14.4" x14ac:dyDescent="0.3"/>
    <row r="28942" ht="14.4" x14ac:dyDescent="0.3"/>
    <row r="28943" ht="14.4" x14ac:dyDescent="0.3"/>
    <row r="28944" ht="14.4" x14ac:dyDescent="0.3"/>
    <row r="28945" ht="14.4" x14ac:dyDescent="0.3"/>
    <row r="28946" ht="14.4" x14ac:dyDescent="0.3"/>
    <row r="28947" ht="14.4" x14ac:dyDescent="0.3"/>
    <row r="28948" ht="14.4" x14ac:dyDescent="0.3"/>
    <row r="28949" ht="14.4" x14ac:dyDescent="0.3"/>
    <row r="28950" ht="14.4" x14ac:dyDescent="0.3"/>
    <row r="28951" ht="14.4" x14ac:dyDescent="0.3"/>
    <row r="28952" ht="14.4" x14ac:dyDescent="0.3"/>
    <row r="28953" ht="14.4" x14ac:dyDescent="0.3"/>
    <row r="28954" ht="14.4" x14ac:dyDescent="0.3"/>
    <row r="28955" ht="14.4" x14ac:dyDescent="0.3"/>
    <row r="28956" ht="14.4" x14ac:dyDescent="0.3"/>
    <row r="28957" ht="14.4" x14ac:dyDescent="0.3"/>
    <row r="28958" ht="14.4" x14ac:dyDescent="0.3"/>
    <row r="28959" ht="14.4" x14ac:dyDescent="0.3"/>
    <row r="28960" ht="14.4" x14ac:dyDescent="0.3"/>
    <row r="28961" ht="14.4" x14ac:dyDescent="0.3"/>
    <row r="28962" ht="14.4" x14ac:dyDescent="0.3"/>
    <row r="28963" ht="14.4" x14ac:dyDescent="0.3"/>
    <row r="28964" ht="14.4" x14ac:dyDescent="0.3"/>
    <row r="28965" ht="14.4" x14ac:dyDescent="0.3"/>
    <row r="28966" ht="14.4" x14ac:dyDescent="0.3"/>
    <row r="28967" ht="14.4" x14ac:dyDescent="0.3"/>
    <row r="28968" ht="14.4" x14ac:dyDescent="0.3"/>
    <row r="28969" ht="14.4" x14ac:dyDescent="0.3"/>
    <row r="28970" ht="14.4" x14ac:dyDescent="0.3"/>
    <row r="28971" ht="14.4" x14ac:dyDescent="0.3"/>
    <row r="28972" ht="14.4" x14ac:dyDescent="0.3"/>
    <row r="28973" ht="14.4" x14ac:dyDescent="0.3"/>
    <row r="28974" ht="14.4" x14ac:dyDescent="0.3"/>
    <row r="28975" ht="14.4" x14ac:dyDescent="0.3"/>
    <row r="28976" ht="14.4" x14ac:dyDescent="0.3"/>
    <row r="28977" ht="14.4" x14ac:dyDescent="0.3"/>
    <row r="28978" ht="14.4" x14ac:dyDescent="0.3"/>
    <row r="28979" ht="14.4" x14ac:dyDescent="0.3"/>
    <row r="28980" ht="14.4" x14ac:dyDescent="0.3"/>
    <row r="28981" ht="14.4" x14ac:dyDescent="0.3"/>
    <row r="28982" ht="14.4" x14ac:dyDescent="0.3"/>
    <row r="28983" ht="14.4" x14ac:dyDescent="0.3"/>
    <row r="28984" ht="14.4" x14ac:dyDescent="0.3"/>
    <row r="28985" ht="14.4" x14ac:dyDescent="0.3"/>
    <row r="28986" ht="14.4" x14ac:dyDescent="0.3"/>
    <row r="28987" ht="14.4" x14ac:dyDescent="0.3"/>
    <row r="28988" ht="14.4" x14ac:dyDescent="0.3"/>
    <row r="28989" ht="14.4" x14ac:dyDescent="0.3"/>
    <row r="28990" ht="14.4" x14ac:dyDescent="0.3"/>
    <row r="28991" ht="14.4" x14ac:dyDescent="0.3"/>
    <row r="28992" ht="14.4" x14ac:dyDescent="0.3"/>
    <row r="28993" ht="14.4" x14ac:dyDescent="0.3"/>
    <row r="28994" ht="14.4" x14ac:dyDescent="0.3"/>
    <row r="28995" ht="14.4" x14ac:dyDescent="0.3"/>
    <row r="28996" ht="14.4" x14ac:dyDescent="0.3"/>
    <row r="28997" ht="14.4" x14ac:dyDescent="0.3"/>
    <row r="28998" ht="14.4" x14ac:dyDescent="0.3"/>
    <row r="28999" ht="14.4" x14ac:dyDescent="0.3"/>
    <row r="29000" ht="14.4" x14ac:dyDescent="0.3"/>
    <row r="29001" ht="14.4" x14ac:dyDescent="0.3"/>
    <row r="29002" ht="14.4" x14ac:dyDescent="0.3"/>
    <row r="29003" ht="14.4" x14ac:dyDescent="0.3"/>
    <row r="29004" ht="14.4" x14ac:dyDescent="0.3"/>
    <row r="29005" ht="14.4" x14ac:dyDescent="0.3"/>
    <row r="29006" ht="14.4" x14ac:dyDescent="0.3"/>
    <row r="29007" ht="14.4" x14ac:dyDescent="0.3"/>
    <row r="29008" ht="14.4" x14ac:dyDescent="0.3"/>
    <row r="29009" ht="14.4" x14ac:dyDescent="0.3"/>
    <row r="29010" ht="14.4" x14ac:dyDescent="0.3"/>
    <row r="29011" ht="14.4" x14ac:dyDescent="0.3"/>
    <row r="29012" ht="14.4" x14ac:dyDescent="0.3"/>
    <row r="29013" ht="14.4" x14ac:dyDescent="0.3"/>
    <row r="29014" ht="14.4" x14ac:dyDescent="0.3"/>
    <row r="29015" ht="14.4" x14ac:dyDescent="0.3"/>
    <row r="29016" ht="14.4" x14ac:dyDescent="0.3"/>
    <row r="29017" ht="14.4" x14ac:dyDescent="0.3"/>
    <row r="29018" ht="14.4" x14ac:dyDescent="0.3"/>
    <row r="29019" ht="14.4" x14ac:dyDescent="0.3"/>
    <row r="29020" ht="14.4" x14ac:dyDescent="0.3"/>
    <row r="29021" ht="14.4" x14ac:dyDescent="0.3"/>
    <row r="29022" ht="14.4" x14ac:dyDescent="0.3"/>
    <row r="29023" ht="14.4" x14ac:dyDescent="0.3"/>
    <row r="29024" ht="14.4" x14ac:dyDescent="0.3"/>
    <row r="29025" ht="14.4" x14ac:dyDescent="0.3"/>
    <row r="29026" ht="14.4" x14ac:dyDescent="0.3"/>
    <row r="29027" ht="14.4" x14ac:dyDescent="0.3"/>
    <row r="29028" ht="14.4" x14ac:dyDescent="0.3"/>
    <row r="29029" ht="14.4" x14ac:dyDescent="0.3"/>
    <row r="29030" ht="14.4" x14ac:dyDescent="0.3"/>
    <row r="29031" ht="14.4" x14ac:dyDescent="0.3"/>
    <row r="29032" ht="14.4" x14ac:dyDescent="0.3"/>
    <row r="29033" ht="14.4" x14ac:dyDescent="0.3"/>
    <row r="29034" ht="14.4" x14ac:dyDescent="0.3"/>
    <row r="29035" ht="14.4" x14ac:dyDescent="0.3"/>
    <row r="29036" ht="14.4" x14ac:dyDescent="0.3"/>
    <row r="29037" ht="14.4" x14ac:dyDescent="0.3"/>
    <row r="29038" ht="14.4" x14ac:dyDescent="0.3"/>
    <row r="29039" ht="14.4" x14ac:dyDescent="0.3"/>
    <row r="29040" ht="14.4" x14ac:dyDescent="0.3"/>
    <row r="29041" ht="14.4" x14ac:dyDescent="0.3"/>
    <row r="29042" ht="14.4" x14ac:dyDescent="0.3"/>
    <row r="29043" ht="14.4" x14ac:dyDescent="0.3"/>
    <row r="29044" ht="14.4" x14ac:dyDescent="0.3"/>
    <row r="29045" ht="14.4" x14ac:dyDescent="0.3"/>
    <row r="29046" ht="14.4" x14ac:dyDescent="0.3"/>
    <row r="29047" ht="14.4" x14ac:dyDescent="0.3"/>
    <row r="29048" ht="14.4" x14ac:dyDescent="0.3"/>
    <row r="29049" ht="14.4" x14ac:dyDescent="0.3"/>
    <row r="29050" ht="14.4" x14ac:dyDescent="0.3"/>
    <row r="29051" ht="14.4" x14ac:dyDescent="0.3"/>
    <row r="29052" ht="14.4" x14ac:dyDescent="0.3"/>
    <row r="29053" ht="14.4" x14ac:dyDescent="0.3"/>
    <row r="29054" ht="14.4" x14ac:dyDescent="0.3"/>
    <row r="29055" ht="14.4" x14ac:dyDescent="0.3"/>
    <row r="29056" ht="14.4" x14ac:dyDescent="0.3"/>
    <row r="29057" ht="14.4" x14ac:dyDescent="0.3"/>
    <row r="29058" ht="14.4" x14ac:dyDescent="0.3"/>
    <row r="29059" ht="14.4" x14ac:dyDescent="0.3"/>
    <row r="29060" ht="14.4" x14ac:dyDescent="0.3"/>
    <row r="29061" ht="14.4" x14ac:dyDescent="0.3"/>
    <row r="29062" ht="14.4" x14ac:dyDescent="0.3"/>
    <row r="29063" ht="14.4" x14ac:dyDescent="0.3"/>
    <row r="29064" ht="14.4" x14ac:dyDescent="0.3"/>
    <row r="29065" ht="14.4" x14ac:dyDescent="0.3"/>
    <row r="29066" ht="14.4" x14ac:dyDescent="0.3"/>
    <row r="29067" ht="14.4" x14ac:dyDescent="0.3"/>
    <row r="29068" ht="14.4" x14ac:dyDescent="0.3"/>
    <row r="29069" ht="14.4" x14ac:dyDescent="0.3"/>
    <row r="29070" ht="14.4" x14ac:dyDescent="0.3"/>
    <row r="29071" ht="14.4" x14ac:dyDescent="0.3"/>
    <row r="29072" ht="14.4" x14ac:dyDescent="0.3"/>
    <row r="29073" ht="14.4" x14ac:dyDescent="0.3"/>
    <row r="29074" ht="14.4" x14ac:dyDescent="0.3"/>
    <row r="29075" ht="14.4" x14ac:dyDescent="0.3"/>
    <row r="29076" ht="14.4" x14ac:dyDescent="0.3"/>
    <row r="29077" ht="14.4" x14ac:dyDescent="0.3"/>
    <row r="29078" ht="14.4" x14ac:dyDescent="0.3"/>
    <row r="29079" ht="14.4" x14ac:dyDescent="0.3"/>
    <row r="29080" ht="14.4" x14ac:dyDescent="0.3"/>
    <row r="29081" ht="14.4" x14ac:dyDescent="0.3"/>
    <row r="29082" ht="14.4" x14ac:dyDescent="0.3"/>
    <row r="29083" ht="14.4" x14ac:dyDescent="0.3"/>
    <row r="29084" ht="14.4" x14ac:dyDescent="0.3"/>
    <row r="29085" ht="14.4" x14ac:dyDescent="0.3"/>
    <row r="29086" ht="14.4" x14ac:dyDescent="0.3"/>
    <row r="29087" ht="14.4" x14ac:dyDescent="0.3"/>
    <row r="29088" ht="14.4" x14ac:dyDescent="0.3"/>
    <row r="29089" ht="14.4" x14ac:dyDescent="0.3"/>
    <row r="29090" ht="14.4" x14ac:dyDescent="0.3"/>
    <row r="29091" ht="14.4" x14ac:dyDescent="0.3"/>
    <row r="29092" ht="14.4" x14ac:dyDescent="0.3"/>
    <row r="29093" ht="14.4" x14ac:dyDescent="0.3"/>
    <row r="29094" ht="14.4" x14ac:dyDescent="0.3"/>
    <row r="29095" ht="14.4" x14ac:dyDescent="0.3"/>
    <row r="29096" ht="14.4" x14ac:dyDescent="0.3"/>
    <row r="29097" ht="14.4" x14ac:dyDescent="0.3"/>
    <row r="29098" ht="14.4" x14ac:dyDescent="0.3"/>
    <row r="29099" ht="14.4" x14ac:dyDescent="0.3"/>
    <row r="29100" ht="14.4" x14ac:dyDescent="0.3"/>
    <row r="29101" ht="14.4" x14ac:dyDescent="0.3"/>
    <row r="29102" ht="14.4" x14ac:dyDescent="0.3"/>
    <row r="29103" ht="14.4" x14ac:dyDescent="0.3"/>
    <row r="29104" ht="14.4" x14ac:dyDescent="0.3"/>
    <row r="29105" ht="14.4" x14ac:dyDescent="0.3"/>
    <row r="29106" ht="14.4" x14ac:dyDescent="0.3"/>
    <row r="29107" ht="14.4" x14ac:dyDescent="0.3"/>
    <row r="29108" ht="14.4" x14ac:dyDescent="0.3"/>
    <row r="29109" ht="14.4" x14ac:dyDescent="0.3"/>
    <row r="29110" ht="14.4" x14ac:dyDescent="0.3"/>
    <row r="29111" ht="14.4" x14ac:dyDescent="0.3"/>
    <row r="29112" ht="14.4" x14ac:dyDescent="0.3"/>
    <row r="29113" ht="14.4" x14ac:dyDescent="0.3"/>
    <row r="29114" ht="14.4" x14ac:dyDescent="0.3"/>
    <row r="29115" ht="14.4" x14ac:dyDescent="0.3"/>
    <row r="29116" ht="14.4" x14ac:dyDescent="0.3"/>
    <row r="29117" ht="14.4" x14ac:dyDescent="0.3"/>
    <row r="29118" ht="14.4" x14ac:dyDescent="0.3"/>
    <row r="29119" ht="14.4" x14ac:dyDescent="0.3"/>
    <row r="29120" ht="14.4" x14ac:dyDescent="0.3"/>
    <row r="29121" ht="14.4" x14ac:dyDescent="0.3"/>
    <row r="29122" ht="14.4" x14ac:dyDescent="0.3"/>
    <row r="29123" ht="14.4" x14ac:dyDescent="0.3"/>
    <row r="29124" ht="14.4" x14ac:dyDescent="0.3"/>
    <row r="29125" ht="14.4" x14ac:dyDescent="0.3"/>
    <row r="29126" ht="14.4" x14ac:dyDescent="0.3"/>
    <row r="29127" ht="14.4" x14ac:dyDescent="0.3"/>
    <row r="29128" ht="14.4" x14ac:dyDescent="0.3"/>
    <row r="29129" ht="14.4" x14ac:dyDescent="0.3"/>
    <row r="29130" ht="14.4" x14ac:dyDescent="0.3"/>
    <row r="29131" ht="14.4" x14ac:dyDescent="0.3"/>
    <row r="29132" ht="14.4" x14ac:dyDescent="0.3"/>
    <row r="29133" ht="14.4" x14ac:dyDescent="0.3"/>
    <row r="29134" ht="14.4" x14ac:dyDescent="0.3"/>
    <row r="29135" ht="14.4" x14ac:dyDescent="0.3"/>
    <row r="29136" ht="14.4" x14ac:dyDescent="0.3"/>
    <row r="29137" ht="14.4" x14ac:dyDescent="0.3"/>
    <row r="29138" ht="14.4" x14ac:dyDescent="0.3"/>
    <row r="29139" ht="14.4" x14ac:dyDescent="0.3"/>
    <row r="29140" ht="14.4" x14ac:dyDescent="0.3"/>
    <row r="29141" ht="14.4" x14ac:dyDescent="0.3"/>
    <row r="29142" ht="14.4" x14ac:dyDescent="0.3"/>
    <row r="29143" ht="14.4" x14ac:dyDescent="0.3"/>
    <row r="29144" ht="14.4" x14ac:dyDescent="0.3"/>
    <row r="29145" ht="14.4" x14ac:dyDescent="0.3"/>
    <row r="29146" ht="14.4" x14ac:dyDescent="0.3"/>
    <row r="29147" ht="14.4" x14ac:dyDescent="0.3"/>
    <row r="29148" ht="14.4" x14ac:dyDescent="0.3"/>
    <row r="29149" ht="14.4" x14ac:dyDescent="0.3"/>
    <row r="29150" ht="14.4" x14ac:dyDescent="0.3"/>
    <row r="29151" ht="14.4" x14ac:dyDescent="0.3"/>
    <row r="29152" ht="14.4" x14ac:dyDescent="0.3"/>
    <row r="29153" ht="14.4" x14ac:dyDescent="0.3"/>
    <row r="29154" ht="14.4" x14ac:dyDescent="0.3"/>
    <row r="29155" ht="14.4" x14ac:dyDescent="0.3"/>
    <row r="29156" ht="14.4" x14ac:dyDescent="0.3"/>
    <row r="29157" ht="14.4" x14ac:dyDescent="0.3"/>
    <row r="29158" ht="14.4" x14ac:dyDescent="0.3"/>
    <row r="29159" ht="14.4" x14ac:dyDescent="0.3"/>
    <row r="29160" ht="14.4" x14ac:dyDescent="0.3"/>
    <row r="29161" ht="14.4" x14ac:dyDescent="0.3"/>
    <row r="29162" ht="14.4" x14ac:dyDescent="0.3"/>
    <row r="29163" ht="14.4" x14ac:dyDescent="0.3"/>
    <row r="29164" ht="14.4" x14ac:dyDescent="0.3"/>
    <row r="29165" ht="14.4" x14ac:dyDescent="0.3"/>
    <row r="29166" ht="14.4" x14ac:dyDescent="0.3"/>
    <row r="29167" ht="14.4" x14ac:dyDescent="0.3"/>
    <row r="29168" ht="14.4" x14ac:dyDescent="0.3"/>
    <row r="29169" ht="14.4" x14ac:dyDescent="0.3"/>
    <row r="29170" ht="14.4" x14ac:dyDescent="0.3"/>
    <row r="29171" ht="14.4" x14ac:dyDescent="0.3"/>
    <row r="29172" ht="14.4" x14ac:dyDescent="0.3"/>
    <row r="29173" ht="14.4" x14ac:dyDescent="0.3"/>
    <row r="29174" ht="14.4" x14ac:dyDescent="0.3"/>
    <row r="29175" ht="14.4" x14ac:dyDescent="0.3"/>
    <row r="29176" ht="14.4" x14ac:dyDescent="0.3"/>
    <row r="29177" ht="14.4" x14ac:dyDescent="0.3"/>
    <row r="29178" ht="14.4" x14ac:dyDescent="0.3"/>
    <row r="29179" ht="14.4" x14ac:dyDescent="0.3"/>
    <row r="29180" ht="14.4" x14ac:dyDescent="0.3"/>
    <row r="29181" ht="14.4" x14ac:dyDescent="0.3"/>
    <row r="29182" ht="14.4" x14ac:dyDescent="0.3"/>
    <row r="29183" ht="14.4" x14ac:dyDescent="0.3"/>
    <row r="29184" ht="14.4" x14ac:dyDescent="0.3"/>
    <row r="29185" ht="14.4" x14ac:dyDescent="0.3"/>
    <row r="29186" ht="14.4" x14ac:dyDescent="0.3"/>
    <row r="29187" ht="14.4" x14ac:dyDescent="0.3"/>
    <row r="29188" ht="14.4" x14ac:dyDescent="0.3"/>
    <row r="29189" ht="14.4" x14ac:dyDescent="0.3"/>
    <row r="29190" ht="14.4" x14ac:dyDescent="0.3"/>
    <row r="29191" ht="14.4" x14ac:dyDescent="0.3"/>
    <row r="29192" ht="14.4" x14ac:dyDescent="0.3"/>
    <row r="29193" ht="14.4" x14ac:dyDescent="0.3"/>
    <row r="29194" ht="14.4" x14ac:dyDescent="0.3"/>
    <row r="29195" ht="14.4" x14ac:dyDescent="0.3"/>
    <row r="29196" ht="14.4" x14ac:dyDescent="0.3"/>
    <row r="29197" ht="14.4" x14ac:dyDescent="0.3"/>
    <row r="29198" ht="14.4" x14ac:dyDescent="0.3"/>
    <row r="29199" ht="14.4" x14ac:dyDescent="0.3"/>
    <row r="29200" ht="14.4" x14ac:dyDescent="0.3"/>
    <row r="29201" ht="14.4" x14ac:dyDescent="0.3"/>
    <row r="29202" ht="14.4" x14ac:dyDescent="0.3"/>
    <row r="29203" ht="14.4" x14ac:dyDescent="0.3"/>
    <row r="29204" ht="14.4" x14ac:dyDescent="0.3"/>
    <row r="29205" ht="14.4" x14ac:dyDescent="0.3"/>
    <row r="29206" ht="14.4" x14ac:dyDescent="0.3"/>
    <row r="29207" ht="14.4" x14ac:dyDescent="0.3"/>
    <row r="29208" ht="14.4" x14ac:dyDescent="0.3"/>
    <row r="29209" ht="14.4" x14ac:dyDescent="0.3"/>
    <row r="29210" ht="14.4" x14ac:dyDescent="0.3"/>
    <row r="29211" ht="14.4" x14ac:dyDescent="0.3"/>
    <row r="29212" ht="14.4" x14ac:dyDescent="0.3"/>
    <row r="29213" ht="14.4" x14ac:dyDescent="0.3"/>
    <row r="29214" ht="14.4" x14ac:dyDescent="0.3"/>
    <row r="29215" ht="14.4" x14ac:dyDescent="0.3"/>
    <row r="29216" ht="14.4" x14ac:dyDescent="0.3"/>
    <row r="29217" ht="14.4" x14ac:dyDescent="0.3"/>
    <row r="29218" ht="14.4" x14ac:dyDescent="0.3"/>
    <row r="29219" ht="14.4" x14ac:dyDescent="0.3"/>
    <row r="29220" ht="14.4" x14ac:dyDescent="0.3"/>
    <row r="29221" ht="14.4" x14ac:dyDescent="0.3"/>
    <row r="29222" ht="14.4" x14ac:dyDescent="0.3"/>
    <row r="29223" ht="14.4" x14ac:dyDescent="0.3"/>
    <row r="29224" ht="14.4" x14ac:dyDescent="0.3"/>
    <row r="29225" ht="14.4" x14ac:dyDescent="0.3"/>
    <row r="29226" ht="14.4" x14ac:dyDescent="0.3"/>
    <row r="29227" ht="14.4" x14ac:dyDescent="0.3"/>
    <row r="29228" ht="14.4" x14ac:dyDescent="0.3"/>
    <row r="29229" ht="14.4" x14ac:dyDescent="0.3"/>
    <row r="29230" ht="14.4" x14ac:dyDescent="0.3"/>
    <row r="29231" ht="14.4" x14ac:dyDescent="0.3"/>
    <row r="29232" ht="14.4" x14ac:dyDescent="0.3"/>
    <row r="29233" ht="14.4" x14ac:dyDescent="0.3"/>
    <row r="29234" ht="14.4" x14ac:dyDescent="0.3"/>
    <row r="29235" ht="14.4" x14ac:dyDescent="0.3"/>
    <row r="29236" ht="14.4" x14ac:dyDescent="0.3"/>
    <row r="29237" ht="14.4" x14ac:dyDescent="0.3"/>
    <row r="29238" ht="14.4" x14ac:dyDescent="0.3"/>
    <row r="29239" ht="14.4" x14ac:dyDescent="0.3"/>
    <row r="29240" ht="14.4" x14ac:dyDescent="0.3"/>
    <row r="29241" ht="14.4" x14ac:dyDescent="0.3"/>
    <row r="29242" ht="14.4" x14ac:dyDescent="0.3"/>
    <row r="29243" ht="14.4" x14ac:dyDescent="0.3"/>
    <row r="29244" ht="14.4" x14ac:dyDescent="0.3"/>
    <row r="29245" ht="14.4" x14ac:dyDescent="0.3"/>
    <row r="29246" ht="14.4" x14ac:dyDescent="0.3"/>
    <row r="29247" ht="14.4" x14ac:dyDescent="0.3"/>
    <row r="29248" ht="14.4" x14ac:dyDescent="0.3"/>
    <row r="29249" ht="14.4" x14ac:dyDescent="0.3"/>
    <row r="29250" ht="14.4" x14ac:dyDescent="0.3"/>
    <row r="29251" ht="14.4" x14ac:dyDescent="0.3"/>
    <row r="29252" ht="14.4" x14ac:dyDescent="0.3"/>
    <row r="29253" ht="14.4" x14ac:dyDescent="0.3"/>
    <row r="29254" ht="14.4" x14ac:dyDescent="0.3"/>
    <row r="29255" ht="14.4" x14ac:dyDescent="0.3"/>
    <row r="29256" ht="14.4" x14ac:dyDescent="0.3"/>
    <row r="29257" ht="14.4" x14ac:dyDescent="0.3"/>
    <row r="29258" ht="14.4" x14ac:dyDescent="0.3"/>
    <row r="29259" ht="14.4" x14ac:dyDescent="0.3"/>
    <row r="29260" ht="14.4" x14ac:dyDescent="0.3"/>
    <row r="29261" ht="14.4" x14ac:dyDescent="0.3"/>
    <row r="29262" ht="14.4" x14ac:dyDescent="0.3"/>
    <row r="29263" ht="14.4" x14ac:dyDescent="0.3"/>
    <row r="29264" ht="14.4" x14ac:dyDescent="0.3"/>
    <row r="29265" ht="14.4" x14ac:dyDescent="0.3"/>
    <row r="29266" ht="14.4" x14ac:dyDescent="0.3"/>
    <row r="29267" ht="14.4" x14ac:dyDescent="0.3"/>
    <row r="29268" ht="14.4" x14ac:dyDescent="0.3"/>
    <row r="29269" ht="14.4" x14ac:dyDescent="0.3"/>
    <row r="29270" ht="14.4" x14ac:dyDescent="0.3"/>
    <row r="29271" ht="14.4" x14ac:dyDescent="0.3"/>
    <row r="29272" ht="14.4" x14ac:dyDescent="0.3"/>
    <row r="29273" ht="14.4" x14ac:dyDescent="0.3"/>
    <row r="29274" ht="14.4" x14ac:dyDescent="0.3"/>
    <row r="29275" ht="14.4" x14ac:dyDescent="0.3"/>
    <row r="29276" ht="14.4" x14ac:dyDescent="0.3"/>
    <row r="29277" ht="14.4" x14ac:dyDescent="0.3"/>
    <row r="29278" ht="14.4" x14ac:dyDescent="0.3"/>
    <row r="29279" ht="14.4" x14ac:dyDescent="0.3"/>
    <row r="29280" ht="14.4" x14ac:dyDescent="0.3"/>
    <row r="29281" ht="14.4" x14ac:dyDescent="0.3"/>
    <row r="29282" ht="14.4" x14ac:dyDescent="0.3"/>
    <row r="29283" ht="14.4" x14ac:dyDescent="0.3"/>
    <row r="29284" ht="14.4" x14ac:dyDescent="0.3"/>
    <row r="29285" ht="14.4" x14ac:dyDescent="0.3"/>
    <row r="29286" ht="14.4" x14ac:dyDescent="0.3"/>
    <row r="29287" ht="14.4" x14ac:dyDescent="0.3"/>
    <row r="29288" ht="14.4" x14ac:dyDescent="0.3"/>
    <row r="29289" ht="14.4" x14ac:dyDescent="0.3"/>
    <row r="29290" ht="14.4" x14ac:dyDescent="0.3"/>
    <row r="29291" ht="14.4" x14ac:dyDescent="0.3"/>
    <row r="29292" ht="14.4" x14ac:dyDescent="0.3"/>
    <row r="29293" ht="14.4" x14ac:dyDescent="0.3"/>
    <row r="29294" ht="14.4" x14ac:dyDescent="0.3"/>
    <row r="29295" ht="14.4" x14ac:dyDescent="0.3"/>
    <row r="29296" ht="14.4" x14ac:dyDescent="0.3"/>
    <row r="29297" ht="14.4" x14ac:dyDescent="0.3"/>
    <row r="29298" ht="14.4" x14ac:dyDescent="0.3"/>
    <row r="29299" ht="14.4" x14ac:dyDescent="0.3"/>
    <row r="29300" ht="14.4" x14ac:dyDescent="0.3"/>
    <row r="29301" ht="14.4" x14ac:dyDescent="0.3"/>
    <row r="29302" ht="14.4" x14ac:dyDescent="0.3"/>
    <row r="29303" ht="14.4" x14ac:dyDescent="0.3"/>
    <row r="29304" ht="14.4" x14ac:dyDescent="0.3"/>
    <row r="29305" ht="14.4" x14ac:dyDescent="0.3"/>
    <row r="29306" ht="14.4" x14ac:dyDescent="0.3"/>
    <row r="29307" ht="14.4" x14ac:dyDescent="0.3"/>
    <row r="29308" ht="14.4" x14ac:dyDescent="0.3"/>
    <row r="29309" ht="14.4" x14ac:dyDescent="0.3"/>
    <row r="29310" ht="14.4" x14ac:dyDescent="0.3"/>
    <row r="29311" ht="14.4" x14ac:dyDescent="0.3"/>
    <row r="29312" ht="14.4" x14ac:dyDescent="0.3"/>
    <row r="29313" ht="14.4" x14ac:dyDescent="0.3"/>
    <row r="29314" ht="14.4" x14ac:dyDescent="0.3"/>
    <row r="29315" ht="14.4" x14ac:dyDescent="0.3"/>
    <row r="29316" ht="14.4" x14ac:dyDescent="0.3"/>
    <row r="29317" ht="14.4" x14ac:dyDescent="0.3"/>
    <row r="29318" ht="14.4" x14ac:dyDescent="0.3"/>
    <row r="29319" ht="14.4" x14ac:dyDescent="0.3"/>
    <row r="29320" ht="14.4" x14ac:dyDescent="0.3"/>
    <row r="29321" ht="14.4" x14ac:dyDescent="0.3"/>
    <row r="29322" ht="14.4" x14ac:dyDescent="0.3"/>
    <row r="29323" ht="14.4" x14ac:dyDescent="0.3"/>
    <row r="29324" ht="14.4" x14ac:dyDescent="0.3"/>
    <row r="29325" ht="14.4" x14ac:dyDescent="0.3"/>
    <row r="29326" ht="14.4" x14ac:dyDescent="0.3"/>
    <row r="29327" ht="14.4" x14ac:dyDescent="0.3"/>
    <row r="29328" ht="14.4" x14ac:dyDescent="0.3"/>
    <row r="29329" ht="14.4" x14ac:dyDescent="0.3"/>
    <row r="29330" ht="14.4" x14ac:dyDescent="0.3"/>
    <row r="29331" ht="14.4" x14ac:dyDescent="0.3"/>
    <row r="29332" ht="14.4" x14ac:dyDescent="0.3"/>
    <row r="29333" ht="14.4" x14ac:dyDescent="0.3"/>
    <row r="29334" ht="14.4" x14ac:dyDescent="0.3"/>
    <row r="29335" ht="14.4" x14ac:dyDescent="0.3"/>
    <row r="29336" ht="14.4" x14ac:dyDescent="0.3"/>
    <row r="29337" ht="14.4" x14ac:dyDescent="0.3"/>
    <row r="29338" ht="14.4" x14ac:dyDescent="0.3"/>
    <row r="29339" ht="14.4" x14ac:dyDescent="0.3"/>
    <row r="29340" ht="14.4" x14ac:dyDescent="0.3"/>
    <row r="29341" ht="14.4" x14ac:dyDescent="0.3"/>
    <row r="29342" ht="14.4" x14ac:dyDescent="0.3"/>
    <row r="29343" ht="14.4" x14ac:dyDescent="0.3"/>
    <row r="29344" ht="14.4" x14ac:dyDescent="0.3"/>
    <row r="29345" ht="14.4" x14ac:dyDescent="0.3"/>
    <row r="29346" ht="14.4" x14ac:dyDescent="0.3"/>
    <row r="29347" ht="14.4" x14ac:dyDescent="0.3"/>
    <row r="29348" ht="14.4" x14ac:dyDescent="0.3"/>
    <row r="29349" ht="14.4" x14ac:dyDescent="0.3"/>
    <row r="29350" ht="14.4" x14ac:dyDescent="0.3"/>
    <row r="29351" ht="14.4" x14ac:dyDescent="0.3"/>
    <row r="29352" ht="14.4" x14ac:dyDescent="0.3"/>
    <row r="29353" ht="14.4" x14ac:dyDescent="0.3"/>
    <row r="29354" ht="14.4" x14ac:dyDescent="0.3"/>
    <row r="29355" ht="14.4" x14ac:dyDescent="0.3"/>
    <row r="29356" ht="14.4" x14ac:dyDescent="0.3"/>
    <row r="29357" ht="14.4" x14ac:dyDescent="0.3"/>
    <row r="29358" ht="14.4" x14ac:dyDescent="0.3"/>
    <row r="29359" ht="14.4" x14ac:dyDescent="0.3"/>
    <row r="29360" ht="14.4" x14ac:dyDescent="0.3"/>
    <row r="29361" ht="14.4" x14ac:dyDescent="0.3"/>
    <row r="29362" ht="14.4" x14ac:dyDescent="0.3"/>
    <row r="29363" ht="14.4" x14ac:dyDescent="0.3"/>
    <row r="29364" ht="14.4" x14ac:dyDescent="0.3"/>
    <row r="29365" ht="14.4" x14ac:dyDescent="0.3"/>
    <row r="29366" ht="14.4" x14ac:dyDescent="0.3"/>
    <row r="29367" ht="14.4" x14ac:dyDescent="0.3"/>
    <row r="29368" ht="14.4" x14ac:dyDescent="0.3"/>
    <row r="29369" ht="14.4" x14ac:dyDescent="0.3"/>
    <row r="29370" ht="14.4" x14ac:dyDescent="0.3"/>
    <row r="29371" ht="14.4" x14ac:dyDescent="0.3"/>
    <row r="29372" ht="14.4" x14ac:dyDescent="0.3"/>
    <row r="29373" ht="14.4" x14ac:dyDescent="0.3"/>
    <row r="29374" ht="14.4" x14ac:dyDescent="0.3"/>
    <row r="29375" ht="14.4" x14ac:dyDescent="0.3"/>
    <row r="29376" ht="14.4" x14ac:dyDescent="0.3"/>
    <row r="29377" ht="14.4" x14ac:dyDescent="0.3"/>
    <row r="29378" ht="14.4" x14ac:dyDescent="0.3"/>
    <row r="29379" ht="14.4" x14ac:dyDescent="0.3"/>
    <row r="29380" ht="14.4" x14ac:dyDescent="0.3"/>
    <row r="29381" ht="14.4" x14ac:dyDescent="0.3"/>
    <row r="29382" ht="14.4" x14ac:dyDescent="0.3"/>
    <row r="29383" ht="14.4" x14ac:dyDescent="0.3"/>
    <row r="29384" ht="14.4" x14ac:dyDescent="0.3"/>
    <row r="29385" ht="14.4" x14ac:dyDescent="0.3"/>
    <row r="29386" ht="14.4" x14ac:dyDescent="0.3"/>
    <row r="29387" ht="14.4" x14ac:dyDescent="0.3"/>
    <row r="29388" ht="14.4" x14ac:dyDescent="0.3"/>
    <row r="29389" ht="14.4" x14ac:dyDescent="0.3"/>
    <row r="29390" ht="14.4" x14ac:dyDescent="0.3"/>
    <row r="29391" ht="14.4" x14ac:dyDescent="0.3"/>
    <row r="29392" ht="14.4" x14ac:dyDescent="0.3"/>
    <row r="29393" ht="14.4" x14ac:dyDescent="0.3"/>
    <row r="29394" ht="14.4" x14ac:dyDescent="0.3"/>
    <row r="29395" ht="14.4" x14ac:dyDescent="0.3"/>
    <row r="29396" ht="14.4" x14ac:dyDescent="0.3"/>
    <row r="29397" ht="14.4" x14ac:dyDescent="0.3"/>
    <row r="29398" ht="14.4" x14ac:dyDescent="0.3"/>
    <row r="29399" ht="14.4" x14ac:dyDescent="0.3"/>
    <row r="29400" ht="14.4" x14ac:dyDescent="0.3"/>
    <row r="29401" ht="14.4" x14ac:dyDescent="0.3"/>
    <row r="29402" ht="14.4" x14ac:dyDescent="0.3"/>
    <row r="29403" ht="14.4" x14ac:dyDescent="0.3"/>
    <row r="29404" ht="14.4" x14ac:dyDescent="0.3"/>
    <row r="29405" ht="14.4" x14ac:dyDescent="0.3"/>
    <row r="29406" ht="14.4" x14ac:dyDescent="0.3"/>
    <row r="29407" ht="14.4" x14ac:dyDescent="0.3"/>
    <row r="29408" ht="14.4" x14ac:dyDescent="0.3"/>
    <row r="29409" ht="14.4" x14ac:dyDescent="0.3"/>
    <row r="29410" ht="14.4" x14ac:dyDescent="0.3"/>
    <row r="29411" ht="14.4" x14ac:dyDescent="0.3"/>
    <row r="29412" ht="14.4" x14ac:dyDescent="0.3"/>
    <row r="29413" ht="14.4" x14ac:dyDescent="0.3"/>
    <row r="29414" ht="14.4" x14ac:dyDescent="0.3"/>
    <row r="29415" ht="14.4" x14ac:dyDescent="0.3"/>
    <row r="29416" ht="14.4" x14ac:dyDescent="0.3"/>
    <row r="29417" ht="14.4" x14ac:dyDescent="0.3"/>
    <row r="29418" ht="14.4" x14ac:dyDescent="0.3"/>
    <row r="29419" ht="14.4" x14ac:dyDescent="0.3"/>
    <row r="29420" ht="14.4" x14ac:dyDescent="0.3"/>
    <row r="29421" ht="14.4" x14ac:dyDescent="0.3"/>
    <row r="29422" ht="14.4" x14ac:dyDescent="0.3"/>
    <row r="29423" ht="14.4" x14ac:dyDescent="0.3"/>
    <row r="29424" ht="14.4" x14ac:dyDescent="0.3"/>
    <row r="29425" ht="14.4" x14ac:dyDescent="0.3"/>
    <row r="29426" ht="14.4" x14ac:dyDescent="0.3"/>
    <row r="29427" ht="14.4" x14ac:dyDescent="0.3"/>
    <row r="29428" ht="14.4" x14ac:dyDescent="0.3"/>
    <row r="29429" ht="14.4" x14ac:dyDescent="0.3"/>
    <row r="29430" ht="14.4" x14ac:dyDescent="0.3"/>
    <row r="29431" ht="14.4" x14ac:dyDescent="0.3"/>
    <row r="29432" ht="14.4" x14ac:dyDescent="0.3"/>
    <row r="29433" ht="14.4" x14ac:dyDescent="0.3"/>
    <row r="29434" ht="14.4" x14ac:dyDescent="0.3"/>
    <row r="29435" ht="14.4" x14ac:dyDescent="0.3"/>
    <row r="29436" ht="14.4" x14ac:dyDescent="0.3"/>
    <row r="29437" ht="14.4" x14ac:dyDescent="0.3"/>
    <row r="29438" ht="14.4" x14ac:dyDescent="0.3"/>
    <row r="29439" ht="14.4" x14ac:dyDescent="0.3"/>
    <row r="29440" ht="14.4" x14ac:dyDescent="0.3"/>
    <row r="29441" ht="14.4" x14ac:dyDescent="0.3"/>
    <row r="29442" ht="14.4" x14ac:dyDescent="0.3"/>
    <row r="29443" ht="14.4" x14ac:dyDescent="0.3"/>
    <row r="29444" ht="14.4" x14ac:dyDescent="0.3"/>
    <row r="29445" ht="14.4" x14ac:dyDescent="0.3"/>
    <row r="29446" ht="14.4" x14ac:dyDescent="0.3"/>
    <row r="29447" ht="14.4" x14ac:dyDescent="0.3"/>
    <row r="29448" ht="14.4" x14ac:dyDescent="0.3"/>
    <row r="29449" ht="14.4" x14ac:dyDescent="0.3"/>
    <row r="29450" ht="14.4" x14ac:dyDescent="0.3"/>
    <row r="29451" ht="14.4" x14ac:dyDescent="0.3"/>
    <row r="29452" ht="14.4" x14ac:dyDescent="0.3"/>
    <row r="29453" ht="14.4" x14ac:dyDescent="0.3"/>
    <row r="29454" ht="14.4" x14ac:dyDescent="0.3"/>
    <row r="29455" ht="14.4" x14ac:dyDescent="0.3"/>
    <row r="29456" ht="14.4" x14ac:dyDescent="0.3"/>
    <row r="29457" ht="14.4" x14ac:dyDescent="0.3"/>
    <row r="29458" ht="14.4" x14ac:dyDescent="0.3"/>
    <row r="29459" ht="14.4" x14ac:dyDescent="0.3"/>
    <row r="29460" ht="14.4" x14ac:dyDescent="0.3"/>
    <row r="29461" ht="14.4" x14ac:dyDescent="0.3"/>
    <row r="29462" ht="14.4" x14ac:dyDescent="0.3"/>
    <row r="29463" ht="14.4" x14ac:dyDescent="0.3"/>
    <row r="29464" ht="14.4" x14ac:dyDescent="0.3"/>
    <row r="29465" ht="14.4" x14ac:dyDescent="0.3"/>
    <row r="29466" ht="14.4" x14ac:dyDescent="0.3"/>
    <row r="29467" ht="14.4" x14ac:dyDescent="0.3"/>
    <row r="29468" ht="14.4" x14ac:dyDescent="0.3"/>
    <row r="29469" ht="14.4" x14ac:dyDescent="0.3"/>
    <row r="29470" ht="14.4" x14ac:dyDescent="0.3"/>
    <row r="29471" ht="14.4" x14ac:dyDescent="0.3"/>
    <row r="29472" ht="14.4" x14ac:dyDescent="0.3"/>
    <row r="29473" ht="14.4" x14ac:dyDescent="0.3"/>
    <row r="29474" ht="14.4" x14ac:dyDescent="0.3"/>
    <row r="29475" ht="14.4" x14ac:dyDescent="0.3"/>
    <row r="29476" ht="14.4" x14ac:dyDescent="0.3"/>
    <row r="29477" ht="14.4" x14ac:dyDescent="0.3"/>
    <row r="29478" ht="14.4" x14ac:dyDescent="0.3"/>
    <row r="29479" ht="14.4" x14ac:dyDescent="0.3"/>
    <row r="29480" ht="14.4" x14ac:dyDescent="0.3"/>
    <row r="29481" ht="14.4" x14ac:dyDescent="0.3"/>
    <row r="29482" ht="14.4" x14ac:dyDescent="0.3"/>
    <row r="29483" ht="14.4" x14ac:dyDescent="0.3"/>
    <row r="29484" ht="14.4" x14ac:dyDescent="0.3"/>
    <row r="29485" ht="14.4" x14ac:dyDescent="0.3"/>
    <row r="29486" ht="14.4" x14ac:dyDescent="0.3"/>
    <row r="29487" ht="14.4" x14ac:dyDescent="0.3"/>
    <row r="29488" ht="14.4" x14ac:dyDescent="0.3"/>
    <row r="29489" ht="14.4" x14ac:dyDescent="0.3"/>
    <row r="29490" ht="14.4" x14ac:dyDescent="0.3"/>
    <row r="29491" ht="14.4" x14ac:dyDescent="0.3"/>
    <row r="29492" ht="14.4" x14ac:dyDescent="0.3"/>
    <row r="29493" ht="14.4" x14ac:dyDescent="0.3"/>
    <row r="29494" ht="14.4" x14ac:dyDescent="0.3"/>
    <row r="29495" ht="14.4" x14ac:dyDescent="0.3"/>
    <row r="29496" ht="14.4" x14ac:dyDescent="0.3"/>
    <row r="29497" ht="14.4" x14ac:dyDescent="0.3"/>
    <row r="29498" ht="14.4" x14ac:dyDescent="0.3"/>
    <row r="29499" ht="14.4" x14ac:dyDescent="0.3"/>
    <row r="29500" ht="14.4" x14ac:dyDescent="0.3"/>
    <row r="29501" ht="14.4" x14ac:dyDescent="0.3"/>
    <row r="29502" ht="14.4" x14ac:dyDescent="0.3"/>
    <row r="29503" ht="14.4" x14ac:dyDescent="0.3"/>
    <row r="29504" ht="14.4" x14ac:dyDescent="0.3"/>
    <row r="29505" ht="14.4" x14ac:dyDescent="0.3"/>
    <row r="29506" ht="14.4" x14ac:dyDescent="0.3"/>
    <row r="29507" ht="14.4" x14ac:dyDescent="0.3"/>
    <row r="29508" ht="14.4" x14ac:dyDescent="0.3"/>
    <row r="29509" ht="14.4" x14ac:dyDescent="0.3"/>
    <row r="29510" ht="14.4" x14ac:dyDescent="0.3"/>
    <row r="29511" ht="14.4" x14ac:dyDescent="0.3"/>
    <row r="29512" ht="14.4" x14ac:dyDescent="0.3"/>
    <row r="29513" ht="14.4" x14ac:dyDescent="0.3"/>
    <row r="29514" ht="14.4" x14ac:dyDescent="0.3"/>
    <row r="29515" ht="14.4" x14ac:dyDescent="0.3"/>
    <row r="29516" ht="14.4" x14ac:dyDescent="0.3"/>
    <row r="29517" ht="14.4" x14ac:dyDescent="0.3"/>
    <row r="29518" ht="14.4" x14ac:dyDescent="0.3"/>
    <row r="29519" ht="14.4" x14ac:dyDescent="0.3"/>
    <row r="29520" ht="14.4" x14ac:dyDescent="0.3"/>
    <row r="29521" ht="14.4" x14ac:dyDescent="0.3"/>
    <row r="29522" ht="14.4" x14ac:dyDescent="0.3"/>
    <row r="29523" ht="14.4" x14ac:dyDescent="0.3"/>
    <row r="29524" ht="14.4" x14ac:dyDescent="0.3"/>
    <row r="29525" ht="14.4" x14ac:dyDescent="0.3"/>
    <row r="29526" ht="14.4" x14ac:dyDescent="0.3"/>
    <row r="29527" ht="14.4" x14ac:dyDescent="0.3"/>
    <row r="29528" ht="14.4" x14ac:dyDescent="0.3"/>
    <row r="29529" ht="14.4" x14ac:dyDescent="0.3"/>
    <row r="29530" ht="14.4" x14ac:dyDescent="0.3"/>
    <row r="29531" ht="14.4" x14ac:dyDescent="0.3"/>
    <row r="29532" ht="14.4" x14ac:dyDescent="0.3"/>
    <row r="29533" ht="14.4" x14ac:dyDescent="0.3"/>
    <row r="29534" ht="14.4" x14ac:dyDescent="0.3"/>
    <row r="29535" ht="14.4" x14ac:dyDescent="0.3"/>
    <row r="29536" ht="14.4" x14ac:dyDescent="0.3"/>
    <row r="29537" ht="14.4" x14ac:dyDescent="0.3"/>
    <row r="29538" ht="14.4" x14ac:dyDescent="0.3"/>
    <row r="29539" ht="14.4" x14ac:dyDescent="0.3"/>
    <row r="29540" ht="14.4" x14ac:dyDescent="0.3"/>
    <row r="29541" ht="14.4" x14ac:dyDescent="0.3"/>
    <row r="29542" ht="14.4" x14ac:dyDescent="0.3"/>
    <row r="29543" ht="14.4" x14ac:dyDescent="0.3"/>
    <row r="29544" ht="14.4" x14ac:dyDescent="0.3"/>
    <row r="29545" ht="14.4" x14ac:dyDescent="0.3"/>
    <row r="29546" ht="14.4" x14ac:dyDescent="0.3"/>
    <row r="29547" ht="14.4" x14ac:dyDescent="0.3"/>
    <row r="29548" ht="14.4" x14ac:dyDescent="0.3"/>
    <row r="29549" ht="14.4" x14ac:dyDescent="0.3"/>
    <row r="29550" ht="14.4" x14ac:dyDescent="0.3"/>
    <row r="29551" ht="14.4" x14ac:dyDescent="0.3"/>
    <row r="29552" ht="14.4" x14ac:dyDescent="0.3"/>
    <row r="29553" ht="14.4" x14ac:dyDescent="0.3"/>
    <row r="29554" ht="14.4" x14ac:dyDescent="0.3"/>
    <row r="29555" ht="14.4" x14ac:dyDescent="0.3"/>
    <row r="29556" ht="14.4" x14ac:dyDescent="0.3"/>
    <row r="29557" ht="14.4" x14ac:dyDescent="0.3"/>
    <row r="29558" ht="14.4" x14ac:dyDescent="0.3"/>
    <row r="29559" ht="14.4" x14ac:dyDescent="0.3"/>
    <row r="29560" ht="14.4" x14ac:dyDescent="0.3"/>
    <row r="29561" ht="14.4" x14ac:dyDescent="0.3"/>
    <row r="29562" ht="14.4" x14ac:dyDescent="0.3"/>
    <row r="29563" ht="14.4" x14ac:dyDescent="0.3"/>
    <row r="29564" ht="14.4" x14ac:dyDescent="0.3"/>
    <row r="29565" ht="14.4" x14ac:dyDescent="0.3"/>
    <row r="29566" ht="14.4" x14ac:dyDescent="0.3"/>
    <row r="29567" ht="14.4" x14ac:dyDescent="0.3"/>
    <row r="29568" ht="14.4" x14ac:dyDescent="0.3"/>
    <row r="29569" ht="14.4" x14ac:dyDescent="0.3"/>
    <row r="29570" ht="14.4" x14ac:dyDescent="0.3"/>
    <row r="29571" ht="14.4" x14ac:dyDescent="0.3"/>
    <row r="29572" ht="14.4" x14ac:dyDescent="0.3"/>
    <row r="29573" ht="14.4" x14ac:dyDescent="0.3"/>
    <row r="29574" ht="14.4" x14ac:dyDescent="0.3"/>
    <row r="29575" ht="14.4" x14ac:dyDescent="0.3"/>
    <row r="29576" ht="14.4" x14ac:dyDescent="0.3"/>
    <row r="29577" ht="14.4" x14ac:dyDescent="0.3"/>
    <row r="29578" ht="14.4" x14ac:dyDescent="0.3"/>
    <row r="29579" ht="14.4" x14ac:dyDescent="0.3"/>
    <row r="29580" ht="14.4" x14ac:dyDescent="0.3"/>
    <row r="29581" ht="14.4" x14ac:dyDescent="0.3"/>
    <row r="29582" ht="14.4" x14ac:dyDescent="0.3"/>
    <row r="29583" ht="14.4" x14ac:dyDescent="0.3"/>
    <row r="29584" ht="14.4" x14ac:dyDescent="0.3"/>
    <row r="29585" ht="14.4" x14ac:dyDescent="0.3"/>
    <row r="29586" ht="14.4" x14ac:dyDescent="0.3"/>
    <row r="29587" ht="14.4" x14ac:dyDescent="0.3"/>
    <row r="29588" ht="14.4" x14ac:dyDescent="0.3"/>
    <row r="29589" ht="14.4" x14ac:dyDescent="0.3"/>
    <row r="29590" ht="14.4" x14ac:dyDescent="0.3"/>
    <row r="29591" ht="14.4" x14ac:dyDescent="0.3"/>
    <row r="29592" ht="14.4" x14ac:dyDescent="0.3"/>
    <row r="29593" ht="14.4" x14ac:dyDescent="0.3"/>
    <row r="29594" ht="14.4" x14ac:dyDescent="0.3"/>
    <row r="29595" ht="14.4" x14ac:dyDescent="0.3"/>
    <row r="29596" ht="14.4" x14ac:dyDescent="0.3"/>
    <row r="29597" ht="14.4" x14ac:dyDescent="0.3"/>
    <row r="29598" ht="14.4" x14ac:dyDescent="0.3"/>
    <row r="29599" ht="14.4" x14ac:dyDescent="0.3"/>
    <row r="29600" ht="14.4" x14ac:dyDescent="0.3"/>
    <row r="29601" ht="14.4" x14ac:dyDescent="0.3"/>
    <row r="29602" ht="14.4" x14ac:dyDescent="0.3"/>
    <row r="29603" ht="14.4" x14ac:dyDescent="0.3"/>
    <row r="29604" ht="14.4" x14ac:dyDescent="0.3"/>
    <row r="29605" ht="14.4" x14ac:dyDescent="0.3"/>
    <row r="29606" ht="14.4" x14ac:dyDescent="0.3"/>
    <row r="29607" ht="14.4" x14ac:dyDescent="0.3"/>
    <row r="29608" ht="14.4" x14ac:dyDescent="0.3"/>
    <row r="29609" ht="14.4" x14ac:dyDescent="0.3"/>
    <row r="29610" ht="14.4" x14ac:dyDescent="0.3"/>
    <row r="29611" ht="14.4" x14ac:dyDescent="0.3"/>
    <row r="29612" ht="14.4" x14ac:dyDescent="0.3"/>
    <row r="29613" ht="14.4" x14ac:dyDescent="0.3"/>
    <row r="29614" ht="14.4" x14ac:dyDescent="0.3"/>
    <row r="29615" ht="14.4" x14ac:dyDescent="0.3"/>
    <row r="29616" ht="14.4" x14ac:dyDescent="0.3"/>
    <row r="29617" ht="14.4" x14ac:dyDescent="0.3"/>
    <row r="29618" ht="14.4" x14ac:dyDescent="0.3"/>
    <row r="29619" ht="14.4" x14ac:dyDescent="0.3"/>
    <row r="29620" ht="14.4" x14ac:dyDescent="0.3"/>
    <row r="29621" ht="14.4" x14ac:dyDescent="0.3"/>
    <row r="29622" ht="14.4" x14ac:dyDescent="0.3"/>
    <row r="29623" ht="14.4" x14ac:dyDescent="0.3"/>
    <row r="29624" ht="14.4" x14ac:dyDescent="0.3"/>
    <row r="29625" ht="14.4" x14ac:dyDescent="0.3"/>
    <row r="29626" ht="14.4" x14ac:dyDescent="0.3"/>
    <row r="29627" ht="14.4" x14ac:dyDescent="0.3"/>
    <row r="29628" ht="14.4" x14ac:dyDescent="0.3"/>
    <row r="29629" ht="14.4" x14ac:dyDescent="0.3"/>
    <row r="29630" ht="14.4" x14ac:dyDescent="0.3"/>
    <row r="29631" ht="14.4" x14ac:dyDescent="0.3"/>
    <row r="29632" ht="14.4" x14ac:dyDescent="0.3"/>
    <row r="29633" ht="14.4" x14ac:dyDescent="0.3"/>
    <row r="29634" ht="14.4" x14ac:dyDescent="0.3"/>
    <row r="29635" ht="14.4" x14ac:dyDescent="0.3"/>
    <row r="29636" ht="14.4" x14ac:dyDescent="0.3"/>
    <row r="29637" ht="14.4" x14ac:dyDescent="0.3"/>
    <row r="29638" ht="14.4" x14ac:dyDescent="0.3"/>
    <row r="29639" ht="14.4" x14ac:dyDescent="0.3"/>
    <row r="29640" ht="14.4" x14ac:dyDescent="0.3"/>
    <row r="29641" ht="14.4" x14ac:dyDescent="0.3"/>
    <row r="29642" ht="14.4" x14ac:dyDescent="0.3"/>
    <row r="29643" ht="14.4" x14ac:dyDescent="0.3"/>
    <row r="29644" ht="14.4" x14ac:dyDescent="0.3"/>
    <row r="29645" ht="14.4" x14ac:dyDescent="0.3"/>
    <row r="29646" ht="14.4" x14ac:dyDescent="0.3"/>
    <row r="29647" ht="14.4" x14ac:dyDescent="0.3"/>
    <row r="29648" ht="14.4" x14ac:dyDescent="0.3"/>
    <row r="29649" ht="14.4" x14ac:dyDescent="0.3"/>
    <row r="29650" ht="14.4" x14ac:dyDescent="0.3"/>
    <row r="29651" ht="14.4" x14ac:dyDescent="0.3"/>
    <row r="29652" ht="14.4" x14ac:dyDescent="0.3"/>
    <row r="29653" ht="14.4" x14ac:dyDescent="0.3"/>
    <row r="29654" ht="14.4" x14ac:dyDescent="0.3"/>
    <row r="29655" ht="14.4" x14ac:dyDescent="0.3"/>
    <row r="29656" ht="14.4" x14ac:dyDescent="0.3"/>
    <row r="29657" ht="14.4" x14ac:dyDescent="0.3"/>
    <row r="29658" ht="14.4" x14ac:dyDescent="0.3"/>
    <row r="29659" ht="14.4" x14ac:dyDescent="0.3"/>
    <row r="29660" ht="14.4" x14ac:dyDescent="0.3"/>
    <row r="29661" ht="14.4" x14ac:dyDescent="0.3"/>
    <row r="29662" ht="14.4" x14ac:dyDescent="0.3"/>
    <row r="29663" ht="14.4" x14ac:dyDescent="0.3"/>
    <row r="29664" ht="14.4" x14ac:dyDescent="0.3"/>
    <row r="29665" ht="14.4" x14ac:dyDescent="0.3"/>
    <row r="29666" ht="14.4" x14ac:dyDescent="0.3"/>
    <row r="29667" ht="14.4" x14ac:dyDescent="0.3"/>
    <row r="29668" ht="14.4" x14ac:dyDescent="0.3"/>
    <row r="29669" ht="14.4" x14ac:dyDescent="0.3"/>
    <row r="29670" ht="14.4" x14ac:dyDescent="0.3"/>
    <row r="29671" ht="14.4" x14ac:dyDescent="0.3"/>
    <row r="29672" ht="14.4" x14ac:dyDescent="0.3"/>
    <row r="29673" ht="14.4" x14ac:dyDescent="0.3"/>
    <row r="29674" ht="14.4" x14ac:dyDescent="0.3"/>
    <row r="29675" ht="14.4" x14ac:dyDescent="0.3"/>
    <row r="29676" ht="14.4" x14ac:dyDescent="0.3"/>
    <row r="29677" ht="14.4" x14ac:dyDescent="0.3"/>
    <row r="29678" ht="14.4" x14ac:dyDescent="0.3"/>
    <row r="29679" ht="14.4" x14ac:dyDescent="0.3"/>
    <row r="29680" ht="14.4" x14ac:dyDescent="0.3"/>
    <row r="29681" ht="14.4" x14ac:dyDescent="0.3"/>
    <row r="29682" ht="14.4" x14ac:dyDescent="0.3"/>
    <row r="29683" ht="14.4" x14ac:dyDescent="0.3"/>
    <row r="29684" ht="14.4" x14ac:dyDescent="0.3"/>
    <row r="29685" ht="14.4" x14ac:dyDescent="0.3"/>
    <row r="29686" ht="14.4" x14ac:dyDescent="0.3"/>
    <row r="29687" ht="14.4" x14ac:dyDescent="0.3"/>
    <row r="29688" ht="14.4" x14ac:dyDescent="0.3"/>
    <row r="29689" ht="14.4" x14ac:dyDescent="0.3"/>
    <row r="29690" ht="14.4" x14ac:dyDescent="0.3"/>
    <row r="29691" ht="14.4" x14ac:dyDescent="0.3"/>
    <row r="29692" ht="14.4" x14ac:dyDescent="0.3"/>
    <row r="29693" ht="14.4" x14ac:dyDescent="0.3"/>
    <row r="29694" ht="14.4" x14ac:dyDescent="0.3"/>
    <row r="29695" ht="14.4" x14ac:dyDescent="0.3"/>
    <row r="29696" ht="14.4" x14ac:dyDescent="0.3"/>
    <row r="29697" ht="14.4" x14ac:dyDescent="0.3"/>
    <row r="29698" ht="14.4" x14ac:dyDescent="0.3"/>
    <row r="29699" ht="14.4" x14ac:dyDescent="0.3"/>
    <row r="29700" ht="14.4" x14ac:dyDescent="0.3"/>
    <row r="29701" ht="14.4" x14ac:dyDescent="0.3"/>
    <row r="29702" ht="14.4" x14ac:dyDescent="0.3"/>
    <row r="29703" ht="14.4" x14ac:dyDescent="0.3"/>
    <row r="29704" ht="14.4" x14ac:dyDescent="0.3"/>
    <row r="29705" ht="14.4" x14ac:dyDescent="0.3"/>
    <row r="29706" ht="14.4" x14ac:dyDescent="0.3"/>
    <row r="29707" ht="14.4" x14ac:dyDescent="0.3"/>
    <row r="29708" ht="14.4" x14ac:dyDescent="0.3"/>
    <row r="29709" ht="14.4" x14ac:dyDescent="0.3"/>
    <row r="29710" ht="14.4" x14ac:dyDescent="0.3"/>
    <row r="29711" ht="14.4" x14ac:dyDescent="0.3"/>
    <row r="29712" ht="14.4" x14ac:dyDescent="0.3"/>
    <row r="29713" ht="14.4" x14ac:dyDescent="0.3"/>
    <row r="29714" ht="14.4" x14ac:dyDescent="0.3"/>
    <row r="29715" ht="14.4" x14ac:dyDescent="0.3"/>
    <row r="29716" ht="14.4" x14ac:dyDescent="0.3"/>
    <row r="29717" ht="14.4" x14ac:dyDescent="0.3"/>
    <row r="29718" ht="14.4" x14ac:dyDescent="0.3"/>
    <row r="29719" ht="14.4" x14ac:dyDescent="0.3"/>
    <row r="29720" ht="14.4" x14ac:dyDescent="0.3"/>
    <row r="29721" ht="14.4" x14ac:dyDescent="0.3"/>
    <row r="29722" ht="14.4" x14ac:dyDescent="0.3"/>
    <row r="29723" ht="14.4" x14ac:dyDescent="0.3"/>
    <row r="29724" ht="14.4" x14ac:dyDescent="0.3"/>
    <row r="29725" ht="14.4" x14ac:dyDescent="0.3"/>
    <row r="29726" ht="14.4" x14ac:dyDescent="0.3"/>
    <row r="29727" ht="14.4" x14ac:dyDescent="0.3"/>
    <row r="29728" ht="14.4" x14ac:dyDescent="0.3"/>
    <row r="29729" ht="14.4" x14ac:dyDescent="0.3"/>
    <row r="29730" ht="14.4" x14ac:dyDescent="0.3"/>
    <row r="29731" ht="14.4" x14ac:dyDescent="0.3"/>
    <row r="29732" ht="14.4" x14ac:dyDescent="0.3"/>
    <row r="29733" ht="14.4" x14ac:dyDescent="0.3"/>
    <row r="29734" ht="14.4" x14ac:dyDescent="0.3"/>
    <row r="29735" ht="14.4" x14ac:dyDescent="0.3"/>
    <row r="29736" ht="14.4" x14ac:dyDescent="0.3"/>
    <row r="29737" ht="14.4" x14ac:dyDescent="0.3"/>
    <row r="29738" ht="14.4" x14ac:dyDescent="0.3"/>
    <row r="29739" ht="14.4" x14ac:dyDescent="0.3"/>
    <row r="29740" ht="14.4" x14ac:dyDescent="0.3"/>
    <row r="29741" ht="14.4" x14ac:dyDescent="0.3"/>
    <row r="29742" ht="14.4" x14ac:dyDescent="0.3"/>
    <row r="29743" ht="14.4" x14ac:dyDescent="0.3"/>
    <row r="29744" ht="14.4" x14ac:dyDescent="0.3"/>
    <row r="29745" ht="14.4" x14ac:dyDescent="0.3"/>
    <row r="29746" ht="14.4" x14ac:dyDescent="0.3"/>
    <row r="29747" ht="14.4" x14ac:dyDescent="0.3"/>
    <row r="29748" ht="14.4" x14ac:dyDescent="0.3"/>
    <row r="29749" ht="14.4" x14ac:dyDescent="0.3"/>
    <row r="29750" ht="14.4" x14ac:dyDescent="0.3"/>
    <row r="29751" ht="14.4" x14ac:dyDescent="0.3"/>
    <row r="29752" ht="14.4" x14ac:dyDescent="0.3"/>
    <row r="29753" ht="14.4" x14ac:dyDescent="0.3"/>
    <row r="29754" ht="14.4" x14ac:dyDescent="0.3"/>
    <row r="29755" ht="14.4" x14ac:dyDescent="0.3"/>
    <row r="29756" ht="14.4" x14ac:dyDescent="0.3"/>
    <row r="29757" ht="14.4" x14ac:dyDescent="0.3"/>
    <row r="29758" ht="14.4" x14ac:dyDescent="0.3"/>
    <row r="29759" ht="14.4" x14ac:dyDescent="0.3"/>
    <row r="29760" ht="14.4" x14ac:dyDescent="0.3"/>
    <row r="29761" ht="14.4" x14ac:dyDescent="0.3"/>
    <row r="29762" ht="14.4" x14ac:dyDescent="0.3"/>
    <row r="29763" ht="14.4" x14ac:dyDescent="0.3"/>
    <row r="29764" ht="14.4" x14ac:dyDescent="0.3"/>
    <row r="29765" ht="14.4" x14ac:dyDescent="0.3"/>
    <row r="29766" ht="14.4" x14ac:dyDescent="0.3"/>
    <row r="29767" ht="14.4" x14ac:dyDescent="0.3"/>
    <row r="29768" ht="14.4" x14ac:dyDescent="0.3"/>
    <row r="29769" ht="14.4" x14ac:dyDescent="0.3"/>
    <row r="29770" ht="14.4" x14ac:dyDescent="0.3"/>
    <row r="29771" ht="14.4" x14ac:dyDescent="0.3"/>
    <row r="29772" ht="14.4" x14ac:dyDescent="0.3"/>
    <row r="29773" ht="14.4" x14ac:dyDescent="0.3"/>
    <row r="29774" ht="14.4" x14ac:dyDescent="0.3"/>
    <row r="29775" ht="14.4" x14ac:dyDescent="0.3"/>
    <row r="29776" ht="14.4" x14ac:dyDescent="0.3"/>
    <row r="29777" ht="14.4" x14ac:dyDescent="0.3"/>
    <row r="29778" ht="14.4" x14ac:dyDescent="0.3"/>
    <row r="29779" ht="14.4" x14ac:dyDescent="0.3"/>
    <row r="29780" ht="14.4" x14ac:dyDescent="0.3"/>
    <row r="29781" ht="14.4" x14ac:dyDescent="0.3"/>
    <row r="29782" ht="14.4" x14ac:dyDescent="0.3"/>
    <row r="29783" ht="14.4" x14ac:dyDescent="0.3"/>
    <row r="29784" ht="14.4" x14ac:dyDescent="0.3"/>
    <row r="29785" ht="14.4" x14ac:dyDescent="0.3"/>
    <row r="29786" ht="14.4" x14ac:dyDescent="0.3"/>
    <row r="29787" ht="14.4" x14ac:dyDescent="0.3"/>
    <row r="29788" ht="14.4" x14ac:dyDescent="0.3"/>
    <row r="29789" ht="14.4" x14ac:dyDescent="0.3"/>
    <row r="29790" ht="14.4" x14ac:dyDescent="0.3"/>
    <row r="29791" ht="14.4" x14ac:dyDescent="0.3"/>
    <row r="29792" ht="14.4" x14ac:dyDescent="0.3"/>
    <row r="29793" ht="14.4" x14ac:dyDescent="0.3"/>
    <row r="29794" ht="14.4" x14ac:dyDescent="0.3"/>
    <row r="29795" ht="14.4" x14ac:dyDescent="0.3"/>
    <row r="29796" ht="14.4" x14ac:dyDescent="0.3"/>
    <row r="29797" ht="14.4" x14ac:dyDescent="0.3"/>
    <row r="29798" ht="14.4" x14ac:dyDescent="0.3"/>
    <row r="29799" ht="14.4" x14ac:dyDescent="0.3"/>
    <row r="29800" ht="14.4" x14ac:dyDescent="0.3"/>
    <row r="29801" ht="14.4" x14ac:dyDescent="0.3"/>
    <row r="29802" ht="14.4" x14ac:dyDescent="0.3"/>
    <row r="29803" ht="14.4" x14ac:dyDescent="0.3"/>
    <row r="29804" ht="14.4" x14ac:dyDescent="0.3"/>
    <row r="29805" ht="14.4" x14ac:dyDescent="0.3"/>
    <row r="29806" ht="14.4" x14ac:dyDescent="0.3"/>
    <row r="29807" ht="14.4" x14ac:dyDescent="0.3"/>
    <row r="29808" ht="14.4" x14ac:dyDescent="0.3"/>
    <row r="29809" ht="14.4" x14ac:dyDescent="0.3"/>
    <row r="29810" ht="14.4" x14ac:dyDescent="0.3"/>
    <row r="29811" ht="14.4" x14ac:dyDescent="0.3"/>
    <row r="29812" ht="14.4" x14ac:dyDescent="0.3"/>
    <row r="29813" ht="14.4" x14ac:dyDescent="0.3"/>
    <row r="29814" ht="14.4" x14ac:dyDescent="0.3"/>
    <row r="29815" ht="14.4" x14ac:dyDescent="0.3"/>
    <row r="29816" ht="14.4" x14ac:dyDescent="0.3"/>
    <row r="29817" ht="14.4" x14ac:dyDescent="0.3"/>
    <row r="29818" ht="14.4" x14ac:dyDescent="0.3"/>
    <row r="29819" ht="14.4" x14ac:dyDescent="0.3"/>
    <row r="29820" ht="14.4" x14ac:dyDescent="0.3"/>
    <row r="29821" ht="14.4" x14ac:dyDescent="0.3"/>
    <row r="29822" ht="14.4" x14ac:dyDescent="0.3"/>
    <row r="29823" ht="14.4" x14ac:dyDescent="0.3"/>
    <row r="29824" ht="14.4" x14ac:dyDescent="0.3"/>
    <row r="29825" ht="14.4" x14ac:dyDescent="0.3"/>
    <row r="29826" ht="14.4" x14ac:dyDescent="0.3"/>
    <row r="29827" ht="14.4" x14ac:dyDescent="0.3"/>
    <row r="29828" ht="14.4" x14ac:dyDescent="0.3"/>
    <row r="29829" ht="14.4" x14ac:dyDescent="0.3"/>
    <row r="29830" ht="14.4" x14ac:dyDescent="0.3"/>
    <row r="29831" ht="14.4" x14ac:dyDescent="0.3"/>
    <row r="29832" ht="14.4" x14ac:dyDescent="0.3"/>
    <row r="29833" ht="14.4" x14ac:dyDescent="0.3"/>
    <row r="29834" ht="14.4" x14ac:dyDescent="0.3"/>
    <row r="29835" ht="14.4" x14ac:dyDescent="0.3"/>
    <row r="29836" ht="14.4" x14ac:dyDescent="0.3"/>
    <row r="29837" ht="14.4" x14ac:dyDescent="0.3"/>
    <row r="29838" ht="14.4" x14ac:dyDescent="0.3"/>
    <row r="29839" ht="14.4" x14ac:dyDescent="0.3"/>
    <row r="29840" ht="14.4" x14ac:dyDescent="0.3"/>
    <row r="29841" ht="14.4" x14ac:dyDescent="0.3"/>
    <row r="29842" ht="14.4" x14ac:dyDescent="0.3"/>
    <row r="29843" ht="14.4" x14ac:dyDescent="0.3"/>
    <row r="29844" ht="14.4" x14ac:dyDescent="0.3"/>
    <row r="29845" ht="14.4" x14ac:dyDescent="0.3"/>
    <row r="29846" ht="14.4" x14ac:dyDescent="0.3"/>
    <row r="29847" ht="14.4" x14ac:dyDescent="0.3"/>
    <row r="29848" ht="14.4" x14ac:dyDescent="0.3"/>
    <row r="29849" ht="14.4" x14ac:dyDescent="0.3"/>
    <row r="29850" ht="14.4" x14ac:dyDescent="0.3"/>
    <row r="29851" ht="14.4" x14ac:dyDescent="0.3"/>
    <row r="29852" ht="14.4" x14ac:dyDescent="0.3"/>
    <row r="29853" ht="14.4" x14ac:dyDescent="0.3"/>
    <row r="29854" ht="14.4" x14ac:dyDescent="0.3"/>
    <row r="29855" ht="14.4" x14ac:dyDescent="0.3"/>
    <row r="29856" ht="14.4" x14ac:dyDescent="0.3"/>
    <row r="29857" ht="14.4" x14ac:dyDescent="0.3"/>
    <row r="29858" ht="14.4" x14ac:dyDescent="0.3"/>
    <row r="29859" ht="14.4" x14ac:dyDescent="0.3"/>
    <row r="29860" ht="14.4" x14ac:dyDescent="0.3"/>
    <row r="29861" ht="14.4" x14ac:dyDescent="0.3"/>
    <row r="29862" ht="14.4" x14ac:dyDescent="0.3"/>
    <row r="29863" ht="14.4" x14ac:dyDescent="0.3"/>
    <row r="29864" ht="14.4" x14ac:dyDescent="0.3"/>
    <row r="29865" ht="14.4" x14ac:dyDescent="0.3"/>
    <row r="29866" ht="14.4" x14ac:dyDescent="0.3"/>
    <row r="29867" ht="14.4" x14ac:dyDescent="0.3"/>
    <row r="29868" ht="14.4" x14ac:dyDescent="0.3"/>
    <row r="29869" ht="14.4" x14ac:dyDescent="0.3"/>
    <row r="29870" ht="14.4" x14ac:dyDescent="0.3"/>
    <row r="29871" ht="14.4" x14ac:dyDescent="0.3"/>
    <row r="29872" ht="14.4" x14ac:dyDescent="0.3"/>
    <row r="29873" ht="14.4" x14ac:dyDescent="0.3"/>
    <row r="29874" ht="14.4" x14ac:dyDescent="0.3"/>
    <row r="29875" ht="14.4" x14ac:dyDescent="0.3"/>
    <row r="29876" ht="14.4" x14ac:dyDescent="0.3"/>
    <row r="29877" ht="14.4" x14ac:dyDescent="0.3"/>
    <row r="29878" ht="14.4" x14ac:dyDescent="0.3"/>
    <row r="29879" ht="14.4" x14ac:dyDescent="0.3"/>
    <row r="29880" ht="14.4" x14ac:dyDescent="0.3"/>
    <row r="29881" ht="14.4" x14ac:dyDescent="0.3"/>
    <row r="29882" ht="14.4" x14ac:dyDescent="0.3"/>
    <row r="29883" ht="14.4" x14ac:dyDescent="0.3"/>
    <row r="29884" ht="14.4" x14ac:dyDescent="0.3"/>
    <row r="29885" ht="14.4" x14ac:dyDescent="0.3"/>
    <row r="29886" ht="14.4" x14ac:dyDescent="0.3"/>
    <row r="29887" ht="14.4" x14ac:dyDescent="0.3"/>
    <row r="29888" ht="14.4" x14ac:dyDescent="0.3"/>
    <row r="29889" ht="14.4" x14ac:dyDescent="0.3"/>
    <row r="29890" ht="14.4" x14ac:dyDescent="0.3"/>
    <row r="29891" ht="14.4" x14ac:dyDescent="0.3"/>
    <row r="29892" ht="14.4" x14ac:dyDescent="0.3"/>
    <row r="29893" ht="14.4" x14ac:dyDescent="0.3"/>
    <row r="29894" ht="14.4" x14ac:dyDescent="0.3"/>
    <row r="29895" ht="14.4" x14ac:dyDescent="0.3"/>
    <row r="29896" ht="14.4" x14ac:dyDescent="0.3"/>
    <row r="29897" ht="14.4" x14ac:dyDescent="0.3"/>
    <row r="29898" ht="14.4" x14ac:dyDescent="0.3"/>
    <row r="29899" ht="14.4" x14ac:dyDescent="0.3"/>
    <row r="29900" ht="14.4" x14ac:dyDescent="0.3"/>
    <row r="29901" ht="14.4" x14ac:dyDescent="0.3"/>
    <row r="29902" ht="14.4" x14ac:dyDescent="0.3"/>
    <row r="29903" ht="14.4" x14ac:dyDescent="0.3"/>
    <row r="29904" ht="14.4" x14ac:dyDescent="0.3"/>
    <row r="29905" ht="14.4" x14ac:dyDescent="0.3"/>
    <row r="29906" ht="14.4" x14ac:dyDescent="0.3"/>
    <row r="29907" ht="14.4" x14ac:dyDescent="0.3"/>
    <row r="29908" ht="14.4" x14ac:dyDescent="0.3"/>
    <row r="29909" ht="14.4" x14ac:dyDescent="0.3"/>
    <row r="29910" ht="14.4" x14ac:dyDescent="0.3"/>
    <row r="29911" ht="14.4" x14ac:dyDescent="0.3"/>
    <row r="29912" ht="14.4" x14ac:dyDescent="0.3"/>
    <row r="29913" ht="14.4" x14ac:dyDescent="0.3"/>
    <row r="29914" ht="14.4" x14ac:dyDescent="0.3"/>
    <row r="29915" ht="14.4" x14ac:dyDescent="0.3"/>
    <row r="29916" ht="14.4" x14ac:dyDescent="0.3"/>
    <row r="29917" ht="14.4" x14ac:dyDescent="0.3"/>
    <row r="29918" ht="14.4" x14ac:dyDescent="0.3"/>
    <row r="29919" ht="14.4" x14ac:dyDescent="0.3"/>
    <row r="29920" ht="14.4" x14ac:dyDescent="0.3"/>
    <row r="29921" ht="14.4" x14ac:dyDescent="0.3"/>
    <row r="29922" ht="14.4" x14ac:dyDescent="0.3"/>
    <row r="29923" ht="14.4" x14ac:dyDescent="0.3"/>
    <row r="29924" ht="14.4" x14ac:dyDescent="0.3"/>
    <row r="29925" ht="14.4" x14ac:dyDescent="0.3"/>
    <row r="29926" ht="14.4" x14ac:dyDescent="0.3"/>
    <row r="29927" ht="14.4" x14ac:dyDescent="0.3"/>
    <row r="29928" ht="14.4" x14ac:dyDescent="0.3"/>
    <row r="29929" ht="14.4" x14ac:dyDescent="0.3"/>
    <row r="29930" ht="14.4" x14ac:dyDescent="0.3"/>
    <row r="29931" ht="14.4" x14ac:dyDescent="0.3"/>
    <row r="29932" ht="14.4" x14ac:dyDescent="0.3"/>
    <row r="29933" ht="14.4" x14ac:dyDescent="0.3"/>
    <row r="29934" ht="14.4" x14ac:dyDescent="0.3"/>
    <row r="29935" ht="14.4" x14ac:dyDescent="0.3"/>
    <row r="29936" ht="14.4" x14ac:dyDescent="0.3"/>
    <row r="29937" ht="14.4" x14ac:dyDescent="0.3"/>
    <row r="29938" ht="14.4" x14ac:dyDescent="0.3"/>
    <row r="29939" ht="14.4" x14ac:dyDescent="0.3"/>
    <row r="29940" ht="14.4" x14ac:dyDescent="0.3"/>
    <row r="29941" ht="14.4" x14ac:dyDescent="0.3"/>
    <row r="29942" ht="14.4" x14ac:dyDescent="0.3"/>
    <row r="29943" ht="14.4" x14ac:dyDescent="0.3"/>
    <row r="29944" ht="14.4" x14ac:dyDescent="0.3"/>
    <row r="29945" ht="14.4" x14ac:dyDescent="0.3"/>
    <row r="29946" ht="14.4" x14ac:dyDescent="0.3"/>
    <row r="29947" ht="14.4" x14ac:dyDescent="0.3"/>
    <row r="29948" ht="14.4" x14ac:dyDescent="0.3"/>
    <row r="29949" ht="14.4" x14ac:dyDescent="0.3"/>
    <row r="29950" ht="14.4" x14ac:dyDescent="0.3"/>
    <row r="29951" ht="14.4" x14ac:dyDescent="0.3"/>
    <row r="29952" ht="14.4" x14ac:dyDescent="0.3"/>
    <row r="29953" ht="14.4" x14ac:dyDescent="0.3"/>
    <row r="29954" ht="14.4" x14ac:dyDescent="0.3"/>
    <row r="29955" ht="14.4" x14ac:dyDescent="0.3"/>
    <row r="29956" ht="14.4" x14ac:dyDescent="0.3"/>
    <row r="29957" ht="14.4" x14ac:dyDescent="0.3"/>
    <row r="29958" ht="14.4" x14ac:dyDescent="0.3"/>
    <row r="29959" ht="14.4" x14ac:dyDescent="0.3"/>
    <row r="29960" ht="14.4" x14ac:dyDescent="0.3"/>
    <row r="29961" ht="14.4" x14ac:dyDescent="0.3"/>
    <row r="29962" ht="14.4" x14ac:dyDescent="0.3"/>
    <row r="29963" ht="14.4" x14ac:dyDescent="0.3"/>
    <row r="29964" ht="14.4" x14ac:dyDescent="0.3"/>
    <row r="29965" ht="14.4" x14ac:dyDescent="0.3"/>
    <row r="29966" ht="14.4" x14ac:dyDescent="0.3"/>
    <row r="29967" ht="14.4" x14ac:dyDescent="0.3"/>
    <row r="29968" ht="14.4" x14ac:dyDescent="0.3"/>
    <row r="29969" ht="14.4" x14ac:dyDescent="0.3"/>
    <row r="29970" ht="14.4" x14ac:dyDescent="0.3"/>
    <row r="29971" ht="14.4" x14ac:dyDescent="0.3"/>
    <row r="29972" ht="14.4" x14ac:dyDescent="0.3"/>
    <row r="29973" ht="14.4" x14ac:dyDescent="0.3"/>
    <row r="29974" ht="14.4" x14ac:dyDescent="0.3"/>
    <row r="29975" ht="14.4" x14ac:dyDescent="0.3"/>
    <row r="29976" ht="14.4" x14ac:dyDescent="0.3"/>
    <row r="29977" ht="14.4" x14ac:dyDescent="0.3"/>
    <row r="29978" ht="14.4" x14ac:dyDescent="0.3"/>
    <row r="29979" ht="14.4" x14ac:dyDescent="0.3"/>
    <row r="29980" ht="14.4" x14ac:dyDescent="0.3"/>
    <row r="29981" ht="14.4" x14ac:dyDescent="0.3"/>
    <row r="29982" ht="14.4" x14ac:dyDescent="0.3"/>
    <row r="29983" ht="14.4" x14ac:dyDescent="0.3"/>
    <row r="29984" ht="14.4" x14ac:dyDescent="0.3"/>
    <row r="29985" ht="14.4" x14ac:dyDescent="0.3"/>
    <row r="29986" ht="14.4" x14ac:dyDescent="0.3"/>
    <row r="29987" ht="14.4" x14ac:dyDescent="0.3"/>
    <row r="29988" ht="14.4" x14ac:dyDescent="0.3"/>
    <row r="29989" ht="14.4" x14ac:dyDescent="0.3"/>
    <row r="29990" ht="14.4" x14ac:dyDescent="0.3"/>
    <row r="29991" ht="14.4" x14ac:dyDescent="0.3"/>
    <row r="29992" ht="14.4" x14ac:dyDescent="0.3"/>
    <row r="29993" ht="14.4" x14ac:dyDescent="0.3"/>
    <row r="29994" ht="14.4" x14ac:dyDescent="0.3"/>
    <row r="29995" ht="14.4" x14ac:dyDescent="0.3"/>
    <row r="29996" ht="14.4" x14ac:dyDescent="0.3"/>
    <row r="29997" ht="14.4" x14ac:dyDescent="0.3"/>
    <row r="29998" ht="14.4" x14ac:dyDescent="0.3"/>
    <row r="29999" ht="14.4" x14ac:dyDescent="0.3"/>
    <row r="30000" ht="14.4" x14ac:dyDescent="0.3"/>
    <row r="30001" ht="14.4" x14ac:dyDescent="0.3"/>
    <row r="30002" ht="14.4" x14ac:dyDescent="0.3"/>
    <row r="30003" ht="14.4" x14ac:dyDescent="0.3"/>
    <row r="30004" ht="14.4" x14ac:dyDescent="0.3"/>
    <row r="30005" ht="14.4" x14ac:dyDescent="0.3"/>
    <row r="30006" ht="14.4" x14ac:dyDescent="0.3"/>
    <row r="30007" ht="14.4" x14ac:dyDescent="0.3"/>
    <row r="30008" ht="14.4" x14ac:dyDescent="0.3"/>
    <row r="30009" ht="14.4" x14ac:dyDescent="0.3"/>
    <row r="30010" ht="14.4" x14ac:dyDescent="0.3"/>
    <row r="30011" ht="14.4" x14ac:dyDescent="0.3"/>
    <row r="30012" ht="14.4" x14ac:dyDescent="0.3"/>
    <row r="30013" ht="14.4" x14ac:dyDescent="0.3"/>
    <row r="30014" ht="14.4" x14ac:dyDescent="0.3"/>
    <row r="30015" ht="14.4" x14ac:dyDescent="0.3"/>
    <row r="30016" ht="14.4" x14ac:dyDescent="0.3"/>
    <row r="30017" ht="14.4" x14ac:dyDescent="0.3"/>
    <row r="30018" ht="14.4" x14ac:dyDescent="0.3"/>
    <row r="30019" ht="14.4" x14ac:dyDescent="0.3"/>
    <row r="30020" ht="14.4" x14ac:dyDescent="0.3"/>
    <row r="30021" ht="14.4" x14ac:dyDescent="0.3"/>
    <row r="30022" ht="14.4" x14ac:dyDescent="0.3"/>
    <row r="30023" ht="14.4" x14ac:dyDescent="0.3"/>
    <row r="30024" ht="14.4" x14ac:dyDescent="0.3"/>
    <row r="30025" ht="14.4" x14ac:dyDescent="0.3"/>
    <row r="30026" ht="14.4" x14ac:dyDescent="0.3"/>
    <row r="30027" ht="14.4" x14ac:dyDescent="0.3"/>
    <row r="30028" ht="14.4" x14ac:dyDescent="0.3"/>
    <row r="30029" ht="14.4" x14ac:dyDescent="0.3"/>
    <row r="30030" ht="14.4" x14ac:dyDescent="0.3"/>
    <row r="30031" ht="14.4" x14ac:dyDescent="0.3"/>
    <row r="30032" ht="14.4" x14ac:dyDescent="0.3"/>
    <row r="30033" ht="14.4" x14ac:dyDescent="0.3"/>
    <row r="30034" ht="14.4" x14ac:dyDescent="0.3"/>
    <row r="30035" ht="14.4" x14ac:dyDescent="0.3"/>
    <row r="30036" ht="14.4" x14ac:dyDescent="0.3"/>
    <row r="30037" ht="14.4" x14ac:dyDescent="0.3"/>
    <row r="30038" ht="14.4" x14ac:dyDescent="0.3"/>
    <row r="30039" ht="14.4" x14ac:dyDescent="0.3"/>
    <row r="30040" ht="14.4" x14ac:dyDescent="0.3"/>
    <row r="30041" ht="14.4" x14ac:dyDescent="0.3"/>
    <row r="30042" ht="14.4" x14ac:dyDescent="0.3"/>
    <row r="30043" ht="14.4" x14ac:dyDescent="0.3"/>
    <row r="30044" ht="14.4" x14ac:dyDescent="0.3"/>
    <row r="30045" ht="14.4" x14ac:dyDescent="0.3"/>
    <row r="30046" ht="14.4" x14ac:dyDescent="0.3"/>
    <row r="30047" ht="14.4" x14ac:dyDescent="0.3"/>
    <row r="30048" ht="14.4" x14ac:dyDescent="0.3"/>
    <row r="30049" ht="14.4" x14ac:dyDescent="0.3"/>
    <row r="30050" ht="14.4" x14ac:dyDescent="0.3"/>
    <row r="30051" ht="14.4" x14ac:dyDescent="0.3"/>
    <row r="30052" ht="14.4" x14ac:dyDescent="0.3"/>
    <row r="30053" ht="14.4" x14ac:dyDescent="0.3"/>
    <row r="30054" ht="14.4" x14ac:dyDescent="0.3"/>
    <row r="30055" ht="14.4" x14ac:dyDescent="0.3"/>
    <row r="30056" ht="14.4" x14ac:dyDescent="0.3"/>
    <row r="30057" ht="14.4" x14ac:dyDescent="0.3"/>
    <row r="30058" ht="14.4" x14ac:dyDescent="0.3"/>
    <row r="30059" ht="14.4" x14ac:dyDescent="0.3"/>
    <row r="30060" ht="14.4" x14ac:dyDescent="0.3"/>
    <row r="30061" ht="14.4" x14ac:dyDescent="0.3"/>
    <row r="30062" ht="14.4" x14ac:dyDescent="0.3"/>
    <row r="30063" ht="14.4" x14ac:dyDescent="0.3"/>
    <row r="30064" ht="14.4" x14ac:dyDescent="0.3"/>
    <row r="30065" ht="14.4" x14ac:dyDescent="0.3"/>
    <row r="30066" ht="14.4" x14ac:dyDescent="0.3"/>
    <row r="30067" ht="14.4" x14ac:dyDescent="0.3"/>
    <row r="30068" ht="14.4" x14ac:dyDescent="0.3"/>
    <row r="30069" ht="14.4" x14ac:dyDescent="0.3"/>
    <row r="30070" ht="14.4" x14ac:dyDescent="0.3"/>
    <row r="30071" ht="14.4" x14ac:dyDescent="0.3"/>
    <row r="30072" ht="14.4" x14ac:dyDescent="0.3"/>
    <row r="30073" ht="14.4" x14ac:dyDescent="0.3"/>
    <row r="30074" ht="14.4" x14ac:dyDescent="0.3"/>
    <row r="30075" ht="14.4" x14ac:dyDescent="0.3"/>
    <row r="30076" ht="14.4" x14ac:dyDescent="0.3"/>
    <row r="30077" ht="14.4" x14ac:dyDescent="0.3"/>
    <row r="30078" ht="14.4" x14ac:dyDescent="0.3"/>
    <row r="30079" ht="14.4" x14ac:dyDescent="0.3"/>
    <row r="30080" ht="14.4" x14ac:dyDescent="0.3"/>
    <row r="30081" ht="14.4" x14ac:dyDescent="0.3"/>
    <row r="30082" ht="14.4" x14ac:dyDescent="0.3"/>
    <row r="30083" ht="14.4" x14ac:dyDescent="0.3"/>
    <row r="30084" ht="14.4" x14ac:dyDescent="0.3"/>
    <row r="30085" ht="14.4" x14ac:dyDescent="0.3"/>
    <row r="30086" ht="14.4" x14ac:dyDescent="0.3"/>
    <row r="30087" ht="14.4" x14ac:dyDescent="0.3"/>
    <row r="30088" ht="14.4" x14ac:dyDescent="0.3"/>
    <row r="30089" ht="14.4" x14ac:dyDescent="0.3"/>
    <row r="30090" ht="14.4" x14ac:dyDescent="0.3"/>
    <row r="30091" ht="14.4" x14ac:dyDescent="0.3"/>
    <row r="30092" ht="14.4" x14ac:dyDescent="0.3"/>
    <row r="30093" ht="14.4" x14ac:dyDescent="0.3"/>
    <row r="30094" ht="14.4" x14ac:dyDescent="0.3"/>
    <row r="30095" ht="14.4" x14ac:dyDescent="0.3"/>
    <row r="30096" ht="14.4" x14ac:dyDescent="0.3"/>
    <row r="30097" ht="14.4" x14ac:dyDescent="0.3"/>
    <row r="30098" ht="14.4" x14ac:dyDescent="0.3"/>
    <row r="30099" ht="14.4" x14ac:dyDescent="0.3"/>
    <row r="30100" ht="14.4" x14ac:dyDescent="0.3"/>
    <row r="30101" ht="14.4" x14ac:dyDescent="0.3"/>
    <row r="30102" ht="14.4" x14ac:dyDescent="0.3"/>
    <row r="30103" ht="14.4" x14ac:dyDescent="0.3"/>
    <row r="30104" ht="14.4" x14ac:dyDescent="0.3"/>
    <row r="30105" ht="14.4" x14ac:dyDescent="0.3"/>
    <row r="30106" ht="14.4" x14ac:dyDescent="0.3"/>
    <row r="30107" ht="14.4" x14ac:dyDescent="0.3"/>
    <row r="30108" ht="14.4" x14ac:dyDescent="0.3"/>
    <row r="30109" ht="14.4" x14ac:dyDescent="0.3"/>
    <row r="30110" ht="14.4" x14ac:dyDescent="0.3"/>
    <row r="30111" ht="14.4" x14ac:dyDescent="0.3"/>
    <row r="30112" ht="14.4" x14ac:dyDescent="0.3"/>
    <row r="30113" ht="14.4" x14ac:dyDescent="0.3"/>
    <row r="30114" ht="14.4" x14ac:dyDescent="0.3"/>
    <row r="30115" ht="14.4" x14ac:dyDescent="0.3"/>
    <row r="30116" ht="14.4" x14ac:dyDescent="0.3"/>
    <row r="30117" ht="14.4" x14ac:dyDescent="0.3"/>
    <row r="30118" ht="14.4" x14ac:dyDescent="0.3"/>
    <row r="30119" ht="14.4" x14ac:dyDescent="0.3"/>
    <row r="30120" ht="14.4" x14ac:dyDescent="0.3"/>
    <row r="30121" ht="14.4" x14ac:dyDescent="0.3"/>
    <row r="30122" ht="14.4" x14ac:dyDescent="0.3"/>
    <row r="30123" ht="14.4" x14ac:dyDescent="0.3"/>
    <row r="30124" ht="14.4" x14ac:dyDescent="0.3"/>
    <row r="30125" ht="14.4" x14ac:dyDescent="0.3"/>
    <row r="30126" ht="14.4" x14ac:dyDescent="0.3"/>
    <row r="30127" ht="14.4" x14ac:dyDescent="0.3"/>
    <row r="30128" ht="14.4" x14ac:dyDescent="0.3"/>
    <row r="30129" ht="14.4" x14ac:dyDescent="0.3"/>
    <row r="30130" ht="14.4" x14ac:dyDescent="0.3"/>
    <row r="30131" ht="14.4" x14ac:dyDescent="0.3"/>
    <row r="30132" ht="14.4" x14ac:dyDescent="0.3"/>
    <row r="30133" ht="14.4" x14ac:dyDescent="0.3"/>
    <row r="30134" ht="14.4" x14ac:dyDescent="0.3"/>
    <row r="30135" ht="14.4" x14ac:dyDescent="0.3"/>
    <row r="30136" ht="14.4" x14ac:dyDescent="0.3"/>
    <row r="30137" ht="14.4" x14ac:dyDescent="0.3"/>
    <row r="30138" ht="14.4" x14ac:dyDescent="0.3"/>
    <row r="30139" ht="14.4" x14ac:dyDescent="0.3"/>
    <row r="30140" ht="14.4" x14ac:dyDescent="0.3"/>
    <row r="30141" ht="14.4" x14ac:dyDescent="0.3"/>
    <row r="30142" ht="14.4" x14ac:dyDescent="0.3"/>
    <row r="30143" ht="14.4" x14ac:dyDescent="0.3"/>
    <row r="30144" ht="14.4" x14ac:dyDescent="0.3"/>
    <row r="30145" ht="14.4" x14ac:dyDescent="0.3"/>
    <row r="30146" ht="14.4" x14ac:dyDescent="0.3"/>
    <row r="30147" ht="14.4" x14ac:dyDescent="0.3"/>
    <row r="30148" ht="14.4" x14ac:dyDescent="0.3"/>
    <row r="30149" ht="14.4" x14ac:dyDescent="0.3"/>
    <row r="30150" ht="14.4" x14ac:dyDescent="0.3"/>
    <row r="30151" ht="14.4" x14ac:dyDescent="0.3"/>
    <row r="30152" ht="14.4" x14ac:dyDescent="0.3"/>
    <row r="30153" ht="14.4" x14ac:dyDescent="0.3"/>
    <row r="30154" ht="14.4" x14ac:dyDescent="0.3"/>
    <row r="30155" ht="14.4" x14ac:dyDescent="0.3"/>
    <row r="30156" ht="14.4" x14ac:dyDescent="0.3"/>
    <row r="30157" ht="14.4" x14ac:dyDescent="0.3"/>
    <row r="30158" ht="14.4" x14ac:dyDescent="0.3"/>
    <row r="30159" ht="14.4" x14ac:dyDescent="0.3"/>
    <row r="30160" ht="14.4" x14ac:dyDescent="0.3"/>
    <row r="30161" ht="14.4" x14ac:dyDescent="0.3"/>
    <row r="30162" ht="14.4" x14ac:dyDescent="0.3"/>
    <row r="30163" ht="14.4" x14ac:dyDescent="0.3"/>
    <row r="30164" ht="14.4" x14ac:dyDescent="0.3"/>
    <row r="30165" ht="14.4" x14ac:dyDescent="0.3"/>
    <row r="30166" ht="14.4" x14ac:dyDescent="0.3"/>
    <row r="30167" ht="14.4" x14ac:dyDescent="0.3"/>
    <row r="30168" ht="14.4" x14ac:dyDescent="0.3"/>
    <row r="30169" ht="14.4" x14ac:dyDescent="0.3"/>
    <row r="30170" ht="14.4" x14ac:dyDescent="0.3"/>
    <row r="30171" ht="14.4" x14ac:dyDescent="0.3"/>
    <row r="30172" ht="14.4" x14ac:dyDescent="0.3"/>
    <row r="30173" ht="14.4" x14ac:dyDescent="0.3"/>
    <row r="30174" ht="14.4" x14ac:dyDescent="0.3"/>
    <row r="30175" ht="14.4" x14ac:dyDescent="0.3"/>
    <row r="30176" ht="14.4" x14ac:dyDescent="0.3"/>
    <row r="30177" ht="14.4" x14ac:dyDescent="0.3"/>
    <row r="30178" ht="14.4" x14ac:dyDescent="0.3"/>
    <row r="30179" ht="14.4" x14ac:dyDescent="0.3"/>
    <row r="30180" ht="14.4" x14ac:dyDescent="0.3"/>
    <row r="30181" ht="14.4" x14ac:dyDescent="0.3"/>
    <row r="30182" ht="14.4" x14ac:dyDescent="0.3"/>
    <row r="30183" ht="14.4" x14ac:dyDescent="0.3"/>
    <row r="30184" ht="14.4" x14ac:dyDescent="0.3"/>
    <row r="30185" ht="14.4" x14ac:dyDescent="0.3"/>
    <row r="30186" ht="14.4" x14ac:dyDescent="0.3"/>
    <row r="30187" ht="14.4" x14ac:dyDescent="0.3"/>
    <row r="30188" ht="14.4" x14ac:dyDescent="0.3"/>
    <row r="30189" ht="14.4" x14ac:dyDescent="0.3"/>
    <row r="30190" ht="14.4" x14ac:dyDescent="0.3"/>
    <row r="30191" ht="14.4" x14ac:dyDescent="0.3"/>
    <row r="30192" ht="14.4" x14ac:dyDescent="0.3"/>
    <row r="30193" ht="14.4" x14ac:dyDescent="0.3"/>
    <row r="30194" ht="14.4" x14ac:dyDescent="0.3"/>
    <row r="30195" ht="14.4" x14ac:dyDescent="0.3"/>
    <row r="30196" ht="14.4" x14ac:dyDescent="0.3"/>
    <row r="30197" ht="14.4" x14ac:dyDescent="0.3"/>
    <row r="30198" ht="14.4" x14ac:dyDescent="0.3"/>
    <row r="30199" ht="14.4" x14ac:dyDescent="0.3"/>
    <row r="30200" ht="14.4" x14ac:dyDescent="0.3"/>
    <row r="30201" ht="14.4" x14ac:dyDescent="0.3"/>
    <row r="30202" ht="14.4" x14ac:dyDescent="0.3"/>
    <row r="30203" ht="14.4" x14ac:dyDescent="0.3"/>
    <row r="30204" ht="14.4" x14ac:dyDescent="0.3"/>
    <row r="30205" ht="14.4" x14ac:dyDescent="0.3"/>
    <row r="30206" ht="14.4" x14ac:dyDescent="0.3"/>
    <row r="30207" ht="14.4" x14ac:dyDescent="0.3"/>
    <row r="30208" ht="14.4" x14ac:dyDescent="0.3"/>
    <row r="30209" ht="14.4" x14ac:dyDescent="0.3"/>
    <row r="30210" ht="14.4" x14ac:dyDescent="0.3"/>
    <row r="30211" ht="14.4" x14ac:dyDescent="0.3"/>
    <row r="30212" ht="14.4" x14ac:dyDescent="0.3"/>
    <row r="30213" ht="14.4" x14ac:dyDescent="0.3"/>
    <row r="30214" ht="14.4" x14ac:dyDescent="0.3"/>
    <row r="30215" ht="14.4" x14ac:dyDescent="0.3"/>
    <row r="30216" ht="14.4" x14ac:dyDescent="0.3"/>
    <row r="30217" ht="14.4" x14ac:dyDescent="0.3"/>
    <row r="30218" ht="14.4" x14ac:dyDescent="0.3"/>
    <row r="30219" ht="14.4" x14ac:dyDescent="0.3"/>
    <row r="30220" ht="14.4" x14ac:dyDescent="0.3"/>
    <row r="30221" ht="14.4" x14ac:dyDescent="0.3"/>
    <row r="30222" ht="14.4" x14ac:dyDescent="0.3"/>
    <row r="30223" ht="14.4" x14ac:dyDescent="0.3"/>
    <row r="30224" ht="14.4" x14ac:dyDescent="0.3"/>
    <row r="30225" ht="14.4" x14ac:dyDescent="0.3"/>
    <row r="30226" ht="14.4" x14ac:dyDescent="0.3"/>
    <row r="30227" ht="14.4" x14ac:dyDescent="0.3"/>
    <row r="30228" ht="14.4" x14ac:dyDescent="0.3"/>
    <row r="30229" ht="14.4" x14ac:dyDescent="0.3"/>
    <row r="30230" ht="14.4" x14ac:dyDescent="0.3"/>
    <row r="30231" ht="14.4" x14ac:dyDescent="0.3"/>
    <row r="30232" ht="14.4" x14ac:dyDescent="0.3"/>
    <row r="30233" ht="14.4" x14ac:dyDescent="0.3"/>
    <row r="30234" ht="14.4" x14ac:dyDescent="0.3"/>
    <row r="30235" ht="14.4" x14ac:dyDescent="0.3"/>
    <row r="30236" ht="14.4" x14ac:dyDescent="0.3"/>
    <row r="30237" ht="14.4" x14ac:dyDescent="0.3"/>
    <row r="30238" ht="14.4" x14ac:dyDescent="0.3"/>
    <row r="30239" ht="14.4" x14ac:dyDescent="0.3"/>
    <row r="30240" ht="14.4" x14ac:dyDescent="0.3"/>
    <row r="30241" ht="14.4" x14ac:dyDescent="0.3"/>
    <row r="30242" ht="14.4" x14ac:dyDescent="0.3"/>
    <row r="30243" ht="14.4" x14ac:dyDescent="0.3"/>
    <row r="30244" ht="14.4" x14ac:dyDescent="0.3"/>
    <row r="30245" ht="14.4" x14ac:dyDescent="0.3"/>
    <row r="30246" ht="14.4" x14ac:dyDescent="0.3"/>
    <row r="30247" ht="14.4" x14ac:dyDescent="0.3"/>
    <row r="30248" ht="14.4" x14ac:dyDescent="0.3"/>
    <row r="30249" ht="14.4" x14ac:dyDescent="0.3"/>
    <row r="30250" ht="14.4" x14ac:dyDescent="0.3"/>
    <row r="30251" ht="14.4" x14ac:dyDescent="0.3"/>
    <row r="30252" ht="14.4" x14ac:dyDescent="0.3"/>
    <row r="30253" ht="14.4" x14ac:dyDescent="0.3"/>
    <row r="30254" ht="14.4" x14ac:dyDescent="0.3"/>
    <row r="30255" ht="14.4" x14ac:dyDescent="0.3"/>
    <row r="30256" ht="14.4" x14ac:dyDescent="0.3"/>
    <row r="30257" ht="14.4" x14ac:dyDescent="0.3"/>
    <row r="30258" ht="14.4" x14ac:dyDescent="0.3"/>
    <row r="30259" ht="14.4" x14ac:dyDescent="0.3"/>
    <row r="30260" ht="14.4" x14ac:dyDescent="0.3"/>
    <row r="30261" ht="14.4" x14ac:dyDescent="0.3"/>
    <row r="30262" ht="14.4" x14ac:dyDescent="0.3"/>
    <row r="30263" ht="14.4" x14ac:dyDescent="0.3"/>
    <row r="30264" ht="14.4" x14ac:dyDescent="0.3"/>
    <row r="30265" ht="14.4" x14ac:dyDescent="0.3"/>
    <row r="30266" ht="14.4" x14ac:dyDescent="0.3"/>
    <row r="30267" ht="14.4" x14ac:dyDescent="0.3"/>
    <row r="30268" ht="14.4" x14ac:dyDescent="0.3"/>
    <row r="30269" ht="14.4" x14ac:dyDescent="0.3"/>
    <row r="30270" ht="14.4" x14ac:dyDescent="0.3"/>
    <row r="30271" ht="14.4" x14ac:dyDescent="0.3"/>
    <row r="30272" ht="14.4" x14ac:dyDescent="0.3"/>
    <row r="30273" ht="14.4" x14ac:dyDescent="0.3"/>
    <row r="30274" ht="14.4" x14ac:dyDescent="0.3"/>
    <row r="30275" ht="14.4" x14ac:dyDescent="0.3"/>
    <row r="30276" ht="14.4" x14ac:dyDescent="0.3"/>
    <row r="30277" ht="14.4" x14ac:dyDescent="0.3"/>
    <row r="30278" ht="14.4" x14ac:dyDescent="0.3"/>
    <row r="30279" ht="14.4" x14ac:dyDescent="0.3"/>
    <row r="30280" ht="14.4" x14ac:dyDescent="0.3"/>
    <row r="30281" ht="14.4" x14ac:dyDescent="0.3"/>
    <row r="30282" ht="14.4" x14ac:dyDescent="0.3"/>
    <row r="30283" ht="14.4" x14ac:dyDescent="0.3"/>
    <row r="30284" ht="14.4" x14ac:dyDescent="0.3"/>
    <row r="30285" ht="14.4" x14ac:dyDescent="0.3"/>
    <row r="30286" ht="14.4" x14ac:dyDescent="0.3"/>
    <row r="30287" ht="14.4" x14ac:dyDescent="0.3"/>
    <row r="30288" ht="14.4" x14ac:dyDescent="0.3"/>
    <row r="30289" ht="14.4" x14ac:dyDescent="0.3"/>
    <row r="30290" ht="14.4" x14ac:dyDescent="0.3"/>
    <row r="30291" ht="14.4" x14ac:dyDescent="0.3"/>
    <row r="30292" ht="14.4" x14ac:dyDescent="0.3"/>
    <row r="30293" ht="14.4" x14ac:dyDescent="0.3"/>
    <row r="30294" ht="14.4" x14ac:dyDescent="0.3"/>
    <row r="30295" ht="14.4" x14ac:dyDescent="0.3"/>
    <row r="30296" ht="14.4" x14ac:dyDescent="0.3"/>
    <row r="30297" ht="14.4" x14ac:dyDescent="0.3"/>
    <row r="30298" ht="14.4" x14ac:dyDescent="0.3"/>
    <row r="30299" ht="14.4" x14ac:dyDescent="0.3"/>
    <row r="30300" ht="14.4" x14ac:dyDescent="0.3"/>
    <row r="30301" ht="14.4" x14ac:dyDescent="0.3"/>
    <row r="30302" ht="14.4" x14ac:dyDescent="0.3"/>
    <row r="30303" ht="14.4" x14ac:dyDescent="0.3"/>
    <row r="30304" ht="14.4" x14ac:dyDescent="0.3"/>
    <row r="30305" ht="14.4" x14ac:dyDescent="0.3"/>
    <row r="30306" ht="14.4" x14ac:dyDescent="0.3"/>
    <row r="30307" ht="14.4" x14ac:dyDescent="0.3"/>
    <row r="30308" ht="14.4" x14ac:dyDescent="0.3"/>
    <row r="30309" ht="14.4" x14ac:dyDescent="0.3"/>
    <row r="30310" ht="14.4" x14ac:dyDescent="0.3"/>
    <row r="30311" ht="14.4" x14ac:dyDescent="0.3"/>
    <row r="30312" ht="14.4" x14ac:dyDescent="0.3"/>
    <row r="30313" ht="14.4" x14ac:dyDescent="0.3"/>
    <row r="30314" ht="14.4" x14ac:dyDescent="0.3"/>
    <row r="30315" ht="14.4" x14ac:dyDescent="0.3"/>
    <row r="30316" ht="14.4" x14ac:dyDescent="0.3"/>
    <row r="30317" ht="14.4" x14ac:dyDescent="0.3"/>
    <row r="30318" ht="14.4" x14ac:dyDescent="0.3"/>
    <row r="30319" ht="14.4" x14ac:dyDescent="0.3"/>
    <row r="30320" ht="14.4" x14ac:dyDescent="0.3"/>
    <row r="30321" ht="14.4" x14ac:dyDescent="0.3"/>
    <row r="30322" ht="14.4" x14ac:dyDescent="0.3"/>
    <row r="30323" ht="14.4" x14ac:dyDescent="0.3"/>
    <row r="30324" ht="14.4" x14ac:dyDescent="0.3"/>
    <row r="30325" ht="14.4" x14ac:dyDescent="0.3"/>
    <row r="30326" ht="14.4" x14ac:dyDescent="0.3"/>
    <row r="30327" ht="14.4" x14ac:dyDescent="0.3"/>
    <row r="30328" ht="14.4" x14ac:dyDescent="0.3"/>
    <row r="30329" ht="14.4" x14ac:dyDescent="0.3"/>
    <row r="30330" ht="14.4" x14ac:dyDescent="0.3"/>
    <row r="30331" ht="14.4" x14ac:dyDescent="0.3"/>
    <row r="30332" ht="14.4" x14ac:dyDescent="0.3"/>
    <row r="30333" ht="14.4" x14ac:dyDescent="0.3"/>
    <row r="30334" ht="14.4" x14ac:dyDescent="0.3"/>
    <row r="30335" ht="14.4" x14ac:dyDescent="0.3"/>
    <row r="30336" ht="14.4" x14ac:dyDescent="0.3"/>
    <row r="30337" ht="14.4" x14ac:dyDescent="0.3"/>
    <row r="30338" ht="14.4" x14ac:dyDescent="0.3"/>
    <row r="30339" ht="14.4" x14ac:dyDescent="0.3"/>
    <row r="30340" ht="14.4" x14ac:dyDescent="0.3"/>
    <row r="30341" ht="14.4" x14ac:dyDescent="0.3"/>
    <row r="30342" ht="14.4" x14ac:dyDescent="0.3"/>
    <row r="30343" ht="14.4" x14ac:dyDescent="0.3"/>
    <row r="30344" ht="14.4" x14ac:dyDescent="0.3"/>
    <row r="30345" ht="14.4" x14ac:dyDescent="0.3"/>
    <row r="30346" ht="14.4" x14ac:dyDescent="0.3"/>
    <row r="30347" ht="14.4" x14ac:dyDescent="0.3"/>
    <row r="30348" ht="14.4" x14ac:dyDescent="0.3"/>
    <row r="30349" ht="14.4" x14ac:dyDescent="0.3"/>
    <row r="30350" ht="14.4" x14ac:dyDescent="0.3"/>
    <row r="30351" ht="14.4" x14ac:dyDescent="0.3"/>
    <row r="30352" ht="14.4" x14ac:dyDescent="0.3"/>
    <row r="30353" ht="14.4" x14ac:dyDescent="0.3"/>
    <row r="30354" ht="14.4" x14ac:dyDescent="0.3"/>
    <row r="30355" ht="14.4" x14ac:dyDescent="0.3"/>
    <row r="30356" ht="14.4" x14ac:dyDescent="0.3"/>
    <row r="30357" ht="14.4" x14ac:dyDescent="0.3"/>
    <row r="30358" ht="14.4" x14ac:dyDescent="0.3"/>
    <row r="30359" ht="14.4" x14ac:dyDescent="0.3"/>
    <row r="30360" ht="14.4" x14ac:dyDescent="0.3"/>
    <row r="30361" ht="14.4" x14ac:dyDescent="0.3"/>
    <row r="30362" ht="14.4" x14ac:dyDescent="0.3"/>
    <row r="30363" ht="14.4" x14ac:dyDescent="0.3"/>
    <row r="30364" ht="14.4" x14ac:dyDescent="0.3"/>
    <row r="30365" ht="14.4" x14ac:dyDescent="0.3"/>
    <row r="30366" ht="14.4" x14ac:dyDescent="0.3"/>
    <row r="30367" ht="14.4" x14ac:dyDescent="0.3"/>
    <row r="30368" ht="14.4" x14ac:dyDescent="0.3"/>
    <row r="30369" ht="14.4" x14ac:dyDescent="0.3"/>
    <row r="30370" ht="14.4" x14ac:dyDescent="0.3"/>
    <row r="30371" ht="14.4" x14ac:dyDescent="0.3"/>
    <row r="30372" ht="14.4" x14ac:dyDescent="0.3"/>
    <row r="30373" ht="14.4" x14ac:dyDescent="0.3"/>
    <row r="30374" ht="14.4" x14ac:dyDescent="0.3"/>
    <row r="30375" ht="14.4" x14ac:dyDescent="0.3"/>
    <row r="30376" ht="14.4" x14ac:dyDescent="0.3"/>
    <row r="30377" ht="14.4" x14ac:dyDescent="0.3"/>
    <row r="30378" ht="14.4" x14ac:dyDescent="0.3"/>
    <row r="30379" ht="14.4" x14ac:dyDescent="0.3"/>
    <row r="30380" ht="14.4" x14ac:dyDescent="0.3"/>
    <row r="30381" ht="14.4" x14ac:dyDescent="0.3"/>
    <row r="30382" ht="14.4" x14ac:dyDescent="0.3"/>
    <row r="30383" ht="14.4" x14ac:dyDescent="0.3"/>
    <row r="30384" ht="14.4" x14ac:dyDescent="0.3"/>
    <row r="30385" ht="14.4" x14ac:dyDescent="0.3"/>
    <row r="30386" ht="14.4" x14ac:dyDescent="0.3"/>
    <row r="30387" ht="14.4" x14ac:dyDescent="0.3"/>
    <row r="30388" ht="14.4" x14ac:dyDescent="0.3"/>
    <row r="30389" ht="14.4" x14ac:dyDescent="0.3"/>
    <row r="30390" ht="14.4" x14ac:dyDescent="0.3"/>
    <row r="30391" ht="14.4" x14ac:dyDescent="0.3"/>
    <row r="30392" ht="14.4" x14ac:dyDescent="0.3"/>
    <row r="30393" ht="14.4" x14ac:dyDescent="0.3"/>
    <row r="30394" ht="14.4" x14ac:dyDescent="0.3"/>
    <row r="30395" ht="14.4" x14ac:dyDescent="0.3"/>
    <row r="30396" ht="14.4" x14ac:dyDescent="0.3"/>
    <row r="30397" ht="14.4" x14ac:dyDescent="0.3"/>
    <row r="30398" ht="14.4" x14ac:dyDescent="0.3"/>
    <row r="30399" ht="14.4" x14ac:dyDescent="0.3"/>
    <row r="30400" ht="14.4" x14ac:dyDescent="0.3"/>
    <row r="30401" ht="14.4" x14ac:dyDescent="0.3"/>
    <row r="30402" ht="14.4" x14ac:dyDescent="0.3"/>
    <row r="30403" ht="14.4" x14ac:dyDescent="0.3"/>
    <row r="30404" ht="14.4" x14ac:dyDescent="0.3"/>
    <row r="30405" ht="14.4" x14ac:dyDescent="0.3"/>
    <row r="30406" ht="14.4" x14ac:dyDescent="0.3"/>
    <row r="30407" ht="14.4" x14ac:dyDescent="0.3"/>
    <row r="30408" ht="14.4" x14ac:dyDescent="0.3"/>
    <row r="30409" ht="14.4" x14ac:dyDescent="0.3"/>
    <row r="30410" ht="14.4" x14ac:dyDescent="0.3"/>
    <row r="30411" ht="14.4" x14ac:dyDescent="0.3"/>
    <row r="30412" ht="14.4" x14ac:dyDescent="0.3"/>
    <row r="30413" ht="14.4" x14ac:dyDescent="0.3"/>
    <row r="30414" ht="14.4" x14ac:dyDescent="0.3"/>
    <row r="30415" ht="14.4" x14ac:dyDescent="0.3"/>
    <row r="30416" ht="14.4" x14ac:dyDescent="0.3"/>
    <row r="30417" ht="14.4" x14ac:dyDescent="0.3"/>
    <row r="30418" ht="14.4" x14ac:dyDescent="0.3"/>
    <row r="30419" ht="14.4" x14ac:dyDescent="0.3"/>
    <row r="30420" ht="14.4" x14ac:dyDescent="0.3"/>
    <row r="30421" ht="14.4" x14ac:dyDescent="0.3"/>
    <row r="30422" ht="14.4" x14ac:dyDescent="0.3"/>
    <row r="30423" ht="14.4" x14ac:dyDescent="0.3"/>
    <row r="30424" ht="14.4" x14ac:dyDescent="0.3"/>
    <row r="30425" ht="14.4" x14ac:dyDescent="0.3"/>
    <row r="30426" ht="14.4" x14ac:dyDescent="0.3"/>
    <row r="30427" ht="14.4" x14ac:dyDescent="0.3"/>
    <row r="30428" ht="14.4" x14ac:dyDescent="0.3"/>
    <row r="30429" ht="14.4" x14ac:dyDescent="0.3"/>
    <row r="30430" ht="14.4" x14ac:dyDescent="0.3"/>
    <row r="30431" ht="14.4" x14ac:dyDescent="0.3"/>
    <row r="30432" ht="14.4" x14ac:dyDescent="0.3"/>
    <row r="30433" ht="14.4" x14ac:dyDescent="0.3"/>
    <row r="30434" ht="14.4" x14ac:dyDescent="0.3"/>
    <row r="30435" ht="14.4" x14ac:dyDescent="0.3"/>
    <row r="30436" ht="14.4" x14ac:dyDescent="0.3"/>
    <row r="30437" ht="14.4" x14ac:dyDescent="0.3"/>
    <row r="30438" ht="14.4" x14ac:dyDescent="0.3"/>
    <row r="30439" ht="14.4" x14ac:dyDescent="0.3"/>
    <row r="30440" ht="14.4" x14ac:dyDescent="0.3"/>
    <row r="30441" ht="14.4" x14ac:dyDescent="0.3"/>
    <row r="30442" ht="14.4" x14ac:dyDescent="0.3"/>
    <row r="30443" ht="14.4" x14ac:dyDescent="0.3"/>
    <row r="30444" ht="14.4" x14ac:dyDescent="0.3"/>
    <row r="30445" ht="14.4" x14ac:dyDescent="0.3"/>
    <row r="30446" ht="14.4" x14ac:dyDescent="0.3"/>
    <row r="30447" ht="14.4" x14ac:dyDescent="0.3"/>
    <row r="30448" ht="14.4" x14ac:dyDescent="0.3"/>
    <row r="30449" ht="14.4" x14ac:dyDescent="0.3"/>
    <row r="30450" ht="14.4" x14ac:dyDescent="0.3"/>
    <row r="30451" ht="14.4" x14ac:dyDescent="0.3"/>
    <row r="30452" ht="14.4" x14ac:dyDescent="0.3"/>
    <row r="30453" ht="14.4" x14ac:dyDescent="0.3"/>
    <row r="30454" ht="14.4" x14ac:dyDescent="0.3"/>
    <row r="30455" ht="14.4" x14ac:dyDescent="0.3"/>
    <row r="30456" ht="14.4" x14ac:dyDescent="0.3"/>
    <row r="30457" ht="14.4" x14ac:dyDescent="0.3"/>
    <row r="30458" ht="14.4" x14ac:dyDescent="0.3"/>
    <row r="30459" ht="14.4" x14ac:dyDescent="0.3"/>
    <row r="30460" ht="14.4" x14ac:dyDescent="0.3"/>
    <row r="30461" ht="14.4" x14ac:dyDescent="0.3"/>
    <row r="30462" ht="14.4" x14ac:dyDescent="0.3"/>
    <row r="30463" ht="14.4" x14ac:dyDescent="0.3"/>
    <row r="30464" ht="14.4" x14ac:dyDescent="0.3"/>
    <row r="30465" ht="14.4" x14ac:dyDescent="0.3"/>
    <row r="30466" ht="14.4" x14ac:dyDescent="0.3"/>
    <row r="30467" ht="14.4" x14ac:dyDescent="0.3"/>
    <row r="30468" ht="14.4" x14ac:dyDescent="0.3"/>
    <row r="30469" ht="14.4" x14ac:dyDescent="0.3"/>
    <row r="30470" ht="14.4" x14ac:dyDescent="0.3"/>
    <row r="30471" ht="14.4" x14ac:dyDescent="0.3"/>
    <row r="30472" ht="14.4" x14ac:dyDescent="0.3"/>
    <row r="30473" ht="14.4" x14ac:dyDescent="0.3"/>
    <row r="30474" ht="14.4" x14ac:dyDescent="0.3"/>
    <row r="30475" ht="14.4" x14ac:dyDescent="0.3"/>
    <row r="30476" ht="14.4" x14ac:dyDescent="0.3"/>
    <row r="30477" ht="14.4" x14ac:dyDescent="0.3"/>
    <row r="30478" ht="14.4" x14ac:dyDescent="0.3"/>
    <row r="30479" ht="14.4" x14ac:dyDescent="0.3"/>
    <row r="30480" ht="14.4" x14ac:dyDescent="0.3"/>
    <row r="30481" ht="14.4" x14ac:dyDescent="0.3"/>
    <row r="30482" ht="14.4" x14ac:dyDescent="0.3"/>
    <row r="30483" ht="14.4" x14ac:dyDescent="0.3"/>
    <row r="30484" ht="14.4" x14ac:dyDescent="0.3"/>
    <row r="30485" ht="14.4" x14ac:dyDescent="0.3"/>
    <row r="30486" ht="14.4" x14ac:dyDescent="0.3"/>
    <row r="30487" ht="14.4" x14ac:dyDescent="0.3"/>
    <row r="30488" ht="14.4" x14ac:dyDescent="0.3"/>
    <row r="30489" ht="14.4" x14ac:dyDescent="0.3"/>
    <row r="30490" ht="14.4" x14ac:dyDescent="0.3"/>
    <row r="30491" ht="14.4" x14ac:dyDescent="0.3"/>
    <row r="30492" ht="14.4" x14ac:dyDescent="0.3"/>
    <row r="30493" ht="14.4" x14ac:dyDescent="0.3"/>
    <row r="30494" ht="14.4" x14ac:dyDescent="0.3"/>
    <row r="30495" ht="14.4" x14ac:dyDescent="0.3"/>
    <row r="30496" ht="14.4" x14ac:dyDescent="0.3"/>
    <row r="30497" ht="14.4" x14ac:dyDescent="0.3"/>
    <row r="30498" ht="14.4" x14ac:dyDescent="0.3"/>
    <row r="30499" ht="14.4" x14ac:dyDescent="0.3"/>
    <row r="30500" ht="14.4" x14ac:dyDescent="0.3"/>
    <row r="30501" ht="14.4" x14ac:dyDescent="0.3"/>
    <row r="30502" ht="14.4" x14ac:dyDescent="0.3"/>
    <row r="30503" ht="14.4" x14ac:dyDescent="0.3"/>
    <row r="30504" ht="14.4" x14ac:dyDescent="0.3"/>
    <row r="30505" ht="14.4" x14ac:dyDescent="0.3"/>
    <row r="30506" ht="14.4" x14ac:dyDescent="0.3"/>
    <row r="30507" ht="14.4" x14ac:dyDescent="0.3"/>
    <row r="30508" ht="14.4" x14ac:dyDescent="0.3"/>
    <row r="30509" ht="14.4" x14ac:dyDescent="0.3"/>
    <row r="30510" ht="14.4" x14ac:dyDescent="0.3"/>
    <row r="30511" ht="14.4" x14ac:dyDescent="0.3"/>
    <row r="30512" ht="14.4" x14ac:dyDescent="0.3"/>
    <row r="30513" ht="14.4" x14ac:dyDescent="0.3"/>
    <row r="30514" ht="14.4" x14ac:dyDescent="0.3"/>
    <row r="30515" ht="14.4" x14ac:dyDescent="0.3"/>
    <row r="30516" ht="14.4" x14ac:dyDescent="0.3"/>
    <row r="30517" ht="14.4" x14ac:dyDescent="0.3"/>
    <row r="30518" ht="14.4" x14ac:dyDescent="0.3"/>
    <row r="30519" ht="14.4" x14ac:dyDescent="0.3"/>
    <row r="30520" ht="14.4" x14ac:dyDescent="0.3"/>
    <row r="30521" ht="14.4" x14ac:dyDescent="0.3"/>
    <row r="30522" ht="14.4" x14ac:dyDescent="0.3"/>
    <row r="30523" ht="14.4" x14ac:dyDescent="0.3"/>
    <row r="30524" ht="14.4" x14ac:dyDescent="0.3"/>
    <row r="30525" ht="14.4" x14ac:dyDescent="0.3"/>
    <row r="30526" ht="14.4" x14ac:dyDescent="0.3"/>
    <row r="30527" ht="14.4" x14ac:dyDescent="0.3"/>
    <row r="30528" ht="14.4" x14ac:dyDescent="0.3"/>
    <row r="30529" ht="14.4" x14ac:dyDescent="0.3"/>
    <row r="30530" ht="14.4" x14ac:dyDescent="0.3"/>
    <row r="30531" ht="14.4" x14ac:dyDescent="0.3"/>
    <row r="30532" ht="14.4" x14ac:dyDescent="0.3"/>
    <row r="30533" ht="14.4" x14ac:dyDescent="0.3"/>
    <row r="30534" ht="14.4" x14ac:dyDescent="0.3"/>
    <row r="30535" ht="14.4" x14ac:dyDescent="0.3"/>
    <row r="30536" ht="14.4" x14ac:dyDescent="0.3"/>
    <row r="30537" ht="14.4" x14ac:dyDescent="0.3"/>
    <row r="30538" ht="14.4" x14ac:dyDescent="0.3"/>
    <row r="30539" ht="14.4" x14ac:dyDescent="0.3"/>
    <row r="30540" ht="14.4" x14ac:dyDescent="0.3"/>
    <row r="30541" ht="14.4" x14ac:dyDescent="0.3"/>
    <row r="30542" ht="14.4" x14ac:dyDescent="0.3"/>
    <row r="30543" ht="14.4" x14ac:dyDescent="0.3"/>
    <row r="30544" ht="14.4" x14ac:dyDescent="0.3"/>
    <row r="30545" ht="14.4" x14ac:dyDescent="0.3"/>
    <row r="30546" ht="14.4" x14ac:dyDescent="0.3"/>
    <row r="30547" ht="14.4" x14ac:dyDescent="0.3"/>
    <row r="30548" ht="14.4" x14ac:dyDescent="0.3"/>
    <row r="30549" ht="14.4" x14ac:dyDescent="0.3"/>
    <row r="30550" ht="14.4" x14ac:dyDescent="0.3"/>
    <row r="30551" ht="14.4" x14ac:dyDescent="0.3"/>
    <row r="30552" ht="14.4" x14ac:dyDescent="0.3"/>
    <row r="30553" ht="14.4" x14ac:dyDescent="0.3"/>
    <row r="30554" ht="14.4" x14ac:dyDescent="0.3"/>
    <row r="30555" ht="14.4" x14ac:dyDescent="0.3"/>
    <row r="30556" ht="14.4" x14ac:dyDescent="0.3"/>
    <row r="30557" ht="14.4" x14ac:dyDescent="0.3"/>
    <row r="30558" ht="14.4" x14ac:dyDescent="0.3"/>
    <row r="30559" ht="14.4" x14ac:dyDescent="0.3"/>
    <row r="30560" ht="14.4" x14ac:dyDescent="0.3"/>
    <row r="30561" spans="1:43" ht="14.4" x14ac:dyDescent="0.3"/>
    <row r="30562" spans="1:43" ht="14.4" x14ac:dyDescent="0.3"/>
    <row r="30563" spans="1:43" ht="14.4" x14ac:dyDescent="0.3"/>
    <row r="30564" spans="1:43" ht="14.4" x14ac:dyDescent="0.3"/>
    <row r="30565" spans="1:43" ht="14.4" x14ac:dyDescent="0.3"/>
    <row r="30566" spans="1:43" ht="14.4" hidden="1" x14ac:dyDescent="0.3">
      <c r="A30566" t="s">
        <v>4695</v>
      </c>
      <c r="B30566">
        <v>4924126</v>
      </c>
      <c r="C30566" t="s">
        <v>424</v>
      </c>
      <c r="D30566" t="s">
        <v>428</v>
      </c>
      <c r="E30566" t="s">
        <v>750</v>
      </c>
      <c r="F30566" t="s">
        <v>620</v>
      </c>
      <c r="H30566" t="s">
        <v>4696</v>
      </c>
      <c r="J30566" t="s">
        <v>140</v>
      </c>
      <c r="K30566">
        <v>162505.71</v>
      </c>
      <c r="L30566">
        <v>388618.14</v>
      </c>
      <c r="N30566" t="s">
        <v>1494</v>
      </c>
      <c r="O30566" t="s">
        <v>1568</v>
      </c>
      <c r="P30566" t="s">
        <v>785</v>
      </c>
      <c r="Q30566" t="s">
        <v>144</v>
      </c>
      <c r="S30566">
        <v>0</v>
      </c>
      <c r="T30566">
        <v>0</v>
      </c>
      <c r="V30566" t="s">
        <v>146</v>
      </c>
      <c r="W30566" t="s">
        <v>184</v>
      </c>
      <c r="Y30566" t="s">
        <v>1569</v>
      </c>
      <c r="Z30566" t="s">
        <v>1568</v>
      </c>
      <c r="AA30566" t="s">
        <v>936</v>
      </c>
      <c r="AB30566">
        <v>0</v>
      </c>
      <c r="AE30566" t="s">
        <v>1496</v>
      </c>
      <c r="AF30566" t="s">
        <v>1568</v>
      </c>
      <c r="AG30566" t="s">
        <v>1570</v>
      </c>
      <c r="AL30566" t="s">
        <v>4697</v>
      </c>
      <c r="AM30566" t="s">
        <v>4698</v>
      </c>
      <c r="AN30566" t="s">
        <v>4699</v>
      </c>
      <c r="AO30566" t="s">
        <v>1494</v>
      </c>
      <c r="AQ30566">
        <f>IF(ISBLANK(AP30566), IFERROR(IF(VLOOKUP(AO30566, Ellens_additions!$A$2:$B$252, 2, FALSE) = "", "", VLOOKUP(AO30566, Ellens_additions!$A$2:$B$252, 2, FALSE)), 0), AP30566)</f>
        <v>0</v>
      </c>
    </row>
    <row r="30567" spans="1:43" ht="14.4" hidden="1" x14ac:dyDescent="0.3">
      <c r="A30567" t="s">
        <v>4700</v>
      </c>
      <c r="B30567">
        <v>4924127</v>
      </c>
      <c r="C30567" t="s">
        <v>424</v>
      </c>
      <c r="D30567" t="s">
        <v>428</v>
      </c>
      <c r="E30567" t="s">
        <v>750</v>
      </c>
      <c r="F30567" t="s">
        <v>620</v>
      </c>
      <c r="H30567" t="s">
        <v>4701</v>
      </c>
      <c r="J30567" t="s">
        <v>140</v>
      </c>
      <c r="K30567">
        <v>162520.82999999999</v>
      </c>
      <c r="L30567">
        <v>388617.88</v>
      </c>
      <c r="N30567" t="s">
        <v>1494</v>
      </c>
      <c r="O30567" t="s">
        <v>1568</v>
      </c>
      <c r="P30567" t="s">
        <v>785</v>
      </c>
      <c r="Q30567" t="s">
        <v>144</v>
      </c>
      <c r="S30567">
        <v>0</v>
      </c>
      <c r="T30567">
        <v>0</v>
      </c>
      <c r="V30567" t="s">
        <v>146</v>
      </c>
      <c r="W30567" t="s">
        <v>184</v>
      </c>
      <c r="Y30567" t="s">
        <v>1569</v>
      </c>
      <c r="Z30567" t="s">
        <v>1568</v>
      </c>
      <c r="AA30567" t="s">
        <v>936</v>
      </c>
      <c r="AB30567">
        <v>0</v>
      </c>
      <c r="AE30567" t="s">
        <v>1496</v>
      </c>
      <c r="AF30567" t="s">
        <v>1568</v>
      </c>
      <c r="AG30567" t="s">
        <v>1570</v>
      </c>
      <c r="AL30567" t="s">
        <v>4702</v>
      </c>
      <c r="AM30567" t="s">
        <v>4703</v>
      </c>
      <c r="AN30567" t="s">
        <v>4704</v>
      </c>
      <c r="AO30567" t="s">
        <v>1494</v>
      </c>
      <c r="AQ30567">
        <f>IF(ISBLANK(AP30567), IFERROR(IF(VLOOKUP(AO30567, Ellens_additions!$A$2:$B$252, 2, FALSE) = "", "", VLOOKUP(AO30567, Ellens_additions!$A$2:$B$252, 2, FALSE)), 0), AP30567)</f>
        <v>0</v>
      </c>
    </row>
    <row r="30568" spans="1:43" ht="14.4" hidden="1" x14ac:dyDescent="0.3">
      <c r="A30568" t="s">
        <v>4705</v>
      </c>
      <c r="B30568">
        <v>4924131</v>
      </c>
      <c r="C30568" t="s">
        <v>424</v>
      </c>
      <c r="D30568" t="s">
        <v>428</v>
      </c>
      <c r="E30568" t="s">
        <v>750</v>
      </c>
      <c r="F30568" t="s">
        <v>620</v>
      </c>
      <c r="H30568" t="s">
        <v>4706</v>
      </c>
      <c r="J30568" t="s">
        <v>140</v>
      </c>
      <c r="K30568">
        <v>162498.76</v>
      </c>
      <c r="L30568">
        <v>388621.85</v>
      </c>
      <c r="N30568" t="s">
        <v>1494</v>
      </c>
      <c r="O30568" t="s">
        <v>1568</v>
      </c>
      <c r="P30568" t="s">
        <v>785</v>
      </c>
      <c r="Q30568" t="s">
        <v>144</v>
      </c>
      <c r="S30568">
        <v>0</v>
      </c>
      <c r="T30568">
        <v>0</v>
      </c>
      <c r="V30568" t="s">
        <v>146</v>
      </c>
      <c r="W30568" t="s">
        <v>184</v>
      </c>
      <c r="Y30568" t="s">
        <v>1569</v>
      </c>
      <c r="Z30568" t="s">
        <v>1568</v>
      </c>
      <c r="AA30568" t="s">
        <v>936</v>
      </c>
      <c r="AB30568">
        <v>0</v>
      </c>
      <c r="AE30568" t="s">
        <v>1496</v>
      </c>
      <c r="AF30568" t="s">
        <v>1568</v>
      </c>
      <c r="AG30568" t="s">
        <v>1570</v>
      </c>
      <c r="AL30568" t="s">
        <v>4707</v>
      </c>
      <c r="AM30568" t="s">
        <v>4708</v>
      </c>
      <c r="AN30568" t="s">
        <v>4709</v>
      </c>
      <c r="AO30568" t="s">
        <v>1494</v>
      </c>
      <c r="AQ30568">
        <f>IF(ISBLANK(AP30568), IFERROR(IF(VLOOKUP(AO30568, Ellens_additions!$A$2:$B$252, 2, FALSE) = "", "", VLOOKUP(AO30568, Ellens_additions!$A$2:$B$252, 2, FALSE)), 0), AP30568)</f>
        <v>0</v>
      </c>
    </row>
    <row r="30569" spans="1:43" ht="14.4" hidden="1" x14ac:dyDescent="0.3">
      <c r="A30569" t="s">
        <v>4710</v>
      </c>
      <c r="B30569">
        <v>4924132</v>
      </c>
      <c r="C30569" t="s">
        <v>424</v>
      </c>
      <c r="D30569" t="s">
        <v>428</v>
      </c>
      <c r="E30569" t="s">
        <v>619</v>
      </c>
      <c r="F30569" t="s">
        <v>620</v>
      </c>
      <c r="H30569" t="s">
        <v>4711</v>
      </c>
      <c r="J30569" t="s">
        <v>140</v>
      </c>
      <c r="K30569">
        <v>162490.56</v>
      </c>
      <c r="L30569">
        <v>388648.15</v>
      </c>
      <c r="N30569" t="s">
        <v>1494</v>
      </c>
      <c r="O30569" t="s">
        <v>1568</v>
      </c>
      <c r="P30569" t="s">
        <v>785</v>
      </c>
      <c r="Q30569" t="s">
        <v>144</v>
      </c>
      <c r="S30569">
        <v>0</v>
      </c>
      <c r="T30569">
        <v>0</v>
      </c>
      <c r="V30569" t="s">
        <v>146</v>
      </c>
      <c r="W30569" t="s">
        <v>184</v>
      </c>
      <c r="Y30569" t="s">
        <v>1569</v>
      </c>
      <c r="Z30569" t="s">
        <v>1568</v>
      </c>
      <c r="AA30569" t="s">
        <v>936</v>
      </c>
      <c r="AB30569">
        <v>0</v>
      </c>
      <c r="AE30569" t="s">
        <v>1496</v>
      </c>
      <c r="AF30569" t="s">
        <v>1568</v>
      </c>
      <c r="AG30569" t="s">
        <v>1570</v>
      </c>
      <c r="AL30569" t="s">
        <v>4712</v>
      </c>
      <c r="AM30569" t="s">
        <v>4713</v>
      </c>
      <c r="AN30569" t="s">
        <v>4714</v>
      </c>
      <c r="AO30569" t="s">
        <v>1494</v>
      </c>
      <c r="AQ30569">
        <f>IF(ISBLANK(AP30569), IFERROR(IF(VLOOKUP(AO30569, Ellens_additions!$A$2:$B$252, 2, FALSE) = "", "", VLOOKUP(AO30569, Ellens_additions!$A$2:$B$252, 2, FALSE)), 0), AP30569)</f>
        <v>0</v>
      </c>
    </row>
    <row r="30570" spans="1:43" ht="14.4" hidden="1" x14ac:dyDescent="0.3">
      <c r="A30570" t="s">
        <v>4715</v>
      </c>
      <c r="B30570">
        <v>4924135</v>
      </c>
      <c r="C30570" t="s">
        <v>424</v>
      </c>
      <c r="D30570" t="s">
        <v>428</v>
      </c>
      <c r="E30570" t="s">
        <v>619</v>
      </c>
      <c r="F30570" t="s">
        <v>620</v>
      </c>
      <c r="H30570" t="s">
        <v>4716</v>
      </c>
      <c r="J30570" t="s">
        <v>140</v>
      </c>
      <c r="K30570">
        <v>162493.19</v>
      </c>
      <c r="L30570">
        <v>388628.05</v>
      </c>
      <c r="N30570" t="s">
        <v>1494</v>
      </c>
      <c r="O30570" t="s">
        <v>1568</v>
      </c>
      <c r="P30570" t="s">
        <v>785</v>
      </c>
      <c r="Q30570" t="s">
        <v>144</v>
      </c>
      <c r="S30570">
        <v>0</v>
      </c>
      <c r="T30570">
        <v>0</v>
      </c>
      <c r="V30570" t="s">
        <v>146</v>
      </c>
      <c r="W30570" t="s">
        <v>184</v>
      </c>
      <c r="Y30570" t="s">
        <v>1569</v>
      </c>
      <c r="Z30570" t="s">
        <v>1568</v>
      </c>
      <c r="AA30570" t="s">
        <v>936</v>
      </c>
      <c r="AB30570">
        <v>0</v>
      </c>
      <c r="AE30570" t="s">
        <v>1496</v>
      </c>
      <c r="AF30570" t="s">
        <v>1568</v>
      </c>
      <c r="AG30570" t="s">
        <v>1570</v>
      </c>
      <c r="AL30570" t="s">
        <v>4717</v>
      </c>
      <c r="AM30570" t="s">
        <v>4718</v>
      </c>
      <c r="AN30570" t="s">
        <v>4719</v>
      </c>
      <c r="AO30570" t="s">
        <v>1494</v>
      </c>
      <c r="AQ30570">
        <f>IF(ISBLANK(AP30570), IFERROR(IF(VLOOKUP(AO30570, Ellens_additions!$A$2:$B$252, 2, FALSE) = "", "", VLOOKUP(AO30570, Ellens_additions!$A$2:$B$252, 2, FALSE)), 0), AP30570)</f>
        <v>0</v>
      </c>
    </row>
    <row r="30571" spans="1:43" ht="14.4" hidden="1" x14ac:dyDescent="0.3">
      <c r="A30571" t="s">
        <v>4720</v>
      </c>
      <c r="B30571">
        <v>4924136</v>
      </c>
      <c r="C30571" t="s">
        <v>424</v>
      </c>
      <c r="D30571" t="s">
        <v>428</v>
      </c>
      <c r="E30571" t="s">
        <v>619</v>
      </c>
      <c r="F30571" t="s">
        <v>620</v>
      </c>
      <c r="H30571" t="s">
        <v>4721</v>
      </c>
      <c r="J30571" t="s">
        <v>140</v>
      </c>
      <c r="K30571">
        <v>162489.44</v>
      </c>
      <c r="L30571">
        <v>388639.95</v>
      </c>
      <c r="N30571" t="s">
        <v>1494</v>
      </c>
      <c r="O30571" t="s">
        <v>1568</v>
      </c>
      <c r="P30571" t="s">
        <v>785</v>
      </c>
      <c r="Q30571" t="s">
        <v>144</v>
      </c>
      <c r="S30571">
        <v>0</v>
      </c>
      <c r="T30571">
        <v>0</v>
      </c>
      <c r="V30571" t="s">
        <v>146</v>
      </c>
      <c r="W30571" t="s">
        <v>184</v>
      </c>
      <c r="Y30571" t="s">
        <v>1569</v>
      </c>
      <c r="Z30571" t="s">
        <v>1568</v>
      </c>
      <c r="AA30571" t="s">
        <v>936</v>
      </c>
      <c r="AB30571">
        <v>0</v>
      </c>
      <c r="AE30571" t="s">
        <v>1496</v>
      </c>
      <c r="AF30571" t="s">
        <v>1568</v>
      </c>
      <c r="AG30571" t="s">
        <v>1570</v>
      </c>
      <c r="AL30571" t="s">
        <v>4722</v>
      </c>
      <c r="AM30571" t="s">
        <v>4723</v>
      </c>
      <c r="AN30571" t="s">
        <v>4724</v>
      </c>
      <c r="AO30571" t="s">
        <v>1494</v>
      </c>
      <c r="AQ30571">
        <f>IF(ISBLANK(AP30571), IFERROR(IF(VLOOKUP(AO30571, Ellens_additions!$A$2:$B$252, 2, FALSE) = "", "", VLOOKUP(AO30571, Ellens_additions!$A$2:$B$252, 2, FALSE)), 0), AP30571)</f>
        <v>0</v>
      </c>
    </row>
    <row r="30572" spans="1:43" ht="14.4" hidden="1" x14ac:dyDescent="0.3">
      <c r="A30572" t="s">
        <v>4725</v>
      </c>
      <c r="B30572">
        <v>4924137</v>
      </c>
      <c r="C30572" t="s">
        <v>424</v>
      </c>
      <c r="D30572" t="s">
        <v>428</v>
      </c>
      <c r="E30572" t="s">
        <v>619</v>
      </c>
      <c r="F30572" t="s">
        <v>620</v>
      </c>
      <c r="H30572" t="s">
        <v>4726</v>
      </c>
      <c r="J30572" t="s">
        <v>140</v>
      </c>
      <c r="K30572">
        <v>162491.07999999999</v>
      </c>
      <c r="L30572">
        <v>388632.1</v>
      </c>
      <c r="N30572" t="s">
        <v>1494</v>
      </c>
      <c r="O30572" t="s">
        <v>1568</v>
      </c>
      <c r="P30572" t="s">
        <v>785</v>
      </c>
      <c r="Q30572" t="s">
        <v>144</v>
      </c>
      <c r="S30572">
        <v>0</v>
      </c>
      <c r="T30572">
        <v>0</v>
      </c>
      <c r="V30572" t="s">
        <v>146</v>
      </c>
      <c r="W30572" t="s">
        <v>184</v>
      </c>
      <c r="Y30572" t="s">
        <v>1569</v>
      </c>
      <c r="Z30572" t="s">
        <v>1568</v>
      </c>
      <c r="AA30572" t="s">
        <v>936</v>
      </c>
      <c r="AB30572">
        <v>0</v>
      </c>
      <c r="AE30572" t="s">
        <v>1496</v>
      </c>
      <c r="AF30572" t="s">
        <v>1568</v>
      </c>
      <c r="AG30572" t="s">
        <v>1570</v>
      </c>
      <c r="AL30572" t="s">
        <v>4727</v>
      </c>
      <c r="AM30572" t="s">
        <v>4728</v>
      </c>
      <c r="AN30572" t="s">
        <v>4729</v>
      </c>
      <c r="AO30572" t="s">
        <v>1494</v>
      </c>
      <c r="AQ30572">
        <f>IF(ISBLANK(AP30572), IFERROR(IF(VLOOKUP(AO30572, Ellens_additions!$A$2:$B$252, 2, FALSE) = "", "", VLOOKUP(AO30572, Ellens_additions!$A$2:$B$252, 2, FALSE)), 0), AP30572)</f>
        <v>0</v>
      </c>
    </row>
    <row r="30573" spans="1:43" ht="14.4" hidden="1" x14ac:dyDescent="0.3">
      <c r="A30573" t="s">
        <v>4730</v>
      </c>
      <c r="B30573">
        <v>4924139</v>
      </c>
      <c r="C30573" t="s">
        <v>424</v>
      </c>
      <c r="D30573" t="s">
        <v>428</v>
      </c>
      <c r="E30573" t="s">
        <v>750</v>
      </c>
      <c r="F30573" t="s">
        <v>620</v>
      </c>
      <c r="H30573" t="s">
        <v>4731</v>
      </c>
      <c r="J30573" t="s">
        <v>140</v>
      </c>
      <c r="K30573">
        <v>162527.67999999999</v>
      </c>
      <c r="L30573">
        <v>388621.6</v>
      </c>
      <c r="N30573" t="s">
        <v>1494</v>
      </c>
      <c r="O30573" t="s">
        <v>1568</v>
      </c>
      <c r="P30573" t="s">
        <v>785</v>
      </c>
      <c r="Q30573" t="s">
        <v>144</v>
      </c>
      <c r="S30573">
        <v>0</v>
      </c>
      <c r="T30573">
        <v>0</v>
      </c>
      <c r="V30573" t="s">
        <v>146</v>
      </c>
      <c r="W30573" t="s">
        <v>184</v>
      </c>
      <c r="Y30573" t="s">
        <v>1569</v>
      </c>
      <c r="Z30573" t="s">
        <v>1568</v>
      </c>
      <c r="AA30573" t="s">
        <v>936</v>
      </c>
      <c r="AB30573">
        <v>0</v>
      </c>
      <c r="AE30573" t="s">
        <v>1496</v>
      </c>
      <c r="AF30573" t="s">
        <v>1568</v>
      </c>
      <c r="AG30573" t="s">
        <v>1570</v>
      </c>
      <c r="AL30573" t="s">
        <v>4732</v>
      </c>
      <c r="AM30573" t="s">
        <v>4733</v>
      </c>
      <c r="AN30573" t="s">
        <v>4734</v>
      </c>
      <c r="AO30573" t="s">
        <v>1494</v>
      </c>
      <c r="AQ30573">
        <f>IF(ISBLANK(AP30573), IFERROR(IF(VLOOKUP(AO30573, Ellens_additions!$A$2:$B$252, 2, FALSE) = "", "", VLOOKUP(AO30573, Ellens_additions!$A$2:$B$252, 2, FALSE)), 0), AP30573)</f>
        <v>0</v>
      </c>
    </row>
    <row r="30574" spans="1:43" ht="14.4" hidden="1" x14ac:dyDescent="0.3">
      <c r="A30574" t="s">
        <v>4735</v>
      </c>
      <c r="B30574">
        <v>4924141</v>
      </c>
      <c r="C30574" t="s">
        <v>424</v>
      </c>
      <c r="D30574" t="s">
        <v>428</v>
      </c>
      <c r="E30574" t="s">
        <v>755</v>
      </c>
      <c r="F30574" t="s">
        <v>620</v>
      </c>
      <c r="H30574" t="s">
        <v>4736</v>
      </c>
      <c r="J30574" t="s">
        <v>140</v>
      </c>
      <c r="K30574">
        <v>162532.51</v>
      </c>
      <c r="L30574">
        <v>388626.36</v>
      </c>
      <c r="N30574" t="s">
        <v>1494</v>
      </c>
      <c r="O30574" t="s">
        <v>1568</v>
      </c>
      <c r="P30574" t="s">
        <v>785</v>
      </c>
      <c r="Q30574" t="s">
        <v>144</v>
      </c>
      <c r="S30574">
        <v>0</v>
      </c>
      <c r="T30574">
        <v>0</v>
      </c>
      <c r="V30574" t="s">
        <v>146</v>
      </c>
      <c r="W30574" t="s">
        <v>184</v>
      </c>
      <c r="Y30574" t="s">
        <v>1569</v>
      </c>
      <c r="Z30574" t="s">
        <v>1568</v>
      </c>
      <c r="AA30574" t="s">
        <v>936</v>
      </c>
      <c r="AB30574">
        <v>0</v>
      </c>
      <c r="AE30574" t="s">
        <v>1496</v>
      </c>
      <c r="AF30574" t="s">
        <v>1568</v>
      </c>
      <c r="AG30574" t="s">
        <v>1570</v>
      </c>
      <c r="AL30574" t="s">
        <v>4737</v>
      </c>
      <c r="AM30574" t="s">
        <v>4738</v>
      </c>
      <c r="AN30574" t="s">
        <v>4739</v>
      </c>
      <c r="AO30574" t="s">
        <v>1494</v>
      </c>
      <c r="AQ30574">
        <f>IF(ISBLANK(AP30574), IFERROR(IF(VLOOKUP(AO30574, Ellens_additions!$A$2:$B$252, 2, FALSE) = "", "", VLOOKUP(AO30574, Ellens_additions!$A$2:$B$252, 2, FALSE)), 0), AP30574)</f>
        <v>0</v>
      </c>
    </row>
    <row r="30575" spans="1:43" ht="14.4" hidden="1" x14ac:dyDescent="0.3">
      <c r="A30575" t="s">
        <v>4740</v>
      </c>
      <c r="B30575">
        <v>4924142</v>
      </c>
      <c r="C30575" t="s">
        <v>424</v>
      </c>
      <c r="D30575" t="s">
        <v>428</v>
      </c>
      <c r="E30575" t="s">
        <v>755</v>
      </c>
      <c r="F30575" t="s">
        <v>620</v>
      </c>
      <c r="H30575" t="s">
        <v>4741</v>
      </c>
      <c r="J30575" t="s">
        <v>140</v>
      </c>
      <c r="K30575">
        <v>162534.51</v>
      </c>
      <c r="L30575">
        <v>388629.3</v>
      </c>
      <c r="N30575" t="s">
        <v>1494</v>
      </c>
      <c r="O30575" t="s">
        <v>1568</v>
      </c>
      <c r="P30575" t="s">
        <v>785</v>
      </c>
      <c r="Q30575" t="s">
        <v>144</v>
      </c>
      <c r="S30575">
        <v>0</v>
      </c>
      <c r="T30575">
        <v>0</v>
      </c>
      <c r="V30575" t="s">
        <v>146</v>
      </c>
      <c r="W30575" t="s">
        <v>184</v>
      </c>
      <c r="Y30575" t="s">
        <v>1569</v>
      </c>
      <c r="Z30575" t="s">
        <v>1568</v>
      </c>
      <c r="AA30575" t="s">
        <v>936</v>
      </c>
      <c r="AB30575">
        <v>0</v>
      </c>
      <c r="AE30575" t="s">
        <v>1496</v>
      </c>
      <c r="AF30575" t="s">
        <v>1568</v>
      </c>
      <c r="AG30575" t="s">
        <v>1570</v>
      </c>
      <c r="AL30575" t="s">
        <v>4742</v>
      </c>
      <c r="AM30575" t="s">
        <v>4743</v>
      </c>
      <c r="AN30575" t="s">
        <v>4744</v>
      </c>
      <c r="AO30575" t="s">
        <v>1494</v>
      </c>
      <c r="AQ30575">
        <f>IF(ISBLANK(AP30575), IFERROR(IF(VLOOKUP(AO30575, Ellens_additions!$A$2:$B$252, 2, FALSE) = "", "", VLOOKUP(AO30575, Ellens_additions!$A$2:$B$252, 2, FALSE)), 0), AP30575)</f>
        <v>0</v>
      </c>
    </row>
    <row r="30576" spans="1:43" ht="14.4" hidden="1" x14ac:dyDescent="0.3">
      <c r="A30576" t="s">
        <v>4745</v>
      </c>
      <c r="B30576">
        <v>4924146</v>
      </c>
      <c r="C30576" t="s">
        <v>424</v>
      </c>
      <c r="D30576" t="s">
        <v>428</v>
      </c>
      <c r="E30576" t="s">
        <v>755</v>
      </c>
      <c r="F30576" t="s">
        <v>620</v>
      </c>
      <c r="H30576" t="s">
        <v>4746</v>
      </c>
      <c r="J30576" t="s">
        <v>140</v>
      </c>
      <c r="K30576">
        <v>162537.46</v>
      </c>
      <c r="L30576">
        <v>388639.49</v>
      </c>
      <c r="N30576" t="s">
        <v>1494</v>
      </c>
      <c r="O30576" t="s">
        <v>1568</v>
      </c>
      <c r="P30576" t="s">
        <v>785</v>
      </c>
      <c r="Q30576" t="s">
        <v>144</v>
      </c>
      <c r="S30576">
        <v>0</v>
      </c>
      <c r="T30576">
        <v>0</v>
      </c>
      <c r="V30576" t="s">
        <v>146</v>
      </c>
      <c r="W30576" t="s">
        <v>184</v>
      </c>
      <c r="Y30576" t="s">
        <v>1569</v>
      </c>
      <c r="Z30576" t="s">
        <v>1568</v>
      </c>
      <c r="AA30576" t="s">
        <v>936</v>
      </c>
      <c r="AB30576">
        <v>0</v>
      </c>
      <c r="AE30576" t="s">
        <v>1496</v>
      </c>
      <c r="AF30576" t="s">
        <v>1568</v>
      </c>
      <c r="AG30576" t="s">
        <v>1570</v>
      </c>
      <c r="AL30576" t="s">
        <v>4747</v>
      </c>
      <c r="AM30576" t="s">
        <v>4748</v>
      </c>
      <c r="AN30576" t="s">
        <v>4749</v>
      </c>
      <c r="AO30576" t="s">
        <v>1494</v>
      </c>
      <c r="AQ30576">
        <f>IF(ISBLANK(AP30576), IFERROR(IF(VLOOKUP(AO30576, Ellens_additions!$A$2:$B$252, 2, FALSE) = "", "", VLOOKUP(AO30576, Ellens_additions!$A$2:$B$252, 2, FALSE)), 0), AP30576)</f>
        <v>0</v>
      </c>
    </row>
    <row r="30577" spans="1:43" ht="14.4" hidden="1" x14ac:dyDescent="0.3">
      <c r="A30577" t="s">
        <v>4750</v>
      </c>
      <c r="B30577">
        <v>4924149</v>
      </c>
      <c r="C30577" t="s">
        <v>424</v>
      </c>
      <c r="D30577" t="s">
        <v>428</v>
      </c>
      <c r="E30577" t="s">
        <v>619</v>
      </c>
      <c r="F30577" t="s">
        <v>620</v>
      </c>
      <c r="H30577" t="s">
        <v>4751</v>
      </c>
      <c r="J30577" t="s">
        <v>140</v>
      </c>
      <c r="K30577">
        <v>162513.1</v>
      </c>
      <c r="L30577">
        <v>388664.7</v>
      </c>
      <c r="N30577" t="s">
        <v>1494</v>
      </c>
      <c r="O30577" t="s">
        <v>1568</v>
      </c>
      <c r="P30577" t="s">
        <v>785</v>
      </c>
      <c r="Q30577" t="s">
        <v>144</v>
      </c>
      <c r="S30577">
        <v>0</v>
      </c>
      <c r="T30577">
        <v>0</v>
      </c>
      <c r="V30577" t="s">
        <v>146</v>
      </c>
      <c r="W30577" t="s">
        <v>184</v>
      </c>
      <c r="Y30577" t="s">
        <v>1569</v>
      </c>
      <c r="Z30577" t="s">
        <v>1568</v>
      </c>
      <c r="AA30577" t="s">
        <v>936</v>
      </c>
      <c r="AB30577">
        <v>0</v>
      </c>
      <c r="AE30577" t="s">
        <v>1496</v>
      </c>
      <c r="AF30577" t="s">
        <v>1568</v>
      </c>
      <c r="AG30577" t="s">
        <v>1570</v>
      </c>
      <c r="AL30577" t="s">
        <v>4752</v>
      </c>
      <c r="AM30577" t="s">
        <v>4753</v>
      </c>
      <c r="AN30577" t="s">
        <v>4754</v>
      </c>
      <c r="AO30577" t="s">
        <v>1494</v>
      </c>
      <c r="AQ30577">
        <f>IF(ISBLANK(AP30577), IFERROR(IF(VLOOKUP(AO30577, Ellens_additions!$A$2:$B$252, 2, FALSE) = "", "", VLOOKUP(AO30577, Ellens_additions!$A$2:$B$252, 2, FALSE)), 0), AP30577)</f>
        <v>0</v>
      </c>
    </row>
    <row r="30578" spans="1:43" ht="14.4" hidden="1" x14ac:dyDescent="0.3">
      <c r="A30578" t="s">
        <v>4755</v>
      </c>
      <c r="B30578">
        <v>4924151</v>
      </c>
      <c r="C30578" t="s">
        <v>424</v>
      </c>
      <c r="D30578" t="s">
        <v>428</v>
      </c>
      <c r="E30578" t="s">
        <v>755</v>
      </c>
      <c r="F30578" t="s">
        <v>620</v>
      </c>
      <c r="H30578" t="s">
        <v>4756</v>
      </c>
      <c r="J30578" t="s">
        <v>140</v>
      </c>
      <c r="K30578">
        <v>162522.07</v>
      </c>
      <c r="L30578">
        <v>388663.33</v>
      </c>
      <c r="N30578" t="s">
        <v>1494</v>
      </c>
      <c r="O30578" t="s">
        <v>1568</v>
      </c>
      <c r="P30578" t="s">
        <v>785</v>
      </c>
      <c r="Q30578" t="s">
        <v>144</v>
      </c>
      <c r="S30578">
        <v>0</v>
      </c>
      <c r="T30578">
        <v>0</v>
      </c>
      <c r="V30578" t="s">
        <v>146</v>
      </c>
      <c r="W30578" t="s">
        <v>184</v>
      </c>
      <c r="Y30578" t="s">
        <v>1569</v>
      </c>
      <c r="Z30578" t="s">
        <v>1568</v>
      </c>
      <c r="AA30578" t="s">
        <v>936</v>
      </c>
      <c r="AB30578">
        <v>0</v>
      </c>
      <c r="AE30578" t="s">
        <v>1496</v>
      </c>
      <c r="AF30578" t="s">
        <v>1568</v>
      </c>
      <c r="AG30578" t="s">
        <v>1570</v>
      </c>
      <c r="AL30578" t="s">
        <v>4757</v>
      </c>
      <c r="AM30578" t="s">
        <v>4758</v>
      </c>
      <c r="AN30578" t="s">
        <v>4759</v>
      </c>
      <c r="AO30578" t="s">
        <v>1494</v>
      </c>
      <c r="AQ30578">
        <f>IF(ISBLANK(AP30578), IFERROR(IF(VLOOKUP(AO30578, Ellens_additions!$A$2:$B$252, 2, FALSE) = "", "", VLOOKUP(AO30578, Ellens_additions!$A$2:$B$252, 2, FALSE)), 0), AP30578)</f>
        <v>0</v>
      </c>
    </row>
    <row r="30579" spans="1:43" ht="14.4" hidden="1" x14ac:dyDescent="0.3">
      <c r="A30579" t="s">
        <v>4760</v>
      </c>
      <c r="B30579">
        <v>4924157</v>
      </c>
      <c r="C30579" t="s">
        <v>424</v>
      </c>
      <c r="D30579" t="s">
        <v>428</v>
      </c>
      <c r="E30579" t="s">
        <v>619</v>
      </c>
      <c r="F30579" t="s">
        <v>620</v>
      </c>
      <c r="H30579" t="s">
        <v>4761</v>
      </c>
      <c r="J30579" t="s">
        <v>140</v>
      </c>
      <c r="K30579">
        <v>162494.31</v>
      </c>
      <c r="L30579">
        <v>388655.18</v>
      </c>
      <c r="N30579" t="s">
        <v>1494</v>
      </c>
      <c r="O30579" t="s">
        <v>1568</v>
      </c>
      <c r="P30579" t="s">
        <v>785</v>
      </c>
      <c r="Q30579" t="s">
        <v>144</v>
      </c>
      <c r="S30579">
        <v>0</v>
      </c>
      <c r="T30579">
        <v>0</v>
      </c>
      <c r="V30579" t="s">
        <v>146</v>
      </c>
      <c r="W30579" t="s">
        <v>184</v>
      </c>
      <c r="Y30579" t="s">
        <v>1569</v>
      </c>
      <c r="Z30579" t="s">
        <v>1568</v>
      </c>
      <c r="AA30579" t="s">
        <v>936</v>
      </c>
      <c r="AB30579">
        <v>0</v>
      </c>
      <c r="AE30579" t="s">
        <v>1496</v>
      </c>
      <c r="AF30579" t="s">
        <v>1568</v>
      </c>
      <c r="AG30579" t="s">
        <v>1570</v>
      </c>
      <c r="AL30579" t="s">
        <v>4762</v>
      </c>
      <c r="AM30579" t="s">
        <v>4763</v>
      </c>
      <c r="AN30579" t="s">
        <v>4764</v>
      </c>
      <c r="AO30579" t="s">
        <v>1494</v>
      </c>
      <c r="AQ30579">
        <f>IF(ISBLANK(AP30579), IFERROR(IF(VLOOKUP(AO30579, Ellens_additions!$A$2:$B$252, 2, FALSE) = "", "", VLOOKUP(AO30579, Ellens_additions!$A$2:$B$252, 2, FALSE)), 0), AP30579)</f>
        <v>0</v>
      </c>
    </row>
    <row r="30580" spans="1:43" ht="14.4" hidden="1" x14ac:dyDescent="0.3">
      <c r="A30580" t="s">
        <v>4765</v>
      </c>
      <c r="B30580">
        <v>4924160</v>
      </c>
      <c r="C30580" t="s">
        <v>424</v>
      </c>
      <c r="D30580" t="s">
        <v>428</v>
      </c>
      <c r="E30580" t="s">
        <v>619</v>
      </c>
      <c r="F30580" t="s">
        <v>620</v>
      </c>
      <c r="H30580" t="s">
        <v>4766</v>
      </c>
      <c r="J30580" t="s">
        <v>140</v>
      </c>
      <c r="K30580">
        <v>162502.37</v>
      </c>
      <c r="L30580">
        <v>388662.11</v>
      </c>
      <c r="N30580" t="s">
        <v>1494</v>
      </c>
      <c r="O30580" t="s">
        <v>1568</v>
      </c>
      <c r="P30580" t="s">
        <v>785</v>
      </c>
      <c r="Q30580" t="s">
        <v>144</v>
      </c>
      <c r="S30580">
        <v>0</v>
      </c>
      <c r="T30580">
        <v>0</v>
      </c>
      <c r="V30580" t="s">
        <v>146</v>
      </c>
      <c r="W30580" t="s">
        <v>184</v>
      </c>
      <c r="Y30580" t="s">
        <v>1569</v>
      </c>
      <c r="Z30580" t="s">
        <v>1568</v>
      </c>
      <c r="AA30580" t="s">
        <v>936</v>
      </c>
      <c r="AB30580">
        <v>0</v>
      </c>
      <c r="AE30580" t="s">
        <v>1496</v>
      </c>
      <c r="AF30580" t="s">
        <v>1568</v>
      </c>
      <c r="AG30580" t="s">
        <v>1570</v>
      </c>
      <c r="AL30580" t="s">
        <v>4767</v>
      </c>
      <c r="AM30580" t="s">
        <v>4768</v>
      </c>
      <c r="AN30580" t="s">
        <v>4769</v>
      </c>
      <c r="AO30580" t="s">
        <v>1494</v>
      </c>
      <c r="AQ30580">
        <f>IF(ISBLANK(AP30580), IFERROR(IF(VLOOKUP(AO30580, Ellens_additions!$A$2:$B$252, 2, FALSE) = "", "", VLOOKUP(AO30580, Ellens_additions!$A$2:$B$252, 2, FALSE)), 0), AP30580)</f>
        <v>0</v>
      </c>
    </row>
    <row r="30581" spans="1:43" ht="14.4" hidden="1" x14ac:dyDescent="0.3">
      <c r="A30581" t="s">
        <v>4770</v>
      </c>
      <c r="B30581">
        <v>4924161</v>
      </c>
      <c r="C30581" t="s">
        <v>424</v>
      </c>
      <c r="D30581" t="s">
        <v>428</v>
      </c>
      <c r="E30581" t="s">
        <v>619</v>
      </c>
      <c r="F30581" t="s">
        <v>620</v>
      </c>
      <c r="H30581" t="s">
        <v>4771</v>
      </c>
      <c r="J30581" t="s">
        <v>140</v>
      </c>
      <c r="K30581">
        <v>162505.84</v>
      </c>
      <c r="L30581">
        <v>388663.6</v>
      </c>
      <c r="N30581" t="s">
        <v>1494</v>
      </c>
      <c r="O30581" t="s">
        <v>1568</v>
      </c>
      <c r="P30581" t="s">
        <v>785</v>
      </c>
      <c r="Q30581" t="s">
        <v>144</v>
      </c>
      <c r="S30581">
        <v>0</v>
      </c>
      <c r="T30581">
        <v>0</v>
      </c>
      <c r="V30581" t="s">
        <v>146</v>
      </c>
      <c r="W30581" t="s">
        <v>184</v>
      </c>
      <c r="Y30581" t="s">
        <v>1569</v>
      </c>
      <c r="Z30581" t="s">
        <v>1568</v>
      </c>
      <c r="AA30581" t="s">
        <v>936</v>
      </c>
      <c r="AB30581">
        <v>0</v>
      </c>
      <c r="AE30581" t="s">
        <v>1496</v>
      </c>
      <c r="AF30581" t="s">
        <v>1568</v>
      </c>
      <c r="AG30581" t="s">
        <v>1570</v>
      </c>
      <c r="AL30581" t="s">
        <v>4772</v>
      </c>
      <c r="AM30581" t="s">
        <v>4773</v>
      </c>
      <c r="AN30581" t="s">
        <v>4774</v>
      </c>
      <c r="AO30581" t="s">
        <v>1494</v>
      </c>
      <c r="AQ30581">
        <f>IF(ISBLANK(AP30581), IFERROR(IF(VLOOKUP(AO30581, Ellens_additions!$A$2:$B$252, 2, FALSE) = "", "", VLOOKUP(AO30581, Ellens_additions!$A$2:$B$252, 2, FALSE)), 0), AP30581)</f>
        <v>0</v>
      </c>
    </row>
    <row r="30582" spans="1:43" ht="14.4" x14ac:dyDescent="0.3"/>
    <row r="30583" spans="1:43" ht="14.4" x14ac:dyDescent="0.3"/>
    <row r="30584" spans="1:43" ht="14.4" x14ac:dyDescent="0.3"/>
    <row r="30585" spans="1:43" ht="14.4" x14ac:dyDescent="0.3"/>
    <row r="30586" spans="1:43" ht="14.4" x14ac:dyDescent="0.3"/>
    <row r="30587" spans="1:43" ht="14.4" x14ac:dyDescent="0.3"/>
    <row r="30588" spans="1:43" ht="14.4" x14ac:dyDescent="0.3"/>
    <row r="30589" spans="1:43" ht="14.4" x14ac:dyDescent="0.3"/>
    <row r="30590" spans="1:43" ht="14.4" x14ac:dyDescent="0.3"/>
    <row r="30591" spans="1:43" ht="14.4" x14ac:dyDescent="0.3"/>
    <row r="30592" spans="1:43" ht="14.4" x14ac:dyDescent="0.3"/>
    <row r="30593" ht="14.4" x14ac:dyDescent="0.3"/>
    <row r="30594" ht="14.4" x14ac:dyDescent="0.3"/>
    <row r="30595" ht="14.4" x14ac:dyDescent="0.3"/>
    <row r="30596" ht="14.4" x14ac:dyDescent="0.3"/>
    <row r="30597" ht="14.4" x14ac:dyDescent="0.3"/>
    <row r="30598" ht="14.4" x14ac:dyDescent="0.3"/>
    <row r="30599" ht="14.4" x14ac:dyDescent="0.3"/>
    <row r="30600" ht="14.4" x14ac:dyDescent="0.3"/>
    <row r="30601" ht="14.4" x14ac:dyDescent="0.3"/>
    <row r="30602" ht="14.4" x14ac:dyDescent="0.3"/>
    <row r="30603" ht="14.4" x14ac:dyDescent="0.3"/>
    <row r="30604" ht="14.4" x14ac:dyDescent="0.3"/>
    <row r="30605" ht="14.4" x14ac:dyDescent="0.3"/>
    <row r="30606" ht="14.4" x14ac:dyDescent="0.3"/>
    <row r="30607" ht="14.4" x14ac:dyDescent="0.3"/>
    <row r="30608" ht="14.4" x14ac:dyDescent="0.3"/>
    <row r="30609" ht="14.4" x14ac:dyDescent="0.3"/>
    <row r="30610" ht="14.4" x14ac:dyDescent="0.3"/>
    <row r="30611" ht="14.4" x14ac:dyDescent="0.3"/>
    <row r="30612" ht="14.4" x14ac:dyDescent="0.3"/>
    <row r="30613" ht="14.4" x14ac:dyDescent="0.3"/>
    <row r="30614" ht="14.4" x14ac:dyDescent="0.3"/>
    <row r="30615" ht="14.4" x14ac:dyDescent="0.3"/>
    <row r="30616" ht="14.4" x14ac:dyDescent="0.3"/>
    <row r="30617" ht="14.4" x14ac:dyDescent="0.3"/>
    <row r="30618" ht="14.4" x14ac:dyDescent="0.3"/>
    <row r="30619" ht="14.4" x14ac:dyDescent="0.3"/>
    <row r="30620" ht="14.4" x14ac:dyDescent="0.3"/>
    <row r="30621" ht="14.4" x14ac:dyDescent="0.3"/>
    <row r="30622" ht="14.4" x14ac:dyDescent="0.3"/>
    <row r="30623" ht="14.4" x14ac:dyDescent="0.3"/>
    <row r="30624" ht="14.4" x14ac:dyDescent="0.3"/>
    <row r="30625" spans="1:43" ht="14.4" x14ac:dyDescent="0.3"/>
    <row r="30626" spans="1:43" ht="14.4" x14ac:dyDescent="0.3"/>
    <row r="30627" spans="1:43" ht="14.4" x14ac:dyDescent="0.3"/>
    <row r="30628" spans="1:43" ht="14.4" x14ac:dyDescent="0.3"/>
    <row r="30629" spans="1:43" ht="14.4" x14ac:dyDescent="0.3"/>
    <row r="30630" spans="1:43" ht="14.4" x14ac:dyDescent="0.3"/>
    <row r="30631" spans="1:43" ht="14.4" x14ac:dyDescent="0.3"/>
    <row r="30632" spans="1:43" ht="14.4" x14ac:dyDescent="0.3"/>
    <row r="30633" spans="1:43" ht="14.4" x14ac:dyDescent="0.3"/>
    <row r="30634" spans="1:43" ht="14.4" x14ac:dyDescent="0.3"/>
    <row r="30635" spans="1:43" ht="14.4" x14ac:dyDescent="0.3"/>
    <row r="30636" spans="1:43" ht="14.4" x14ac:dyDescent="0.3"/>
    <row r="30637" spans="1:43" ht="14.4" x14ac:dyDescent="0.3"/>
    <row r="30638" spans="1:43" ht="14.4" x14ac:dyDescent="0.3"/>
    <row r="30639" spans="1:43" ht="14.4" x14ac:dyDescent="0.3"/>
    <row r="30640" spans="1:43" ht="14.4" hidden="1" x14ac:dyDescent="0.3">
      <c r="A30640" t="s">
        <v>4775</v>
      </c>
      <c r="B30640">
        <v>4924347</v>
      </c>
      <c r="C30640" t="s">
        <v>424</v>
      </c>
      <c r="D30640" t="s">
        <v>425</v>
      </c>
      <c r="E30640" t="s">
        <v>436</v>
      </c>
      <c r="F30640" t="s">
        <v>775</v>
      </c>
      <c r="H30640" t="s">
        <v>4776</v>
      </c>
      <c r="J30640" t="s">
        <v>140</v>
      </c>
      <c r="K30640">
        <v>159917.71</v>
      </c>
      <c r="L30640">
        <v>387434.07</v>
      </c>
      <c r="M30640">
        <v>1</v>
      </c>
      <c r="N30640" t="s">
        <v>1631</v>
      </c>
      <c r="O30640" t="s">
        <v>548</v>
      </c>
      <c r="P30640" t="s">
        <v>709</v>
      </c>
      <c r="Q30640" t="s">
        <v>144</v>
      </c>
      <c r="R30640" t="s">
        <v>145</v>
      </c>
      <c r="S30640">
        <v>9.8000000000000007</v>
      </c>
      <c r="T30640">
        <v>1200</v>
      </c>
      <c r="V30640" t="s">
        <v>146</v>
      </c>
      <c r="W30640" t="s">
        <v>147</v>
      </c>
      <c r="X30640" t="s">
        <v>7</v>
      </c>
      <c r="Y30640" t="s">
        <v>815</v>
      </c>
      <c r="Z30640" t="s">
        <v>548</v>
      </c>
      <c r="AA30640" t="s">
        <v>710</v>
      </c>
      <c r="AB30640">
        <v>0</v>
      </c>
      <c r="AE30640" t="s">
        <v>763</v>
      </c>
      <c r="AF30640" t="s">
        <v>548</v>
      </c>
      <c r="AG30640" t="s">
        <v>1632</v>
      </c>
      <c r="AL30640" t="s">
        <v>4777</v>
      </c>
      <c r="AM30640" t="s">
        <v>4778</v>
      </c>
      <c r="AN30640" t="s">
        <v>4779</v>
      </c>
      <c r="AO30640" t="s">
        <v>1631</v>
      </c>
      <c r="AQ30640" t="str">
        <f>IF(ISBLANK(AP30640), IFERROR(IF(VLOOKUP(AO30640, Ellens_additions!$A$2:$B$252, 2, FALSE) = "", "", VLOOKUP(AO30640, Ellens_additions!$A$2:$B$252, 2, FALSE)), 0), AP30640)</f>
        <v/>
      </c>
    </row>
    <row r="30641" spans="1:43" ht="14.4" hidden="1" x14ac:dyDescent="0.3">
      <c r="A30641" t="s">
        <v>4780</v>
      </c>
      <c r="B30641">
        <v>4924356</v>
      </c>
      <c r="C30641" t="s">
        <v>424</v>
      </c>
      <c r="D30641" t="s">
        <v>425</v>
      </c>
      <c r="E30641" t="s">
        <v>436</v>
      </c>
      <c r="F30641" t="s">
        <v>775</v>
      </c>
      <c r="H30641" t="s">
        <v>4781</v>
      </c>
      <c r="J30641" t="s">
        <v>140</v>
      </c>
      <c r="K30641">
        <v>159843.41</v>
      </c>
      <c r="L30641">
        <v>387419.18</v>
      </c>
      <c r="M30641">
        <v>1</v>
      </c>
      <c r="N30641" t="s">
        <v>1631</v>
      </c>
      <c r="O30641" t="s">
        <v>548</v>
      </c>
      <c r="P30641" t="s">
        <v>709</v>
      </c>
      <c r="Q30641" t="s">
        <v>144</v>
      </c>
      <c r="R30641" t="s">
        <v>145</v>
      </c>
      <c r="S30641">
        <v>9.8000000000000007</v>
      </c>
      <c r="T30641">
        <v>1200</v>
      </c>
      <c r="V30641" t="s">
        <v>146</v>
      </c>
      <c r="W30641" t="s">
        <v>147</v>
      </c>
      <c r="X30641" t="s">
        <v>7</v>
      </c>
      <c r="Y30641" t="s">
        <v>815</v>
      </c>
      <c r="Z30641" t="s">
        <v>548</v>
      </c>
      <c r="AA30641" t="s">
        <v>710</v>
      </c>
      <c r="AB30641">
        <v>0</v>
      </c>
      <c r="AE30641" t="s">
        <v>763</v>
      </c>
      <c r="AF30641" t="s">
        <v>548</v>
      </c>
      <c r="AG30641" t="s">
        <v>1632</v>
      </c>
      <c r="AL30641" t="s">
        <v>4782</v>
      </c>
      <c r="AM30641" t="s">
        <v>4783</v>
      </c>
      <c r="AN30641" t="s">
        <v>4784</v>
      </c>
      <c r="AO30641" t="s">
        <v>1631</v>
      </c>
      <c r="AQ30641" t="str">
        <f>IF(ISBLANK(AP30641), IFERROR(IF(VLOOKUP(AO30641, Ellens_additions!$A$2:$B$252, 2, FALSE) = "", "", VLOOKUP(AO30641, Ellens_additions!$A$2:$B$252, 2, FALSE)), 0), AP30641)</f>
        <v/>
      </c>
    </row>
    <row r="30642" spans="1:43" ht="14.4" hidden="1" x14ac:dyDescent="0.3">
      <c r="A30642" t="s">
        <v>4785</v>
      </c>
      <c r="B30642">
        <v>4924359</v>
      </c>
      <c r="C30642" t="s">
        <v>424</v>
      </c>
      <c r="D30642" t="s">
        <v>425</v>
      </c>
      <c r="E30642" t="s">
        <v>436</v>
      </c>
      <c r="F30642" t="s">
        <v>775</v>
      </c>
      <c r="H30642" t="s">
        <v>4786</v>
      </c>
      <c r="J30642" t="s">
        <v>140</v>
      </c>
      <c r="K30642">
        <v>159861.29</v>
      </c>
      <c r="L30642">
        <v>387456.18</v>
      </c>
      <c r="M30642">
        <v>1</v>
      </c>
      <c r="N30642" t="s">
        <v>1631</v>
      </c>
      <c r="O30642" t="s">
        <v>548</v>
      </c>
      <c r="P30642" t="s">
        <v>709</v>
      </c>
      <c r="Q30642" t="s">
        <v>144</v>
      </c>
      <c r="R30642" t="s">
        <v>145</v>
      </c>
      <c r="S30642">
        <v>9.8000000000000007</v>
      </c>
      <c r="T30642">
        <v>1200</v>
      </c>
      <c r="V30642" t="s">
        <v>146</v>
      </c>
      <c r="W30642" t="s">
        <v>147</v>
      </c>
      <c r="X30642" t="s">
        <v>7</v>
      </c>
      <c r="Y30642" t="s">
        <v>815</v>
      </c>
      <c r="Z30642" t="s">
        <v>548</v>
      </c>
      <c r="AA30642" t="s">
        <v>710</v>
      </c>
      <c r="AB30642">
        <v>0</v>
      </c>
      <c r="AE30642" t="s">
        <v>763</v>
      </c>
      <c r="AF30642" t="s">
        <v>548</v>
      </c>
      <c r="AG30642" t="s">
        <v>1632</v>
      </c>
      <c r="AL30642" t="s">
        <v>4787</v>
      </c>
      <c r="AM30642" t="s">
        <v>4788</v>
      </c>
      <c r="AN30642" t="s">
        <v>4789</v>
      </c>
      <c r="AO30642" t="s">
        <v>1631</v>
      </c>
      <c r="AQ30642" t="str">
        <f>IF(ISBLANK(AP30642), IFERROR(IF(VLOOKUP(AO30642, Ellens_additions!$A$2:$B$252, 2, FALSE) = "", "", VLOOKUP(AO30642, Ellens_additions!$A$2:$B$252, 2, FALSE)), 0), AP30642)</f>
        <v/>
      </c>
    </row>
    <row r="30643" spans="1:43" ht="14.4" hidden="1" x14ac:dyDescent="0.3">
      <c r="A30643" t="s">
        <v>4790</v>
      </c>
      <c r="B30643">
        <v>4924361</v>
      </c>
      <c r="C30643" t="s">
        <v>424</v>
      </c>
      <c r="D30643" t="s">
        <v>425</v>
      </c>
      <c r="E30643" t="s">
        <v>436</v>
      </c>
      <c r="F30643" t="s">
        <v>775</v>
      </c>
      <c r="H30643" t="s">
        <v>4791</v>
      </c>
      <c r="J30643" t="s">
        <v>140</v>
      </c>
      <c r="K30643">
        <v>159811.95000000001</v>
      </c>
      <c r="L30643">
        <v>387483.95</v>
      </c>
      <c r="M30643">
        <v>1</v>
      </c>
      <c r="N30643" t="s">
        <v>1631</v>
      </c>
      <c r="O30643" t="s">
        <v>548</v>
      </c>
      <c r="P30643" t="s">
        <v>709</v>
      </c>
      <c r="Q30643" t="s">
        <v>144</v>
      </c>
      <c r="R30643" t="s">
        <v>145</v>
      </c>
      <c r="S30643">
        <v>9.8000000000000007</v>
      </c>
      <c r="T30643">
        <v>1200</v>
      </c>
      <c r="V30643" t="s">
        <v>146</v>
      </c>
      <c r="W30643" t="s">
        <v>147</v>
      </c>
      <c r="X30643" t="s">
        <v>7</v>
      </c>
      <c r="Y30643" t="s">
        <v>815</v>
      </c>
      <c r="Z30643" t="s">
        <v>548</v>
      </c>
      <c r="AA30643" t="s">
        <v>710</v>
      </c>
      <c r="AB30643">
        <v>0</v>
      </c>
      <c r="AE30643" t="s">
        <v>1366</v>
      </c>
      <c r="AF30643" t="s">
        <v>548</v>
      </c>
      <c r="AG30643" t="s">
        <v>711</v>
      </c>
      <c r="AL30643" t="s">
        <v>4792</v>
      </c>
      <c r="AM30643" t="s">
        <v>4793</v>
      </c>
      <c r="AN30643" t="s">
        <v>4794</v>
      </c>
      <c r="AO30643" t="s">
        <v>1631</v>
      </c>
      <c r="AQ30643" t="str">
        <f>IF(ISBLANK(AP30643), IFERROR(IF(VLOOKUP(AO30643, Ellens_additions!$A$2:$B$252, 2, FALSE) = "", "", VLOOKUP(AO30643, Ellens_additions!$A$2:$B$252, 2, FALSE)), 0), AP30643)</f>
        <v/>
      </c>
    </row>
    <row r="30644" spans="1:43" ht="14.4" hidden="1" x14ac:dyDescent="0.3">
      <c r="A30644" t="s">
        <v>4795</v>
      </c>
      <c r="B30644">
        <v>4924363</v>
      </c>
      <c r="C30644" t="s">
        <v>424</v>
      </c>
      <c r="D30644" t="s">
        <v>425</v>
      </c>
      <c r="E30644" t="s">
        <v>436</v>
      </c>
      <c r="F30644" t="s">
        <v>775</v>
      </c>
      <c r="H30644" t="s">
        <v>4796</v>
      </c>
      <c r="J30644" t="s">
        <v>140</v>
      </c>
      <c r="K30644">
        <v>159817.29</v>
      </c>
      <c r="L30644">
        <v>387499.12</v>
      </c>
      <c r="M30644">
        <v>1</v>
      </c>
      <c r="N30644" t="s">
        <v>1631</v>
      </c>
      <c r="O30644" t="s">
        <v>548</v>
      </c>
      <c r="P30644" t="s">
        <v>709</v>
      </c>
      <c r="Q30644" t="s">
        <v>144</v>
      </c>
      <c r="R30644" t="s">
        <v>145</v>
      </c>
      <c r="S30644">
        <v>9.8000000000000007</v>
      </c>
      <c r="T30644">
        <v>1200</v>
      </c>
      <c r="V30644" t="s">
        <v>146</v>
      </c>
      <c r="W30644" t="s">
        <v>147</v>
      </c>
      <c r="X30644" t="s">
        <v>7</v>
      </c>
      <c r="Y30644" t="s">
        <v>815</v>
      </c>
      <c r="Z30644" t="s">
        <v>548</v>
      </c>
      <c r="AA30644" t="s">
        <v>710</v>
      </c>
      <c r="AB30644">
        <v>0</v>
      </c>
      <c r="AE30644" t="s">
        <v>1366</v>
      </c>
      <c r="AF30644" t="s">
        <v>548</v>
      </c>
      <c r="AG30644" t="s">
        <v>711</v>
      </c>
      <c r="AL30644" t="s">
        <v>4797</v>
      </c>
      <c r="AM30644" t="s">
        <v>4798</v>
      </c>
      <c r="AN30644" t="s">
        <v>4799</v>
      </c>
      <c r="AO30644" t="s">
        <v>1631</v>
      </c>
      <c r="AQ30644" t="str">
        <f>IF(ISBLANK(AP30644), IFERROR(IF(VLOOKUP(AO30644, Ellens_additions!$A$2:$B$252, 2, FALSE) = "", "", VLOOKUP(AO30644, Ellens_additions!$A$2:$B$252, 2, FALSE)), 0), AP30644)</f>
        <v/>
      </c>
    </row>
    <row r="30645" spans="1:43" ht="14.4" x14ac:dyDescent="0.3"/>
    <row r="30646" spans="1:43" ht="14.4" hidden="1" x14ac:dyDescent="0.3">
      <c r="A30646" t="s">
        <v>4800</v>
      </c>
      <c r="B30646">
        <v>4924365</v>
      </c>
      <c r="C30646" t="s">
        <v>424</v>
      </c>
      <c r="D30646" t="s">
        <v>425</v>
      </c>
      <c r="E30646" t="s">
        <v>436</v>
      </c>
      <c r="F30646" t="s">
        <v>775</v>
      </c>
      <c r="H30646" t="s">
        <v>4801</v>
      </c>
      <c r="J30646" t="s">
        <v>140</v>
      </c>
      <c r="K30646">
        <v>159789.88</v>
      </c>
      <c r="L30646">
        <v>387497.16</v>
      </c>
      <c r="M30646">
        <v>1</v>
      </c>
      <c r="N30646" t="s">
        <v>1631</v>
      </c>
      <c r="O30646" t="s">
        <v>548</v>
      </c>
      <c r="P30646" t="s">
        <v>709</v>
      </c>
      <c r="Q30646" t="s">
        <v>144</v>
      </c>
      <c r="R30646" t="s">
        <v>145</v>
      </c>
      <c r="S30646">
        <v>9.8000000000000007</v>
      </c>
      <c r="T30646">
        <v>1200</v>
      </c>
      <c r="V30646" t="s">
        <v>146</v>
      </c>
      <c r="W30646" t="s">
        <v>147</v>
      </c>
      <c r="X30646" t="s">
        <v>7</v>
      </c>
      <c r="Y30646" t="s">
        <v>815</v>
      </c>
      <c r="Z30646" t="s">
        <v>548</v>
      </c>
      <c r="AA30646" t="s">
        <v>710</v>
      </c>
      <c r="AB30646">
        <v>0</v>
      </c>
      <c r="AE30646" t="s">
        <v>1366</v>
      </c>
      <c r="AF30646" t="s">
        <v>548</v>
      </c>
      <c r="AG30646" t="s">
        <v>711</v>
      </c>
      <c r="AL30646" t="s">
        <v>4802</v>
      </c>
      <c r="AM30646" t="s">
        <v>4803</v>
      </c>
      <c r="AN30646" t="s">
        <v>4804</v>
      </c>
      <c r="AO30646" t="s">
        <v>1631</v>
      </c>
      <c r="AQ30646" t="str">
        <f>IF(ISBLANK(AP30646), IFERROR(IF(VLOOKUP(AO30646, Ellens_additions!$A$2:$B$252, 2, FALSE) = "", "", VLOOKUP(AO30646, Ellens_additions!$A$2:$B$252, 2, FALSE)), 0), AP30646)</f>
        <v/>
      </c>
    </row>
    <row r="30647" spans="1:43" ht="14.4" hidden="1" x14ac:dyDescent="0.3">
      <c r="A30647" t="s">
        <v>4805</v>
      </c>
      <c r="B30647">
        <v>4924367</v>
      </c>
      <c r="C30647" t="s">
        <v>424</v>
      </c>
      <c r="D30647" t="s">
        <v>425</v>
      </c>
      <c r="E30647" t="s">
        <v>436</v>
      </c>
      <c r="F30647" t="s">
        <v>775</v>
      </c>
      <c r="H30647" t="s">
        <v>4806</v>
      </c>
      <c r="J30647" t="s">
        <v>140</v>
      </c>
      <c r="K30647">
        <v>159830.25</v>
      </c>
      <c r="L30647">
        <v>387525</v>
      </c>
      <c r="M30647">
        <v>1</v>
      </c>
      <c r="N30647" t="s">
        <v>1631</v>
      </c>
      <c r="O30647" t="s">
        <v>548</v>
      </c>
      <c r="P30647" t="s">
        <v>709</v>
      </c>
      <c r="Q30647" t="s">
        <v>144</v>
      </c>
      <c r="R30647" t="s">
        <v>145</v>
      </c>
      <c r="S30647">
        <v>9.8000000000000007</v>
      </c>
      <c r="T30647">
        <v>1200</v>
      </c>
      <c r="V30647" t="s">
        <v>146</v>
      </c>
      <c r="W30647" t="s">
        <v>147</v>
      </c>
      <c r="X30647" t="s">
        <v>7</v>
      </c>
      <c r="Y30647" t="s">
        <v>815</v>
      </c>
      <c r="Z30647" t="s">
        <v>548</v>
      </c>
      <c r="AA30647" t="s">
        <v>710</v>
      </c>
      <c r="AB30647">
        <v>0</v>
      </c>
      <c r="AE30647" t="s">
        <v>1366</v>
      </c>
      <c r="AF30647" t="s">
        <v>548</v>
      </c>
      <c r="AG30647" t="s">
        <v>711</v>
      </c>
      <c r="AL30647" t="s">
        <v>4807</v>
      </c>
      <c r="AM30647" t="s">
        <v>4808</v>
      </c>
      <c r="AN30647" t="s">
        <v>4809</v>
      </c>
      <c r="AO30647" t="s">
        <v>1631</v>
      </c>
      <c r="AQ30647" t="str">
        <f>IF(ISBLANK(AP30647), IFERROR(IF(VLOOKUP(AO30647, Ellens_additions!$A$2:$B$252, 2, FALSE) = "", "", VLOOKUP(AO30647, Ellens_additions!$A$2:$B$252, 2, FALSE)), 0), AP30647)</f>
        <v/>
      </c>
    </row>
    <row r="30648" spans="1:43" ht="14.4" x14ac:dyDescent="0.3"/>
    <row r="30649" spans="1:43" ht="14.4" x14ac:dyDescent="0.3"/>
    <row r="30650" spans="1:43" ht="14.4" x14ac:dyDescent="0.3"/>
    <row r="30651" spans="1:43" ht="14.4" x14ac:dyDescent="0.3"/>
    <row r="30652" spans="1:43" ht="14.4" x14ac:dyDescent="0.3"/>
    <row r="30653" spans="1:43" ht="14.4" x14ac:dyDescent="0.3"/>
    <row r="30654" spans="1:43" ht="14.4" x14ac:dyDescent="0.3"/>
    <row r="30655" spans="1:43" ht="14.4" x14ac:dyDescent="0.3"/>
    <row r="30656" spans="1:43" ht="14.4" x14ac:dyDescent="0.3"/>
    <row r="30657" spans="1:43" ht="14.4" x14ac:dyDescent="0.3"/>
    <row r="30658" spans="1:43" ht="14.4" x14ac:dyDescent="0.3"/>
    <row r="30659" spans="1:43" ht="14.4" x14ac:dyDescent="0.3"/>
    <row r="30660" spans="1:43" ht="14.4" x14ac:dyDescent="0.3"/>
    <row r="30661" spans="1:43" ht="14.4" x14ac:dyDescent="0.3"/>
    <row r="30662" spans="1:43" ht="14.4" x14ac:dyDescent="0.3"/>
    <row r="30663" spans="1:43" ht="14.4" x14ac:dyDescent="0.3"/>
    <row r="30664" spans="1:43" ht="14.4" x14ac:dyDescent="0.3"/>
    <row r="30665" spans="1:43" ht="14.4" x14ac:dyDescent="0.3"/>
    <row r="30666" spans="1:43" ht="14.4" x14ac:dyDescent="0.3"/>
    <row r="30667" spans="1:43" ht="14.4" x14ac:dyDescent="0.3"/>
    <row r="30668" spans="1:43" ht="14.4" x14ac:dyDescent="0.3"/>
    <row r="30669" spans="1:43" ht="14.4" x14ac:dyDescent="0.3"/>
    <row r="30670" spans="1:43" ht="14.4" x14ac:dyDescent="0.3"/>
    <row r="30671" spans="1:43" ht="14.4" hidden="1" x14ac:dyDescent="0.3">
      <c r="A30671" t="s">
        <v>4810</v>
      </c>
      <c r="B30671">
        <v>4924443</v>
      </c>
      <c r="C30671" t="s">
        <v>424</v>
      </c>
      <c r="D30671" t="s">
        <v>433</v>
      </c>
      <c r="E30671" t="s">
        <v>754</v>
      </c>
      <c r="F30671" t="s">
        <v>1676</v>
      </c>
      <c r="H30671" t="s">
        <v>381</v>
      </c>
      <c r="J30671" t="s">
        <v>140</v>
      </c>
      <c r="K30671">
        <v>161150.67000000001</v>
      </c>
      <c r="L30671">
        <v>389717.3</v>
      </c>
      <c r="N30671" t="s">
        <v>1677</v>
      </c>
      <c r="O30671" t="s">
        <v>551</v>
      </c>
      <c r="P30671" t="s">
        <v>1678</v>
      </c>
      <c r="Q30671" t="s">
        <v>144</v>
      </c>
      <c r="S30671">
        <v>13</v>
      </c>
      <c r="T30671">
        <v>1800</v>
      </c>
      <c r="V30671" t="s">
        <v>146</v>
      </c>
      <c r="W30671" t="s">
        <v>147</v>
      </c>
      <c r="Y30671" t="s">
        <v>1679</v>
      </c>
      <c r="Z30671" t="s">
        <v>551</v>
      </c>
      <c r="AA30671" t="s">
        <v>1680</v>
      </c>
      <c r="AB30671">
        <v>0</v>
      </c>
      <c r="AE30671" t="s">
        <v>1407</v>
      </c>
      <c r="AF30671" t="s">
        <v>551</v>
      </c>
      <c r="AG30671" t="s">
        <v>1681</v>
      </c>
      <c r="AL30671" t="s">
        <v>4811</v>
      </c>
      <c r="AM30671" t="s">
        <v>4812</v>
      </c>
      <c r="AN30671" t="s">
        <v>4813</v>
      </c>
      <c r="AO30671" t="s">
        <v>1677</v>
      </c>
      <c r="AQ30671" t="str">
        <f>IF(ISBLANK(AP30671), IFERROR(IF(VLOOKUP(AO30671, Ellens_additions!$A$2:$B$252, 2, FALSE) = "", "", VLOOKUP(AO30671, Ellens_additions!$A$2:$B$252, 2, FALSE)), 0), AP30671)</f>
        <v/>
      </c>
    </row>
    <row r="30672" spans="1:43" ht="14.4" hidden="1" x14ac:dyDescent="0.3">
      <c r="A30672" t="s">
        <v>4814</v>
      </c>
      <c r="B30672">
        <v>4924446</v>
      </c>
      <c r="C30672" t="s">
        <v>424</v>
      </c>
      <c r="D30672" t="s">
        <v>433</v>
      </c>
      <c r="E30672" t="s">
        <v>754</v>
      </c>
      <c r="F30672" t="s">
        <v>1676</v>
      </c>
      <c r="H30672" t="s">
        <v>349</v>
      </c>
      <c r="J30672" t="s">
        <v>140</v>
      </c>
      <c r="K30672">
        <v>161307</v>
      </c>
      <c r="L30672">
        <v>389575.72</v>
      </c>
      <c r="N30672" t="s">
        <v>1677</v>
      </c>
      <c r="O30672" t="s">
        <v>551</v>
      </c>
      <c r="P30672" t="s">
        <v>2878</v>
      </c>
      <c r="Q30672" t="s">
        <v>144</v>
      </c>
      <c r="S30672">
        <v>17</v>
      </c>
      <c r="T30672">
        <v>1860</v>
      </c>
      <c r="V30672" t="s">
        <v>146</v>
      </c>
      <c r="W30672" t="s">
        <v>147</v>
      </c>
      <c r="Y30672" t="s">
        <v>1679</v>
      </c>
      <c r="Z30672" t="s">
        <v>551</v>
      </c>
      <c r="AA30672" t="s">
        <v>1680</v>
      </c>
      <c r="AB30672">
        <v>0</v>
      </c>
      <c r="AE30672" t="s">
        <v>1407</v>
      </c>
      <c r="AF30672" t="s">
        <v>551</v>
      </c>
      <c r="AG30672" t="s">
        <v>1681</v>
      </c>
      <c r="AL30672" t="s">
        <v>4815</v>
      </c>
      <c r="AM30672" t="s">
        <v>4816</v>
      </c>
      <c r="AN30672" t="s">
        <v>4817</v>
      </c>
      <c r="AO30672" t="s">
        <v>1677</v>
      </c>
      <c r="AQ30672" t="str">
        <f>IF(ISBLANK(AP30672), IFERROR(IF(VLOOKUP(AO30672, Ellens_additions!$A$2:$B$252, 2, FALSE) = "", "", VLOOKUP(AO30672, Ellens_additions!$A$2:$B$252, 2, FALSE)), 0), AP30672)</f>
        <v/>
      </c>
    </row>
    <row r="30673" spans="1:43" ht="14.4" x14ac:dyDescent="0.3"/>
    <row r="30674" spans="1:43" ht="14.4" x14ac:dyDescent="0.3"/>
    <row r="30675" spans="1:43" ht="14.4" hidden="1" x14ac:dyDescent="0.3">
      <c r="A30675" t="s">
        <v>4818</v>
      </c>
      <c r="B30675">
        <v>4924458</v>
      </c>
      <c r="C30675" t="s">
        <v>424</v>
      </c>
      <c r="D30675" t="s">
        <v>433</v>
      </c>
      <c r="E30675" t="s">
        <v>754</v>
      </c>
      <c r="F30675" t="s">
        <v>1676</v>
      </c>
      <c r="H30675" t="s">
        <v>269</v>
      </c>
      <c r="J30675" t="s">
        <v>140</v>
      </c>
      <c r="K30675">
        <v>161323.70000000001</v>
      </c>
      <c r="L30675">
        <v>389677.43</v>
      </c>
      <c r="N30675" t="s">
        <v>1677</v>
      </c>
      <c r="O30675" t="s">
        <v>530</v>
      </c>
      <c r="P30675" t="s">
        <v>1686</v>
      </c>
      <c r="Q30675" t="s">
        <v>144</v>
      </c>
      <c r="S30675">
        <v>13</v>
      </c>
      <c r="T30675">
        <v>1800</v>
      </c>
      <c r="V30675" t="s">
        <v>146</v>
      </c>
      <c r="W30675" t="s">
        <v>147</v>
      </c>
      <c r="Y30675" t="s">
        <v>1679</v>
      </c>
      <c r="Z30675" t="s">
        <v>530</v>
      </c>
      <c r="AA30675" t="s">
        <v>1437</v>
      </c>
      <c r="AB30675">
        <v>0</v>
      </c>
      <c r="AE30675" t="s">
        <v>1407</v>
      </c>
      <c r="AF30675" t="s">
        <v>530</v>
      </c>
      <c r="AG30675" t="s">
        <v>1687</v>
      </c>
      <c r="AL30675" t="s">
        <v>4819</v>
      </c>
      <c r="AM30675" t="s">
        <v>4820</v>
      </c>
      <c r="AN30675" t="s">
        <v>4821</v>
      </c>
      <c r="AO30675" t="s">
        <v>1677</v>
      </c>
      <c r="AQ30675" t="str">
        <f>IF(ISBLANK(AP30675), IFERROR(IF(VLOOKUP(AO30675, Ellens_additions!$A$2:$B$252, 2, FALSE) = "", "", VLOOKUP(AO30675, Ellens_additions!$A$2:$B$252, 2, FALSE)), 0), AP30675)</f>
        <v/>
      </c>
    </row>
    <row r="30676" spans="1:43" ht="14.4" hidden="1" x14ac:dyDescent="0.3">
      <c r="A30676" t="s">
        <v>4822</v>
      </c>
      <c r="B30676">
        <v>4924461</v>
      </c>
      <c r="C30676" t="s">
        <v>424</v>
      </c>
      <c r="D30676" t="s">
        <v>433</v>
      </c>
      <c r="E30676" t="s">
        <v>754</v>
      </c>
      <c r="F30676" t="s">
        <v>1676</v>
      </c>
      <c r="H30676" t="s">
        <v>535</v>
      </c>
      <c r="J30676" t="s">
        <v>140</v>
      </c>
      <c r="K30676">
        <v>161361.29</v>
      </c>
      <c r="L30676">
        <v>389632.81</v>
      </c>
      <c r="N30676" t="s">
        <v>1677</v>
      </c>
      <c r="O30676" t="s">
        <v>530</v>
      </c>
      <c r="P30676" t="s">
        <v>1686</v>
      </c>
      <c r="Q30676" t="s">
        <v>144</v>
      </c>
      <c r="S30676">
        <v>13</v>
      </c>
      <c r="T30676">
        <v>1800</v>
      </c>
      <c r="V30676" t="s">
        <v>146</v>
      </c>
      <c r="W30676" t="s">
        <v>147</v>
      </c>
      <c r="Y30676" t="s">
        <v>1679</v>
      </c>
      <c r="Z30676" t="s">
        <v>530</v>
      </c>
      <c r="AA30676" t="s">
        <v>1437</v>
      </c>
      <c r="AB30676">
        <v>0</v>
      </c>
      <c r="AE30676" t="s">
        <v>1407</v>
      </c>
      <c r="AF30676" t="s">
        <v>530</v>
      </c>
      <c r="AG30676" t="s">
        <v>1687</v>
      </c>
      <c r="AL30676" t="s">
        <v>4823</v>
      </c>
      <c r="AM30676" t="s">
        <v>4824</v>
      </c>
      <c r="AN30676" t="s">
        <v>4825</v>
      </c>
      <c r="AO30676" t="s">
        <v>1677</v>
      </c>
      <c r="AQ30676" t="str">
        <f>IF(ISBLANK(AP30676), IFERROR(IF(VLOOKUP(AO30676, Ellens_additions!$A$2:$B$252, 2, FALSE) = "", "", VLOOKUP(AO30676, Ellens_additions!$A$2:$B$252, 2, FALSE)), 0), AP30676)</f>
        <v/>
      </c>
    </row>
    <row r="30677" spans="1:43" ht="14.4" hidden="1" x14ac:dyDescent="0.3">
      <c r="A30677" t="s">
        <v>4826</v>
      </c>
      <c r="B30677">
        <v>4924462</v>
      </c>
      <c r="C30677" t="s">
        <v>424</v>
      </c>
      <c r="D30677" t="s">
        <v>433</v>
      </c>
      <c r="E30677" t="s">
        <v>754</v>
      </c>
      <c r="F30677" t="s">
        <v>1676</v>
      </c>
      <c r="H30677" t="s">
        <v>271</v>
      </c>
      <c r="J30677" t="s">
        <v>140</v>
      </c>
      <c r="K30677">
        <v>161371.17000000001</v>
      </c>
      <c r="L30677">
        <v>389619.75</v>
      </c>
      <c r="N30677" t="s">
        <v>1677</v>
      </c>
      <c r="O30677" t="s">
        <v>530</v>
      </c>
      <c r="P30677" t="s">
        <v>1686</v>
      </c>
      <c r="Q30677" t="s">
        <v>144</v>
      </c>
      <c r="S30677">
        <v>13</v>
      </c>
      <c r="T30677">
        <v>1800</v>
      </c>
      <c r="V30677" t="s">
        <v>146</v>
      </c>
      <c r="W30677" t="s">
        <v>147</v>
      </c>
      <c r="Y30677" t="s">
        <v>1679</v>
      </c>
      <c r="Z30677" t="s">
        <v>530</v>
      </c>
      <c r="AA30677" t="s">
        <v>1437</v>
      </c>
      <c r="AB30677">
        <v>0</v>
      </c>
      <c r="AE30677" t="s">
        <v>1407</v>
      </c>
      <c r="AF30677" t="s">
        <v>530</v>
      </c>
      <c r="AG30677" t="s">
        <v>1687</v>
      </c>
      <c r="AL30677" t="s">
        <v>4827</v>
      </c>
      <c r="AM30677" t="s">
        <v>4828</v>
      </c>
      <c r="AN30677" t="s">
        <v>4829</v>
      </c>
      <c r="AO30677" t="s">
        <v>1677</v>
      </c>
      <c r="AQ30677" t="str">
        <f>IF(ISBLANK(AP30677), IFERROR(IF(VLOOKUP(AO30677, Ellens_additions!$A$2:$B$252, 2, FALSE) = "", "", VLOOKUP(AO30677, Ellens_additions!$A$2:$B$252, 2, FALSE)), 0), AP30677)</f>
        <v/>
      </c>
    </row>
    <row r="30678" spans="1:43" ht="14.4" hidden="1" x14ac:dyDescent="0.3">
      <c r="A30678" t="s">
        <v>4830</v>
      </c>
      <c r="B30678">
        <v>4924464</v>
      </c>
      <c r="C30678" t="s">
        <v>424</v>
      </c>
      <c r="D30678" t="s">
        <v>433</v>
      </c>
      <c r="E30678" t="s">
        <v>754</v>
      </c>
      <c r="F30678" t="s">
        <v>1676</v>
      </c>
      <c r="H30678" t="s">
        <v>555</v>
      </c>
      <c r="J30678" t="s">
        <v>140</v>
      </c>
      <c r="K30678">
        <v>161356.4</v>
      </c>
      <c r="L30678">
        <v>389581.03</v>
      </c>
      <c r="N30678" t="s">
        <v>1677</v>
      </c>
      <c r="O30678" t="s">
        <v>530</v>
      </c>
      <c r="P30678" t="s">
        <v>1686</v>
      </c>
      <c r="Q30678" t="s">
        <v>144</v>
      </c>
      <c r="S30678">
        <v>13</v>
      </c>
      <c r="T30678">
        <v>1800</v>
      </c>
      <c r="V30678" t="s">
        <v>146</v>
      </c>
      <c r="W30678" t="s">
        <v>147</v>
      </c>
      <c r="Y30678" t="s">
        <v>1679</v>
      </c>
      <c r="Z30678" t="s">
        <v>530</v>
      </c>
      <c r="AA30678" t="s">
        <v>1437</v>
      </c>
      <c r="AB30678">
        <v>0</v>
      </c>
      <c r="AE30678" t="s">
        <v>1407</v>
      </c>
      <c r="AF30678" t="s">
        <v>530</v>
      </c>
      <c r="AG30678" t="s">
        <v>1687</v>
      </c>
      <c r="AL30678" t="s">
        <v>4831</v>
      </c>
      <c r="AM30678" t="s">
        <v>4832</v>
      </c>
      <c r="AN30678" t="s">
        <v>4833</v>
      </c>
      <c r="AO30678" t="s">
        <v>1677</v>
      </c>
      <c r="AQ30678" t="str">
        <f>IF(ISBLANK(AP30678), IFERROR(IF(VLOOKUP(AO30678, Ellens_additions!$A$2:$B$252, 2, FALSE) = "", "", VLOOKUP(AO30678, Ellens_additions!$A$2:$B$252, 2, FALSE)), 0), AP30678)</f>
        <v/>
      </c>
    </row>
    <row r="30679" spans="1:43" ht="14.4" hidden="1" x14ac:dyDescent="0.3">
      <c r="A30679" t="s">
        <v>4834</v>
      </c>
      <c r="B30679">
        <v>4924465</v>
      </c>
      <c r="C30679" t="s">
        <v>424</v>
      </c>
      <c r="D30679" t="s">
        <v>433</v>
      </c>
      <c r="E30679" t="s">
        <v>754</v>
      </c>
      <c r="F30679" t="s">
        <v>1676</v>
      </c>
      <c r="H30679" t="s">
        <v>561</v>
      </c>
      <c r="J30679" t="s">
        <v>140</v>
      </c>
      <c r="K30679">
        <v>161337.72</v>
      </c>
      <c r="L30679">
        <v>389578.1</v>
      </c>
      <c r="N30679" t="s">
        <v>1677</v>
      </c>
      <c r="O30679" t="s">
        <v>530</v>
      </c>
      <c r="P30679" t="s">
        <v>1686</v>
      </c>
      <c r="Q30679" t="s">
        <v>144</v>
      </c>
      <c r="S30679">
        <v>13</v>
      </c>
      <c r="T30679">
        <v>1800</v>
      </c>
      <c r="V30679" t="s">
        <v>146</v>
      </c>
      <c r="W30679" t="s">
        <v>147</v>
      </c>
      <c r="Y30679" t="s">
        <v>1679</v>
      </c>
      <c r="Z30679" t="s">
        <v>530</v>
      </c>
      <c r="AA30679" t="s">
        <v>1437</v>
      </c>
      <c r="AB30679">
        <v>0</v>
      </c>
      <c r="AE30679" t="s">
        <v>1407</v>
      </c>
      <c r="AF30679" t="s">
        <v>530</v>
      </c>
      <c r="AG30679" t="s">
        <v>1687</v>
      </c>
      <c r="AL30679" t="s">
        <v>4835</v>
      </c>
      <c r="AM30679" t="s">
        <v>4836</v>
      </c>
      <c r="AN30679" t="s">
        <v>4837</v>
      </c>
      <c r="AO30679" t="s">
        <v>1677</v>
      </c>
      <c r="AQ30679" t="str">
        <f>IF(ISBLANK(AP30679), IFERROR(IF(VLOOKUP(AO30679, Ellens_additions!$A$2:$B$252, 2, FALSE) = "", "", VLOOKUP(AO30679, Ellens_additions!$A$2:$B$252, 2, FALSE)), 0), AP30679)</f>
        <v/>
      </c>
    </row>
    <row r="30680" spans="1:43" ht="14.4" hidden="1" x14ac:dyDescent="0.3">
      <c r="A30680" t="s">
        <v>4838</v>
      </c>
      <c r="B30680">
        <v>4924466</v>
      </c>
      <c r="C30680" t="s">
        <v>424</v>
      </c>
      <c r="D30680" t="s">
        <v>433</v>
      </c>
      <c r="E30680" t="s">
        <v>754</v>
      </c>
      <c r="F30680" t="s">
        <v>1676</v>
      </c>
      <c r="H30680" t="s">
        <v>545</v>
      </c>
      <c r="J30680" t="s">
        <v>140</v>
      </c>
      <c r="K30680">
        <v>161333.82</v>
      </c>
      <c r="L30680">
        <v>389571.95</v>
      </c>
      <c r="N30680" t="s">
        <v>1677</v>
      </c>
      <c r="O30680" t="s">
        <v>530</v>
      </c>
      <c r="P30680" t="s">
        <v>1686</v>
      </c>
      <c r="Q30680" t="s">
        <v>144</v>
      </c>
      <c r="S30680">
        <v>13</v>
      </c>
      <c r="T30680">
        <v>1800</v>
      </c>
      <c r="V30680" t="s">
        <v>146</v>
      </c>
      <c r="W30680" t="s">
        <v>147</v>
      </c>
      <c r="Y30680" t="s">
        <v>1679</v>
      </c>
      <c r="Z30680" t="s">
        <v>530</v>
      </c>
      <c r="AA30680" t="s">
        <v>1437</v>
      </c>
      <c r="AB30680">
        <v>0</v>
      </c>
      <c r="AE30680" t="s">
        <v>1407</v>
      </c>
      <c r="AF30680" t="s">
        <v>530</v>
      </c>
      <c r="AG30680" t="s">
        <v>1687</v>
      </c>
      <c r="AL30680" t="s">
        <v>4839</v>
      </c>
      <c r="AM30680" t="s">
        <v>4840</v>
      </c>
      <c r="AN30680" t="s">
        <v>4841</v>
      </c>
      <c r="AO30680" t="s">
        <v>1677</v>
      </c>
      <c r="AQ30680" t="str">
        <f>IF(ISBLANK(AP30680), IFERROR(IF(VLOOKUP(AO30680, Ellens_additions!$A$2:$B$252, 2, FALSE) = "", "", VLOOKUP(AO30680, Ellens_additions!$A$2:$B$252, 2, FALSE)), 0), AP30680)</f>
        <v/>
      </c>
    </row>
    <row r="30681" spans="1:43" ht="14.4" hidden="1" x14ac:dyDescent="0.3">
      <c r="A30681" t="s">
        <v>4842</v>
      </c>
      <c r="B30681">
        <v>4924470</v>
      </c>
      <c r="C30681" t="s">
        <v>424</v>
      </c>
      <c r="D30681" t="s">
        <v>433</v>
      </c>
      <c r="E30681" t="s">
        <v>754</v>
      </c>
      <c r="F30681" t="s">
        <v>1676</v>
      </c>
      <c r="H30681" t="s">
        <v>351</v>
      </c>
      <c r="J30681" t="s">
        <v>140</v>
      </c>
      <c r="K30681">
        <v>161277.94</v>
      </c>
      <c r="L30681">
        <v>389555.45</v>
      </c>
      <c r="N30681" t="s">
        <v>1677</v>
      </c>
      <c r="O30681" t="s">
        <v>530</v>
      </c>
      <c r="P30681" t="s">
        <v>1686</v>
      </c>
      <c r="Q30681" t="s">
        <v>144</v>
      </c>
      <c r="S30681">
        <v>13</v>
      </c>
      <c r="T30681">
        <v>1800</v>
      </c>
      <c r="V30681" t="s">
        <v>146</v>
      </c>
      <c r="W30681" t="s">
        <v>147</v>
      </c>
      <c r="Y30681" t="s">
        <v>1679</v>
      </c>
      <c r="Z30681" t="s">
        <v>530</v>
      </c>
      <c r="AA30681" t="s">
        <v>1437</v>
      </c>
      <c r="AB30681">
        <v>0</v>
      </c>
      <c r="AE30681" t="s">
        <v>1407</v>
      </c>
      <c r="AF30681" t="s">
        <v>530</v>
      </c>
      <c r="AG30681" t="s">
        <v>1687</v>
      </c>
      <c r="AL30681" t="s">
        <v>4843</v>
      </c>
      <c r="AM30681" t="s">
        <v>4844</v>
      </c>
      <c r="AN30681" t="s">
        <v>4845</v>
      </c>
      <c r="AO30681" t="s">
        <v>1677</v>
      </c>
      <c r="AQ30681" t="str">
        <f>IF(ISBLANK(AP30681), IFERROR(IF(VLOOKUP(AO30681, Ellens_additions!$A$2:$B$252, 2, FALSE) = "", "", VLOOKUP(AO30681, Ellens_additions!$A$2:$B$252, 2, FALSE)), 0), AP30681)</f>
        <v/>
      </c>
    </row>
    <row r="30682" spans="1:43" ht="14.4" hidden="1" x14ac:dyDescent="0.3">
      <c r="A30682" t="s">
        <v>4846</v>
      </c>
      <c r="B30682">
        <v>4924475</v>
      </c>
      <c r="C30682" t="s">
        <v>424</v>
      </c>
      <c r="D30682" t="s">
        <v>433</v>
      </c>
      <c r="E30682" t="s">
        <v>754</v>
      </c>
      <c r="F30682" t="s">
        <v>1708</v>
      </c>
      <c r="H30682" t="s">
        <v>377</v>
      </c>
      <c r="J30682" t="s">
        <v>140</v>
      </c>
      <c r="K30682">
        <v>161277.32999999999</v>
      </c>
      <c r="L30682">
        <v>389590.1</v>
      </c>
      <c r="N30682" t="s">
        <v>1677</v>
      </c>
      <c r="O30682" t="s">
        <v>530</v>
      </c>
      <c r="P30682" t="s">
        <v>1686</v>
      </c>
      <c r="Q30682" t="s">
        <v>144</v>
      </c>
      <c r="S30682">
        <v>11</v>
      </c>
      <c r="T30682">
        <v>1500</v>
      </c>
      <c r="V30682" t="s">
        <v>146</v>
      </c>
      <c r="W30682" t="s">
        <v>147</v>
      </c>
      <c r="Y30682" t="s">
        <v>1679</v>
      </c>
      <c r="Z30682" t="s">
        <v>530</v>
      </c>
      <c r="AA30682" t="s">
        <v>1437</v>
      </c>
      <c r="AB30682">
        <v>0</v>
      </c>
      <c r="AE30682" t="s">
        <v>1407</v>
      </c>
      <c r="AF30682" t="s">
        <v>530</v>
      </c>
      <c r="AG30682" t="s">
        <v>1687</v>
      </c>
      <c r="AL30682" t="s">
        <v>4847</v>
      </c>
      <c r="AM30682" t="s">
        <v>4848</v>
      </c>
      <c r="AN30682" t="s">
        <v>4849</v>
      </c>
      <c r="AO30682" t="s">
        <v>1677</v>
      </c>
      <c r="AQ30682" t="str">
        <f>IF(ISBLANK(AP30682), IFERROR(IF(VLOOKUP(AO30682, Ellens_additions!$A$2:$B$252, 2, FALSE) = "", "", VLOOKUP(AO30682, Ellens_additions!$A$2:$B$252, 2, FALSE)), 0), AP30682)</f>
        <v/>
      </c>
    </row>
    <row r="30683" spans="1:43" ht="14.4" hidden="1" x14ac:dyDescent="0.3">
      <c r="A30683" t="s">
        <v>4850</v>
      </c>
      <c r="B30683">
        <v>4924477</v>
      </c>
      <c r="C30683" t="s">
        <v>424</v>
      </c>
      <c r="D30683" t="s">
        <v>433</v>
      </c>
      <c r="E30683" t="s">
        <v>754</v>
      </c>
      <c r="F30683" t="s">
        <v>1708</v>
      </c>
      <c r="H30683" t="s">
        <v>296</v>
      </c>
      <c r="J30683" t="s">
        <v>140</v>
      </c>
      <c r="K30683">
        <v>161281.19</v>
      </c>
      <c r="L30683">
        <v>389624.16</v>
      </c>
      <c r="N30683" t="s">
        <v>1677</v>
      </c>
      <c r="O30683" t="s">
        <v>530</v>
      </c>
      <c r="P30683" t="s">
        <v>1686</v>
      </c>
      <c r="Q30683" t="s">
        <v>144</v>
      </c>
      <c r="S30683">
        <v>11</v>
      </c>
      <c r="T30683">
        <v>1500</v>
      </c>
      <c r="V30683" t="s">
        <v>146</v>
      </c>
      <c r="W30683" t="s">
        <v>147</v>
      </c>
      <c r="Y30683" t="s">
        <v>1679</v>
      </c>
      <c r="Z30683" t="s">
        <v>530</v>
      </c>
      <c r="AA30683" t="s">
        <v>1437</v>
      </c>
      <c r="AB30683">
        <v>0</v>
      </c>
      <c r="AE30683" t="s">
        <v>1407</v>
      </c>
      <c r="AF30683" t="s">
        <v>530</v>
      </c>
      <c r="AG30683" t="s">
        <v>1687</v>
      </c>
      <c r="AL30683" t="s">
        <v>4851</v>
      </c>
      <c r="AM30683" t="s">
        <v>4852</v>
      </c>
      <c r="AN30683" t="s">
        <v>4853</v>
      </c>
      <c r="AO30683" t="s">
        <v>1677</v>
      </c>
      <c r="AQ30683" t="str">
        <f>IF(ISBLANK(AP30683), IFERROR(IF(VLOOKUP(AO30683, Ellens_additions!$A$2:$B$252, 2, FALSE) = "", "", VLOOKUP(AO30683, Ellens_additions!$A$2:$B$252, 2, FALSE)), 0), AP30683)</f>
        <v/>
      </c>
    </row>
    <row r="30684" spans="1:43" ht="14.4" hidden="1" x14ac:dyDescent="0.3">
      <c r="A30684" t="s">
        <v>4854</v>
      </c>
      <c r="B30684">
        <v>4924478</v>
      </c>
      <c r="C30684" t="s">
        <v>424</v>
      </c>
      <c r="D30684" t="s">
        <v>433</v>
      </c>
      <c r="E30684" t="s">
        <v>754</v>
      </c>
      <c r="F30684" t="s">
        <v>1708</v>
      </c>
      <c r="H30684" t="s">
        <v>274</v>
      </c>
      <c r="J30684" t="s">
        <v>140</v>
      </c>
      <c r="K30684">
        <v>161287.07</v>
      </c>
      <c r="L30684">
        <v>389644.5</v>
      </c>
      <c r="N30684" t="s">
        <v>1677</v>
      </c>
      <c r="O30684" t="s">
        <v>530</v>
      </c>
      <c r="P30684" t="s">
        <v>1686</v>
      </c>
      <c r="Q30684" t="s">
        <v>144</v>
      </c>
      <c r="S30684">
        <v>11</v>
      </c>
      <c r="T30684">
        <v>1500</v>
      </c>
      <c r="V30684" t="s">
        <v>146</v>
      </c>
      <c r="W30684" t="s">
        <v>147</v>
      </c>
      <c r="Y30684" t="s">
        <v>1679</v>
      </c>
      <c r="Z30684" t="s">
        <v>530</v>
      </c>
      <c r="AA30684" t="s">
        <v>1437</v>
      </c>
      <c r="AB30684">
        <v>0</v>
      </c>
      <c r="AE30684" t="s">
        <v>1407</v>
      </c>
      <c r="AF30684" t="s">
        <v>530</v>
      </c>
      <c r="AG30684" t="s">
        <v>1687</v>
      </c>
      <c r="AL30684" t="s">
        <v>4855</v>
      </c>
      <c r="AM30684" t="s">
        <v>4856</v>
      </c>
      <c r="AN30684" t="s">
        <v>4857</v>
      </c>
      <c r="AO30684" t="s">
        <v>1677</v>
      </c>
      <c r="AQ30684" t="str">
        <f>IF(ISBLANK(AP30684), IFERROR(IF(VLOOKUP(AO30684, Ellens_additions!$A$2:$B$252, 2, FALSE) = "", "", VLOOKUP(AO30684, Ellens_additions!$A$2:$B$252, 2, FALSE)), 0), AP30684)</f>
        <v/>
      </c>
    </row>
    <row r="30685" spans="1:43" ht="14.4" hidden="1" x14ac:dyDescent="0.3">
      <c r="A30685" t="s">
        <v>4858</v>
      </c>
      <c r="B30685">
        <v>4924479</v>
      </c>
      <c r="C30685" t="s">
        <v>424</v>
      </c>
      <c r="D30685" t="s">
        <v>433</v>
      </c>
      <c r="E30685" t="s">
        <v>754</v>
      </c>
      <c r="F30685" t="s">
        <v>1708</v>
      </c>
      <c r="H30685" t="s">
        <v>244</v>
      </c>
      <c r="J30685" t="s">
        <v>140</v>
      </c>
      <c r="K30685">
        <v>161292.88</v>
      </c>
      <c r="L30685">
        <v>389663.38</v>
      </c>
      <c r="N30685" t="s">
        <v>1677</v>
      </c>
      <c r="O30685" t="s">
        <v>530</v>
      </c>
      <c r="P30685" t="s">
        <v>1686</v>
      </c>
      <c r="Q30685" t="s">
        <v>144</v>
      </c>
      <c r="S30685">
        <v>11</v>
      </c>
      <c r="T30685">
        <v>1500</v>
      </c>
      <c r="V30685" t="s">
        <v>146</v>
      </c>
      <c r="W30685" t="s">
        <v>147</v>
      </c>
      <c r="Y30685" t="s">
        <v>1679</v>
      </c>
      <c r="Z30685" t="s">
        <v>530</v>
      </c>
      <c r="AA30685" t="s">
        <v>1437</v>
      </c>
      <c r="AB30685">
        <v>0</v>
      </c>
      <c r="AE30685" t="s">
        <v>1407</v>
      </c>
      <c r="AF30685" t="s">
        <v>530</v>
      </c>
      <c r="AG30685" t="s">
        <v>1687</v>
      </c>
      <c r="AL30685" t="s">
        <v>4859</v>
      </c>
      <c r="AM30685" t="s">
        <v>4860</v>
      </c>
      <c r="AN30685" t="s">
        <v>4861</v>
      </c>
      <c r="AO30685" t="s">
        <v>1677</v>
      </c>
      <c r="AQ30685" t="str">
        <f>IF(ISBLANK(AP30685), IFERROR(IF(VLOOKUP(AO30685, Ellens_additions!$A$2:$B$252, 2, FALSE) = "", "", VLOOKUP(AO30685, Ellens_additions!$A$2:$B$252, 2, FALSE)), 0), AP30685)</f>
        <v/>
      </c>
    </row>
    <row r="30686" spans="1:43" ht="14.4" x14ac:dyDescent="0.3"/>
    <row r="30687" spans="1:43" ht="14.4" x14ac:dyDescent="0.3"/>
    <row r="30688" spans="1:43" ht="14.4" x14ac:dyDescent="0.3"/>
    <row r="30689" spans="1:43" ht="14.4" x14ac:dyDescent="0.3"/>
    <row r="30690" spans="1:43" ht="14.4" x14ac:dyDescent="0.3"/>
    <row r="30691" spans="1:43" ht="14.4" x14ac:dyDescent="0.3"/>
    <row r="30692" spans="1:43" ht="14.4" x14ac:dyDescent="0.3"/>
    <row r="30693" spans="1:43" ht="14.4" x14ac:dyDescent="0.3"/>
    <row r="30694" spans="1:43" ht="14.4" x14ac:dyDescent="0.3"/>
    <row r="30695" spans="1:43" ht="14.4" x14ac:dyDescent="0.3"/>
    <row r="30696" spans="1:43" ht="14.4" hidden="1" x14ac:dyDescent="0.3">
      <c r="A30696" t="s">
        <v>4862</v>
      </c>
      <c r="B30696">
        <v>4924520</v>
      </c>
      <c r="C30696" t="s">
        <v>424</v>
      </c>
      <c r="D30696" t="s">
        <v>439</v>
      </c>
      <c r="E30696" t="s">
        <v>759</v>
      </c>
      <c r="F30696" t="s">
        <v>1522</v>
      </c>
      <c r="H30696" t="s">
        <v>255</v>
      </c>
      <c r="J30696" t="s">
        <v>140</v>
      </c>
      <c r="K30696">
        <v>158718.03</v>
      </c>
      <c r="L30696">
        <v>388743.06</v>
      </c>
      <c r="M30696">
        <v>1</v>
      </c>
      <c r="N30696" t="s">
        <v>263</v>
      </c>
      <c r="O30696" t="s">
        <v>576</v>
      </c>
      <c r="P30696" t="s">
        <v>1797</v>
      </c>
      <c r="Q30696" t="s">
        <v>264</v>
      </c>
      <c r="R30696" t="s">
        <v>145</v>
      </c>
      <c r="S30696">
        <v>36</v>
      </c>
      <c r="T30696">
        <v>2900</v>
      </c>
      <c r="V30696" t="s">
        <v>265</v>
      </c>
      <c r="W30696" t="s">
        <v>147</v>
      </c>
      <c r="X30696" t="s">
        <v>7</v>
      </c>
      <c r="Y30696" t="s">
        <v>762</v>
      </c>
      <c r="Z30696" t="s">
        <v>524</v>
      </c>
      <c r="AA30696" t="s">
        <v>528</v>
      </c>
      <c r="AB30696">
        <v>0</v>
      </c>
      <c r="AE30696" t="s">
        <v>816</v>
      </c>
      <c r="AF30696" t="s">
        <v>524</v>
      </c>
      <c r="AG30696" t="s">
        <v>528</v>
      </c>
      <c r="AL30696" t="s">
        <v>4863</v>
      </c>
      <c r="AM30696" t="s">
        <v>4864</v>
      </c>
      <c r="AN30696" t="s">
        <v>4865</v>
      </c>
      <c r="AO30696" t="s">
        <v>263</v>
      </c>
      <c r="AQ30696" t="str">
        <f>IF(ISBLANK(AP30696), IFERROR(IF(VLOOKUP(AO30696, Ellens_additions!$A$2:$B$252, 2, FALSE) = "", "", VLOOKUP(AO30696, Ellens_additions!$A$2:$B$252, 2, FALSE)), 0), AP30696)</f>
        <v/>
      </c>
    </row>
    <row r="30697" spans="1:43" ht="14.4" hidden="1" x14ac:dyDescent="0.3">
      <c r="A30697" t="s">
        <v>4866</v>
      </c>
      <c r="B30697">
        <v>4924522</v>
      </c>
      <c r="C30697" t="s">
        <v>424</v>
      </c>
      <c r="D30697" t="s">
        <v>433</v>
      </c>
      <c r="E30697" t="s">
        <v>754</v>
      </c>
      <c r="F30697" t="s">
        <v>1676</v>
      </c>
      <c r="H30697" t="s">
        <v>419</v>
      </c>
      <c r="J30697" t="s">
        <v>140</v>
      </c>
      <c r="K30697">
        <v>161172.71</v>
      </c>
      <c r="L30697">
        <v>389531.96</v>
      </c>
      <c r="N30697" t="s">
        <v>1677</v>
      </c>
      <c r="O30697" t="s">
        <v>588</v>
      </c>
      <c r="P30697" t="s">
        <v>589</v>
      </c>
      <c r="Q30697" t="s">
        <v>144</v>
      </c>
      <c r="S30697">
        <v>11</v>
      </c>
      <c r="T30697">
        <v>1500</v>
      </c>
      <c r="V30697" t="s">
        <v>146</v>
      </c>
      <c r="W30697" t="s">
        <v>147</v>
      </c>
      <c r="Y30697" t="s">
        <v>1679</v>
      </c>
      <c r="Z30697" t="s">
        <v>588</v>
      </c>
      <c r="AA30697" t="s">
        <v>1727</v>
      </c>
      <c r="AB30697">
        <v>0</v>
      </c>
      <c r="AE30697" t="s">
        <v>1407</v>
      </c>
      <c r="AF30697" t="s">
        <v>588</v>
      </c>
      <c r="AG30697" t="s">
        <v>592</v>
      </c>
      <c r="AL30697" t="s">
        <v>4867</v>
      </c>
      <c r="AM30697" t="s">
        <v>4868</v>
      </c>
      <c r="AN30697" t="s">
        <v>4869</v>
      </c>
      <c r="AO30697" t="s">
        <v>1677</v>
      </c>
      <c r="AQ30697" t="str">
        <f>IF(ISBLANK(AP30697), IFERROR(IF(VLOOKUP(AO30697, Ellens_additions!$A$2:$B$252, 2, FALSE) = "", "", VLOOKUP(AO30697, Ellens_additions!$A$2:$B$252, 2, FALSE)), 0), AP30697)</f>
        <v/>
      </c>
    </row>
    <row r="30698" spans="1:43" ht="14.4" hidden="1" x14ac:dyDescent="0.3">
      <c r="A30698" t="s">
        <v>4870</v>
      </c>
      <c r="B30698">
        <v>4924525</v>
      </c>
      <c r="C30698" t="s">
        <v>424</v>
      </c>
      <c r="D30698" t="s">
        <v>433</v>
      </c>
      <c r="E30698" t="s">
        <v>754</v>
      </c>
      <c r="F30698" t="s">
        <v>1676</v>
      </c>
      <c r="H30698" t="s">
        <v>423</v>
      </c>
      <c r="J30698" t="s">
        <v>140</v>
      </c>
      <c r="K30698">
        <v>161137.62</v>
      </c>
      <c r="L30698">
        <v>389532.05</v>
      </c>
      <c r="N30698" t="s">
        <v>1677</v>
      </c>
      <c r="O30698" t="s">
        <v>588</v>
      </c>
      <c r="P30698" t="s">
        <v>589</v>
      </c>
      <c r="Q30698" t="s">
        <v>144</v>
      </c>
      <c r="S30698">
        <v>11</v>
      </c>
      <c r="T30698">
        <v>1500</v>
      </c>
      <c r="V30698" t="s">
        <v>146</v>
      </c>
      <c r="W30698" t="s">
        <v>147</v>
      </c>
      <c r="Y30698" t="s">
        <v>1679</v>
      </c>
      <c r="Z30698" t="s">
        <v>588</v>
      </c>
      <c r="AA30698" t="s">
        <v>1727</v>
      </c>
      <c r="AB30698">
        <v>0</v>
      </c>
      <c r="AE30698" t="s">
        <v>1407</v>
      </c>
      <c r="AF30698" t="s">
        <v>588</v>
      </c>
      <c r="AG30698" t="s">
        <v>592</v>
      </c>
      <c r="AL30698" t="s">
        <v>4871</v>
      </c>
      <c r="AM30698" t="s">
        <v>4872</v>
      </c>
      <c r="AN30698" t="s">
        <v>4873</v>
      </c>
      <c r="AO30698" t="s">
        <v>1677</v>
      </c>
      <c r="AQ30698" t="str">
        <f>IF(ISBLANK(AP30698), IFERROR(IF(VLOOKUP(AO30698, Ellens_additions!$A$2:$B$252, 2, FALSE) = "", "", VLOOKUP(AO30698, Ellens_additions!$A$2:$B$252, 2, FALSE)), 0), AP30698)</f>
        <v/>
      </c>
    </row>
    <row r="30699" spans="1:43" ht="14.4" hidden="1" x14ac:dyDescent="0.3">
      <c r="A30699" t="s">
        <v>4874</v>
      </c>
      <c r="B30699">
        <v>4924526</v>
      </c>
      <c r="C30699" t="s">
        <v>424</v>
      </c>
      <c r="D30699" t="s">
        <v>433</v>
      </c>
      <c r="E30699" t="s">
        <v>754</v>
      </c>
      <c r="F30699" t="s">
        <v>1676</v>
      </c>
      <c r="H30699" t="s">
        <v>581</v>
      </c>
      <c r="J30699" t="s">
        <v>140</v>
      </c>
      <c r="K30699">
        <v>161134.46</v>
      </c>
      <c r="L30699">
        <v>389554.33</v>
      </c>
      <c r="N30699" t="s">
        <v>1677</v>
      </c>
      <c r="O30699" t="s">
        <v>588</v>
      </c>
      <c r="P30699" t="s">
        <v>589</v>
      </c>
      <c r="Q30699" t="s">
        <v>144</v>
      </c>
      <c r="S30699">
        <v>11</v>
      </c>
      <c r="T30699">
        <v>1500</v>
      </c>
      <c r="V30699" t="s">
        <v>146</v>
      </c>
      <c r="W30699" t="s">
        <v>147</v>
      </c>
      <c r="Y30699" t="s">
        <v>1679</v>
      </c>
      <c r="Z30699" t="s">
        <v>588</v>
      </c>
      <c r="AA30699" t="s">
        <v>1727</v>
      </c>
      <c r="AB30699">
        <v>0</v>
      </c>
      <c r="AE30699" t="s">
        <v>1407</v>
      </c>
      <c r="AF30699" t="s">
        <v>588</v>
      </c>
      <c r="AG30699" t="s">
        <v>592</v>
      </c>
      <c r="AL30699" t="s">
        <v>4875</v>
      </c>
      <c r="AM30699" t="s">
        <v>4876</v>
      </c>
      <c r="AN30699" t="s">
        <v>4877</v>
      </c>
      <c r="AO30699" t="s">
        <v>1677</v>
      </c>
      <c r="AQ30699" t="str">
        <f>IF(ISBLANK(AP30699), IFERROR(IF(VLOOKUP(AO30699, Ellens_additions!$A$2:$B$252, 2, FALSE) = "", "", VLOOKUP(AO30699, Ellens_additions!$A$2:$B$252, 2, FALSE)), 0), AP30699)</f>
        <v/>
      </c>
    </row>
    <row r="30700" spans="1:43" ht="14.4" hidden="1" x14ac:dyDescent="0.3">
      <c r="A30700" t="s">
        <v>4878</v>
      </c>
      <c r="B30700">
        <v>4924527</v>
      </c>
      <c r="C30700" t="s">
        <v>424</v>
      </c>
      <c r="D30700" t="s">
        <v>433</v>
      </c>
      <c r="E30700" t="s">
        <v>754</v>
      </c>
      <c r="F30700" t="s">
        <v>1676</v>
      </c>
      <c r="H30700" t="s">
        <v>582</v>
      </c>
      <c r="J30700" t="s">
        <v>140</v>
      </c>
      <c r="K30700">
        <v>161129.95000000001</v>
      </c>
      <c r="L30700">
        <v>389570.23</v>
      </c>
      <c r="N30700" t="s">
        <v>1677</v>
      </c>
      <c r="O30700" t="s">
        <v>588</v>
      </c>
      <c r="P30700" t="s">
        <v>589</v>
      </c>
      <c r="Q30700" t="s">
        <v>144</v>
      </c>
      <c r="S30700">
        <v>11</v>
      </c>
      <c r="T30700">
        <v>1500</v>
      </c>
      <c r="V30700" t="s">
        <v>146</v>
      </c>
      <c r="W30700" t="s">
        <v>147</v>
      </c>
      <c r="Y30700" t="s">
        <v>1679</v>
      </c>
      <c r="Z30700" t="s">
        <v>588</v>
      </c>
      <c r="AA30700" t="s">
        <v>1727</v>
      </c>
      <c r="AB30700">
        <v>0</v>
      </c>
      <c r="AE30700" t="s">
        <v>1407</v>
      </c>
      <c r="AF30700" t="s">
        <v>588</v>
      </c>
      <c r="AG30700" t="s">
        <v>592</v>
      </c>
      <c r="AL30700" t="s">
        <v>4879</v>
      </c>
      <c r="AM30700" t="s">
        <v>4880</v>
      </c>
      <c r="AN30700" t="s">
        <v>4881</v>
      </c>
      <c r="AO30700" t="s">
        <v>1677</v>
      </c>
      <c r="AQ30700" t="str">
        <f>IF(ISBLANK(AP30700), IFERROR(IF(VLOOKUP(AO30700, Ellens_additions!$A$2:$B$252, 2, FALSE) = "", "", VLOOKUP(AO30700, Ellens_additions!$A$2:$B$252, 2, FALSE)), 0), AP30700)</f>
        <v/>
      </c>
    </row>
    <row r="30701" spans="1:43" ht="14.4" hidden="1" x14ac:dyDescent="0.3">
      <c r="A30701" t="s">
        <v>4882</v>
      </c>
      <c r="B30701">
        <v>4924529</v>
      </c>
      <c r="C30701" t="s">
        <v>424</v>
      </c>
      <c r="D30701" t="s">
        <v>433</v>
      </c>
      <c r="E30701" t="s">
        <v>754</v>
      </c>
      <c r="F30701" t="s">
        <v>1676</v>
      </c>
      <c r="H30701" t="s">
        <v>515</v>
      </c>
      <c r="J30701" t="s">
        <v>140</v>
      </c>
      <c r="K30701">
        <v>161223.85999999999</v>
      </c>
      <c r="L30701">
        <v>389530</v>
      </c>
      <c r="N30701" t="s">
        <v>1677</v>
      </c>
      <c r="O30701" t="s">
        <v>588</v>
      </c>
      <c r="P30701" t="s">
        <v>589</v>
      </c>
      <c r="Q30701" t="s">
        <v>144</v>
      </c>
      <c r="S30701">
        <v>9</v>
      </c>
      <c r="T30701">
        <v>1200</v>
      </c>
      <c r="V30701" t="s">
        <v>146</v>
      </c>
      <c r="W30701" t="s">
        <v>147</v>
      </c>
      <c r="Y30701" t="s">
        <v>1679</v>
      </c>
      <c r="Z30701" t="s">
        <v>588</v>
      </c>
      <c r="AA30701" t="s">
        <v>1727</v>
      </c>
      <c r="AB30701">
        <v>0</v>
      </c>
      <c r="AE30701" t="s">
        <v>1407</v>
      </c>
      <c r="AF30701" t="s">
        <v>588</v>
      </c>
      <c r="AG30701" t="s">
        <v>592</v>
      </c>
      <c r="AL30701" t="s">
        <v>4883</v>
      </c>
      <c r="AM30701" t="s">
        <v>4884</v>
      </c>
      <c r="AN30701" t="s">
        <v>4885</v>
      </c>
      <c r="AO30701" t="s">
        <v>1677</v>
      </c>
      <c r="AQ30701" t="str">
        <f>IF(ISBLANK(AP30701), IFERROR(IF(VLOOKUP(AO30701, Ellens_additions!$A$2:$B$252, 2, FALSE) = "", "", VLOOKUP(AO30701, Ellens_additions!$A$2:$B$252, 2, FALSE)), 0), AP30701)</f>
        <v/>
      </c>
    </row>
    <row r="30702" spans="1:43" ht="14.4" hidden="1" x14ac:dyDescent="0.3">
      <c r="A30702" t="s">
        <v>4886</v>
      </c>
      <c r="B30702">
        <v>4924533</v>
      </c>
      <c r="C30702" t="s">
        <v>424</v>
      </c>
      <c r="D30702" t="s">
        <v>433</v>
      </c>
      <c r="E30702" t="s">
        <v>754</v>
      </c>
      <c r="F30702" t="s">
        <v>1676</v>
      </c>
      <c r="H30702" t="s">
        <v>418</v>
      </c>
      <c r="J30702" t="s">
        <v>140</v>
      </c>
      <c r="K30702">
        <v>161195.42000000001</v>
      </c>
      <c r="L30702">
        <v>389583.53</v>
      </c>
      <c r="N30702" t="s">
        <v>1677</v>
      </c>
      <c r="O30702" t="s">
        <v>588</v>
      </c>
      <c r="P30702" t="s">
        <v>589</v>
      </c>
      <c r="Q30702" t="s">
        <v>144</v>
      </c>
      <c r="S30702">
        <v>13</v>
      </c>
      <c r="T30702">
        <v>1800</v>
      </c>
      <c r="V30702" t="s">
        <v>146</v>
      </c>
      <c r="W30702" t="s">
        <v>147</v>
      </c>
      <c r="Y30702" t="s">
        <v>1679</v>
      </c>
      <c r="Z30702" t="s">
        <v>588</v>
      </c>
      <c r="AA30702" t="s">
        <v>1727</v>
      </c>
      <c r="AB30702">
        <v>0</v>
      </c>
      <c r="AE30702" t="s">
        <v>1407</v>
      </c>
      <c r="AF30702" t="s">
        <v>588</v>
      </c>
      <c r="AG30702" t="s">
        <v>592</v>
      </c>
      <c r="AL30702" t="s">
        <v>4887</v>
      </c>
      <c r="AM30702" t="s">
        <v>4888</v>
      </c>
      <c r="AN30702" t="s">
        <v>4889</v>
      </c>
      <c r="AO30702" t="s">
        <v>1677</v>
      </c>
      <c r="AQ30702" t="str">
        <f>IF(ISBLANK(AP30702), IFERROR(IF(VLOOKUP(AO30702, Ellens_additions!$A$2:$B$252, 2, FALSE) = "", "", VLOOKUP(AO30702, Ellens_additions!$A$2:$B$252, 2, FALSE)), 0), AP30702)</f>
        <v/>
      </c>
    </row>
    <row r="30703" spans="1:43" ht="14.4" hidden="1" x14ac:dyDescent="0.3">
      <c r="A30703" t="s">
        <v>4890</v>
      </c>
      <c r="B30703">
        <v>4924537</v>
      </c>
      <c r="C30703" t="s">
        <v>424</v>
      </c>
      <c r="D30703" t="s">
        <v>433</v>
      </c>
      <c r="E30703" t="s">
        <v>754</v>
      </c>
      <c r="F30703" t="s">
        <v>1676</v>
      </c>
      <c r="H30703" t="s">
        <v>353</v>
      </c>
      <c r="J30703" t="s">
        <v>140</v>
      </c>
      <c r="K30703">
        <v>161131.04999999999</v>
      </c>
      <c r="L30703">
        <v>389577.34</v>
      </c>
      <c r="N30703" t="s">
        <v>1677</v>
      </c>
      <c r="O30703" t="s">
        <v>588</v>
      </c>
      <c r="P30703" t="s">
        <v>589</v>
      </c>
      <c r="Q30703" t="s">
        <v>144</v>
      </c>
      <c r="S30703">
        <v>13</v>
      </c>
      <c r="T30703">
        <v>1800</v>
      </c>
      <c r="V30703" t="s">
        <v>146</v>
      </c>
      <c r="W30703" t="s">
        <v>147</v>
      </c>
      <c r="Y30703" t="s">
        <v>1679</v>
      </c>
      <c r="Z30703" t="s">
        <v>588</v>
      </c>
      <c r="AA30703" t="s">
        <v>1727</v>
      </c>
      <c r="AB30703">
        <v>0</v>
      </c>
      <c r="AE30703" t="s">
        <v>1407</v>
      </c>
      <c r="AF30703" t="s">
        <v>588</v>
      </c>
      <c r="AG30703" t="s">
        <v>592</v>
      </c>
      <c r="AL30703" t="s">
        <v>4891</v>
      </c>
      <c r="AM30703" t="s">
        <v>4892</v>
      </c>
      <c r="AN30703" t="s">
        <v>4893</v>
      </c>
      <c r="AO30703" t="s">
        <v>1677</v>
      </c>
      <c r="AQ30703" t="str">
        <f>IF(ISBLANK(AP30703), IFERROR(IF(VLOOKUP(AO30703, Ellens_additions!$A$2:$B$252, 2, FALSE) = "", "", VLOOKUP(AO30703, Ellens_additions!$A$2:$B$252, 2, FALSE)), 0), AP30703)</f>
        <v/>
      </c>
    </row>
    <row r="30704" spans="1:43" ht="14.4" hidden="1" x14ac:dyDescent="0.3">
      <c r="A30704" t="s">
        <v>4894</v>
      </c>
      <c r="B30704">
        <v>4924539</v>
      </c>
      <c r="C30704" t="s">
        <v>424</v>
      </c>
      <c r="D30704" t="s">
        <v>433</v>
      </c>
      <c r="E30704" t="s">
        <v>754</v>
      </c>
      <c r="F30704" t="s">
        <v>805</v>
      </c>
      <c r="H30704" t="s">
        <v>4895</v>
      </c>
      <c r="J30704" t="s">
        <v>140</v>
      </c>
      <c r="K30704">
        <v>161064.32999999999</v>
      </c>
      <c r="L30704">
        <v>388815.33</v>
      </c>
      <c r="M30704">
        <v>1</v>
      </c>
      <c r="N30704" t="s">
        <v>426</v>
      </c>
      <c r="O30704" t="s">
        <v>523</v>
      </c>
      <c r="P30704" t="s">
        <v>1072</v>
      </c>
      <c r="Q30704" t="s">
        <v>201</v>
      </c>
      <c r="R30704" t="s">
        <v>182</v>
      </c>
      <c r="S30704">
        <v>50</v>
      </c>
      <c r="T30704">
        <v>3900</v>
      </c>
      <c r="V30704" t="s">
        <v>183</v>
      </c>
      <c r="W30704" t="s">
        <v>184</v>
      </c>
      <c r="X30704" t="s">
        <v>7</v>
      </c>
      <c r="Y30704" t="s">
        <v>875</v>
      </c>
      <c r="Z30704" t="s">
        <v>854</v>
      </c>
      <c r="AA30704" t="s">
        <v>855</v>
      </c>
      <c r="AB30704">
        <v>0</v>
      </c>
      <c r="AE30704" t="s">
        <v>1855</v>
      </c>
      <c r="AF30704" t="s">
        <v>854</v>
      </c>
      <c r="AG30704" t="s">
        <v>855</v>
      </c>
      <c r="AL30704" t="s">
        <v>4896</v>
      </c>
      <c r="AM30704" t="s">
        <v>4897</v>
      </c>
      <c r="AN30704" t="s">
        <v>4898</v>
      </c>
      <c r="AO30704" t="s">
        <v>426</v>
      </c>
      <c r="AQ30704">
        <f>IF(ISBLANK(AP30704), IFERROR(IF(VLOOKUP(AO30704, Ellens_additions!$A$2:$B$252, 2, FALSE) = "", "", VLOOKUP(AO30704, Ellens_additions!$A$2:$B$252, 2, FALSE)), 0), AP30704)</f>
        <v>2000</v>
      </c>
    </row>
    <row r="30705" ht="14.4" x14ac:dyDescent="0.3"/>
    <row r="30706" ht="14.4" x14ac:dyDescent="0.3"/>
    <row r="30707" ht="14.4" x14ac:dyDescent="0.3"/>
    <row r="30708" ht="14.4" x14ac:dyDescent="0.3"/>
    <row r="30709" ht="14.4" x14ac:dyDescent="0.3"/>
    <row r="30710" ht="14.4" x14ac:dyDescent="0.3"/>
    <row r="30711" ht="14.4" x14ac:dyDescent="0.3"/>
    <row r="30712" ht="14.4" x14ac:dyDescent="0.3"/>
    <row r="30713" ht="14.4" x14ac:dyDescent="0.3"/>
    <row r="30714" ht="14.4" x14ac:dyDescent="0.3"/>
    <row r="30715" ht="14.4" x14ac:dyDescent="0.3"/>
    <row r="30716" ht="14.4" x14ac:dyDescent="0.3"/>
    <row r="30717" ht="14.4" x14ac:dyDescent="0.3"/>
    <row r="30718" ht="14.4" x14ac:dyDescent="0.3"/>
    <row r="30719" ht="14.4" x14ac:dyDescent="0.3"/>
    <row r="30720" ht="14.4" x14ac:dyDescent="0.3"/>
    <row r="30721" ht="14.4" x14ac:dyDescent="0.3"/>
    <row r="30722" ht="14.4" x14ac:dyDescent="0.3"/>
    <row r="30723" ht="14.4" x14ac:dyDescent="0.3"/>
    <row r="30724" ht="14.4" x14ac:dyDescent="0.3"/>
    <row r="30725" ht="14.4" x14ac:dyDescent="0.3"/>
    <row r="30726" ht="14.4" x14ac:dyDescent="0.3"/>
    <row r="30727" ht="14.4" x14ac:dyDescent="0.3"/>
    <row r="30728" ht="14.4" x14ac:dyDescent="0.3"/>
    <row r="30729" ht="14.4" x14ac:dyDescent="0.3"/>
    <row r="30730" ht="14.4" x14ac:dyDescent="0.3"/>
    <row r="30731" ht="14.4" x14ac:dyDescent="0.3"/>
    <row r="30732" ht="14.4" x14ac:dyDescent="0.3"/>
    <row r="30733" ht="14.4" x14ac:dyDescent="0.3"/>
    <row r="30734" ht="14.4" x14ac:dyDescent="0.3"/>
    <row r="30735" ht="14.4" x14ac:dyDescent="0.3"/>
    <row r="30736" ht="14.4" x14ac:dyDescent="0.3"/>
    <row r="30737" spans="1:43" ht="14.4" hidden="1" x14ac:dyDescent="0.3">
      <c r="A30737" t="s">
        <v>4899</v>
      </c>
      <c r="B30737">
        <v>4924656</v>
      </c>
      <c r="C30737" t="s">
        <v>424</v>
      </c>
      <c r="D30737" t="s">
        <v>439</v>
      </c>
      <c r="E30737" t="s">
        <v>440</v>
      </c>
      <c r="F30737" t="s">
        <v>653</v>
      </c>
      <c r="H30737" t="s">
        <v>4900</v>
      </c>
      <c r="J30737" t="s">
        <v>140</v>
      </c>
      <c r="K30737">
        <v>158337.14000000001</v>
      </c>
      <c r="L30737">
        <v>387980.79</v>
      </c>
      <c r="N30737" t="s">
        <v>823</v>
      </c>
      <c r="O30737" t="s">
        <v>511</v>
      </c>
      <c r="P30737" t="s">
        <v>1770</v>
      </c>
      <c r="Q30737" t="s">
        <v>144</v>
      </c>
      <c r="S30737">
        <v>17</v>
      </c>
      <c r="T30737">
        <v>2000</v>
      </c>
      <c r="V30737" t="s">
        <v>146</v>
      </c>
      <c r="W30737" t="s">
        <v>788</v>
      </c>
      <c r="Y30737" t="s">
        <v>815</v>
      </c>
      <c r="Z30737" t="s">
        <v>511</v>
      </c>
      <c r="AA30737" t="s">
        <v>1771</v>
      </c>
      <c r="AB30737">
        <v>0</v>
      </c>
      <c r="AE30737" t="s">
        <v>1407</v>
      </c>
      <c r="AF30737" t="s">
        <v>511</v>
      </c>
      <c r="AG30737" t="s">
        <v>1772</v>
      </c>
      <c r="AL30737" t="s">
        <v>4901</v>
      </c>
      <c r="AM30737" t="s">
        <v>4902</v>
      </c>
      <c r="AN30737" t="s">
        <v>4903</v>
      </c>
      <c r="AO30737" t="s">
        <v>823</v>
      </c>
      <c r="AQ30737" t="str">
        <f>IF(ISBLANK(AP30737), IFERROR(IF(VLOOKUP(AO30737, Ellens_additions!$A$2:$B$252, 2, FALSE) = "", "", VLOOKUP(AO30737, Ellens_additions!$A$2:$B$252, 2, FALSE)), 0), AP30737)</f>
        <v/>
      </c>
    </row>
    <row r="30738" spans="1:43" ht="14.4" hidden="1" x14ac:dyDescent="0.3">
      <c r="A30738" t="s">
        <v>4904</v>
      </c>
      <c r="B30738">
        <v>4924660</v>
      </c>
      <c r="C30738" t="s">
        <v>424</v>
      </c>
      <c r="D30738" t="s">
        <v>439</v>
      </c>
      <c r="E30738" t="s">
        <v>440</v>
      </c>
      <c r="F30738" t="s">
        <v>653</v>
      </c>
      <c r="H30738" t="s">
        <v>3284</v>
      </c>
      <c r="J30738" t="s">
        <v>140</v>
      </c>
      <c r="K30738">
        <v>158273.41</v>
      </c>
      <c r="L30738">
        <v>388082.57</v>
      </c>
      <c r="N30738" t="s">
        <v>823</v>
      </c>
      <c r="O30738" t="s">
        <v>511</v>
      </c>
      <c r="P30738" t="s">
        <v>1770</v>
      </c>
      <c r="Q30738" t="s">
        <v>144</v>
      </c>
      <c r="S30738">
        <v>17</v>
      </c>
      <c r="T30738">
        <v>2000</v>
      </c>
      <c r="V30738" t="s">
        <v>146</v>
      </c>
      <c r="W30738" t="s">
        <v>788</v>
      </c>
      <c r="Y30738" t="s">
        <v>815</v>
      </c>
      <c r="Z30738" t="s">
        <v>511</v>
      </c>
      <c r="AA30738" t="s">
        <v>1771</v>
      </c>
      <c r="AB30738">
        <v>0</v>
      </c>
      <c r="AE30738" t="s">
        <v>1407</v>
      </c>
      <c r="AF30738" t="s">
        <v>511</v>
      </c>
      <c r="AG30738" t="s">
        <v>1772</v>
      </c>
      <c r="AL30738" t="s">
        <v>4905</v>
      </c>
      <c r="AM30738" t="s">
        <v>4906</v>
      </c>
      <c r="AN30738" t="s">
        <v>4907</v>
      </c>
      <c r="AO30738" t="s">
        <v>823</v>
      </c>
      <c r="AQ30738" t="str">
        <f>IF(ISBLANK(AP30738), IFERROR(IF(VLOOKUP(AO30738, Ellens_additions!$A$2:$B$252, 2, FALSE) = "", "", VLOOKUP(AO30738, Ellens_additions!$A$2:$B$252, 2, FALSE)), 0), AP30738)</f>
        <v/>
      </c>
    </row>
    <row r="30739" spans="1:43" ht="14.4" hidden="1" x14ac:dyDescent="0.3">
      <c r="A30739" t="s">
        <v>4908</v>
      </c>
      <c r="B30739">
        <v>4924662</v>
      </c>
      <c r="C30739" t="s">
        <v>424</v>
      </c>
      <c r="D30739" t="s">
        <v>439</v>
      </c>
      <c r="E30739" t="s">
        <v>440</v>
      </c>
      <c r="F30739" t="s">
        <v>653</v>
      </c>
      <c r="H30739" t="s">
        <v>4909</v>
      </c>
      <c r="J30739" t="s">
        <v>140</v>
      </c>
      <c r="K30739">
        <v>158225.68</v>
      </c>
      <c r="L30739">
        <v>388159.02</v>
      </c>
      <c r="N30739" t="s">
        <v>823</v>
      </c>
      <c r="O30739" t="s">
        <v>511</v>
      </c>
      <c r="P30739" t="s">
        <v>1770</v>
      </c>
      <c r="Q30739" t="s">
        <v>144</v>
      </c>
      <c r="S30739">
        <v>17</v>
      </c>
      <c r="T30739">
        <v>2000</v>
      </c>
      <c r="V30739" t="s">
        <v>146</v>
      </c>
      <c r="W30739" t="s">
        <v>788</v>
      </c>
      <c r="Y30739" t="s">
        <v>815</v>
      </c>
      <c r="Z30739" t="s">
        <v>511</v>
      </c>
      <c r="AA30739" t="s">
        <v>1771</v>
      </c>
      <c r="AB30739">
        <v>0</v>
      </c>
      <c r="AE30739" t="s">
        <v>1407</v>
      </c>
      <c r="AF30739" t="s">
        <v>511</v>
      </c>
      <c r="AG30739" t="s">
        <v>1772</v>
      </c>
      <c r="AL30739" t="s">
        <v>4910</v>
      </c>
      <c r="AM30739" t="s">
        <v>4911</v>
      </c>
      <c r="AN30739" t="s">
        <v>4912</v>
      </c>
      <c r="AO30739" t="s">
        <v>823</v>
      </c>
      <c r="AQ30739" t="str">
        <f>IF(ISBLANK(AP30739), IFERROR(IF(VLOOKUP(AO30739, Ellens_additions!$A$2:$B$252, 2, FALSE) = "", "", VLOOKUP(AO30739, Ellens_additions!$A$2:$B$252, 2, FALSE)), 0), AP30739)</f>
        <v/>
      </c>
    </row>
    <row r="30740" spans="1:43" ht="14.4" x14ac:dyDescent="0.3"/>
    <row r="30741" spans="1:43" ht="14.4" x14ac:dyDescent="0.3"/>
    <row r="30742" spans="1:43" ht="14.4" x14ac:dyDescent="0.3"/>
    <row r="30743" spans="1:43" ht="14.4" x14ac:dyDescent="0.3"/>
    <row r="30744" spans="1:43" ht="14.4" x14ac:dyDescent="0.3"/>
    <row r="30745" spans="1:43" ht="14.4" x14ac:dyDescent="0.3"/>
    <row r="30746" spans="1:43" ht="14.4" x14ac:dyDescent="0.3"/>
    <row r="30747" spans="1:43" ht="14.4" x14ac:dyDescent="0.3"/>
    <row r="30748" spans="1:43" ht="14.4" x14ac:dyDescent="0.3"/>
    <row r="30749" spans="1:43" ht="14.4" x14ac:dyDescent="0.3"/>
    <row r="30750" spans="1:43" ht="14.4" x14ac:dyDescent="0.3"/>
    <row r="30751" spans="1:43" ht="14.4" x14ac:dyDescent="0.3"/>
    <row r="30752" spans="1:43" ht="14.4" x14ac:dyDescent="0.3"/>
    <row r="30753" ht="14.4" x14ac:dyDescent="0.3"/>
    <row r="30754" ht="14.4" x14ac:dyDescent="0.3"/>
    <row r="30755" ht="14.4" x14ac:dyDescent="0.3"/>
    <row r="30756" ht="14.4" x14ac:dyDescent="0.3"/>
    <row r="30757" ht="14.4" x14ac:dyDescent="0.3"/>
    <row r="30758" ht="14.4" x14ac:dyDescent="0.3"/>
    <row r="30759" ht="14.4" x14ac:dyDescent="0.3"/>
    <row r="30760" ht="14.4" x14ac:dyDescent="0.3"/>
    <row r="30761" ht="14.4" x14ac:dyDescent="0.3"/>
    <row r="30762" ht="14.4" x14ac:dyDescent="0.3"/>
    <row r="30763" ht="14.4" x14ac:dyDescent="0.3"/>
    <row r="30764" ht="14.4" x14ac:dyDescent="0.3"/>
    <row r="30765" ht="14.4" x14ac:dyDescent="0.3"/>
    <row r="30766" ht="14.4" x14ac:dyDescent="0.3"/>
    <row r="30767" ht="14.4" x14ac:dyDescent="0.3"/>
    <row r="30768" ht="14.4" x14ac:dyDescent="0.3"/>
    <row r="30769" ht="14.4" x14ac:dyDescent="0.3"/>
    <row r="30770" ht="14.4" x14ac:dyDescent="0.3"/>
    <row r="30771" ht="14.4" x14ac:dyDescent="0.3"/>
    <row r="30772" ht="14.4" x14ac:dyDescent="0.3"/>
    <row r="30773" ht="14.4" x14ac:dyDescent="0.3"/>
    <row r="30774" ht="14.4" x14ac:dyDescent="0.3"/>
    <row r="30775" ht="14.4" x14ac:dyDescent="0.3"/>
    <row r="30776" ht="14.4" x14ac:dyDescent="0.3"/>
    <row r="30777" ht="14.4" x14ac:dyDescent="0.3"/>
    <row r="30778" ht="14.4" x14ac:dyDescent="0.3"/>
    <row r="30779" ht="14.4" x14ac:dyDescent="0.3"/>
    <row r="30780" ht="14.4" x14ac:dyDescent="0.3"/>
    <row r="30781" ht="14.4" x14ac:dyDescent="0.3"/>
    <row r="30782" ht="14.4" x14ac:dyDescent="0.3"/>
    <row r="30783" ht="14.4" x14ac:dyDescent="0.3"/>
    <row r="30784" ht="14.4" x14ac:dyDescent="0.3"/>
    <row r="30785" ht="14.4" x14ac:dyDescent="0.3"/>
    <row r="30786" ht="14.4" x14ac:dyDescent="0.3"/>
    <row r="30787" ht="14.4" x14ac:dyDescent="0.3"/>
    <row r="30788" ht="14.4" x14ac:dyDescent="0.3"/>
    <row r="30789" ht="14.4" x14ac:dyDescent="0.3"/>
    <row r="30790" ht="14.4" x14ac:dyDescent="0.3"/>
    <row r="30791" ht="14.4" x14ac:dyDescent="0.3"/>
    <row r="30792" ht="14.4" x14ac:dyDescent="0.3"/>
    <row r="30793" ht="14.4" x14ac:dyDescent="0.3"/>
    <row r="30794" ht="14.4" x14ac:dyDescent="0.3"/>
    <row r="30795" ht="14.4" x14ac:dyDescent="0.3"/>
    <row r="30796" ht="14.4" x14ac:dyDescent="0.3"/>
    <row r="30797" ht="14.4" x14ac:dyDescent="0.3"/>
    <row r="30798" ht="14.4" x14ac:dyDescent="0.3"/>
    <row r="30799" ht="14.4" x14ac:dyDescent="0.3"/>
    <row r="30800" ht="14.4" x14ac:dyDescent="0.3"/>
    <row r="30801" ht="14.4" x14ac:dyDescent="0.3"/>
    <row r="30802" ht="14.4" x14ac:dyDescent="0.3"/>
    <row r="30803" ht="14.4" x14ac:dyDescent="0.3"/>
    <row r="30804" ht="14.4" x14ac:dyDescent="0.3"/>
    <row r="30805" ht="14.4" x14ac:dyDescent="0.3"/>
    <row r="30806" ht="14.4" x14ac:dyDescent="0.3"/>
    <row r="30807" ht="14.4" x14ac:dyDescent="0.3"/>
    <row r="30808" ht="14.4" x14ac:dyDescent="0.3"/>
    <row r="30809" ht="14.4" x14ac:dyDescent="0.3"/>
    <row r="30810" ht="14.4" x14ac:dyDescent="0.3"/>
    <row r="30811" ht="14.4" x14ac:dyDescent="0.3"/>
    <row r="30812" ht="14.4" x14ac:dyDescent="0.3"/>
    <row r="30813" ht="14.4" x14ac:dyDescent="0.3"/>
    <row r="30814" ht="14.4" x14ac:dyDescent="0.3"/>
    <row r="30815" ht="14.4" x14ac:dyDescent="0.3"/>
    <row r="30816" ht="14.4" x14ac:dyDescent="0.3"/>
    <row r="30817" ht="14.4" x14ac:dyDescent="0.3"/>
    <row r="30818" ht="14.4" x14ac:dyDescent="0.3"/>
    <row r="30819" ht="14.4" x14ac:dyDescent="0.3"/>
    <row r="30820" ht="14.4" x14ac:dyDescent="0.3"/>
    <row r="30821" ht="14.4" x14ac:dyDescent="0.3"/>
    <row r="30822" ht="14.4" x14ac:dyDescent="0.3"/>
    <row r="30823" ht="14.4" x14ac:dyDescent="0.3"/>
    <row r="30824" ht="14.4" x14ac:dyDescent="0.3"/>
    <row r="30825" ht="14.4" x14ac:dyDescent="0.3"/>
    <row r="30826" ht="14.4" x14ac:dyDescent="0.3"/>
    <row r="30827" ht="14.4" x14ac:dyDescent="0.3"/>
    <row r="30828" ht="14.4" x14ac:dyDescent="0.3"/>
    <row r="30829" ht="14.4" x14ac:dyDescent="0.3"/>
    <row r="30830" ht="14.4" x14ac:dyDescent="0.3"/>
    <row r="30831" ht="14.4" x14ac:dyDescent="0.3"/>
    <row r="30832" ht="14.4" x14ac:dyDescent="0.3"/>
    <row r="30833" ht="14.4" x14ac:dyDescent="0.3"/>
    <row r="30834" ht="14.4" x14ac:dyDescent="0.3"/>
    <row r="30835" ht="14.4" x14ac:dyDescent="0.3"/>
    <row r="30836" ht="14.4" x14ac:dyDescent="0.3"/>
    <row r="30837" ht="14.4" x14ac:dyDescent="0.3"/>
    <row r="30838" ht="14.4" x14ac:dyDescent="0.3"/>
    <row r="30839" ht="14.4" x14ac:dyDescent="0.3"/>
    <row r="30840" ht="14.4" x14ac:dyDescent="0.3"/>
    <row r="30841" ht="14.4" x14ac:dyDescent="0.3"/>
    <row r="30842" ht="14.4" x14ac:dyDescent="0.3"/>
    <row r="30843" ht="14.4" x14ac:dyDescent="0.3"/>
    <row r="30844" ht="14.4" x14ac:dyDescent="0.3"/>
    <row r="30845" ht="14.4" x14ac:dyDescent="0.3"/>
    <row r="30846" ht="14.4" x14ac:dyDescent="0.3"/>
    <row r="30847" ht="14.4" x14ac:dyDescent="0.3"/>
    <row r="30848" ht="14.4" x14ac:dyDescent="0.3"/>
    <row r="30849" ht="14.4" x14ac:dyDescent="0.3"/>
    <row r="30850" ht="14.4" x14ac:dyDescent="0.3"/>
    <row r="30851" ht="14.4" x14ac:dyDescent="0.3"/>
    <row r="30852" ht="14.4" x14ac:dyDescent="0.3"/>
    <row r="30853" ht="14.4" x14ac:dyDescent="0.3"/>
    <row r="30854" ht="14.4" x14ac:dyDescent="0.3"/>
    <row r="30855" ht="14.4" x14ac:dyDescent="0.3"/>
    <row r="30856" ht="14.4" x14ac:dyDescent="0.3"/>
    <row r="30857" ht="14.4" x14ac:dyDescent="0.3"/>
    <row r="30858" ht="14.4" x14ac:dyDescent="0.3"/>
    <row r="30859" ht="14.4" x14ac:dyDescent="0.3"/>
    <row r="30860" ht="14.4" x14ac:dyDescent="0.3"/>
    <row r="30861" ht="14.4" x14ac:dyDescent="0.3"/>
    <row r="30862" ht="14.4" x14ac:dyDescent="0.3"/>
    <row r="30863" ht="14.4" x14ac:dyDescent="0.3"/>
    <row r="30864" ht="14.4" x14ac:dyDescent="0.3"/>
    <row r="30865" ht="14.4" x14ac:dyDescent="0.3"/>
    <row r="30866" ht="14.4" x14ac:dyDescent="0.3"/>
    <row r="30867" ht="14.4" x14ac:dyDescent="0.3"/>
    <row r="30868" ht="14.4" x14ac:dyDescent="0.3"/>
    <row r="30869" ht="14.4" x14ac:dyDescent="0.3"/>
    <row r="30870" ht="14.4" x14ac:dyDescent="0.3"/>
    <row r="30871" ht="14.4" x14ac:dyDescent="0.3"/>
    <row r="30872" ht="14.4" x14ac:dyDescent="0.3"/>
    <row r="30873" ht="14.4" x14ac:dyDescent="0.3"/>
    <row r="30874" ht="14.4" x14ac:dyDescent="0.3"/>
    <row r="30875" ht="14.4" x14ac:dyDescent="0.3"/>
    <row r="30876" ht="14.4" x14ac:dyDescent="0.3"/>
    <row r="30877" ht="14.4" x14ac:dyDescent="0.3"/>
    <row r="30878" ht="14.4" x14ac:dyDescent="0.3"/>
    <row r="30879" ht="14.4" x14ac:dyDescent="0.3"/>
    <row r="30880" ht="14.4" x14ac:dyDescent="0.3"/>
    <row r="30881" ht="14.4" x14ac:dyDescent="0.3"/>
    <row r="30882" ht="14.4" x14ac:dyDescent="0.3"/>
    <row r="30883" ht="14.4" x14ac:dyDescent="0.3"/>
    <row r="30884" ht="14.4" x14ac:dyDescent="0.3"/>
    <row r="30885" ht="14.4" x14ac:dyDescent="0.3"/>
    <row r="30886" ht="14.4" x14ac:dyDescent="0.3"/>
    <row r="30887" ht="14.4" x14ac:dyDescent="0.3"/>
    <row r="30888" ht="14.4" x14ac:dyDescent="0.3"/>
    <row r="30889" ht="14.4" x14ac:dyDescent="0.3"/>
    <row r="30890" ht="14.4" x14ac:dyDescent="0.3"/>
    <row r="30891" ht="14.4" x14ac:dyDescent="0.3"/>
    <row r="30892" ht="14.4" x14ac:dyDescent="0.3"/>
    <row r="30893" ht="14.4" x14ac:dyDescent="0.3"/>
    <row r="30894" ht="14.4" x14ac:dyDescent="0.3"/>
    <row r="30895" ht="14.4" x14ac:dyDescent="0.3"/>
    <row r="30896" ht="14.4" x14ac:dyDescent="0.3"/>
    <row r="30897" ht="14.4" x14ac:dyDescent="0.3"/>
    <row r="30898" ht="14.4" x14ac:dyDescent="0.3"/>
    <row r="30899" ht="14.4" x14ac:dyDescent="0.3"/>
    <row r="30900" ht="14.4" x14ac:dyDescent="0.3"/>
    <row r="30901" ht="14.4" x14ac:dyDescent="0.3"/>
    <row r="30902" ht="14.4" x14ac:dyDescent="0.3"/>
    <row r="30903" ht="14.4" x14ac:dyDescent="0.3"/>
    <row r="30904" ht="14.4" x14ac:dyDescent="0.3"/>
    <row r="30905" ht="14.4" x14ac:dyDescent="0.3"/>
    <row r="30906" ht="14.4" x14ac:dyDescent="0.3"/>
    <row r="30907" ht="14.4" x14ac:dyDescent="0.3"/>
    <row r="30908" ht="14.4" x14ac:dyDescent="0.3"/>
    <row r="30909" ht="14.4" x14ac:dyDescent="0.3"/>
    <row r="30910" ht="14.4" x14ac:dyDescent="0.3"/>
    <row r="30911" ht="14.4" x14ac:dyDescent="0.3"/>
    <row r="30912" ht="14.4" x14ac:dyDescent="0.3"/>
    <row r="30913" ht="14.4" x14ac:dyDescent="0.3"/>
    <row r="30914" ht="14.4" x14ac:dyDescent="0.3"/>
    <row r="30915" ht="14.4" x14ac:dyDescent="0.3"/>
    <row r="30916" ht="14.4" x14ac:dyDescent="0.3"/>
    <row r="30917" ht="14.4" x14ac:dyDescent="0.3"/>
    <row r="30918" ht="14.4" x14ac:dyDescent="0.3"/>
    <row r="30919" ht="14.4" x14ac:dyDescent="0.3"/>
    <row r="30920" ht="14.4" x14ac:dyDescent="0.3"/>
    <row r="30921" ht="14.4" x14ac:dyDescent="0.3"/>
    <row r="30922" ht="14.4" x14ac:dyDescent="0.3"/>
    <row r="30923" ht="14.4" x14ac:dyDescent="0.3"/>
    <row r="30924" ht="14.4" x14ac:dyDescent="0.3"/>
    <row r="30925" ht="14.4" x14ac:dyDescent="0.3"/>
    <row r="30926" ht="14.4" x14ac:dyDescent="0.3"/>
    <row r="30927" ht="14.4" x14ac:dyDescent="0.3"/>
    <row r="30928" ht="14.4" x14ac:dyDescent="0.3"/>
    <row r="30929" ht="14.4" x14ac:dyDescent="0.3"/>
    <row r="30930" ht="14.4" x14ac:dyDescent="0.3"/>
    <row r="30931" ht="14.4" x14ac:dyDescent="0.3"/>
    <row r="30932" ht="14.4" x14ac:dyDescent="0.3"/>
    <row r="30933" ht="14.4" x14ac:dyDescent="0.3"/>
    <row r="30934" ht="14.4" x14ac:dyDescent="0.3"/>
    <row r="30935" ht="14.4" x14ac:dyDescent="0.3"/>
    <row r="30936" ht="14.4" x14ac:dyDescent="0.3"/>
    <row r="30937" ht="14.4" x14ac:dyDescent="0.3"/>
    <row r="30938" ht="14.4" x14ac:dyDescent="0.3"/>
    <row r="30939" ht="14.4" x14ac:dyDescent="0.3"/>
    <row r="30940" ht="14.4" x14ac:dyDescent="0.3"/>
    <row r="30941" ht="14.4" x14ac:dyDescent="0.3"/>
    <row r="30942" ht="14.4" x14ac:dyDescent="0.3"/>
    <row r="30943" ht="14.4" x14ac:dyDescent="0.3"/>
    <row r="30944" ht="14.4" x14ac:dyDescent="0.3"/>
    <row r="30945" ht="14.4" x14ac:dyDescent="0.3"/>
    <row r="30946" ht="14.4" x14ac:dyDescent="0.3"/>
    <row r="30947" ht="14.4" x14ac:dyDescent="0.3"/>
    <row r="30948" ht="14.4" x14ac:dyDescent="0.3"/>
    <row r="30949" ht="14.4" x14ac:dyDescent="0.3"/>
    <row r="30950" ht="14.4" x14ac:dyDescent="0.3"/>
    <row r="30951" ht="14.4" x14ac:dyDescent="0.3"/>
    <row r="30952" ht="14.4" x14ac:dyDescent="0.3"/>
    <row r="30953" ht="14.4" x14ac:dyDescent="0.3"/>
    <row r="30954" ht="14.4" x14ac:dyDescent="0.3"/>
    <row r="30955" ht="14.4" x14ac:dyDescent="0.3"/>
    <row r="30956" ht="14.4" x14ac:dyDescent="0.3"/>
    <row r="30957" ht="14.4" x14ac:dyDescent="0.3"/>
    <row r="30958" ht="14.4" x14ac:dyDescent="0.3"/>
    <row r="30959" ht="14.4" x14ac:dyDescent="0.3"/>
    <row r="30960" ht="14.4" x14ac:dyDescent="0.3"/>
    <row r="30961" ht="14.4" x14ac:dyDescent="0.3"/>
    <row r="30962" ht="14.4" x14ac:dyDescent="0.3"/>
    <row r="30963" ht="14.4" x14ac:dyDescent="0.3"/>
    <row r="30964" ht="14.4" x14ac:dyDescent="0.3"/>
    <row r="30965" ht="14.4" x14ac:dyDescent="0.3"/>
    <row r="30966" ht="14.4" x14ac:dyDescent="0.3"/>
    <row r="30967" ht="14.4" x14ac:dyDescent="0.3"/>
    <row r="30968" ht="14.4" x14ac:dyDescent="0.3"/>
    <row r="30969" ht="14.4" x14ac:dyDescent="0.3"/>
    <row r="30970" ht="14.4" x14ac:dyDescent="0.3"/>
    <row r="30971" ht="14.4" x14ac:dyDescent="0.3"/>
    <row r="30972" ht="14.4" x14ac:dyDescent="0.3"/>
    <row r="30973" ht="14.4" x14ac:dyDescent="0.3"/>
    <row r="30974" ht="14.4" x14ac:dyDescent="0.3"/>
    <row r="30975" ht="14.4" x14ac:dyDescent="0.3"/>
    <row r="30976" ht="14.4" x14ac:dyDescent="0.3"/>
    <row r="30977" ht="14.4" x14ac:dyDescent="0.3"/>
    <row r="30978" ht="14.4" x14ac:dyDescent="0.3"/>
    <row r="30979" ht="14.4" x14ac:dyDescent="0.3"/>
    <row r="30980" ht="14.4" x14ac:dyDescent="0.3"/>
    <row r="30981" ht="14.4" x14ac:dyDescent="0.3"/>
    <row r="30982" ht="14.4" x14ac:dyDescent="0.3"/>
    <row r="30983" ht="14.4" x14ac:dyDescent="0.3"/>
    <row r="30984" ht="14.4" x14ac:dyDescent="0.3"/>
    <row r="30985" ht="14.4" x14ac:dyDescent="0.3"/>
    <row r="30986" ht="14.4" x14ac:dyDescent="0.3"/>
    <row r="30987" ht="14.4" x14ac:dyDescent="0.3"/>
    <row r="30988" ht="14.4" x14ac:dyDescent="0.3"/>
    <row r="30989" ht="14.4" x14ac:dyDescent="0.3"/>
    <row r="30990" ht="14.4" x14ac:dyDescent="0.3"/>
    <row r="30991" ht="14.4" x14ac:dyDescent="0.3"/>
    <row r="30992" ht="14.4" x14ac:dyDescent="0.3"/>
    <row r="30993" ht="14.4" x14ac:dyDescent="0.3"/>
    <row r="30994" ht="14.4" x14ac:dyDescent="0.3"/>
    <row r="30995" ht="14.4" x14ac:dyDescent="0.3"/>
    <row r="30996" ht="14.4" x14ac:dyDescent="0.3"/>
    <row r="30997" ht="14.4" x14ac:dyDescent="0.3"/>
    <row r="30998" ht="14.4" x14ac:dyDescent="0.3"/>
    <row r="30999" ht="14.4" x14ac:dyDescent="0.3"/>
    <row r="31000" ht="14.4" x14ac:dyDescent="0.3"/>
    <row r="31001" ht="14.4" x14ac:dyDescent="0.3"/>
    <row r="31002" ht="14.4" x14ac:dyDescent="0.3"/>
    <row r="31003" ht="14.4" x14ac:dyDescent="0.3"/>
    <row r="31004" ht="14.4" x14ac:dyDescent="0.3"/>
    <row r="31005" ht="14.4" x14ac:dyDescent="0.3"/>
    <row r="31006" ht="14.4" x14ac:dyDescent="0.3"/>
    <row r="31007" ht="14.4" x14ac:dyDescent="0.3"/>
    <row r="31008" ht="14.4" x14ac:dyDescent="0.3"/>
    <row r="31009" ht="14.4" x14ac:dyDescent="0.3"/>
    <row r="31010" ht="14.4" x14ac:dyDescent="0.3"/>
    <row r="31011" ht="14.4" x14ac:dyDescent="0.3"/>
    <row r="31012" ht="14.4" x14ac:dyDescent="0.3"/>
    <row r="31013" ht="14.4" x14ac:dyDescent="0.3"/>
    <row r="31014" ht="14.4" x14ac:dyDescent="0.3"/>
    <row r="31015" ht="14.4" x14ac:dyDescent="0.3"/>
    <row r="31016" ht="14.4" x14ac:dyDescent="0.3"/>
    <row r="31017" ht="14.4" x14ac:dyDescent="0.3"/>
    <row r="31018" ht="14.4" x14ac:dyDescent="0.3"/>
    <row r="31019" ht="14.4" x14ac:dyDescent="0.3"/>
    <row r="31020" ht="14.4" x14ac:dyDescent="0.3"/>
    <row r="31021" ht="14.4" x14ac:dyDescent="0.3"/>
    <row r="31022" ht="14.4" x14ac:dyDescent="0.3"/>
    <row r="31023" ht="14.4" x14ac:dyDescent="0.3"/>
    <row r="31024" ht="14.4" x14ac:dyDescent="0.3"/>
    <row r="31025" ht="14.4" x14ac:dyDescent="0.3"/>
    <row r="31026" ht="14.4" x14ac:dyDescent="0.3"/>
    <row r="31027" ht="14.4" x14ac:dyDescent="0.3"/>
    <row r="31028" ht="14.4" x14ac:dyDescent="0.3"/>
    <row r="31029" ht="14.4" x14ac:dyDescent="0.3"/>
    <row r="31030" ht="14.4" x14ac:dyDescent="0.3"/>
    <row r="31031" ht="14.4" x14ac:dyDescent="0.3"/>
    <row r="31032" ht="14.4" x14ac:dyDescent="0.3"/>
    <row r="31033" ht="14.4" x14ac:dyDescent="0.3"/>
    <row r="31034" ht="14.4" x14ac:dyDescent="0.3"/>
    <row r="31035" ht="14.4" x14ac:dyDescent="0.3"/>
    <row r="31036" ht="14.4" x14ac:dyDescent="0.3"/>
    <row r="31037" ht="14.4" x14ac:dyDescent="0.3"/>
    <row r="31038" ht="14.4" x14ac:dyDescent="0.3"/>
    <row r="31039" ht="14.4" x14ac:dyDescent="0.3"/>
    <row r="31040" ht="14.4" x14ac:dyDescent="0.3"/>
    <row r="31041" ht="14.4" x14ac:dyDescent="0.3"/>
    <row r="31042" ht="14.4" x14ac:dyDescent="0.3"/>
    <row r="31043" ht="14.4" x14ac:dyDescent="0.3"/>
    <row r="31044" ht="14.4" x14ac:dyDescent="0.3"/>
    <row r="31045" ht="14.4" x14ac:dyDescent="0.3"/>
    <row r="31046" ht="14.4" x14ac:dyDescent="0.3"/>
    <row r="31047" ht="14.4" x14ac:dyDescent="0.3"/>
    <row r="31048" ht="14.4" x14ac:dyDescent="0.3"/>
    <row r="31049" ht="14.4" x14ac:dyDescent="0.3"/>
    <row r="31050" ht="14.4" x14ac:dyDescent="0.3"/>
    <row r="31051" ht="14.4" x14ac:dyDescent="0.3"/>
    <row r="31052" ht="14.4" x14ac:dyDescent="0.3"/>
    <row r="31053" ht="14.4" x14ac:dyDescent="0.3"/>
    <row r="31054" ht="14.4" x14ac:dyDescent="0.3"/>
    <row r="31055" ht="14.4" x14ac:dyDescent="0.3"/>
    <row r="31056" ht="14.4" x14ac:dyDescent="0.3"/>
    <row r="31057" ht="14.4" x14ac:dyDescent="0.3"/>
    <row r="31058" ht="14.4" x14ac:dyDescent="0.3"/>
    <row r="31059" ht="14.4" x14ac:dyDescent="0.3"/>
    <row r="31060" ht="14.4" x14ac:dyDescent="0.3"/>
    <row r="31061" ht="14.4" x14ac:dyDescent="0.3"/>
    <row r="31062" ht="14.4" x14ac:dyDescent="0.3"/>
    <row r="31063" ht="14.4" x14ac:dyDescent="0.3"/>
    <row r="31064" ht="14.4" x14ac:dyDescent="0.3"/>
    <row r="31065" ht="14.4" x14ac:dyDescent="0.3"/>
    <row r="31066" ht="14.4" x14ac:dyDescent="0.3"/>
    <row r="31067" ht="14.4" x14ac:dyDescent="0.3"/>
    <row r="31068" ht="14.4" x14ac:dyDescent="0.3"/>
    <row r="31069" ht="14.4" x14ac:dyDescent="0.3"/>
    <row r="31070" ht="14.4" x14ac:dyDescent="0.3"/>
    <row r="31071" ht="14.4" x14ac:dyDescent="0.3"/>
    <row r="31072" ht="14.4" x14ac:dyDescent="0.3"/>
    <row r="31073" ht="14.4" x14ac:dyDescent="0.3"/>
    <row r="31074" ht="14.4" x14ac:dyDescent="0.3"/>
    <row r="31075" ht="14.4" x14ac:dyDescent="0.3"/>
    <row r="31076" ht="14.4" x14ac:dyDescent="0.3"/>
    <row r="31077" ht="14.4" x14ac:dyDescent="0.3"/>
    <row r="31078" ht="14.4" x14ac:dyDescent="0.3"/>
    <row r="31079" ht="14.4" x14ac:dyDescent="0.3"/>
    <row r="31080" ht="14.4" x14ac:dyDescent="0.3"/>
    <row r="31081" ht="14.4" x14ac:dyDescent="0.3"/>
    <row r="31082" ht="14.4" x14ac:dyDescent="0.3"/>
    <row r="31083" ht="14.4" x14ac:dyDescent="0.3"/>
    <row r="31084" ht="14.4" x14ac:dyDescent="0.3"/>
    <row r="31085" ht="14.4" x14ac:dyDescent="0.3"/>
    <row r="31086" ht="14.4" x14ac:dyDescent="0.3"/>
    <row r="31087" ht="14.4" x14ac:dyDescent="0.3"/>
    <row r="31088" ht="14.4" x14ac:dyDescent="0.3"/>
    <row r="31089" ht="14.4" x14ac:dyDescent="0.3"/>
    <row r="31090" ht="14.4" x14ac:dyDescent="0.3"/>
    <row r="31091" ht="14.4" x14ac:dyDescent="0.3"/>
    <row r="31092" ht="14.4" x14ac:dyDescent="0.3"/>
    <row r="31093" ht="14.4" x14ac:dyDescent="0.3"/>
    <row r="31094" ht="14.4" x14ac:dyDescent="0.3"/>
    <row r="31095" ht="14.4" x14ac:dyDescent="0.3"/>
    <row r="31096" ht="14.4" x14ac:dyDescent="0.3"/>
    <row r="31097" ht="14.4" x14ac:dyDescent="0.3"/>
    <row r="31098" ht="14.4" x14ac:dyDescent="0.3"/>
    <row r="31099" ht="14.4" x14ac:dyDescent="0.3"/>
    <row r="31100" ht="14.4" x14ac:dyDescent="0.3"/>
    <row r="31101" ht="14.4" x14ac:dyDescent="0.3"/>
    <row r="31102" ht="14.4" x14ac:dyDescent="0.3"/>
    <row r="31103" ht="14.4" x14ac:dyDescent="0.3"/>
    <row r="31104" ht="14.4" x14ac:dyDescent="0.3"/>
    <row r="31105" ht="14.4" x14ac:dyDescent="0.3"/>
    <row r="31106" ht="14.4" x14ac:dyDescent="0.3"/>
    <row r="31107" ht="14.4" x14ac:dyDescent="0.3"/>
    <row r="31108" ht="14.4" x14ac:dyDescent="0.3"/>
    <row r="31109" ht="14.4" x14ac:dyDescent="0.3"/>
    <row r="31110" ht="14.4" x14ac:dyDescent="0.3"/>
    <row r="31111" ht="14.4" x14ac:dyDescent="0.3"/>
    <row r="31112" ht="14.4" x14ac:dyDescent="0.3"/>
    <row r="31113" ht="14.4" x14ac:dyDescent="0.3"/>
    <row r="31114" ht="14.4" x14ac:dyDescent="0.3"/>
    <row r="31115" ht="14.4" x14ac:dyDescent="0.3"/>
    <row r="31116" ht="14.4" x14ac:dyDescent="0.3"/>
    <row r="31117" ht="14.4" x14ac:dyDescent="0.3"/>
    <row r="31118" ht="14.4" x14ac:dyDescent="0.3"/>
    <row r="31119" ht="14.4" x14ac:dyDescent="0.3"/>
    <row r="31120" ht="14.4" x14ac:dyDescent="0.3"/>
    <row r="31121" ht="14.4" x14ac:dyDescent="0.3"/>
    <row r="31122" ht="14.4" x14ac:dyDescent="0.3"/>
    <row r="31123" ht="14.4" x14ac:dyDescent="0.3"/>
    <row r="31124" ht="14.4" x14ac:dyDescent="0.3"/>
    <row r="31125" ht="14.4" x14ac:dyDescent="0.3"/>
    <row r="31126" ht="14.4" x14ac:dyDescent="0.3"/>
    <row r="31127" ht="14.4" x14ac:dyDescent="0.3"/>
    <row r="31128" ht="14.4" x14ac:dyDescent="0.3"/>
    <row r="31129" ht="14.4" x14ac:dyDescent="0.3"/>
    <row r="31130" ht="14.4" x14ac:dyDescent="0.3"/>
    <row r="31131" ht="14.4" x14ac:dyDescent="0.3"/>
    <row r="31132" ht="14.4" x14ac:dyDescent="0.3"/>
    <row r="31133" ht="14.4" x14ac:dyDescent="0.3"/>
    <row r="31134" ht="14.4" x14ac:dyDescent="0.3"/>
    <row r="31135" ht="14.4" x14ac:dyDescent="0.3"/>
    <row r="31136" ht="14.4" x14ac:dyDescent="0.3"/>
    <row r="31137" ht="14.4" x14ac:dyDescent="0.3"/>
    <row r="31138" ht="14.4" x14ac:dyDescent="0.3"/>
    <row r="31139" ht="14.4" x14ac:dyDescent="0.3"/>
    <row r="31140" ht="14.4" x14ac:dyDescent="0.3"/>
    <row r="31141" ht="14.4" x14ac:dyDescent="0.3"/>
    <row r="31142" ht="14.4" x14ac:dyDescent="0.3"/>
    <row r="31143" ht="14.4" x14ac:dyDescent="0.3"/>
    <row r="31144" ht="14.4" x14ac:dyDescent="0.3"/>
    <row r="31145" ht="14.4" x14ac:dyDescent="0.3"/>
    <row r="31146" ht="14.4" x14ac:dyDescent="0.3"/>
    <row r="31147" ht="14.4" x14ac:dyDescent="0.3"/>
    <row r="31148" ht="14.4" x14ac:dyDescent="0.3"/>
    <row r="31149" ht="14.4" x14ac:dyDescent="0.3"/>
    <row r="31150" ht="14.4" x14ac:dyDescent="0.3"/>
    <row r="31151" ht="14.4" x14ac:dyDescent="0.3"/>
    <row r="31152" ht="14.4" x14ac:dyDescent="0.3"/>
    <row r="31153" ht="14.4" x14ac:dyDescent="0.3"/>
    <row r="31154" ht="14.4" x14ac:dyDescent="0.3"/>
    <row r="31155" ht="14.4" x14ac:dyDescent="0.3"/>
    <row r="31156" ht="14.4" x14ac:dyDescent="0.3"/>
    <row r="31157" ht="14.4" x14ac:dyDescent="0.3"/>
    <row r="31158" ht="14.4" x14ac:dyDescent="0.3"/>
    <row r="31159" ht="14.4" x14ac:dyDescent="0.3"/>
    <row r="31160" ht="14.4" x14ac:dyDescent="0.3"/>
    <row r="31161" ht="14.4" x14ac:dyDescent="0.3"/>
    <row r="31162" ht="14.4" x14ac:dyDescent="0.3"/>
    <row r="31163" ht="14.4" x14ac:dyDescent="0.3"/>
    <row r="31164" ht="14.4" x14ac:dyDescent="0.3"/>
    <row r="31165" ht="14.4" x14ac:dyDescent="0.3"/>
    <row r="31166" ht="14.4" x14ac:dyDescent="0.3"/>
    <row r="31167" ht="14.4" x14ac:dyDescent="0.3"/>
    <row r="31168" ht="14.4" x14ac:dyDescent="0.3"/>
    <row r="31169" ht="14.4" x14ac:dyDescent="0.3"/>
    <row r="31170" ht="14.4" x14ac:dyDescent="0.3"/>
    <row r="31171" ht="14.4" x14ac:dyDescent="0.3"/>
    <row r="31172" ht="14.4" x14ac:dyDescent="0.3"/>
    <row r="31173" ht="14.4" x14ac:dyDescent="0.3"/>
    <row r="31174" ht="14.4" x14ac:dyDescent="0.3"/>
    <row r="31175" ht="14.4" x14ac:dyDescent="0.3"/>
    <row r="31176" ht="14.4" x14ac:dyDescent="0.3"/>
    <row r="31177" ht="14.4" x14ac:dyDescent="0.3"/>
    <row r="31178" ht="14.4" x14ac:dyDescent="0.3"/>
    <row r="31179" ht="14.4" x14ac:dyDescent="0.3"/>
    <row r="31180" ht="14.4" x14ac:dyDescent="0.3"/>
    <row r="31181" ht="14.4" x14ac:dyDescent="0.3"/>
    <row r="31182" ht="14.4" x14ac:dyDescent="0.3"/>
    <row r="31183" ht="14.4" x14ac:dyDescent="0.3"/>
    <row r="31184" ht="14.4" x14ac:dyDescent="0.3"/>
    <row r="31185" ht="14.4" x14ac:dyDescent="0.3"/>
    <row r="31186" ht="14.4" x14ac:dyDescent="0.3"/>
    <row r="31187" ht="14.4" x14ac:dyDescent="0.3"/>
    <row r="31188" ht="14.4" x14ac:dyDescent="0.3"/>
    <row r="31189" ht="14.4" x14ac:dyDescent="0.3"/>
    <row r="31190" ht="14.4" x14ac:dyDescent="0.3"/>
    <row r="31191" ht="14.4" x14ac:dyDescent="0.3"/>
    <row r="31192" ht="14.4" x14ac:dyDescent="0.3"/>
    <row r="31193" ht="14.4" x14ac:dyDescent="0.3"/>
    <row r="31194" ht="14.4" x14ac:dyDescent="0.3"/>
    <row r="31195" ht="14.4" x14ac:dyDescent="0.3"/>
    <row r="31196" ht="14.4" x14ac:dyDescent="0.3"/>
    <row r="31197" ht="14.4" x14ac:dyDescent="0.3"/>
    <row r="31198" ht="14.4" x14ac:dyDescent="0.3"/>
    <row r="31199" ht="14.4" x14ac:dyDescent="0.3"/>
    <row r="31200" ht="14.4" x14ac:dyDescent="0.3"/>
    <row r="31201" ht="14.4" x14ac:dyDescent="0.3"/>
    <row r="31202" ht="14.4" x14ac:dyDescent="0.3"/>
    <row r="31203" ht="14.4" x14ac:dyDescent="0.3"/>
    <row r="31204" ht="14.4" x14ac:dyDescent="0.3"/>
    <row r="31205" ht="14.4" x14ac:dyDescent="0.3"/>
    <row r="31206" ht="14.4" x14ac:dyDescent="0.3"/>
    <row r="31207" ht="14.4" x14ac:dyDescent="0.3"/>
    <row r="31208" ht="14.4" x14ac:dyDescent="0.3"/>
    <row r="31209" ht="14.4" x14ac:dyDescent="0.3"/>
    <row r="31210" ht="14.4" x14ac:dyDescent="0.3"/>
    <row r="31211" ht="14.4" x14ac:dyDescent="0.3"/>
    <row r="31212" ht="14.4" x14ac:dyDescent="0.3"/>
    <row r="31213" ht="14.4" x14ac:dyDescent="0.3"/>
    <row r="31214" ht="14.4" x14ac:dyDescent="0.3"/>
    <row r="31215" ht="14.4" x14ac:dyDescent="0.3"/>
    <row r="31216" ht="14.4" x14ac:dyDescent="0.3"/>
    <row r="31217" ht="14.4" x14ac:dyDescent="0.3"/>
    <row r="31218" ht="14.4" x14ac:dyDescent="0.3"/>
    <row r="31219" ht="14.4" x14ac:dyDescent="0.3"/>
    <row r="31220" ht="14.4" x14ac:dyDescent="0.3"/>
    <row r="31221" ht="14.4" x14ac:dyDescent="0.3"/>
    <row r="31222" ht="14.4" x14ac:dyDescent="0.3"/>
    <row r="31223" ht="14.4" x14ac:dyDescent="0.3"/>
    <row r="31224" ht="14.4" x14ac:dyDescent="0.3"/>
    <row r="31225" ht="14.4" x14ac:dyDescent="0.3"/>
    <row r="31226" ht="14.4" x14ac:dyDescent="0.3"/>
    <row r="31227" ht="14.4" x14ac:dyDescent="0.3"/>
    <row r="31228" ht="14.4" x14ac:dyDescent="0.3"/>
    <row r="31229" ht="14.4" x14ac:dyDescent="0.3"/>
    <row r="31230" ht="14.4" x14ac:dyDescent="0.3"/>
    <row r="31231" ht="14.4" x14ac:dyDescent="0.3"/>
    <row r="31232" ht="14.4" x14ac:dyDescent="0.3"/>
    <row r="31233" ht="14.4" x14ac:dyDescent="0.3"/>
    <row r="31234" ht="14.4" x14ac:dyDescent="0.3"/>
    <row r="31235" ht="14.4" x14ac:dyDescent="0.3"/>
    <row r="31236" ht="14.4" x14ac:dyDescent="0.3"/>
    <row r="31237" ht="14.4" x14ac:dyDescent="0.3"/>
    <row r="31238" ht="14.4" x14ac:dyDescent="0.3"/>
    <row r="31239" ht="14.4" x14ac:dyDescent="0.3"/>
    <row r="31240" ht="14.4" x14ac:dyDescent="0.3"/>
    <row r="31241" ht="14.4" x14ac:dyDescent="0.3"/>
    <row r="31242" ht="14.4" x14ac:dyDescent="0.3"/>
    <row r="31243" ht="14.4" x14ac:dyDescent="0.3"/>
    <row r="31244" ht="14.4" x14ac:dyDescent="0.3"/>
    <row r="31245" ht="14.4" x14ac:dyDescent="0.3"/>
    <row r="31246" ht="14.4" x14ac:dyDescent="0.3"/>
    <row r="31247" ht="14.4" x14ac:dyDescent="0.3"/>
    <row r="31248" ht="14.4" x14ac:dyDescent="0.3"/>
    <row r="31249" ht="14.4" x14ac:dyDescent="0.3"/>
    <row r="31250" ht="14.4" x14ac:dyDescent="0.3"/>
    <row r="31251" ht="14.4" x14ac:dyDescent="0.3"/>
    <row r="31252" ht="14.4" x14ac:dyDescent="0.3"/>
    <row r="31253" ht="14.4" x14ac:dyDescent="0.3"/>
    <row r="31254" ht="14.4" x14ac:dyDescent="0.3"/>
    <row r="31255" ht="14.4" x14ac:dyDescent="0.3"/>
    <row r="31256" ht="14.4" x14ac:dyDescent="0.3"/>
    <row r="31257" ht="14.4" x14ac:dyDescent="0.3"/>
    <row r="31258" ht="14.4" x14ac:dyDescent="0.3"/>
    <row r="31259" ht="14.4" x14ac:dyDescent="0.3"/>
    <row r="31260" ht="14.4" x14ac:dyDescent="0.3"/>
    <row r="31261" ht="14.4" x14ac:dyDescent="0.3"/>
    <row r="31262" ht="14.4" x14ac:dyDescent="0.3"/>
    <row r="31263" ht="14.4" x14ac:dyDescent="0.3"/>
    <row r="31264" ht="14.4" x14ac:dyDescent="0.3"/>
    <row r="31265" ht="14.4" x14ac:dyDescent="0.3"/>
    <row r="31266" ht="14.4" x14ac:dyDescent="0.3"/>
    <row r="31267" ht="14.4" x14ac:dyDescent="0.3"/>
    <row r="31268" ht="14.4" x14ac:dyDescent="0.3"/>
    <row r="31269" ht="14.4" x14ac:dyDescent="0.3"/>
    <row r="31270" ht="14.4" x14ac:dyDescent="0.3"/>
    <row r="31271" ht="14.4" x14ac:dyDescent="0.3"/>
    <row r="31272" ht="14.4" x14ac:dyDescent="0.3"/>
    <row r="31273" ht="14.4" x14ac:dyDescent="0.3"/>
    <row r="31274" ht="14.4" x14ac:dyDescent="0.3"/>
    <row r="31275" ht="14.4" x14ac:dyDescent="0.3"/>
    <row r="31276" ht="14.4" x14ac:dyDescent="0.3"/>
    <row r="31277" ht="14.4" x14ac:dyDescent="0.3"/>
    <row r="31278" ht="14.4" x14ac:dyDescent="0.3"/>
    <row r="31279" ht="14.4" x14ac:dyDescent="0.3"/>
    <row r="31280" ht="14.4" x14ac:dyDescent="0.3"/>
    <row r="31281" ht="14.4" x14ac:dyDescent="0.3"/>
    <row r="31282" ht="14.4" x14ac:dyDescent="0.3"/>
    <row r="31283" ht="14.4" x14ac:dyDescent="0.3"/>
    <row r="31284" ht="14.4" x14ac:dyDescent="0.3"/>
    <row r="31285" ht="14.4" x14ac:dyDescent="0.3"/>
    <row r="31286" ht="14.4" x14ac:dyDescent="0.3"/>
    <row r="31287" ht="14.4" x14ac:dyDescent="0.3"/>
    <row r="31288" ht="14.4" x14ac:dyDescent="0.3"/>
    <row r="31289" ht="14.4" x14ac:dyDescent="0.3"/>
    <row r="31290" ht="14.4" x14ac:dyDescent="0.3"/>
    <row r="31291" ht="14.4" x14ac:dyDescent="0.3"/>
    <row r="31292" ht="14.4" x14ac:dyDescent="0.3"/>
    <row r="31293" ht="14.4" x14ac:dyDescent="0.3"/>
    <row r="31294" ht="14.4" x14ac:dyDescent="0.3"/>
    <row r="31295" ht="14.4" x14ac:dyDescent="0.3"/>
    <row r="31296" ht="14.4" x14ac:dyDescent="0.3"/>
    <row r="31297" ht="14.4" x14ac:dyDescent="0.3"/>
    <row r="31298" ht="14.4" x14ac:dyDescent="0.3"/>
    <row r="31299" ht="14.4" x14ac:dyDescent="0.3"/>
    <row r="31300" ht="14.4" x14ac:dyDescent="0.3"/>
    <row r="31301" ht="14.4" x14ac:dyDescent="0.3"/>
    <row r="31302" ht="14.4" x14ac:dyDescent="0.3"/>
    <row r="31303" ht="14.4" x14ac:dyDescent="0.3"/>
    <row r="31304" ht="14.4" x14ac:dyDescent="0.3"/>
    <row r="31305" ht="14.4" x14ac:dyDescent="0.3"/>
    <row r="31306" ht="14.4" x14ac:dyDescent="0.3"/>
    <row r="31307" ht="14.4" x14ac:dyDescent="0.3"/>
    <row r="31308" ht="14.4" x14ac:dyDescent="0.3"/>
    <row r="31309" ht="14.4" x14ac:dyDescent="0.3"/>
    <row r="31310" ht="14.4" x14ac:dyDescent="0.3"/>
    <row r="31311" ht="14.4" x14ac:dyDescent="0.3"/>
    <row r="31312" ht="14.4" x14ac:dyDescent="0.3"/>
    <row r="31313" ht="14.4" x14ac:dyDescent="0.3"/>
    <row r="31314" ht="14.4" x14ac:dyDescent="0.3"/>
    <row r="31315" ht="14.4" x14ac:dyDescent="0.3"/>
    <row r="31316" ht="14.4" x14ac:dyDescent="0.3"/>
    <row r="31317" ht="14.4" x14ac:dyDescent="0.3"/>
    <row r="31318" ht="14.4" x14ac:dyDescent="0.3"/>
    <row r="31319" ht="14.4" x14ac:dyDescent="0.3"/>
    <row r="31320" ht="14.4" x14ac:dyDescent="0.3"/>
    <row r="31321" ht="14.4" x14ac:dyDescent="0.3"/>
    <row r="31322" ht="14.4" x14ac:dyDescent="0.3"/>
    <row r="31323" ht="14.4" x14ac:dyDescent="0.3"/>
    <row r="31324" ht="14.4" x14ac:dyDescent="0.3"/>
    <row r="31325" ht="14.4" x14ac:dyDescent="0.3"/>
    <row r="31326" ht="14.4" x14ac:dyDescent="0.3"/>
    <row r="31327" ht="14.4" x14ac:dyDescent="0.3"/>
    <row r="31328" ht="14.4" x14ac:dyDescent="0.3"/>
    <row r="31329" ht="14.4" x14ac:dyDescent="0.3"/>
    <row r="31330" ht="14.4" x14ac:dyDescent="0.3"/>
    <row r="31331" ht="14.4" x14ac:dyDescent="0.3"/>
    <row r="31332" ht="14.4" x14ac:dyDescent="0.3"/>
    <row r="31333" ht="14.4" x14ac:dyDescent="0.3"/>
    <row r="31334" ht="14.4" x14ac:dyDescent="0.3"/>
    <row r="31335" ht="14.4" x14ac:dyDescent="0.3"/>
    <row r="31336" ht="14.4" x14ac:dyDescent="0.3"/>
    <row r="31337" ht="14.4" x14ac:dyDescent="0.3"/>
    <row r="31338" ht="14.4" x14ac:dyDescent="0.3"/>
    <row r="31339" ht="14.4" x14ac:dyDescent="0.3"/>
    <row r="31340" ht="14.4" x14ac:dyDescent="0.3"/>
    <row r="31341" ht="14.4" x14ac:dyDescent="0.3"/>
    <row r="31342" ht="14.4" x14ac:dyDescent="0.3"/>
    <row r="31343" ht="14.4" x14ac:dyDescent="0.3"/>
    <row r="31344" ht="14.4" x14ac:dyDescent="0.3"/>
    <row r="31345" ht="14.4" x14ac:dyDescent="0.3"/>
    <row r="31346" ht="14.4" x14ac:dyDescent="0.3"/>
    <row r="31347" ht="14.4" x14ac:dyDescent="0.3"/>
    <row r="31348" ht="14.4" x14ac:dyDescent="0.3"/>
    <row r="31349" ht="14.4" x14ac:dyDescent="0.3"/>
    <row r="31350" ht="14.4" x14ac:dyDescent="0.3"/>
    <row r="31351" ht="14.4" x14ac:dyDescent="0.3"/>
    <row r="31352" ht="14.4" x14ac:dyDescent="0.3"/>
    <row r="31353" ht="14.4" x14ac:dyDescent="0.3"/>
    <row r="31354" ht="14.4" x14ac:dyDescent="0.3"/>
    <row r="31355" ht="14.4" x14ac:dyDescent="0.3"/>
    <row r="31356" ht="14.4" x14ac:dyDescent="0.3"/>
    <row r="31357" ht="14.4" x14ac:dyDescent="0.3"/>
    <row r="31358" ht="14.4" x14ac:dyDescent="0.3"/>
    <row r="31359" ht="14.4" x14ac:dyDescent="0.3"/>
    <row r="31360" ht="14.4" x14ac:dyDescent="0.3"/>
    <row r="31361" ht="14.4" x14ac:dyDescent="0.3"/>
    <row r="31362" ht="14.4" x14ac:dyDescent="0.3"/>
    <row r="31363" ht="14.4" x14ac:dyDescent="0.3"/>
    <row r="31364" ht="14.4" x14ac:dyDescent="0.3"/>
    <row r="31365" ht="14.4" x14ac:dyDescent="0.3"/>
    <row r="31366" ht="14.4" x14ac:dyDescent="0.3"/>
    <row r="31367" ht="14.4" x14ac:dyDescent="0.3"/>
    <row r="31368" ht="14.4" x14ac:dyDescent="0.3"/>
    <row r="31369" ht="14.4" x14ac:dyDescent="0.3"/>
    <row r="31370" ht="14.4" x14ac:dyDescent="0.3"/>
    <row r="31371" ht="14.4" x14ac:dyDescent="0.3"/>
    <row r="31372" ht="14.4" x14ac:dyDescent="0.3"/>
    <row r="31373" ht="14.4" x14ac:dyDescent="0.3"/>
    <row r="31374" ht="14.4" x14ac:dyDescent="0.3"/>
    <row r="31375" ht="14.4" x14ac:dyDescent="0.3"/>
    <row r="31376" ht="14.4" x14ac:dyDescent="0.3"/>
    <row r="31377" ht="14.4" x14ac:dyDescent="0.3"/>
    <row r="31378" ht="14.4" x14ac:dyDescent="0.3"/>
    <row r="31379" ht="14.4" x14ac:dyDescent="0.3"/>
    <row r="31380" ht="14.4" x14ac:dyDescent="0.3"/>
    <row r="31381" ht="14.4" x14ac:dyDescent="0.3"/>
    <row r="31382" ht="14.4" x14ac:dyDescent="0.3"/>
    <row r="31383" ht="14.4" x14ac:dyDescent="0.3"/>
    <row r="31384" ht="14.4" x14ac:dyDescent="0.3"/>
    <row r="31385" ht="14.4" x14ac:dyDescent="0.3"/>
    <row r="31386" ht="14.4" x14ac:dyDescent="0.3"/>
    <row r="31387" ht="14.4" x14ac:dyDescent="0.3"/>
    <row r="31388" ht="14.4" x14ac:dyDescent="0.3"/>
    <row r="31389" ht="14.4" x14ac:dyDescent="0.3"/>
    <row r="31390" ht="14.4" x14ac:dyDescent="0.3"/>
    <row r="31391" ht="14.4" x14ac:dyDescent="0.3"/>
    <row r="31392" ht="14.4" x14ac:dyDescent="0.3"/>
    <row r="31393" ht="14.4" x14ac:dyDescent="0.3"/>
    <row r="31394" ht="14.4" x14ac:dyDescent="0.3"/>
    <row r="31395" ht="14.4" x14ac:dyDescent="0.3"/>
    <row r="31396" ht="14.4" x14ac:dyDescent="0.3"/>
    <row r="31397" ht="14.4" x14ac:dyDescent="0.3"/>
    <row r="31398" ht="14.4" x14ac:dyDescent="0.3"/>
    <row r="31399" ht="14.4" x14ac:dyDescent="0.3"/>
    <row r="31400" ht="14.4" x14ac:dyDescent="0.3"/>
    <row r="31401" ht="14.4" x14ac:dyDescent="0.3"/>
    <row r="31402" ht="14.4" x14ac:dyDescent="0.3"/>
    <row r="31403" ht="14.4" x14ac:dyDescent="0.3"/>
    <row r="31404" ht="14.4" x14ac:dyDescent="0.3"/>
    <row r="31405" ht="14.4" x14ac:dyDescent="0.3"/>
    <row r="31406" ht="14.4" x14ac:dyDescent="0.3"/>
    <row r="31407" ht="14.4" x14ac:dyDescent="0.3"/>
    <row r="31408" ht="14.4" x14ac:dyDescent="0.3"/>
    <row r="31409" ht="14.4" x14ac:dyDescent="0.3"/>
    <row r="31410" ht="14.4" x14ac:dyDescent="0.3"/>
    <row r="31411" ht="14.4" x14ac:dyDescent="0.3"/>
    <row r="31412" ht="14.4" x14ac:dyDescent="0.3"/>
    <row r="31413" ht="14.4" x14ac:dyDescent="0.3"/>
    <row r="31414" ht="14.4" x14ac:dyDescent="0.3"/>
    <row r="31415" ht="14.4" x14ac:dyDescent="0.3"/>
    <row r="31416" ht="14.4" x14ac:dyDescent="0.3"/>
    <row r="31417" ht="14.4" x14ac:dyDescent="0.3"/>
    <row r="31418" ht="14.4" x14ac:dyDescent="0.3"/>
    <row r="31419" ht="14.4" x14ac:dyDescent="0.3"/>
    <row r="31420" ht="14.4" x14ac:dyDescent="0.3"/>
    <row r="31421" ht="14.4" x14ac:dyDescent="0.3"/>
    <row r="31422" ht="14.4" x14ac:dyDescent="0.3"/>
    <row r="31423" ht="14.4" x14ac:dyDescent="0.3"/>
    <row r="31424" ht="14.4" x14ac:dyDescent="0.3"/>
    <row r="31425" ht="14.4" x14ac:dyDescent="0.3"/>
    <row r="31426" ht="14.4" x14ac:dyDescent="0.3"/>
    <row r="31427" ht="14.4" x14ac:dyDescent="0.3"/>
    <row r="31428" ht="14.4" x14ac:dyDescent="0.3"/>
    <row r="31429" ht="14.4" x14ac:dyDescent="0.3"/>
    <row r="31430" ht="14.4" x14ac:dyDescent="0.3"/>
    <row r="31431" ht="14.4" x14ac:dyDescent="0.3"/>
    <row r="31432" ht="14.4" x14ac:dyDescent="0.3"/>
    <row r="31433" ht="14.4" x14ac:dyDescent="0.3"/>
    <row r="31434" ht="14.4" x14ac:dyDescent="0.3"/>
    <row r="31435" ht="14.4" x14ac:dyDescent="0.3"/>
    <row r="31436" ht="14.4" x14ac:dyDescent="0.3"/>
    <row r="31437" ht="14.4" x14ac:dyDescent="0.3"/>
    <row r="31438" ht="14.4" x14ac:dyDescent="0.3"/>
    <row r="31439" ht="14.4" x14ac:dyDescent="0.3"/>
    <row r="31440" ht="14.4" x14ac:dyDescent="0.3"/>
    <row r="31441" ht="14.4" x14ac:dyDescent="0.3"/>
    <row r="31442" ht="14.4" x14ac:dyDescent="0.3"/>
    <row r="31443" ht="14.4" x14ac:dyDescent="0.3"/>
    <row r="31444" ht="14.4" x14ac:dyDescent="0.3"/>
    <row r="31445" ht="14.4" x14ac:dyDescent="0.3"/>
    <row r="31446" ht="14.4" x14ac:dyDescent="0.3"/>
    <row r="31447" ht="14.4" x14ac:dyDescent="0.3"/>
    <row r="31448" ht="14.4" x14ac:dyDescent="0.3"/>
    <row r="31449" ht="14.4" x14ac:dyDescent="0.3"/>
    <row r="31450" ht="14.4" x14ac:dyDescent="0.3"/>
    <row r="31451" ht="14.4" x14ac:dyDescent="0.3"/>
    <row r="31452" ht="14.4" x14ac:dyDescent="0.3"/>
    <row r="31453" ht="14.4" x14ac:dyDescent="0.3"/>
    <row r="31454" ht="14.4" x14ac:dyDescent="0.3"/>
    <row r="31455" ht="14.4" x14ac:dyDescent="0.3"/>
    <row r="31456" ht="14.4" x14ac:dyDescent="0.3"/>
    <row r="31457" ht="14.4" x14ac:dyDescent="0.3"/>
    <row r="31458" ht="14.4" x14ac:dyDescent="0.3"/>
    <row r="31459" ht="14.4" x14ac:dyDescent="0.3"/>
    <row r="31460" ht="14.4" x14ac:dyDescent="0.3"/>
    <row r="31461" ht="14.4" x14ac:dyDescent="0.3"/>
    <row r="31462" ht="14.4" x14ac:dyDescent="0.3"/>
    <row r="31463" ht="14.4" x14ac:dyDescent="0.3"/>
    <row r="31464" ht="14.4" x14ac:dyDescent="0.3"/>
    <row r="31465" ht="14.4" x14ac:dyDescent="0.3"/>
    <row r="31466" ht="14.4" x14ac:dyDescent="0.3"/>
    <row r="31467" ht="14.4" x14ac:dyDescent="0.3"/>
    <row r="31468" ht="14.4" x14ac:dyDescent="0.3"/>
    <row r="31469" ht="14.4" x14ac:dyDescent="0.3"/>
    <row r="31470" ht="14.4" x14ac:dyDescent="0.3"/>
    <row r="31471" ht="14.4" x14ac:dyDescent="0.3"/>
    <row r="31472" ht="14.4" x14ac:dyDescent="0.3"/>
    <row r="31473" ht="14.4" x14ac:dyDescent="0.3"/>
    <row r="31474" ht="14.4" x14ac:dyDescent="0.3"/>
    <row r="31475" ht="14.4" x14ac:dyDescent="0.3"/>
    <row r="31476" ht="14.4" x14ac:dyDescent="0.3"/>
    <row r="31477" ht="14.4" x14ac:dyDescent="0.3"/>
    <row r="31478" ht="14.4" x14ac:dyDescent="0.3"/>
    <row r="31479" ht="14.4" x14ac:dyDescent="0.3"/>
    <row r="31480" ht="14.4" x14ac:dyDescent="0.3"/>
    <row r="31481" ht="14.4" x14ac:dyDescent="0.3"/>
    <row r="31482" ht="14.4" x14ac:dyDescent="0.3"/>
    <row r="31483" ht="14.4" x14ac:dyDescent="0.3"/>
    <row r="31484" ht="14.4" x14ac:dyDescent="0.3"/>
    <row r="31485" ht="14.4" x14ac:dyDescent="0.3"/>
    <row r="31486" ht="14.4" x14ac:dyDescent="0.3"/>
    <row r="31487" ht="14.4" x14ac:dyDescent="0.3"/>
    <row r="31488" ht="14.4" x14ac:dyDescent="0.3"/>
    <row r="31489" ht="14.4" x14ac:dyDescent="0.3"/>
    <row r="31490" ht="14.4" x14ac:dyDescent="0.3"/>
    <row r="31491" ht="14.4" x14ac:dyDescent="0.3"/>
    <row r="31492" ht="14.4" x14ac:dyDescent="0.3"/>
    <row r="31493" ht="14.4" x14ac:dyDescent="0.3"/>
    <row r="31494" ht="14.4" x14ac:dyDescent="0.3"/>
    <row r="31495" ht="14.4" x14ac:dyDescent="0.3"/>
    <row r="31496" ht="14.4" x14ac:dyDescent="0.3"/>
    <row r="31497" ht="14.4" x14ac:dyDescent="0.3"/>
    <row r="31498" ht="14.4" x14ac:dyDescent="0.3"/>
    <row r="31499" ht="14.4" x14ac:dyDescent="0.3"/>
    <row r="31500" ht="14.4" x14ac:dyDescent="0.3"/>
    <row r="31501" ht="14.4" x14ac:dyDescent="0.3"/>
    <row r="31502" ht="14.4" x14ac:dyDescent="0.3"/>
    <row r="31503" ht="14.4" x14ac:dyDescent="0.3"/>
    <row r="31504" ht="14.4" x14ac:dyDescent="0.3"/>
    <row r="31505" ht="14.4" x14ac:dyDescent="0.3"/>
    <row r="31506" ht="14.4" x14ac:dyDescent="0.3"/>
    <row r="31507" ht="14.4" x14ac:dyDescent="0.3"/>
    <row r="31508" ht="14.4" x14ac:dyDescent="0.3"/>
    <row r="31509" ht="14.4" x14ac:dyDescent="0.3"/>
    <row r="31510" ht="14.4" x14ac:dyDescent="0.3"/>
    <row r="31511" ht="14.4" x14ac:dyDescent="0.3"/>
    <row r="31512" ht="14.4" x14ac:dyDescent="0.3"/>
    <row r="31513" ht="14.4" x14ac:dyDescent="0.3"/>
    <row r="31514" ht="14.4" x14ac:dyDescent="0.3"/>
    <row r="31515" ht="14.4" x14ac:dyDescent="0.3"/>
    <row r="31516" ht="14.4" x14ac:dyDescent="0.3"/>
    <row r="31517" ht="14.4" x14ac:dyDescent="0.3"/>
    <row r="31518" ht="14.4" x14ac:dyDescent="0.3"/>
    <row r="31519" ht="14.4" x14ac:dyDescent="0.3"/>
    <row r="31520" ht="14.4" x14ac:dyDescent="0.3"/>
    <row r="31521" ht="14.4" x14ac:dyDescent="0.3"/>
    <row r="31522" ht="14.4" x14ac:dyDescent="0.3"/>
    <row r="31523" ht="14.4" x14ac:dyDescent="0.3"/>
    <row r="31524" ht="14.4" x14ac:dyDescent="0.3"/>
    <row r="31525" ht="14.4" x14ac:dyDescent="0.3"/>
    <row r="31526" ht="14.4" x14ac:dyDescent="0.3"/>
    <row r="31527" ht="14.4" x14ac:dyDescent="0.3"/>
    <row r="31528" ht="14.4" x14ac:dyDescent="0.3"/>
    <row r="31529" ht="14.4" x14ac:dyDescent="0.3"/>
    <row r="31530" ht="14.4" x14ac:dyDescent="0.3"/>
    <row r="31531" ht="14.4" x14ac:dyDescent="0.3"/>
    <row r="31532" ht="14.4" x14ac:dyDescent="0.3"/>
    <row r="31533" ht="14.4" x14ac:dyDescent="0.3"/>
    <row r="31534" ht="14.4" x14ac:dyDescent="0.3"/>
    <row r="31535" ht="14.4" x14ac:dyDescent="0.3"/>
    <row r="31536" ht="14.4" x14ac:dyDescent="0.3"/>
    <row r="31537" ht="14.4" x14ac:dyDescent="0.3"/>
    <row r="31538" ht="14.4" x14ac:dyDescent="0.3"/>
    <row r="31539" ht="14.4" x14ac:dyDescent="0.3"/>
    <row r="31540" ht="14.4" x14ac:dyDescent="0.3"/>
    <row r="31541" ht="14.4" x14ac:dyDescent="0.3"/>
    <row r="31542" ht="14.4" x14ac:dyDescent="0.3"/>
    <row r="31543" ht="14.4" x14ac:dyDescent="0.3"/>
    <row r="31544" ht="14.4" x14ac:dyDescent="0.3"/>
    <row r="31545" ht="14.4" x14ac:dyDescent="0.3"/>
    <row r="31546" ht="14.4" x14ac:dyDescent="0.3"/>
    <row r="31547" ht="14.4" x14ac:dyDescent="0.3"/>
    <row r="31548" ht="14.4" x14ac:dyDescent="0.3"/>
    <row r="31549" ht="14.4" x14ac:dyDescent="0.3"/>
    <row r="31550" ht="14.4" x14ac:dyDescent="0.3"/>
    <row r="31551" ht="14.4" x14ac:dyDescent="0.3"/>
    <row r="31552" ht="14.4" x14ac:dyDescent="0.3"/>
    <row r="31553" ht="14.4" x14ac:dyDescent="0.3"/>
    <row r="31554" ht="14.4" x14ac:dyDescent="0.3"/>
    <row r="31555" ht="14.4" x14ac:dyDescent="0.3"/>
    <row r="31556" ht="14.4" x14ac:dyDescent="0.3"/>
    <row r="31557" ht="14.4" x14ac:dyDescent="0.3"/>
    <row r="31558" ht="14.4" x14ac:dyDescent="0.3"/>
    <row r="31559" ht="14.4" x14ac:dyDescent="0.3"/>
    <row r="31560" ht="14.4" x14ac:dyDescent="0.3"/>
    <row r="31561" ht="14.4" x14ac:dyDescent="0.3"/>
    <row r="31562" ht="14.4" x14ac:dyDescent="0.3"/>
    <row r="31563" ht="14.4" x14ac:dyDescent="0.3"/>
    <row r="31564" ht="14.4" x14ac:dyDescent="0.3"/>
    <row r="31565" ht="14.4" x14ac:dyDescent="0.3"/>
    <row r="31566" ht="14.4" x14ac:dyDescent="0.3"/>
    <row r="31567" ht="14.4" x14ac:dyDescent="0.3"/>
    <row r="31568" ht="14.4" x14ac:dyDescent="0.3"/>
    <row r="31569" ht="14.4" x14ac:dyDescent="0.3"/>
    <row r="31570" ht="14.4" x14ac:dyDescent="0.3"/>
    <row r="31571" ht="14.4" x14ac:dyDescent="0.3"/>
    <row r="31572" ht="14.4" x14ac:dyDescent="0.3"/>
    <row r="31573" ht="14.4" x14ac:dyDescent="0.3"/>
    <row r="31574" ht="14.4" x14ac:dyDescent="0.3"/>
    <row r="31575" ht="14.4" x14ac:dyDescent="0.3"/>
    <row r="31576" ht="14.4" x14ac:dyDescent="0.3"/>
    <row r="31577" ht="14.4" x14ac:dyDescent="0.3"/>
    <row r="31578" ht="14.4" x14ac:dyDescent="0.3"/>
    <row r="31579" ht="14.4" x14ac:dyDescent="0.3"/>
    <row r="31580" ht="14.4" x14ac:dyDescent="0.3"/>
    <row r="31581" ht="14.4" x14ac:dyDescent="0.3"/>
    <row r="31582" ht="14.4" x14ac:dyDescent="0.3"/>
    <row r="31583" ht="14.4" x14ac:dyDescent="0.3"/>
    <row r="31584" ht="14.4" x14ac:dyDescent="0.3"/>
    <row r="31585" ht="14.4" x14ac:dyDescent="0.3"/>
    <row r="31586" ht="14.4" x14ac:dyDescent="0.3"/>
    <row r="31587" ht="14.4" x14ac:dyDescent="0.3"/>
    <row r="31588" ht="14.4" x14ac:dyDescent="0.3"/>
    <row r="31589" ht="14.4" x14ac:dyDescent="0.3"/>
    <row r="31590" ht="14.4" x14ac:dyDescent="0.3"/>
    <row r="31591" ht="14.4" x14ac:dyDescent="0.3"/>
    <row r="31592" ht="14.4" x14ac:dyDescent="0.3"/>
    <row r="31593" ht="14.4" x14ac:dyDescent="0.3"/>
    <row r="31594" ht="14.4" x14ac:dyDescent="0.3"/>
    <row r="31595" ht="14.4" x14ac:dyDescent="0.3"/>
    <row r="31596" ht="14.4" x14ac:dyDescent="0.3"/>
    <row r="31597" ht="14.4" x14ac:dyDescent="0.3"/>
    <row r="31598" ht="14.4" x14ac:dyDescent="0.3"/>
    <row r="31599" ht="14.4" x14ac:dyDescent="0.3"/>
    <row r="31600" ht="14.4" x14ac:dyDescent="0.3"/>
    <row r="31601" ht="14.4" x14ac:dyDescent="0.3"/>
    <row r="31602" ht="14.4" x14ac:dyDescent="0.3"/>
    <row r="31603" ht="14.4" x14ac:dyDescent="0.3"/>
    <row r="31604" ht="14.4" x14ac:dyDescent="0.3"/>
    <row r="31605" ht="14.4" x14ac:dyDescent="0.3"/>
    <row r="31606" ht="14.4" x14ac:dyDescent="0.3"/>
    <row r="31607" ht="14.4" x14ac:dyDescent="0.3"/>
    <row r="31608" ht="14.4" x14ac:dyDescent="0.3"/>
    <row r="31609" ht="14.4" x14ac:dyDescent="0.3"/>
    <row r="31610" ht="14.4" x14ac:dyDescent="0.3"/>
    <row r="31611" ht="14.4" x14ac:dyDescent="0.3"/>
    <row r="31612" ht="14.4" x14ac:dyDescent="0.3"/>
    <row r="31613" ht="14.4" x14ac:dyDescent="0.3"/>
    <row r="31614" ht="14.4" x14ac:dyDescent="0.3"/>
    <row r="31615" ht="14.4" x14ac:dyDescent="0.3"/>
    <row r="31616" ht="14.4" x14ac:dyDescent="0.3"/>
    <row r="31617" ht="14.4" x14ac:dyDescent="0.3"/>
    <row r="31618" ht="14.4" x14ac:dyDescent="0.3"/>
    <row r="31619" ht="14.4" x14ac:dyDescent="0.3"/>
    <row r="31620" ht="14.4" x14ac:dyDescent="0.3"/>
    <row r="31621" ht="14.4" x14ac:dyDescent="0.3"/>
    <row r="31622" ht="14.4" x14ac:dyDescent="0.3"/>
    <row r="31623" ht="14.4" x14ac:dyDescent="0.3"/>
    <row r="31624" ht="14.4" x14ac:dyDescent="0.3"/>
    <row r="31625" ht="14.4" x14ac:dyDescent="0.3"/>
    <row r="31626" ht="14.4" x14ac:dyDescent="0.3"/>
    <row r="31627" ht="14.4" x14ac:dyDescent="0.3"/>
    <row r="31628" ht="14.4" x14ac:dyDescent="0.3"/>
    <row r="31629" ht="14.4" x14ac:dyDescent="0.3"/>
    <row r="31630" ht="14.4" x14ac:dyDescent="0.3"/>
    <row r="31631" ht="14.4" x14ac:dyDescent="0.3"/>
    <row r="31632" ht="14.4" x14ac:dyDescent="0.3"/>
    <row r="31633" ht="14.4" x14ac:dyDescent="0.3"/>
    <row r="31634" ht="14.4" x14ac:dyDescent="0.3"/>
    <row r="31635" ht="14.4" x14ac:dyDescent="0.3"/>
    <row r="31636" ht="14.4" x14ac:dyDescent="0.3"/>
    <row r="31637" ht="14.4" x14ac:dyDescent="0.3"/>
    <row r="31638" ht="14.4" x14ac:dyDescent="0.3"/>
    <row r="31639" ht="14.4" x14ac:dyDescent="0.3"/>
    <row r="31640" ht="14.4" x14ac:dyDescent="0.3"/>
    <row r="31641" ht="14.4" x14ac:dyDescent="0.3"/>
    <row r="31642" ht="14.4" x14ac:dyDescent="0.3"/>
    <row r="31643" ht="14.4" x14ac:dyDescent="0.3"/>
    <row r="31644" ht="14.4" x14ac:dyDescent="0.3"/>
    <row r="31645" ht="14.4" x14ac:dyDescent="0.3"/>
    <row r="31646" ht="14.4" x14ac:dyDescent="0.3"/>
    <row r="31647" ht="14.4" x14ac:dyDescent="0.3"/>
    <row r="31648" ht="14.4" x14ac:dyDescent="0.3"/>
    <row r="31649" ht="14.4" x14ac:dyDescent="0.3"/>
    <row r="31650" ht="14.4" x14ac:dyDescent="0.3"/>
    <row r="31651" ht="14.4" x14ac:dyDescent="0.3"/>
    <row r="31652" ht="14.4" x14ac:dyDescent="0.3"/>
    <row r="31653" ht="14.4" x14ac:dyDescent="0.3"/>
    <row r="31654" ht="14.4" x14ac:dyDescent="0.3"/>
    <row r="31655" ht="14.4" x14ac:dyDescent="0.3"/>
    <row r="31656" ht="14.4" x14ac:dyDescent="0.3"/>
    <row r="31657" ht="14.4" x14ac:dyDescent="0.3"/>
    <row r="31658" ht="14.4" x14ac:dyDescent="0.3"/>
    <row r="31659" ht="14.4" x14ac:dyDescent="0.3"/>
    <row r="31660" ht="14.4" x14ac:dyDescent="0.3"/>
    <row r="31661" ht="14.4" x14ac:dyDescent="0.3"/>
    <row r="31662" ht="14.4" x14ac:dyDescent="0.3"/>
    <row r="31663" ht="14.4" x14ac:dyDescent="0.3"/>
    <row r="31664" ht="14.4" x14ac:dyDescent="0.3"/>
    <row r="31665" ht="14.4" x14ac:dyDescent="0.3"/>
    <row r="31666" ht="14.4" x14ac:dyDescent="0.3"/>
    <row r="31667" ht="14.4" x14ac:dyDescent="0.3"/>
    <row r="31668" ht="14.4" x14ac:dyDescent="0.3"/>
    <row r="31669" ht="14.4" x14ac:dyDescent="0.3"/>
    <row r="31670" ht="14.4" x14ac:dyDescent="0.3"/>
    <row r="31671" ht="14.4" x14ac:dyDescent="0.3"/>
    <row r="31672" ht="14.4" x14ac:dyDescent="0.3"/>
    <row r="31673" ht="14.4" x14ac:dyDescent="0.3"/>
    <row r="31674" ht="14.4" x14ac:dyDescent="0.3"/>
    <row r="31675" ht="14.4" x14ac:dyDescent="0.3"/>
    <row r="31676" ht="14.4" x14ac:dyDescent="0.3"/>
    <row r="31677" ht="14.4" x14ac:dyDescent="0.3"/>
    <row r="31678" ht="14.4" x14ac:dyDescent="0.3"/>
    <row r="31679" ht="14.4" x14ac:dyDescent="0.3"/>
    <row r="31680" ht="14.4" x14ac:dyDescent="0.3"/>
    <row r="31681" ht="14.4" x14ac:dyDescent="0.3"/>
    <row r="31682" ht="14.4" x14ac:dyDescent="0.3"/>
    <row r="31683" ht="14.4" x14ac:dyDescent="0.3"/>
    <row r="31684" ht="14.4" x14ac:dyDescent="0.3"/>
    <row r="31685" ht="14.4" x14ac:dyDescent="0.3"/>
    <row r="31686" ht="14.4" x14ac:dyDescent="0.3"/>
    <row r="31687" ht="14.4" x14ac:dyDescent="0.3"/>
    <row r="31688" ht="14.4" x14ac:dyDescent="0.3"/>
    <row r="31689" ht="14.4" x14ac:dyDescent="0.3"/>
    <row r="31690" ht="14.4" x14ac:dyDescent="0.3"/>
    <row r="31691" ht="14.4" x14ac:dyDescent="0.3"/>
    <row r="31692" ht="14.4" x14ac:dyDescent="0.3"/>
    <row r="31693" ht="14.4" x14ac:dyDescent="0.3"/>
    <row r="31694" ht="14.4" x14ac:dyDescent="0.3"/>
    <row r="31695" ht="14.4" x14ac:dyDescent="0.3"/>
    <row r="31696" ht="14.4" x14ac:dyDescent="0.3"/>
    <row r="31697" ht="14.4" x14ac:dyDescent="0.3"/>
    <row r="31698" ht="14.4" x14ac:dyDescent="0.3"/>
    <row r="31699" ht="14.4" x14ac:dyDescent="0.3"/>
    <row r="31700" ht="14.4" x14ac:dyDescent="0.3"/>
    <row r="31701" ht="14.4" x14ac:dyDescent="0.3"/>
    <row r="31702" ht="14.4" x14ac:dyDescent="0.3"/>
    <row r="31703" ht="14.4" x14ac:dyDescent="0.3"/>
    <row r="31704" ht="14.4" x14ac:dyDescent="0.3"/>
    <row r="31705" ht="14.4" x14ac:dyDescent="0.3"/>
    <row r="31706" ht="14.4" x14ac:dyDescent="0.3"/>
    <row r="31707" ht="14.4" x14ac:dyDescent="0.3"/>
    <row r="31708" ht="14.4" x14ac:dyDescent="0.3"/>
    <row r="31709" ht="14.4" x14ac:dyDescent="0.3"/>
    <row r="31710" ht="14.4" x14ac:dyDescent="0.3"/>
    <row r="31711" ht="14.4" x14ac:dyDescent="0.3"/>
    <row r="31712" ht="14.4" x14ac:dyDescent="0.3"/>
    <row r="31713" ht="14.4" x14ac:dyDescent="0.3"/>
    <row r="31714" ht="14.4" x14ac:dyDescent="0.3"/>
    <row r="31715" ht="14.4" x14ac:dyDescent="0.3"/>
    <row r="31716" ht="14.4" x14ac:dyDescent="0.3"/>
    <row r="31717" ht="14.4" x14ac:dyDescent="0.3"/>
    <row r="31718" ht="14.4" x14ac:dyDescent="0.3"/>
    <row r="31719" ht="14.4" x14ac:dyDescent="0.3"/>
    <row r="31720" ht="14.4" x14ac:dyDescent="0.3"/>
    <row r="31721" ht="14.4" x14ac:dyDescent="0.3"/>
    <row r="31722" ht="14.4" x14ac:dyDescent="0.3"/>
    <row r="31723" ht="14.4" x14ac:dyDescent="0.3"/>
    <row r="31724" ht="14.4" x14ac:dyDescent="0.3"/>
    <row r="31725" ht="14.4" x14ac:dyDescent="0.3"/>
    <row r="31726" ht="14.4" x14ac:dyDescent="0.3"/>
    <row r="31727" ht="14.4" x14ac:dyDescent="0.3"/>
    <row r="31728" ht="14.4" x14ac:dyDescent="0.3"/>
    <row r="31729" ht="14.4" x14ac:dyDescent="0.3"/>
    <row r="31730" ht="14.4" x14ac:dyDescent="0.3"/>
    <row r="31731" ht="14.4" x14ac:dyDescent="0.3"/>
    <row r="31732" ht="14.4" x14ac:dyDescent="0.3"/>
    <row r="31733" ht="14.4" x14ac:dyDescent="0.3"/>
    <row r="31734" ht="14.4" x14ac:dyDescent="0.3"/>
    <row r="31735" ht="14.4" x14ac:dyDescent="0.3"/>
    <row r="31736" ht="14.4" x14ac:dyDescent="0.3"/>
    <row r="31737" ht="14.4" x14ac:dyDescent="0.3"/>
    <row r="31738" ht="14.4" x14ac:dyDescent="0.3"/>
    <row r="31739" ht="14.4" x14ac:dyDescent="0.3"/>
    <row r="31740" ht="14.4" x14ac:dyDescent="0.3"/>
    <row r="31741" ht="14.4" x14ac:dyDescent="0.3"/>
    <row r="31742" ht="14.4" x14ac:dyDescent="0.3"/>
    <row r="31743" ht="14.4" x14ac:dyDescent="0.3"/>
    <row r="31744" ht="14.4" x14ac:dyDescent="0.3"/>
    <row r="31745" ht="14.4" x14ac:dyDescent="0.3"/>
    <row r="31746" ht="14.4" x14ac:dyDescent="0.3"/>
    <row r="31747" ht="14.4" x14ac:dyDescent="0.3"/>
    <row r="31748" ht="14.4" x14ac:dyDescent="0.3"/>
    <row r="31749" ht="14.4" x14ac:dyDescent="0.3"/>
    <row r="31750" ht="14.4" x14ac:dyDescent="0.3"/>
    <row r="31751" ht="14.4" x14ac:dyDescent="0.3"/>
    <row r="31752" ht="14.4" x14ac:dyDescent="0.3"/>
    <row r="31753" ht="14.4" x14ac:dyDescent="0.3"/>
    <row r="31754" ht="14.4" x14ac:dyDescent="0.3"/>
    <row r="31755" ht="14.4" x14ac:dyDescent="0.3"/>
    <row r="31756" ht="14.4" x14ac:dyDescent="0.3"/>
    <row r="31757" ht="14.4" x14ac:dyDescent="0.3"/>
    <row r="31758" ht="14.4" x14ac:dyDescent="0.3"/>
    <row r="31759" ht="14.4" x14ac:dyDescent="0.3"/>
    <row r="31760" ht="14.4" x14ac:dyDescent="0.3"/>
    <row r="31761" ht="14.4" x14ac:dyDescent="0.3"/>
    <row r="31762" ht="14.4" x14ac:dyDescent="0.3"/>
    <row r="31763" ht="14.4" x14ac:dyDescent="0.3"/>
    <row r="31764" ht="14.4" x14ac:dyDescent="0.3"/>
    <row r="31765" ht="14.4" x14ac:dyDescent="0.3"/>
    <row r="31766" ht="14.4" x14ac:dyDescent="0.3"/>
    <row r="31767" ht="14.4" x14ac:dyDescent="0.3"/>
    <row r="31768" ht="14.4" x14ac:dyDescent="0.3"/>
    <row r="31769" ht="14.4" x14ac:dyDescent="0.3"/>
    <row r="31770" ht="14.4" x14ac:dyDescent="0.3"/>
    <row r="31771" ht="14.4" x14ac:dyDescent="0.3"/>
    <row r="31772" ht="14.4" x14ac:dyDescent="0.3"/>
    <row r="31773" ht="14.4" x14ac:dyDescent="0.3"/>
    <row r="31774" ht="14.4" x14ac:dyDescent="0.3"/>
    <row r="31775" ht="14.4" x14ac:dyDescent="0.3"/>
    <row r="31776" ht="14.4" x14ac:dyDescent="0.3"/>
    <row r="31777" ht="14.4" x14ac:dyDescent="0.3"/>
    <row r="31778" ht="14.4" x14ac:dyDescent="0.3"/>
    <row r="31779" ht="14.4" x14ac:dyDescent="0.3"/>
    <row r="31780" ht="14.4" x14ac:dyDescent="0.3"/>
    <row r="31781" ht="14.4" x14ac:dyDescent="0.3"/>
    <row r="31782" ht="14.4" x14ac:dyDescent="0.3"/>
    <row r="31783" ht="14.4" x14ac:dyDescent="0.3"/>
    <row r="31784" ht="14.4" x14ac:dyDescent="0.3"/>
    <row r="31785" ht="14.4" x14ac:dyDescent="0.3"/>
    <row r="31786" ht="14.4" x14ac:dyDescent="0.3"/>
    <row r="31787" ht="14.4" x14ac:dyDescent="0.3"/>
    <row r="31788" ht="14.4" x14ac:dyDescent="0.3"/>
    <row r="31789" ht="14.4" x14ac:dyDescent="0.3"/>
    <row r="31790" ht="14.4" x14ac:dyDescent="0.3"/>
    <row r="31791" ht="14.4" x14ac:dyDescent="0.3"/>
    <row r="31792" ht="14.4" x14ac:dyDescent="0.3"/>
    <row r="31793" ht="14.4" x14ac:dyDescent="0.3"/>
    <row r="31794" ht="14.4" x14ac:dyDescent="0.3"/>
    <row r="31795" ht="14.4" x14ac:dyDescent="0.3"/>
    <row r="31796" ht="14.4" x14ac:dyDescent="0.3"/>
    <row r="31797" ht="14.4" x14ac:dyDescent="0.3"/>
    <row r="31798" ht="14.4" x14ac:dyDescent="0.3"/>
    <row r="31799" ht="14.4" x14ac:dyDescent="0.3"/>
    <row r="31800" ht="14.4" x14ac:dyDescent="0.3"/>
    <row r="31801" ht="14.4" x14ac:dyDescent="0.3"/>
    <row r="31802" ht="14.4" x14ac:dyDescent="0.3"/>
    <row r="31803" ht="14.4" x14ac:dyDescent="0.3"/>
    <row r="31804" ht="14.4" x14ac:dyDescent="0.3"/>
    <row r="31805" ht="14.4" x14ac:dyDescent="0.3"/>
    <row r="31806" ht="14.4" x14ac:dyDescent="0.3"/>
    <row r="31807" ht="14.4" x14ac:dyDescent="0.3"/>
    <row r="31808" ht="14.4" x14ac:dyDescent="0.3"/>
    <row r="31809" ht="14.4" x14ac:dyDescent="0.3"/>
    <row r="31810" ht="14.4" x14ac:dyDescent="0.3"/>
    <row r="31811" ht="14.4" x14ac:dyDescent="0.3"/>
    <row r="31812" ht="14.4" x14ac:dyDescent="0.3"/>
    <row r="31813" ht="14.4" x14ac:dyDescent="0.3"/>
    <row r="31814" ht="14.4" x14ac:dyDescent="0.3"/>
    <row r="31815" ht="14.4" x14ac:dyDescent="0.3"/>
    <row r="31816" ht="14.4" x14ac:dyDescent="0.3"/>
    <row r="31817" ht="14.4" x14ac:dyDescent="0.3"/>
    <row r="31818" ht="14.4" x14ac:dyDescent="0.3"/>
    <row r="31819" ht="14.4" x14ac:dyDescent="0.3"/>
    <row r="31820" ht="14.4" x14ac:dyDescent="0.3"/>
    <row r="31821" ht="14.4" x14ac:dyDescent="0.3"/>
    <row r="31822" ht="14.4" x14ac:dyDescent="0.3"/>
    <row r="31823" ht="14.4" x14ac:dyDescent="0.3"/>
    <row r="31824" ht="14.4" x14ac:dyDescent="0.3"/>
    <row r="31825" ht="14.4" x14ac:dyDescent="0.3"/>
    <row r="31826" ht="14.4" x14ac:dyDescent="0.3"/>
    <row r="31827" ht="14.4" x14ac:dyDescent="0.3"/>
    <row r="31828" ht="14.4" x14ac:dyDescent="0.3"/>
    <row r="31829" ht="14.4" x14ac:dyDescent="0.3"/>
    <row r="31830" ht="14.4" x14ac:dyDescent="0.3"/>
    <row r="31831" ht="14.4" x14ac:dyDescent="0.3"/>
    <row r="31832" ht="14.4" x14ac:dyDescent="0.3"/>
    <row r="31833" ht="14.4" x14ac:dyDescent="0.3"/>
    <row r="31834" ht="14.4" x14ac:dyDescent="0.3"/>
    <row r="31835" ht="14.4" x14ac:dyDescent="0.3"/>
    <row r="31836" ht="14.4" x14ac:dyDescent="0.3"/>
    <row r="31837" ht="14.4" x14ac:dyDescent="0.3"/>
    <row r="31838" ht="14.4" x14ac:dyDescent="0.3"/>
    <row r="31839" ht="14.4" x14ac:dyDescent="0.3"/>
    <row r="31840" ht="14.4" x14ac:dyDescent="0.3"/>
    <row r="31841" ht="14.4" x14ac:dyDescent="0.3"/>
    <row r="31842" ht="14.4" x14ac:dyDescent="0.3"/>
    <row r="31843" ht="14.4" x14ac:dyDescent="0.3"/>
    <row r="31844" ht="14.4" x14ac:dyDescent="0.3"/>
    <row r="31845" ht="14.4" x14ac:dyDescent="0.3"/>
    <row r="31846" ht="14.4" x14ac:dyDescent="0.3"/>
    <row r="31847" ht="14.4" x14ac:dyDescent="0.3"/>
    <row r="31848" ht="14.4" x14ac:dyDescent="0.3"/>
    <row r="31849" ht="14.4" x14ac:dyDescent="0.3"/>
    <row r="31850" ht="14.4" x14ac:dyDescent="0.3"/>
    <row r="31851" ht="14.4" x14ac:dyDescent="0.3"/>
    <row r="31852" ht="14.4" x14ac:dyDescent="0.3"/>
    <row r="31853" ht="14.4" x14ac:dyDescent="0.3"/>
    <row r="31854" ht="14.4" x14ac:dyDescent="0.3"/>
    <row r="31855" ht="14.4" x14ac:dyDescent="0.3"/>
    <row r="31856" ht="14.4" x14ac:dyDescent="0.3"/>
    <row r="31857" ht="14.4" x14ac:dyDescent="0.3"/>
    <row r="31858" ht="14.4" x14ac:dyDescent="0.3"/>
    <row r="31859" ht="14.4" x14ac:dyDescent="0.3"/>
    <row r="31860" ht="14.4" x14ac:dyDescent="0.3"/>
    <row r="31861" ht="14.4" x14ac:dyDescent="0.3"/>
    <row r="31862" ht="14.4" x14ac:dyDescent="0.3"/>
    <row r="31863" ht="14.4" x14ac:dyDescent="0.3"/>
    <row r="31864" ht="14.4" x14ac:dyDescent="0.3"/>
    <row r="31865" ht="14.4" x14ac:dyDescent="0.3"/>
    <row r="31866" ht="14.4" x14ac:dyDescent="0.3"/>
    <row r="31867" ht="14.4" x14ac:dyDescent="0.3"/>
    <row r="31868" ht="14.4" x14ac:dyDescent="0.3"/>
    <row r="31869" ht="14.4" x14ac:dyDescent="0.3"/>
    <row r="31870" ht="14.4" x14ac:dyDescent="0.3"/>
    <row r="31871" ht="14.4" x14ac:dyDescent="0.3"/>
    <row r="31872" ht="14.4" x14ac:dyDescent="0.3"/>
    <row r="31873" ht="14.4" x14ac:dyDescent="0.3"/>
    <row r="31874" ht="14.4" x14ac:dyDescent="0.3"/>
    <row r="31875" ht="14.4" x14ac:dyDescent="0.3"/>
    <row r="31876" ht="14.4" x14ac:dyDescent="0.3"/>
    <row r="31877" ht="14.4" x14ac:dyDescent="0.3"/>
    <row r="31878" ht="14.4" x14ac:dyDescent="0.3"/>
    <row r="31879" ht="14.4" x14ac:dyDescent="0.3"/>
    <row r="31880" ht="14.4" x14ac:dyDescent="0.3"/>
    <row r="31881" ht="14.4" x14ac:dyDescent="0.3"/>
    <row r="31882" ht="14.4" x14ac:dyDescent="0.3"/>
    <row r="31883" ht="14.4" x14ac:dyDescent="0.3"/>
    <row r="31884" ht="14.4" x14ac:dyDescent="0.3"/>
    <row r="31885" ht="14.4" x14ac:dyDescent="0.3"/>
    <row r="31886" ht="14.4" x14ac:dyDescent="0.3"/>
    <row r="31887" ht="14.4" x14ac:dyDescent="0.3"/>
    <row r="31888" ht="14.4" x14ac:dyDescent="0.3"/>
    <row r="31889" ht="14.4" x14ac:dyDescent="0.3"/>
    <row r="31890" ht="14.4" x14ac:dyDescent="0.3"/>
    <row r="31891" ht="14.4" x14ac:dyDescent="0.3"/>
    <row r="31892" ht="14.4" x14ac:dyDescent="0.3"/>
    <row r="31893" ht="14.4" x14ac:dyDescent="0.3"/>
    <row r="31894" ht="14.4" x14ac:dyDescent="0.3"/>
    <row r="31895" ht="14.4" x14ac:dyDescent="0.3"/>
    <row r="31896" ht="14.4" x14ac:dyDescent="0.3"/>
    <row r="31897" ht="14.4" x14ac:dyDescent="0.3"/>
    <row r="31898" ht="14.4" x14ac:dyDescent="0.3"/>
    <row r="31899" ht="14.4" x14ac:dyDescent="0.3"/>
    <row r="31900" ht="14.4" x14ac:dyDescent="0.3"/>
    <row r="31901" ht="14.4" x14ac:dyDescent="0.3"/>
    <row r="31902" ht="14.4" x14ac:dyDescent="0.3"/>
    <row r="31903" ht="14.4" x14ac:dyDescent="0.3"/>
    <row r="31904" ht="14.4" x14ac:dyDescent="0.3"/>
    <row r="31905" ht="14.4" x14ac:dyDescent="0.3"/>
    <row r="31906" ht="14.4" x14ac:dyDescent="0.3"/>
    <row r="31907" ht="14.4" x14ac:dyDescent="0.3"/>
    <row r="31908" ht="14.4" x14ac:dyDescent="0.3"/>
    <row r="31909" ht="14.4" x14ac:dyDescent="0.3"/>
    <row r="31910" ht="14.4" x14ac:dyDescent="0.3"/>
    <row r="31911" ht="14.4" x14ac:dyDescent="0.3"/>
    <row r="31912" ht="14.4" x14ac:dyDescent="0.3"/>
    <row r="31913" ht="14.4" x14ac:dyDescent="0.3"/>
    <row r="31914" ht="14.4" x14ac:dyDescent="0.3"/>
    <row r="31915" ht="14.4" x14ac:dyDescent="0.3"/>
    <row r="31916" ht="14.4" x14ac:dyDescent="0.3"/>
    <row r="31917" ht="14.4" x14ac:dyDescent="0.3"/>
    <row r="31918" ht="14.4" x14ac:dyDescent="0.3"/>
    <row r="31919" ht="14.4" x14ac:dyDescent="0.3"/>
    <row r="31920" ht="14.4" x14ac:dyDescent="0.3"/>
    <row r="31921" ht="14.4" x14ac:dyDescent="0.3"/>
    <row r="31922" ht="14.4" x14ac:dyDescent="0.3"/>
    <row r="31923" ht="14.4" x14ac:dyDescent="0.3"/>
    <row r="31924" ht="14.4" x14ac:dyDescent="0.3"/>
    <row r="31925" ht="14.4" x14ac:dyDescent="0.3"/>
    <row r="31926" ht="14.4" x14ac:dyDescent="0.3"/>
    <row r="31927" ht="14.4" x14ac:dyDescent="0.3"/>
    <row r="31928" ht="14.4" x14ac:dyDescent="0.3"/>
    <row r="31929" ht="14.4" x14ac:dyDescent="0.3"/>
    <row r="31930" ht="14.4" x14ac:dyDescent="0.3"/>
    <row r="31931" ht="14.4" x14ac:dyDescent="0.3"/>
    <row r="31932" ht="14.4" x14ac:dyDescent="0.3"/>
    <row r="31933" ht="14.4" x14ac:dyDescent="0.3"/>
    <row r="31934" ht="14.4" x14ac:dyDescent="0.3"/>
    <row r="31935" ht="14.4" x14ac:dyDescent="0.3"/>
    <row r="31936" ht="14.4" x14ac:dyDescent="0.3"/>
    <row r="31937" ht="14.4" x14ac:dyDescent="0.3"/>
    <row r="31938" ht="14.4" x14ac:dyDescent="0.3"/>
    <row r="31939" ht="14.4" x14ac:dyDescent="0.3"/>
    <row r="31940" ht="14.4" x14ac:dyDescent="0.3"/>
    <row r="31941" ht="14.4" x14ac:dyDescent="0.3"/>
    <row r="31942" ht="14.4" x14ac:dyDescent="0.3"/>
    <row r="31943" ht="14.4" x14ac:dyDescent="0.3"/>
    <row r="31944" ht="14.4" x14ac:dyDescent="0.3"/>
    <row r="31945" ht="14.4" x14ac:dyDescent="0.3"/>
    <row r="31946" ht="14.4" x14ac:dyDescent="0.3"/>
    <row r="31947" ht="14.4" x14ac:dyDescent="0.3"/>
    <row r="31948" ht="14.4" x14ac:dyDescent="0.3"/>
    <row r="31949" ht="14.4" x14ac:dyDescent="0.3"/>
    <row r="31950" ht="14.4" x14ac:dyDescent="0.3"/>
    <row r="31951" ht="14.4" x14ac:dyDescent="0.3"/>
    <row r="31952" ht="14.4" x14ac:dyDescent="0.3"/>
    <row r="31953" ht="14.4" x14ac:dyDescent="0.3"/>
    <row r="31954" ht="14.4" x14ac:dyDescent="0.3"/>
    <row r="31955" ht="14.4" x14ac:dyDescent="0.3"/>
    <row r="31956" ht="14.4" x14ac:dyDescent="0.3"/>
    <row r="31957" ht="14.4" x14ac:dyDescent="0.3"/>
    <row r="31958" ht="14.4" x14ac:dyDescent="0.3"/>
    <row r="31959" ht="14.4" x14ac:dyDescent="0.3"/>
    <row r="31960" ht="14.4" x14ac:dyDescent="0.3"/>
    <row r="31961" ht="14.4" x14ac:dyDescent="0.3"/>
    <row r="31962" ht="14.4" x14ac:dyDescent="0.3"/>
    <row r="31963" ht="14.4" x14ac:dyDescent="0.3"/>
    <row r="31964" ht="14.4" x14ac:dyDescent="0.3"/>
    <row r="31965" ht="14.4" x14ac:dyDescent="0.3"/>
    <row r="31966" ht="14.4" x14ac:dyDescent="0.3"/>
    <row r="31967" ht="14.4" x14ac:dyDescent="0.3"/>
    <row r="31968" ht="14.4" x14ac:dyDescent="0.3"/>
    <row r="31969" ht="14.4" x14ac:dyDescent="0.3"/>
    <row r="31970" ht="14.4" x14ac:dyDescent="0.3"/>
    <row r="31971" ht="14.4" x14ac:dyDescent="0.3"/>
    <row r="31972" ht="14.4" x14ac:dyDescent="0.3"/>
    <row r="31973" ht="14.4" x14ac:dyDescent="0.3"/>
    <row r="31974" ht="14.4" x14ac:dyDescent="0.3"/>
    <row r="31975" ht="14.4" x14ac:dyDescent="0.3"/>
    <row r="31976" ht="14.4" x14ac:dyDescent="0.3"/>
    <row r="31977" ht="14.4" x14ac:dyDescent="0.3"/>
    <row r="31978" ht="14.4" x14ac:dyDescent="0.3"/>
    <row r="31979" ht="14.4" x14ac:dyDescent="0.3"/>
    <row r="31980" ht="14.4" x14ac:dyDescent="0.3"/>
    <row r="31981" ht="14.4" x14ac:dyDescent="0.3"/>
    <row r="31982" ht="14.4" x14ac:dyDescent="0.3"/>
    <row r="31983" ht="14.4" x14ac:dyDescent="0.3"/>
    <row r="31984" ht="14.4" x14ac:dyDescent="0.3"/>
    <row r="31985" ht="14.4" x14ac:dyDescent="0.3"/>
    <row r="31986" ht="14.4" x14ac:dyDescent="0.3"/>
    <row r="31987" ht="14.4" x14ac:dyDescent="0.3"/>
    <row r="31988" ht="14.4" x14ac:dyDescent="0.3"/>
    <row r="31989" ht="14.4" x14ac:dyDescent="0.3"/>
    <row r="31990" ht="14.4" x14ac:dyDescent="0.3"/>
    <row r="31991" ht="14.4" x14ac:dyDescent="0.3"/>
    <row r="31992" ht="14.4" x14ac:dyDescent="0.3"/>
    <row r="31993" ht="14.4" x14ac:dyDescent="0.3"/>
    <row r="31994" ht="14.4" x14ac:dyDescent="0.3"/>
    <row r="31995" ht="14.4" x14ac:dyDescent="0.3"/>
    <row r="31996" ht="14.4" x14ac:dyDescent="0.3"/>
    <row r="31997" ht="14.4" x14ac:dyDescent="0.3"/>
    <row r="31998" ht="14.4" x14ac:dyDescent="0.3"/>
    <row r="31999" ht="14.4" x14ac:dyDescent="0.3"/>
    <row r="32000" ht="14.4" x14ac:dyDescent="0.3"/>
    <row r="32001" ht="14.4" x14ac:dyDescent="0.3"/>
    <row r="32002" ht="14.4" x14ac:dyDescent="0.3"/>
    <row r="32003" ht="14.4" x14ac:dyDescent="0.3"/>
    <row r="32004" ht="14.4" x14ac:dyDescent="0.3"/>
    <row r="32005" ht="14.4" x14ac:dyDescent="0.3"/>
    <row r="32006" ht="14.4" x14ac:dyDescent="0.3"/>
    <row r="32007" ht="14.4" x14ac:dyDescent="0.3"/>
    <row r="32008" ht="14.4" x14ac:dyDescent="0.3"/>
    <row r="32009" ht="14.4" x14ac:dyDescent="0.3"/>
    <row r="32010" ht="14.4" x14ac:dyDescent="0.3"/>
    <row r="32011" ht="14.4" x14ac:dyDescent="0.3"/>
    <row r="32012" ht="14.4" x14ac:dyDescent="0.3"/>
    <row r="32013" ht="14.4" x14ac:dyDescent="0.3"/>
    <row r="32014" ht="14.4" x14ac:dyDescent="0.3"/>
    <row r="32015" ht="14.4" x14ac:dyDescent="0.3"/>
    <row r="32016" ht="14.4" x14ac:dyDescent="0.3"/>
    <row r="32017" ht="14.4" x14ac:dyDescent="0.3"/>
    <row r="32018" ht="14.4" x14ac:dyDescent="0.3"/>
    <row r="32019" ht="14.4" x14ac:dyDescent="0.3"/>
    <row r="32020" ht="14.4" x14ac:dyDescent="0.3"/>
    <row r="32021" ht="14.4" x14ac:dyDescent="0.3"/>
    <row r="32022" ht="14.4" x14ac:dyDescent="0.3"/>
    <row r="32023" ht="14.4" x14ac:dyDescent="0.3"/>
    <row r="32024" ht="14.4" x14ac:dyDescent="0.3"/>
    <row r="32025" ht="14.4" x14ac:dyDescent="0.3"/>
    <row r="32026" ht="14.4" x14ac:dyDescent="0.3"/>
    <row r="32027" ht="14.4" x14ac:dyDescent="0.3"/>
    <row r="32028" ht="14.4" x14ac:dyDescent="0.3"/>
    <row r="32029" ht="14.4" x14ac:dyDescent="0.3"/>
    <row r="32030" ht="14.4" x14ac:dyDescent="0.3"/>
    <row r="32031" ht="14.4" x14ac:dyDescent="0.3"/>
    <row r="32032" ht="14.4" x14ac:dyDescent="0.3"/>
    <row r="32033" ht="14.4" x14ac:dyDescent="0.3"/>
    <row r="32034" ht="14.4" x14ac:dyDescent="0.3"/>
    <row r="32035" ht="14.4" x14ac:dyDescent="0.3"/>
    <row r="32036" ht="14.4" x14ac:dyDescent="0.3"/>
    <row r="32037" ht="14.4" x14ac:dyDescent="0.3"/>
    <row r="32038" ht="14.4" x14ac:dyDescent="0.3"/>
    <row r="32039" ht="14.4" x14ac:dyDescent="0.3"/>
    <row r="32040" ht="14.4" x14ac:dyDescent="0.3"/>
    <row r="32041" ht="14.4" x14ac:dyDescent="0.3"/>
    <row r="32042" ht="14.4" x14ac:dyDescent="0.3"/>
    <row r="32043" ht="14.4" x14ac:dyDescent="0.3"/>
    <row r="32044" ht="14.4" x14ac:dyDescent="0.3"/>
    <row r="32045" ht="14.4" x14ac:dyDescent="0.3"/>
    <row r="32046" ht="14.4" x14ac:dyDescent="0.3"/>
    <row r="32047" ht="14.4" x14ac:dyDescent="0.3"/>
    <row r="32048" ht="14.4" x14ac:dyDescent="0.3"/>
    <row r="32049" ht="14.4" x14ac:dyDescent="0.3"/>
    <row r="32050" ht="14.4" x14ac:dyDescent="0.3"/>
    <row r="32051" ht="14.4" x14ac:dyDescent="0.3"/>
    <row r="32052" ht="14.4" x14ac:dyDescent="0.3"/>
    <row r="32053" ht="14.4" x14ac:dyDescent="0.3"/>
    <row r="32054" ht="14.4" x14ac:dyDescent="0.3"/>
    <row r="32055" ht="14.4" x14ac:dyDescent="0.3"/>
    <row r="32056" ht="14.4" x14ac:dyDescent="0.3"/>
    <row r="32057" ht="14.4" x14ac:dyDescent="0.3"/>
    <row r="32058" ht="14.4" x14ac:dyDescent="0.3"/>
    <row r="32059" ht="14.4" x14ac:dyDescent="0.3"/>
    <row r="32060" ht="14.4" x14ac:dyDescent="0.3"/>
    <row r="32061" ht="14.4" x14ac:dyDescent="0.3"/>
    <row r="32062" ht="14.4" x14ac:dyDescent="0.3"/>
    <row r="32063" ht="14.4" x14ac:dyDescent="0.3"/>
    <row r="32064" ht="14.4" x14ac:dyDescent="0.3"/>
    <row r="32065" ht="14.4" x14ac:dyDescent="0.3"/>
    <row r="32066" ht="14.4" x14ac:dyDescent="0.3"/>
    <row r="32067" ht="14.4" x14ac:dyDescent="0.3"/>
    <row r="32068" ht="14.4" x14ac:dyDescent="0.3"/>
    <row r="32069" ht="14.4" x14ac:dyDescent="0.3"/>
    <row r="32070" ht="14.4" x14ac:dyDescent="0.3"/>
    <row r="32071" ht="14.4" x14ac:dyDescent="0.3"/>
    <row r="32072" ht="14.4" x14ac:dyDescent="0.3"/>
    <row r="32073" ht="14.4" x14ac:dyDescent="0.3"/>
    <row r="32074" ht="14.4" x14ac:dyDescent="0.3"/>
    <row r="32075" ht="14.4" x14ac:dyDescent="0.3"/>
    <row r="32076" ht="14.4" x14ac:dyDescent="0.3"/>
    <row r="32077" ht="14.4" x14ac:dyDescent="0.3"/>
    <row r="32078" ht="14.4" x14ac:dyDescent="0.3"/>
    <row r="32079" ht="14.4" x14ac:dyDescent="0.3"/>
    <row r="32080" ht="14.4" x14ac:dyDescent="0.3"/>
    <row r="32081" ht="14.4" x14ac:dyDescent="0.3"/>
    <row r="32082" ht="14.4" x14ac:dyDescent="0.3"/>
    <row r="32083" ht="14.4" x14ac:dyDescent="0.3"/>
    <row r="32084" ht="14.4" x14ac:dyDescent="0.3"/>
    <row r="32085" ht="14.4" x14ac:dyDescent="0.3"/>
    <row r="32086" ht="14.4" x14ac:dyDescent="0.3"/>
    <row r="32087" ht="14.4" x14ac:dyDescent="0.3"/>
    <row r="32088" ht="14.4" x14ac:dyDescent="0.3"/>
    <row r="32089" ht="14.4" x14ac:dyDescent="0.3"/>
    <row r="32090" ht="14.4" x14ac:dyDescent="0.3"/>
    <row r="32091" ht="14.4" x14ac:dyDescent="0.3"/>
    <row r="32092" ht="14.4" x14ac:dyDescent="0.3"/>
    <row r="32093" ht="14.4" x14ac:dyDescent="0.3"/>
    <row r="32094" ht="14.4" x14ac:dyDescent="0.3"/>
    <row r="32095" ht="14.4" x14ac:dyDescent="0.3"/>
    <row r="32096" ht="14.4" x14ac:dyDescent="0.3"/>
    <row r="32097" ht="14.4" x14ac:dyDescent="0.3"/>
    <row r="32098" ht="14.4" x14ac:dyDescent="0.3"/>
    <row r="32099" ht="14.4" x14ac:dyDescent="0.3"/>
    <row r="32100" ht="14.4" x14ac:dyDescent="0.3"/>
    <row r="32101" ht="14.4" x14ac:dyDescent="0.3"/>
    <row r="32102" ht="14.4" x14ac:dyDescent="0.3"/>
    <row r="32103" ht="14.4" x14ac:dyDescent="0.3"/>
    <row r="32104" ht="14.4" x14ac:dyDescent="0.3"/>
    <row r="32105" ht="14.4" x14ac:dyDescent="0.3"/>
    <row r="32106" ht="14.4" x14ac:dyDescent="0.3"/>
    <row r="32107" ht="14.4" x14ac:dyDescent="0.3"/>
    <row r="32108" ht="14.4" x14ac:dyDescent="0.3"/>
    <row r="32109" ht="14.4" x14ac:dyDescent="0.3"/>
    <row r="32110" ht="14.4" x14ac:dyDescent="0.3"/>
    <row r="32111" ht="14.4" x14ac:dyDescent="0.3"/>
    <row r="32112" ht="14.4" x14ac:dyDescent="0.3"/>
    <row r="32113" ht="14.4" x14ac:dyDescent="0.3"/>
    <row r="32114" ht="14.4" x14ac:dyDescent="0.3"/>
    <row r="32115" ht="14.4" x14ac:dyDescent="0.3"/>
    <row r="32116" ht="14.4" x14ac:dyDescent="0.3"/>
    <row r="32117" ht="14.4" x14ac:dyDescent="0.3"/>
    <row r="32118" ht="14.4" x14ac:dyDescent="0.3"/>
    <row r="32119" ht="14.4" x14ac:dyDescent="0.3"/>
    <row r="32120" ht="14.4" x14ac:dyDescent="0.3"/>
    <row r="32121" ht="14.4" x14ac:dyDescent="0.3"/>
    <row r="32122" ht="14.4" x14ac:dyDescent="0.3"/>
    <row r="32123" ht="14.4" x14ac:dyDescent="0.3"/>
    <row r="32124" ht="14.4" x14ac:dyDescent="0.3"/>
    <row r="32125" ht="14.4" x14ac:dyDescent="0.3"/>
    <row r="32126" ht="14.4" x14ac:dyDescent="0.3"/>
    <row r="32127" ht="14.4" x14ac:dyDescent="0.3"/>
    <row r="32128" ht="14.4" x14ac:dyDescent="0.3"/>
    <row r="32129" ht="14.4" x14ac:dyDescent="0.3"/>
    <row r="32130" ht="14.4" x14ac:dyDescent="0.3"/>
    <row r="32131" ht="14.4" x14ac:dyDescent="0.3"/>
    <row r="32132" ht="14.4" x14ac:dyDescent="0.3"/>
    <row r="32133" ht="14.4" x14ac:dyDescent="0.3"/>
    <row r="32134" ht="14.4" x14ac:dyDescent="0.3"/>
    <row r="32135" ht="14.4" x14ac:dyDescent="0.3"/>
    <row r="32136" ht="14.4" x14ac:dyDescent="0.3"/>
    <row r="32137" ht="14.4" x14ac:dyDescent="0.3"/>
    <row r="32138" ht="14.4" x14ac:dyDescent="0.3"/>
    <row r="32139" ht="14.4" x14ac:dyDescent="0.3"/>
    <row r="32140" ht="14.4" x14ac:dyDescent="0.3"/>
    <row r="32141" ht="14.4" x14ac:dyDescent="0.3"/>
    <row r="32142" ht="14.4" x14ac:dyDescent="0.3"/>
    <row r="32143" ht="14.4" x14ac:dyDescent="0.3"/>
    <row r="32144" ht="14.4" x14ac:dyDescent="0.3"/>
    <row r="32145" ht="14.4" x14ac:dyDescent="0.3"/>
    <row r="32146" ht="14.4" x14ac:dyDescent="0.3"/>
    <row r="32147" ht="14.4" x14ac:dyDescent="0.3"/>
    <row r="32148" ht="14.4" x14ac:dyDescent="0.3"/>
    <row r="32149" ht="14.4" x14ac:dyDescent="0.3"/>
    <row r="32150" ht="14.4" x14ac:dyDescent="0.3"/>
    <row r="32151" ht="14.4" x14ac:dyDescent="0.3"/>
    <row r="32152" ht="14.4" x14ac:dyDescent="0.3"/>
    <row r="32153" ht="14.4" x14ac:dyDescent="0.3"/>
    <row r="32154" ht="14.4" x14ac:dyDescent="0.3"/>
    <row r="32155" ht="14.4" x14ac:dyDescent="0.3"/>
    <row r="32156" ht="14.4" x14ac:dyDescent="0.3"/>
    <row r="32157" ht="14.4" x14ac:dyDescent="0.3"/>
    <row r="32158" ht="14.4" x14ac:dyDescent="0.3"/>
    <row r="32159" ht="14.4" x14ac:dyDescent="0.3"/>
    <row r="32160" ht="14.4" x14ac:dyDescent="0.3"/>
    <row r="32161" ht="14.4" x14ac:dyDescent="0.3"/>
    <row r="32162" ht="14.4" x14ac:dyDescent="0.3"/>
    <row r="32163" ht="14.4" x14ac:dyDescent="0.3"/>
    <row r="32164" ht="14.4" x14ac:dyDescent="0.3"/>
    <row r="32165" ht="14.4" x14ac:dyDescent="0.3"/>
    <row r="32166" ht="14.4" x14ac:dyDescent="0.3"/>
    <row r="32167" ht="14.4" x14ac:dyDescent="0.3"/>
    <row r="32168" ht="14.4" x14ac:dyDescent="0.3"/>
    <row r="32169" ht="14.4" x14ac:dyDescent="0.3"/>
    <row r="32170" ht="14.4" x14ac:dyDescent="0.3"/>
    <row r="32171" ht="14.4" x14ac:dyDescent="0.3"/>
    <row r="32172" ht="14.4" x14ac:dyDescent="0.3"/>
    <row r="32173" ht="14.4" x14ac:dyDescent="0.3"/>
    <row r="32174" ht="14.4" x14ac:dyDescent="0.3"/>
    <row r="32175" ht="14.4" x14ac:dyDescent="0.3"/>
    <row r="32176" ht="14.4" x14ac:dyDescent="0.3"/>
    <row r="32177" ht="14.4" x14ac:dyDescent="0.3"/>
    <row r="32178" ht="14.4" x14ac:dyDescent="0.3"/>
    <row r="32179" ht="14.4" x14ac:dyDescent="0.3"/>
    <row r="32180" ht="14.4" x14ac:dyDescent="0.3"/>
    <row r="32181" ht="14.4" x14ac:dyDescent="0.3"/>
    <row r="32182" ht="14.4" x14ac:dyDescent="0.3"/>
    <row r="32183" ht="14.4" x14ac:dyDescent="0.3"/>
    <row r="32184" ht="14.4" x14ac:dyDescent="0.3"/>
    <row r="32185" ht="14.4" x14ac:dyDescent="0.3"/>
    <row r="32186" ht="14.4" x14ac:dyDescent="0.3"/>
    <row r="32187" ht="14.4" x14ac:dyDescent="0.3"/>
    <row r="32188" ht="14.4" x14ac:dyDescent="0.3"/>
    <row r="32189" ht="14.4" x14ac:dyDescent="0.3"/>
    <row r="32190" ht="14.4" x14ac:dyDescent="0.3"/>
    <row r="32191" ht="14.4" x14ac:dyDescent="0.3"/>
    <row r="32192" ht="14.4" x14ac:dyDescent="0.3"/>
    <row r="32193" ht="14.4" x14ac:dyDescent="0.3"/>
    <row r="32194" ht="14.4" x14ac:dyDescent="0.3"/>
    <row r="32195" ht="14.4" x14ac:dyDescent="0.3"/>
    <row r="32196" ht="14.4" x14ac:dyDescent="0.3"/>
    <row r="32197" ht="14.4" x14ac:dyDescent="0.3"/>
    <row r="32198" ht="14.4" x14ac:dyDescent="0.3"/>
    <row r="32199" ht="14.4" x14ac:dyDescent="0.3"/>
    <row r="32200" ht="14.4" x14ac:dyDescent="0.3"/>
    <row r="32201" ht="14.4" x14ac:dyDescent="0.3"/>
    <row r="32202" ht="14.4" x14ac:dyDescent="0.3"/>
    <row r="32203" ht="14.4" x14ac:dyDescent="0.3"/>
    <row r="32204" ht="14.4" x14ac:dyDescent="0.3"/>
    <row r="32205" ht="14.4" x14ac:dyDescent="0.3"/>
    <row r="32206" ht="14.4" x14ac:dyDescent="0.3"/>
    <row r="32207" ht="14.4" x14ac:dyDescent="0.3"/>
    <row r="32208" ht="14.4" x14ac:dyDescent="0.3"/>
    <row r="32209" ht="14.4" x14ac:dyDescent="0.3"/>
    <row r="32210" ht="14.4" x14ac:dyDescent="0.3"/>
    <row r="32211" ht="14.4" x14ac:dyDescent="0.3"/>
    <row r="32212" ht="14.4" x14ac:dyDescent="0.3"/>
    <row r="32213" ht="14.4" x14ac:dyDescent="0.3"/>
    <row r="32214" ht="14.4" x14ac:dyDescent="0.3"/>
    <row r="32215" ht="14.4" x14ac:dyDescent="0.3"/>
    <row r="32216" ht="14.4" x14ac:dyDescent="0.3"/>
    <row r="32217" ht="14.4" x14ac:dyDescent="0.3"/>
    <row r="32218" ht="14.4" x14ac:dyDescent="0.3"/>
    <row r="32219" ht="14.4" x14ac:dyDescent="0.3"/>
    <row r="32220" ht="14.4" x14ac:dyDescent="0.3"/>
    <row r="32221" ht="14.4" x14ac:dyDescent="0.3"/>
    <row r="32222" ht="14.4" x14ac:dyDescent="0.3"/>
    <row r="32223" ht="14.4" x14ac:dyDescent="0.3"/>
    <row r="32224" ht="14.4" x14ac:dyDescent="0.3"/>
    <row r="32225" ht="14.4" x14ac:dyDescent="0.3"/>
    <row r="32226" ht="14.4" x14ac:dyDescent="0.3"/>
    <row r="32227" ht="14.4" x14ac:dyDescent="0.3"/>
    <row r="32228" ht="14.4" x14ac:dyDescent="0.3"/>
    <row r="32229" ht="14.4" x14ac:dyDescent="0.3"/>
    <row r="32230" ht="14.4" x14ac:dyDescent="0.3"/>
    <row r="32231" ht="14.4" x14ac:dyDescent="0.3"/>
    <row r="32232" ht="14.4" x14ac:dyDescent="0.3"/>
    <row r="32233" ht="14.4" x14ac:dyDescent="0.3"/>
    <row r="32234" ht="14.4" x14ac:dyDescent="0.3"/>
    <row r="32235" ht="14.4" x14ac:dyDescent="0.3"/>
    <row r="32236" ht="14.4" x14ac:dyDescent="0.3"/>
    <row r="32237" ht="14.4" x14ac:dyDescent="0.3"/>
    <row r="32238" ht="14.4" x14ac:dyDescent="0.3"/>
    <row r="32239" ht="14.4" x14ac:dyDescent="0.3"/>
    <row r="32240" ht="14.4" x14ac:dyDescent="0.3"/>
    <row r="32241" ht="14.4" x14ac:dyDescent="0.3"/>
    <row r="32242" ht="14.4" x14ac:dyDescent="0.3"/>
    <row r="32243" ht="14.4" x14ac:dyDescent="0.3"/>
    <row r="32244" ht="14.4" x14ac:dyDescent="0.3"/>
    <row r="32245" ht="14.4" x14ac:dyDescent="0.3"/>
    <row r="32246" ht="14.4" x14ac:dyDescent="0.3"/>
    <row r="32247" ht="14.4" x14ac:dyDescent="0.3"/>
    <row r="32248" ht="14.4" x14ac:dyDescent="0.3"/>
    <row r="32249" ht="14.4" x14ac:dyDescent="0.3"/>
    <row r="32250" ht="14.4" x14ac:dyDescent="0.3"/>
    <row r="32251" ht="14.4" x14ac:dyDescent="0.3"/>
    <row r="32252" ht="14.4" x14ac:dyDescent="0.3"/>
    <row r="32253" ht="14.4" x14ac:dyDescent="0.3"/>
    <row r="32254" ht="14.4" x14ac:dyDescent="0.3"/>
    <row r="32255" ht="14.4" x14ac:dyDescent="0.3"/>
    <row r="32256" ht="14.4" x14ac:dyDescent="0.3"/>
    <row r="32257" ht="14.4" x14ac:dyDescent="0.3"/>
    <row r="32258" ht="14.4" x14ac:dyDescent="0.3"/>
    <row r="32259" ht="14.4" x14ac:dyDescent="0.3"/>
    <row r="32260" ht="14.4" x14ac:dyDescent="0.3"/>
    <row r="32261" ht="14.4" x14ac:dyDescent="0.3"/>
    <row r="32262" ht="14.4" x14ac:dyDescent="0.3"/>
    <row r="32263" ht="14.4" x14ac:dyDescent="0.3"/>
    <row r="32264" ht="14.4" x14ac:dyDescent="0.3"/>
    <row r="32265" ht="14.4" x14ac:dyDescent="0.3"/>
    <row r="32266" ht="14.4" x14ac:dyDescent="0.3"/>
    <row r="32267" ht="14.4" x14ac:dyDescent="0.3"/>
    <row r="32268" ht="14.4" x14ac:dyDescent="0.3"/>
    <row r="32269" ht="14.4" x14ac:dyDescent="0.3"/>
    <row r="32270" ht="14.4" x14ac:dyDescent="0.3"/>
    <row r="32271" ht="14.4" x14ac:dyDescent="0.3"/>
    <row r="32272" ht="14.4" x14ac:dyDescent="0.3"/>
    <row r="32273" ht="14.4" x14ac:dyDescent="0.3"/>
    <row r="32274" ht="14.4" x14ac:dyDescent="0.3"/>
    <row r="32275" ht="14.4" x14ac:dyDescent="0.3"/>
    <row r="32276" ht="14.4" x14ac:dyDescent="0.3"/>
    <row r="32277" ht="14.4" x14ac:dyDescent="0.3"/>
    <row r="32278" ht="14.4" x14ac:dyDescent="0.3"/>
    <row r="32279" ht="14.4" x14ac:dyDescent="0.3"/>
    <row r="32280" ht="14.4" x14ac:dyDescent="0.3"/>
    <row r="32281" ht="14.4" x14ac:dyDescent="0.3"/>
    <row r="32282" ht="14.4" x14ac:dyDescent="0.3"/>
    <row r="32283" ht="14.4" x14ac:dyDescent="0.3"/>
    <row r="32284" ht="14.4" x14ac:dyDescent="0.3"/>
    <row r="32285" ht="14.4" x14ac:dyDescent="0.3"/>
    <row r="32286" ht="14.4" x14ac:dyDescent="0.3"/>
    <row r="32287" ht="14.4" x14ac:dyDescent="0.3"/>
    <row r="32288" ht="14.4" x14ac:dyDescent="0.3"/>
    <row r="32289" ht="14.4" x14ac:dyDescent="0.3"/>
    <row r="32290" ht="14.4" x14ac:dyDescent="0.3"/>
    <row r="32291" ht="14.4" x14ac:dyDescent="0.3"/>
    <row r="32292" ht="14.4" x14ac:dyDescent="0.3"/>
    <row r="32293" ht="14.4" x14ac:dyDescent="0.3"/>
    <row r="32294" ht="14.4" x14ac:dyDescent="0.3"/>
    <row r="32295" ht="14.4" x14ac:dyDescent="0.3"/>
    <row r="32296" ht="14.4" x14ac:dyDescent="0.3"/>
    <row r="32297" ht="14.4" x14ac:dyDescent="0.3"/>
    <row r="32298" ht="14.4" x14ac:dyDescent="0.3"/>
    <row r="32299" ht="14.4" x14ac:dyDescent="0.3"/>
    <row r="32300" ht="14.4" x14ac:dyDescent="0.3"/>
    <row r="32301" ht="14.4" x14ac:dyDescent="0.3"/>
    <row r="32302" ht="14.4" x14ac:dyDescent="0.3"/>
    <row r="32303" ht="14.4" x14ac:dyDescent="0.3"/>
    <row r="32304" ht="14.4" x14ac:dyDescent="0.3"/>
    <row r="32305" ht="14.4" x14ac:dyDescent="0.3"/>
    <row r="32306" ht="14.4" x14ac:dyDescent="0.3"/>
    <row r="32307" ht="14.4" x14ac:dyDescent="0.3"/>
    <row r="32308" ht="14.4" x14ac:dyDescent="0.3"/>
    <row r="32309" ht="14.4" x14ac:dyDescent="0.3"/>
    <row r="32310" ht="14.4" x14ac:dyDescent="0.3"/>
    <row r="32311" ht="14.4" x14ac:dyDescent="0.3"/>
    <row r="32312" ht="14.4" x14ac:dyDescent="0.3"/>
    <row r="32313" ht="14.4" x14ac:dyDescent="0.3"/>
    <row r="32314" ht="14.4" x14ac:dyDescent="0.3"/>
    <row r="32315" ht="14.4" x14ac:dyDescent="0.3"/>
    <row r="32316" ht="14.4" x14ac:dyDescent="0.3"/>
    <row r="32317" ht="14.4" x14ac:dyDescent="0.3"/>
    <row r="32318" ht="14.4" x14ac:dyDescent="0.3"/>
    <row r="32319" ht="14.4" x14ac:dyDescent="0.3"/>
    <row r="32320" ht="14.4" x14ac:dyDescent="0.3"/>
    <row r="32321" ht="14.4" x14ac:dyDescent="0.3"/>
    <row r="32322" ht="14.4" x14ac:dyDescent="0.3"/>
    <row r="32323" ht="14.4" x14ac:dyDescent="0.3"/>
    <row r="32324" ht="14.4" x14ac:dyDescent="0.3"/>
    <row r="32325" ht="14.4" x14ac:dyDescent="0.3"/>
    <row r="32326" ht="14.4" x14ac:dyDescent="0.3"/>
    <row r="32327" ht="14.4" x14ac:dyDescent="0.3"/>
    <row r="32328" ht="14.4" x14ac:dyDescent="0.3"/>
    <row r="32329" ht="14.4" x14ac:dyDescent="0.3"/>
    <row r="32330" ht="14.4" x14ac:dyDescent="0.3"/>
    <row r="32331" ht="14.4" x14ac:dyDescent="0.3"/>
    <row r="32332" ht="14.4" x14ac:dyDescent="0.3"/>
    <row r="32333" ht="14.4" x14ac:dyDescent="0.3"/>
    <row r="32334" ht="14.4" x14ac:dyDescent="0.3"/>
    <row r="32335" ht="14.4" x14ac:dyDescent="0.3"/>
    <row r="32336" ht="14.4" x14ac:dyDescent="0.3"/>
    <row r="32337" ht="14.4" x14ac:dyDescent="0.3"/>
    <row r="32338" ht="14.4" x14ac:dyDescent="0.3"/>
    <row r="32339" ht="14.4" x14ac:dyDescent="0.3"/>
    <row r="32340" ht="14.4" x14ac:dyDescent="0.3"/>
    <row r="32341" ht="14.4" x14ac:dyDescent="0.3"/>
    <row r="32342" ht="14.4" x14ac:dyDescent="0.3"/>
    <row r="32343" ht="14.4" x14ac:dyDescent="0.3"/>
    <row r="32344" ht="14.4" x14ac:dyDescent="0.3"/>
    <row r="32345" ht="14.4" x14ac:dyDescent="0.3"/>
    <row r="32346" ht="14.4" x14ac:dyDescent="0.3"/>
    <row r="32347" ht="14.4" x14ac:dyDescent="0.3"/>
    <row r="32348" ht="14.4" x14ac:dyDescent="0.3"/>
    <row r="32349" ht="14.4" x14ac:dyDescent="0.3"/>
    <row r="32350" ht="14.4" x14ac:dyDescent="0.3"/>
    <row r="32351" ht="14.4" x14ac:dyDescent="0.3"/>
    <row r="32352" ht="14.4" x14ac:dyDescent="0.3"/>
    <row r="32353" ht="14.4" x14ac:dyDescent="0.3"/>
    <row r="32354" ht="14.4" x14ac:dyDescent="0.3"/>
    <row r="32355" ht="14.4" x14ac:dyDescent="0.3"/>
    <row r="32356" ht="14.4" x14ac:dyDescent="0.3"/>
    <row r="32357" ht="14.4" x14ac:dyDescent="0.3"/>
    <row r="32358" ht="14.4" x14ac:dyDescent="0.3"/>
    <row r="32359" ht="14.4" x14ac:dyDescent="0.3"/>
    <row r="32360" ht="14.4" x14ac:dyDescent="0.3"/>
    <row r="32361" ht="14.4" x14ac:dyDescent="0.3"/>
    <row r="32362" ht="14.4" x14ac:dyDescent="0.3"/>
    <row r="32363" ht="14.4" x14ac:dyDescent="0.3"/>
    <row r="32364" ht="14.4" x14ac:dyDescent="0.3"/>
    <row r="32365" ht="14.4" x14ac:dyDescent="0.3"/>
    <row r="32366" ht="14.4" x14ac:dyDescent="0.3"/>
    <row r="32367" ht="14.4" x14ac:dyDescent="0.3"/>
    <row r="32368" ht="14.4" x14ac:dyDescent="0.3"/>
    <row r="32369" ht="14.4" x14ac:dyDescent="0.3"/>
    <row r="32370" ht="14.4" x14ac:dyDescent="0.3"/>
    <row r="32371" ht="14.4" x14ac:dyDescent="0.3"/>
    <row r="32372" ht="14.4" x14ac:dyDescent="0.3"/>
    <row r="32373" ht="14.4" x14ac:dyDescent="0.3"/>
    <row r="32374" ht="14.4" x14ac:dyDescent="0.3"/>
    <row r="32375" ht="14.4" x14ac:dyDescent="0.3"/>
    <row r="32376" ht="14.4" x14ac:dyDescent="0.3"/>
    <row r="32377" ht="14.4" x14ac:dyDescent="0.3"/>
    <row r="32378" ht="14.4" x14ac:dyDescent="0.3"/>
    <row r="32379" ht="14.4" x14ac:dyDescent="0.3"/>
    <row r="32380" ht="14.4" x14ac:dyDescent="0.3"/>
    <row r="32381" ht="14.4" x14ac:dyDescent="0.3"/>
    <row r="32382" ht="14.4" x14ac:dyDescent="0.3"/>
    <row r="32383" ht="14.4" x14ac:dyDescent="0.3"/>
    <row r="32384" ht="14.4" x14ac:dyDescent="0.3"/>
    <row r="32385" ht="14.4" x14ac:dyDescent="0.3"/>
    <row r="32386" ht="14.4" x14ac:dyDescent="0.3"/>
    <row r="32387" ht="14.4" x14ac:dyDescent="0.3"/>
    <row r="32388" ht="14.4" x14ac:dyDescent="0.3"/>
    <row r="32389" ht="14.4" x14ac:dyDescent="0.3"/>
    <row r="32390" ht="14.4" x14ac:dyDescent="0.3"/>
    <row r="32391" ht="14.4" x14ac:dyDescent="0.3"/>
    <row r="32392" ht="14.4" x14ac:dyDescent="0.3"/>
    <row r="32393" ht="14.4" x14ac:dyDescent="0.3"/>
    <row r="32394" ht="14.4" x14ac:dyDescent="0.3"/>
    <row r="32395" ht="14.4" x14ac:dyDescent="0.3"/>
    <row r="32396" ht="14.4" x14ac:dyDescent="0.3"/>
    <row r="32397" ht="14.4" x14ac:dyDescent="0.3"/>
    <row r="32398" ht="14.4" x14ac:dyDescent="0.3"/>
    <row r="32399" ht="14.4" x14ac:dyDescent="0.3"/>
    <row r="32400" ht="14.4" x14ac:dyDescent="0.3"/>
    <row r="32401" ht="14.4" x14ac:dyDescent="0.3"/>
    <row r="32402" ht="14.4" x14ac:dyDescent="0.3"/>
    <row r="32403" ht="14.4" x14ac:dyDescent="0.3"/>
    <row r="32404" ht="14.4" x14ac:dyDescent="0.3"/>
    <row r="32405" ht="14.4" x14ac:dyDescent="0.3"/>
    <row r="32406" ht="14.4" x14ac:dyDescent="0.3"/>
    <row r="32407" ht="14.4" x14ac:dyDescent="0.3"/>
    <row r="32408" ht="14.4" x14ac:dyDescent="0.3"/>
    <row r="32409" ht="14.4" x14ac:dyDescent="0.3"/>
    <row r="32410" ht="14.4" x14ac:dyDescent="0.3"/>
    <row r="32411" ht="14.4" x14ac:dyDescent="0.3"/>
    <row r="32412" ht="14.4" x14ac:dyDescent="0.3"/>
    <row r="32413" ht="14.4" x14ac:dyDescent="0.3"/>
    <row r="32414" ht="14.4" x14ac:dyDescent="0.3"/>
    <row r="32415" ht="14.4" x14ac:dyDescent="0.3"/>
    <row r="32416" ht="14.4" x14ac:dyDescent="0.3"/>
    <row r="32417" ht="14.4" x14ac:dyDescent="0.3"/>
    <row r="32418" ht="14.4" x14ac:dyDescent="0.3"/>
    <row r="32419" ht="14.4" x14ac:dyDescent="0.3"/>
    <row r="32420" ht="14.4" x14ac:dyDescent="0.3"/>
    <row r="32421" ht="14.4" x14ac:dyDescent="0.3"/>
    <row r="32422" ht="14.4" x14ac:dyDescent="0.3"/>
    <row r="32423" ht="14.4" x14ac:dyDescent="0.3"/>
    <row r="32424" ht="14.4" x14ac:dyDescent="0.3"/>
    <row r="32425" ht="14.4" x14ac:dyDescent="0.3"/>
    <row r="32426" ht="14.4" x14ac:dyDescent="0.3"/>
    <row r="32427" ht="14.4" x14ac:dyDescent="0.3"/>
    <row r="32428" ht="14.4" x14ac:dyDescent="0.3"/>
    <row r="32429" ht="14.4" x14ac:dyDescent="0.3"/>
    <row r="32430" ht="14.4" x14ac:dyDescent="0.3"/>
    <row r="32431" ht="14.4" x14ac:dyDescent="0.3"/>
    <row r="32432" ht="14.4" x14ac:dyDescent="0.3"/>
    <row r="32433" ht="14.4" x14ac:dyDescent="0.3"/>
    <row r="32434" ht="14.4" x14ac:dyDescent="0.3"/>
    <row r="32435" ht="14.4" x14ac:dyDescent="0.3"/>
    <row r="32436" ht="14.4" x14ac:dyDescent="0.3"/>
    <row r="32437" ht="14.4" x14ac:dyDescent="0.3"/>
    <row r="32438" ht="14.4" x14ac:dyDescent="0.3"/>
    <row r="32439" ht="14.4" x14ac:dyDescent="0.3"/>
    <row r="32440" ht="14.4" x14ac:dyDescent="0.3"/>
    <row r="32441" ht="14.4" x14ac:dyDescent="0.3"/>
    <row r="32442" ht="14.4" x14ac:dyDescent="0.3"/>
    <row r="32443" ht="14.4" x14ac:dyDescent="0.3"/>
    <row r="32444" ht="14.4" x14ac:dyDescent="0.3"/>
    <row r="32445" ht="14.4" x14ac:dyDescent="0.3"/>
    <row r="32446" ht="14.4" x14ac:dyDescent="0.3"/>
    <row r="32447" ht="14.4" x14ac:dyDescent="0.3"/>
    <row r="32448" ht="14.4" x14ac:dyDescent="0.3"/>
    <row r="32449" ht="14.4" x14ac:dyDescent="0.3"/>
    <row r="32450" ht="14.4" x14ac:dyDescent="0.3"/>
    <row r="32451" ht="14.4" x14ac:dyDescent="0.3"/>
    <row r="32452" ht="14.4" x14ac:dyDescent="0.3"/>
    <row r="32453" ht="14.4" x14ac:dyDescent="0.3"/>
    <row r="32454" ht="14.4" x14ac:dyDescent="0.3"/>
    <row r="32455" ht="14.4" x14ac:dyDescent="0.3"/>
    <row r="32456" ht="14.4" x14ac:dyDescent="0.3"/>
    <row r="32457" ht="14.4" x14ac:dyDescent="0.3"/>
    <row r="32458" ht="14.4" x14ac:dyDescent="0.3"/>
    <row r="32459" ht="14.4" x14ac:dyDescent="0.3"/>
    <row r="32460" ht="14.4" x14ac:dyDescent="0.3"/>
    <row r="32461" ht="14.4" x14ac:dyDescent="0.3"/>
    <row r="32462" ht="14.4" x14ac:dyDescent="0.3"/>
    <row r="32463" ht="14.4" x14ac:dyDescent="0.3"/>
    <row r="32464" ht="14.4" x14ac:dyDescent="0.3"/>
    <row r="32465" ht="14.4" x14ac:dyDescent="0.3"/>
    <row r="32466" ht="14.4" x14ac:dyDescent="0.3"/>
    <row r="32467" ht="14.4" x14ac:dyDescent="0.3"/>
    <row r="32468" ht="14.4" x14ac:dyDescent="0.3"/>
    <row r="32469" ht="14.4" x14ac:dyDescent="0.3"/>
    <row r="32470" ht="14.4" x14ac:dyDescent="0.3"/>
    <row r="32471" ht="14.4" x14ac:dyDescent="0.3"/>
    <row r="32472" ht="14.4" x14ac:dyDescent="0.3"/>
    <row r="32473" ht="14.4" x14ac:dyDescent="0.3"/>
    <row r="32474" ht="14.4" x14ac:dyDescent="0.3"/>
    <row r="32475" ht="14.4" x14ac:dyDescent="0.3"/>
    <row r="32476" ht="14.4" x14ac:dyDescent="0.3"/>
    <row r="32477" ht="14.4" x14ac:dyDescent="0.3"/>
    <row r="32478" ht="14.4" x14ac:dyDescent="0.3"/>
    <row r="32479" ht="14.4" x14ac:dyDescent="0.3"/>
    <row r="32480" ht="14.4" x14ac:dyDescent="0.3"/>
    <row r="32481" ht="14.4" x14ac:dyDescent="0.3"/>
    <row r="32482" ht="14.4" x14ac:dyDescent="0.3"/>
    <row r="32483" ht="14.4" x14ac:dyDescent="0.3"/>
    <row r="32484" ht="14.4" x14ac:dyDescent="0.3"/>
    <row r="32485" ht="14.4" x14ac:dyDescent="0.3"/>
    <row r="32486" ht="14.4" x14ac:dyDescent="0.3"/>
    <row r="32487" ht="14.4" x14ac:dyDescent="0.3"/>
    <row r="32488" ht="14.4" x14ac:dyDescent="0.3"/>
    <row r="32489" ht="14.4" x14ac:dyDescent="0.3"/>
    <row r="32490" ht="14.4" x14ac:dyDescent="0.3"/>
    <row r="32491" ht="14.4" x14ac:dyDescent="0.3"/>
    <row r="32492" ht="14.4" x14ac:dyDescent="0.3"/>
    <row r="32493" ht="14.4" x14ac:dyDescent="0.3"/>
    <row r="32494" ht="14.4" x14ac:dyDescent="0.3"/>
    <row r="32495" ht="14.4" x14ac:dyDescent="0.3"/>
    <row r="32496" ht="14.4" x14ac:dyDescent="0.3"/>
    <row r="32497" ht="14.4" x14ac:dyDescent="0.3"/>
    <row r="32498" ht="14.4" x14ac:dyDescent="0.3"/>
    <row r="32499" ht="14.4" x14ac:dyDescent="0.3"/>
    <row r="32500" ht="14.4" x14ac:dyDescent="0.3"/>
    <row r="32501" ht="14.4" x14ac:dyDescent="0.3"/>
    <row r="32502" ht="14.4" x14ac:dyDescent="0.3"/>
    <row r="32503" ht="14.4" x14ac:dyDescent="0.3"/>
    <row r="32504" ht="14.4" x14ac:dyDescent="0.3"/>
    <row r="32505" ht="14.4" x14ac:dyDescent="0.3"/>
    <row r="32506" ht="14.4" x14ac:dyDescent="0.3"/>
    <row r="32507" ht="14.4" x14ac:dyDescent="0.3"/>
    <row r="32508" ht="14.4" x14ac:dyDescent="0.3"/>
    <row r="32509" ht="14.4" x14ac:dyDescent="0.3"/>
    <row r="32510" ht="14.4" x14ac:dyDescent="0.3"/>
    <row r="32511" ht="14.4" x14ac:dyDescent="0.3"/>
    <row r="32512" ht="14.4" x14ac:dyDescent="0.3"/>
    <row r="32513" ht="14.4" x14ac:dyDescent="0.3"/>
    <row r="32514" ht="14.4" x14ac:dyDescent="0.3"/>
    <row r="32515" ht="14.4" x14ac:dyDescent="0.3"/>
    <row r="32516" ht="14.4" x14ac:dyDescent="0.3"/>
    <row r="32517" ht="14.4" x14ac:dyDescent="0.3"/>
    <row r="32518" ht="14.4" x14ac:dyDescent="0.3"/>
    <row r="32519" ht="14.4" x14ac:dyDescent="0.3"/>
    <row r="32520" ht="14.4" x14ac:dyDescent="0.3"/>
    <row r="32521" ht="14.4" x14ac:dyDescent="0.3"/>
    <row r="32522" ht="14.4" x14ac:dyDescent="0.3"/>
    <row r="32523" ht="14.4" x14ac:dyDescent="0.3"/>
    <row r="32524" ht="14.4" x14ac:dyDescent="0.3"/>
    <row r="32525" ht="14.4" x14ac:dyDescent="0.3"/>
    <row r="32526" ht="14.4" x14ac:dyDescent="0.3"/>
    <row r="32527" ht="14.4" x14ac:dyDescent="0.3"/>
    <row r="32528" ht="14.4" x14ac:dyDescent="0.3"/>
    <row r="32529" ht="14.4" x14ac:dyDescent="0.3"/>
    <row r="32530" ht="14.4" x14ac:dyDescent="0.3"/>
    <row r="32531" ht="14.4" x14ac:dyDescent="0.3"/>
    <row r="32532" ht="14.4" x14ac:dyDescent="0.3"/>
    <row r="32533" ht="14.4" x14ac:dyDescent="0.3"/>
    <row r="32534" ht="14.4" x14ac:dyDescent="0.3"/>
    <row r="32535" ht="14.4" x14ac:dyDescent="0.3"/>
    <row r="32536" ht="14.4" x14ac:dyDescent="0.3"/>
    <row r="32537" ht="14.4" x14ac:dyDescent="0.3"/>
    <row r="32538" ht="14.4" x14ac:dyDescent="0.3"/>
    <row r="32539" ht="14.4" x14ac:dyDescent="0.3"/>
    <row r="32540" ht="14.4" x14ac:dyDescent="0.3"/>
    <row r="32541" ht="14.4" x14ac:dyDescent="0.3"/>
    <row r="32542" ht="14.4" x14ac:dyDescent="0.3"/>
    <row r="32543" ht="14.4" x14ac:dyDescent="0.3"/>
    <row r="32544" ht="14.4" x14ac:dyDescent="0.3"/>
    <row r="32545" ht="14.4" x14ac:dyDescent="0.3"/>
    <row r="32546" ht="14.4" x14ac:dyDescent="0.3"/>
    <row r="32547" ht="14.4" x14ac:dyDescent="0.3"/>
    <row r="32548" ht="14.4" x14ac:dyDescent="0.3"/>
    <row r="32549" ht="14.4" x14ac:dyDescent="0.3"/>
    <row r="32550" ht="14.4" x14ac:dyDescent="0.3"/>
    <row r="32551" ht="14.4" x14ac:dyDescent="0.3"/>
    <row r="32552" ht="14.4" x14ac:dyDescent="0.3"/>
    <row r="32553" ht="14.4" x14ac:dyDescent="0.3"/>
    <row r="32554" ht="14.4" x14ac:dyDescent="0.3"/>
    <row r="32555" ht="14.4" x14ac:dyDescent="0.3"/>
    <row r="32556" ht="14.4" x14ac:dyDescent="0.3"/>
    <row r="32557" ht="14.4" x14ac:dyDescent="0.3"/>
    <row r="32558" ht="14.4" x14ac:dyDescent="0.3"/>
    <row r="32559" ht="14.4" x14ac:dyDescent="0.3"/>
    <row r="32560" ht="14.4" x14ac:dyDescent="0.3"/>
    <row r="32561" ht="14.4" x14ac:dyDescent="0.3"/>
    <row r="32562" ht="14.4" x14ac:dyDescent="0.3"/>
    <row r="32563" ht="14.4" x14ac:dyDescent="0.3"/>
    <row r="32564" ht="14.4" x14ac:dyDescent="0.3"/>
    <row r="32565" ht="14.4" x14ac:dyDescent="0.3"/>
    <row r="32566" ht="14.4" x14ac:dyDescent="0.3"/>
    <row r="32567" ht="14.4" x14ac:dyDescent="0.3"/>
    <row r="32568" ht="14.4" x14ac:dyDescent="0.3"/>
    <row r="32569" ht="14.4" x14ac:dyDescent="0.3"/>
    <row r="32570" ht="14.4" x14ac:dyDescent="0.3"/>
    <row r="32571" ht="14.4" x14ac:dyDescent="0.3"/>
    <row r="32572" ht="14.4" x14ac:dyDescent="0.3"/>
    <row r="32573" ht="14.4" x14ac:dyDescent="0.3"/>
    <row r="32574" ht="14.4" x14ac:dyDescent="0.3"/>
    <row r="32575" ht="14.4" x14ac:dyDescent="0.3"/>
    <row r="32576" ht="14.4" x14ac:dyDescent="0.3"/>
    <row r="32577" ht="14.4" x14ac:dyDescent="0.3"/>
    <row r="32578" ht="14.4" x14ac:dyDescent="0.3"/>
    <row r="32579" ht="14.4" x14ac:dyDescent="0.3"/>
    <row r="32580" ht="14.4" x14ac:dyDescent="0.3"/>
    <row r="32581" ht="14.4" x14ac:dyDescent="0.3"/>
    <row r="32582" ht="14.4" x14ac:dyDescent="0.3"/>
    <row r="32583" ht="14.4" x14ac:dyDescent="0.3"/>
    <row r="32584" ht="14.4" x14ac:dyDescent="0.3"/>
    <row r="32585" ht="14.4" x14ac:dyDescent="0.3"/>
    <row r="32586" ht="14.4" x14ac:dyDescent="0.3"/>
    <row r="32587" ht="14.4" x14ac:dyDescent="0.3"/>
    <row r="32588" ht="14.4" x14ac:dyDescent="0.3"/>
    <row r="32589" ht="14.4" x14ac:dyDescent="0.3"/>
    <row r="32590" ht="14.4" x14ac:dyDescent="0.3"/>
    <row r="32591" ht="14.4" x14ac:dyDescent="0.3"/>
    <row r="32592" ht="14.4" x14ac:dyDescent="0.3"/>
    <row r="32593" ht="14.4" x14ac:dyDescent="0.3"/>
    <row r="32594" ht="14.4" x14ac:dyDescent="0.3"/>
    <row r="32595" ht="14.4" x14ac:dyDescent="0.3"/>
    <row r="32596" ht="14.4" x14ac:dyDescent="0.3"/>
    <row r="32597" ht="14.4" x14ac:dyDescent="0.3"/>
    <row r="32598" ht="14.4" x14ac:dyDescent="0.3"/>
    <row r="32599" ht="14.4" x14ac:dyDescent="0.3"/>
    <row r="32600" ht="14.4" x14ac:dyDescent="0.3"/>
    <row r="32601" ht="14.4" x14ac:dyDescent="0.3"/>
    <row r="32602" ht="14.4" x14ac:dyDescent="0.3"/>
    <row r="32603" ht="14.4" x14ac:dyDescent="0.3"/>
    <row r="32604" ht="14.4" x14ac:dyDescent="0.3"/>
    <row r="32605" ht="14.4" x14ac:dyDescent="0.3"/>
    <row r="32606" ht="14.4" x14ac:dyDescent="0.3"/>
    <row r="32607" ht="14.4" x14ac:dyDescent="0.3"/>
    <row r="32608" ht="14.4" x14ac:dyDescent="0.3"/>
    <row r="32609" ht="14.4" x14ac:dyDescent="0.3"/>
    <row r="32610" ht="14.4" x14ac:dyDescent="0.3"/>
    <row r="32611" ht="14.4" x14ac:dyDescent="0.3"/>
    <row r="32612" ht="14.4" x14ac:dyDescent="0.3"/>
    <row r="32613" ht="14.4" x14ac:dyDescent="0.3"/>
    <row r="32614" ht="14.4" x14ac:dyDescent="0.3"/>
    <row r="32615" ht="14.4" x14ac:dyDescent="0.3"/>
    <row r="32616" ht="14.4" x14ac:dyDescent="0.3"/>
    <row r="32617" ht="14.4" x14ac:dyDescent="0.3"/>
    <row r="32618" ht="14.4" x14ac:dyDescent="0.3"/>
    <row r="32619" ht="14.4" x14ac:dyDescent="0.3"/>
    <row r="32620" ht="14.4" x14ac:dyDescent="0.3"/>
    <row r="32621" ht="14.4" x14ac:dyDescent="0.3"/>
    <row r="32622" ht="14.4" x14ac:dyDescent="0.3"/>
    <row r="32623" ht="14.4" x14ac:dyDescent="0.3"/>
    <row r="32624" ht="14.4" x14ac:dyDescent="0.3"/>
    <row r="32625" ht="14.4" x14ac:dyDescent="0.3"/>
    <row r="32626" ht="14.4" x14ac:dyDescent="0.3"/>
    <row r="32627" ht="14.4" x14ac:dyDescent="0.3"/>
    <row r="32628" ht="14.4" x14ac:dyDescent="0.3"/>
    <row r="32629" ht="14.4" x14ac:dyDescent="0.3"/>
    <row r="32630" ht="14.4" x14ac:dyDescent="0.3"/>
    <row r="32631" ht="14.4" x14ac:dyDescent="0.3"/>
    <row r="32632" ht="14.4" x14ac:dyDescent="0.3"/>
    <row r="32633" ht="14.4" x14ac:dyDescent="0.3"/>
    <row r="32634" ht="14.4" x14ac:dyDescent="0.3"/>
    <row r="32635" ht="14.4" x14ac:dyDescent="0.3"/>
    <row r="32636" ht="14.4" x14ac:dyDescent="0.3"/>
    <row r="32637" ht="14.4" x14ac:dyDescent="0.3"/>
    <row r="32638" ht="14.4" x14ac:dyDescent="0.3"/>
    <row r="32639" ht="14.4" x14ac:dyDescent="0.3"/>
    <row r="32640" ht="14.4" x14ac:dyDescent="0.3"/>
    <row r="32641" ht="14.4" x14ac:dyDescent="0.3"/>
    <row r="32642" ht="14.4" x14ac:dyDescent="0.3"/>
    <row r="32643" ht="14.4" x14ac:dyDescent="0.3"/>
    <row r="32644" ht="14.4" x14ac:dyDescent="0.3"/>
    <row r="32645" ht="14.4" x14ac:dyDescent="0.3"/>
    <row r="32646" ht="14.4" x14ac:dyDescent="0.3"/>
    <row r="32647" ht="14.4" x14ac:dyDescent="0.3"/>
    <row r="32648" ht="14.4" x14ac:dyDescent="0.3"/>
    <row r="32649" ht="14.4" x14ac:dyDescent="0.3"/>
    <row r="32650" ht="14.4" x14ac:dyDescent="0.3"/>
    <row r="32651" ht="14.4" x14ac:dyDescent="0.3"/>
    <row r="32652" ht="14.4" x14ac:dyDescent="0.3"/>
    <row r="32653" ht="14.4" x14ac:dyDescent="0.3"/>
    <row r="32654" ht="14.4" x14ac:dyDescent="0.3"/>
    <row r="32655" ht="14.4" x14ac:dyDescent="0.3"/>
    <row r="32656" ht="14.4" x14ac:dyDescent="0.3"/>
    <row r="32657" ht="14.4" x14ac:dyDescent="0.3"/>
    <row r="32658" ht="14.4" x14ac:dyDescent="0.3"/>
    <row r="32659" ht="14.4" x14ac:dyDescent="0.3"/>
    <row r="32660" ht="14.4" x14ac:dyDescent="0.3"/>
    <row r="32661" ht="14.4" x14ac:dyDescent="0.3"/>
    <row r="32662" ht="14.4" x14ac:dyDescent="0.3"/>
    <row r="32663" ht="14.4" x14ac:dyDescent="0.3"/>
    <row r="32664" ht="14.4" x14ac:dyDescent="0.3"/>
    <row r="32665" ht="14.4" x14ac:dyDescent="0.3"/>
    <row r="32666" ht="14.4" x14ac:dyDescent="0.3"/>
    <row r="32667" ht="14.4" x14ac:dyDescent="0.3"/>
    <row r="32668" ht="14.4" x14ac:dyDescent="0.3"/>
    <row r="32669" ht="14.4" x14ac:dyDescent="0.3"/>
    <row r="32670" ht="14.4" x14ac:dyDescent="0.3"/>
    <row r="32671" ht="14.4" x14ac:dyDescent="0.3"/>
    <row r="32672" ht="14.4" x14ac:dyDescent="0.3"/>
    <row r="32673" ht="14.4" x14ac:dyDescent="0.3"/>
    <row r="32674" ht="14.4" x14ac:dyDescent="0.3"/>
    <row r="32675" ht="14.4" x14ac:dyDescent="0.3"/>
    <row r="32676" ht="14.4" x14ac:dyDescent="0.3"/>
    <row r="32677" ht="14.4" x14ac:dyDescent="0.3"/>
    <row r="32678" ht="14.4" x14ac:dyDescent="0.3"/>
    <row r="32679" ht="14.4" x14ac:dyDescent="0.3"/>
    <row r="32680" ht="14.4" x14ac:dyDescent="0.3"/>
    <row r="32681" ht="14.4" x14ac:dyDescent="0.3"/>
    <row r="32682" ht="14.4" x14ac:dyDescent="0.3"/>
    <row r="32683" ht="14.4" x14ac:dyDescent="0.3"/>
    <row r="32684" ht="14.4" x14ac:dyDescent="0.3"/>
    <row r="32685" ht="14.4" x14ac:dyDescent="0.3"/>
    <row r="32686" ht="14.4" x14ac:dyDescent="0.3"/>
    <row r="32687" ht="14.4" x14ac:dyDescent="0.3"/>
    <row r="32688" ht="14.4" x14ac:dyDescent="0.3"/>
    <row r="32689" ht="14.4" x14ac:dyDescent="0.3"/>
    <row r="32690" ht="14.4" x14ac:dyDescent="0.3"/>
    <row r="32691" ht="14.4" x14ac:dyDescent="0.3"/>
    <row r="32692" ht="14.4" x14ac:dyDescent="0.3"/>
    <row r="32693" ht="14.4" x14ac:dyDescent="0.3"/>
    <row r="32694" ht="14.4" x14ac:dyDescent="0.3"/>
    <row r="32695" ht="14.4" x14ac:dyDescent="0.3"/>
    <row r="32696" ht="14.4" x14ac:dyDescent="0.3"/>
    <row r="32697" ht="14.4" x14ac:dyDescent="0.3"/>
    <row r="32698" ht="14.4" x14ac:dyDescent="0.3"/>
    <row r="32699" ht="14.4" x14ac:dyDescent="0.3"/>
    <row r="32700" ht="14.4" x14ac:dyDescent="0.3"/>
    <row r="32701" ht="14.4" x14ac:dyDescent="0.3"/>
    <row r="32702" ht="14.4" x14ac:dyDescent="0.3"/>
    <row r="32703" ht="14.4" x14ac:dyDescent="0.3"/>
    <row r="32704" ht="14.4" x14ac:dyDescent="0.3"/>
    <row r="32705" ht="14.4" x14ac:dyDescent="0.3"/>
    <row r="32706" ht="14.4" x14ac:dyDescent="0.3"/>
    <row r="32707" ht="14.4" x14ac:dyDescent="0.3"/>
    <row r="32708" ht="14.4" x14ac:dyDescent="0.3"/>
    <row r="32709" ht="14.4" x14ac:dyDescent="0.3"/>
    <row r="32710" ht="14.4" x14ac:dyDescent="0.3"/>
    <row r="32711" ht="14.4" x14ac:dyDescent="0.3"/>
    <row r="32712" ht="14.4" x14ac:dyDescent="0.3"/>
    <row r="32713" ht="14.4" x14ac:dyDescent="0.3"/>
    <row r="32714" ht="14.4" x14ac:dyDescent="0.3"/>
    <row r="32715" ht="14.4" x14ac:dyDescent="0.3"/>
    <row r="32716" ht="14.4" x14ac:dyDescent="0.3"/>
    <row r="32717" ht="14.4" x14ac:dyDescent="0.3"/>
    <row r="32718" ht="14.4" x14ac:dyDescent="0.3"/>
    <row r="32719" ht="14.4" x14ac:dyDescent="0.3"/>
    <row r="32720" ht="14.4" x14ac:dyDescent="0.3"/>
    <row r="32721" ht="14.4" x14ac:dyDescent="0.3"/>
    <row r="32722" ht="14.4" x14ac:dyDescent="0.3"/>
    <row r="32723" ht="14.4" x14ac:dyDescent="0.3"/>
    <row r="32724" ht="14.4" x14ac:dyDescent="0.3"/>
    <row r="32725" ht="14.4" x14ac:dyDescent="0.3"/>
    <row r="32726" ht="14.4" x14ac:dyDescent="0.3"/>
    <row r="32727" ht="14.4" x14ac:dyDescent="0.3"/>
    <row r="32728" ht="14.4" x14ac:dyDescent="0.3"/>
    <row r="32729" ht="14.4" x14ac:dyDescent="0.3"/>
    <row r="32730" ht="14.4" x14ac:dyDescent="0.3"/>
    <row r="32731" ht="14.4" x14ac:dyDescent="0.3"/>
    <row r="32732" ht="14.4" x14ac:dyDescent="0.3"/>
    <row r="32733" ht="14.4" x14ac:dyDescent="0.3"/>
    <row r="32734" ht="14.4" x14ac:dyDescent="0.3"/>
    <row r="32735" ht="14.4" x14ac:dyDescent="0.3"/>
    <row r="32736" ht="14.4" x14ac:dyDescent="0.3"/>
    <row r="32737" ht="14.4" x14ac:dyDescent="0.3"/>
    <row r="32738" ht="14.4" x14ac:dyDescent="0.3"/>
    <row r="32739" ht="14.4" x14ac:dyDescent="0.3"/>
    <row r="32740" ht="14.4" x14ac:dyDescent="0.3"/>
    <row r="32741" ht="14.4" x14ac:dyDescent="0.3"/>
    <row r="32742" ht="14.4" x14ac:dyDescent="0.3"/>
    <row r="32743" ht="14.4" x14ac:dyDescent="0.3"/>
    <row r="32744" ht="14.4" x14ac:dyDescent="0.3"/>
    <row r="32745" ht="14.4" x14ac:dyDescent="0.3"/>
    <row r="32746" ht="14.4" x14ac:dyDescent="0.3"/>
    <row r="32747" ht="14.4" x14ac:dyDescent="0.3"/>
    <row r="32748" ht="14.4" x14ac:dyDescent="0.3"/>
    <row r="32749" ht="14.4" x14ac:dyDescent="0.3"/>
    <row r="32750" ht="14.4" x14ac:dyDescent="0.3"/>
    <row r="32751" ht="14.4" x14ac:dyDescent="0.3"/>
    <row r="32752" ht="14.4" x14ac:dyDescent="0.3"/>
    <row r="32753" ht="14.4" x14ac:dyDescent="0.3"/>
    <row r="32754" ht="14.4" x14ac:dyDescent="0.3"/>
    <row r="32755" ht="14.4" x14ac:dyDescent="0.3"/>
    <row r="32756" ht="14.4" x14ac:dyDescent="0.3"/>
    <row r="32757" ht="14.4" x14ac:dyDescent="0.3"/>
    <row r="32758" ht="14.4" x14ac:dyDescent="0.3"/>
    <row r="32759" ht="14.4" x14ac:dyDescent="0.3"/>
    <row r="32760" ht="14.4" x14ac:dyDescent="0.3"/>
    <row r="32761" ht="14.4" x14ac:dyDescent="0.3"/>
    <row r="32762" ht="14.4" x14ac:dyDescent="0.3"/>
    <row r="32763" ht="14.4" x14ac:dyDescent="0.3"/>
    <row r="32764" ht="14.4" x14ac:dyDescent="0.3"/>
    <row r="32765" ht="14.4" x14ac:dyDescent="0.3"/>
    <row r="32766" ht="14.4" x14ac:dyDescent="0.3"/>
    <row r="32767" ht="14.4" x14ac:dyDescent="0.3"/>
    <row r="32768" ht="14.4" x14ac:dyDescent="0.3"/>
    <row r="32769" ht="14.4" x14ac:dyDescent="0.3"/>
    <row r="32770" ht="14.4" x14ac:dyDescent="0.3"/>
    <row r="32771" ht="14.4" x14ac:dyDescent="0.3"/>
    <row r="32772" ht="14.4" x14ac:dyDescent="0.3"/>
    <row r="32773" ht="14.4" x14ac:dyDescent="0.3"/>
    <row r="32774" ht="14.4" x14ac:dyDescent="0.3"/>
    <row r="32775" ht="14.4" x14ac:dyDescent="0.3"/>
    <row r="32776" ht="14.4" x14ac:dyDescent="0.3"/>
    <row r="32777" ht="14.4" x14ac:dyDescent="0.3"/>
    <row r="32778" ht="14.4" x14ac:dyDescent="0.3"/>
    <row r="32779" ht="14.4" x14ac:dyDescent="0.3"/>
    <row r="32780" ht="14.4" x14ac:dyDescent="0.3"/>
    <row r="32781" ht="14.4" x14ac:dyDescent="0.3"/>
    <row r="32782" ht="14.4" x14ac:dyDescent="0.3"/>
    <row r="32783" ht="14.4" x14ac:dyDescent="0.3"/>
    <row r="32784" ht="14.4" x14ac:dyDescent="0.3"/>
    <row r="32785" ht="14.4" x14ac:dyDescent="0.3"/>
    <row r="32786" ht="14.4" x14ac:dyDescent="0.3"/>
    <row r="32787" ht="14.4" x14ac:dyDescent="0.3"/>
    <row r="32788" ht="14.4" x14ac:dyDescent="0.3"/>
    <row r="32789" ht="14.4" x14ac:dyDescent="0.3"/>
    <row r="32790" ht="14.4" x14ac:dyDescent="0.3"/>
    <row r="32791" ht="14.4" x14ac:dyDescent="0.3"/>
    <row r="32792" ht="14.4" x14ac:dyDescent="0.3"/>
    <row r="32793" ht="14.4" x14ac:dyDescent="0.3"/>
    <row r="32794" ht="14.4" x14ac:dyDescent="0.3"/>
    <row r="32795" ht="14.4" x14ac:dyDescent="0.3"/>
    <row r="32796" ht="14.4" x14ac:dyDescent="0.3"/>
    <row r="32797" ht="14.4" x14ac:dyDescent="0.3"/>
    <row r="32798" ht="14.4" x14ac:dyDescent="0.3"/>
    <row r="32799" ht="14.4" x14ac:dyDescent="0.3"/>
    <row r="32800" ht="14.4" x14ac:dyDescent="0.3"/>
    <row r="32801" ht="14.4" x14ac:dyDescent="0.3"/>
    <row r="32802" ht="14.4" x14ac:dyDescent="0.3"/>
    <row r="32803" ht="14.4" x14ac:dyDescent="0.3"/>
    <row r="32804" ht="14.4" x14ac:dyDescent="0.3"/>
    <row r="32805" ht="14.4" x14ac:dyDescent="0.3"/>
    <row r="32806" ht="14.4" x14ac:dyDescent="0.3"/>
    <row r="32807" ht="14.4" x14ac:dyDescent="0.3"/>
    <row r="32808" ht="14.4" x14ac:dyDescent="0.3"/>
    <row r="32809" ht="14.4" x14ac:dyDescent="0.3"/>
    <row r="32810" ht="14.4" x14ac:dyDescent="0.3"/>
    <row r="32811" ht="14.4" x14ac:dyDescent="0.3"/>
    <row r="32812" ht="14.4" x14ac:dyDescent="0.3"/>
    <row r="32813" ht="14.4" x14ac:dyDescent="0.3"/>
    <row r="32814" ht="14.4" x14ac:dyDescent="0.3"/>
    <row r="32815" ht="14.4" x14ac:dyDescent="0.3"/>
    <row r="32816" ht="14.4" x14ac:dyDescent="0.3"/>
    <row r="32817" ht="14.4" x14ac:dyDescent="0.3"/>
    <row r="32818" ht="14.4" x14ac:dyDescent="0.3"/>
    <row r="32819" ht="14.4" x14ac:dyDescent="0.3"/>
    <row r="32820" ht="14.4" x14ac:dyDescent="0.3"/>
    <row r="32821" ht="14.4" x14ac:dyDescent="0.3"/>
    <row r="32822" ht="14.4" x14ac:dyDescent="0.3"/>
    <row r="32823" ht="14.4" x14ac:dyDescent="0.3"/>
    <row r="32824" ht="14.4" x14ac:dyDescent="0.3"/>
    <row r="32825" ht="14.4" x14ac:dyDescent="0.3"/>
    <row r="32826" ht="14.4" x14ac:dyDescent="0.3"/>
    <row r="32827" ht="14.4" x14ac:dyDescent="0.3"/>
    <row r="32828" ht="14.4" x14ac:dyDescent="0.3"/>
    <row r="32829" ht="14.4" x14ac:dyDescent="0.3"/>
    <row r="32830" ht="14.4" x14ac:dyDescent="0.3"/>
    <row r="32831" ht="14.4" x14ac:dyDescent="0.3"/>
    <row r="32832" ht="14.4" x14ac:dyDescent="0.3"/>
    <row r="32833" ht="14.4" x14ac:dyDescent="0.3"/>
    <row r="32834" ht="14.4" x14ac:dyDescent="0.3"/>
    <row r="32835" ht="14.4" x14ac:dyDescent="0.3"/>
    <row r="32836" ht="14.4" x14ac:dyDescent="0.3"/>
    <row r="32837" ht="14.4" x14ac:dyDescent="0.3"/>
    <row r="32838" ht="14.4" x14ac:dyDescent="0.3"/>
    <row r="32839" ht="14.4" x14ac:dyDescent="0.3"/>
    <row r="32840" ht="14.4" x14ac:dyDescent="0.3"/>
    <row r="32841" ht="14.4" x14ac:dyDescent="0.3"/>
    <row r="32842" ht="14.4" x14ac:dyDescent="0.3"/>
    <row r="32843" ht="14.4" x14ac:dyDescent="0.3"/>
    <row r="32844" ht="14.4" x14ac:dyDescent="0.3"/>
    <row r="32845" ht="14.4" x14ac:dyDescent="0.3"/>
    <row r="32846" ht="14.4" x14ac:dyDescent="0.3"/>
    <row r="32847" ht="14.4" x14ac:dyDescent="0.3"/>
    <row r="32848" ht="14.4" x14ac:dyDescent="0.3"/>
    <row r="32849" ht="14.4" x14ac:dyDescent="0.3"/>
    <row r="32850" ht="14.4" x14ac:dyDescent="0.3"/>
    <row r="32851" ht="14.4" x14ac:dyDescent="0.3"/>
    <row r="32852" ht="14.4" x14ac:dyDescent="0.3"/>
    <row r="32853" ht="14.4" x14ac:dyDescent="0.3"/>
    <row r="32854" ht="14.4" x14ac:dyDescent="0.3"/>
    <row r="32855" ht="14.4" x14ac:dyDescent="0.3"/>
    <row r="32856" ht="14.4" x14ac:dyDescent="0.3"/>
    <row r="32857" ht="14.4" x14ac:dyDescent="0.3"/>
    <row r="32858" ht="14.4" x14ac:dyDescent="0.3"/>
    <row r="32859" ht="14.4" x14ac:dyDescent="0.3"/>
    <row r="32860" ht="14.4" x14ac:dyDescent="0.3"/>
    <row r="32861" ht="14.4" x14ac:dyDescent="0.3"/>
    <row r="32862" ht="14.4" x14ac:dyDescent="0.3"/>
    <row r="32863" ht="14.4" x14ac:dyDescent="0.3"/>
    <row r="32864" ht="14.4" x14ac:dyDescent="0.3"/>
    <row r="32865" ht="14.4" x14ac:dyDescent="0.3"/>
    <row r="32866" ht="14.4" x14ac:dyDescent="0.3"/>
    <row r="32867" ht="14.4" x14ac:dyDescent="0.3"/>
    <row r="32868" ht="14.4" x14ac:dyDescent="0.3"/>
    <row r="32869" ht="14.4" x14ac:dyDescent="0.3"/>
    <row r="32870" ht="14.4" x14ac:dyDescent="0.3"/>
    <row r="32871" ht="14.4" x14ac:dyDescent="0.3"/>
    <row r="32872" ht="14.4" x14ac:dyDescent="0.3"/>
    <row r="32873" ht="14.4" x14ac:dyDescent="0.3"/>
    <row r="32874" ht="14.4" x14ac:dyDescent="0.3"/>
    <row r="32875" ht="14.4" x14ac:dyDescent="0.3"/>
    <row r="32876" ht="14.4" x14ac:dyDescent="0.3"/>
    <row r="32877" ht="14.4" x14ac:dyDescent="0.3"/>
    <row r="32878" ht="14.4" x14ac:dyDescent="0.3"/>
    <row r="32879" ht="14.4" x14ac:dyDescent="0.3"/>
    <row r="32880" ht="14.4" x14ac:dyDescent="0.3"/>
    <row r="32881" ht="14.4" x14ac:dyDescent="0.3"/>
    <row r="32882" ht="14.4" x14ac:dyDescent="0.3"/>
    <row r="32883" ht="14.4" x14ac:dyDescent="0.3"/>
    <row r="32884" ht="14.4" x14ac:dyDescent="0.3"/>
    <row r="32885" ht="14.4" x14ac:dyDescent="0.3"/>
    <row r="32886" ht="14.4" x14ac:dyDescent="0.3"/>
    <row r="32887" ht="14.4" x14ac:dyDescent="0.3"/>
    <row r="32888" ht="14.4" x14ac:dyDescent="0.3"/>
    <row r="32889" ht="14.4" x14ac:dyDescent="0.3"/>
    <row r="32890" ht="14.4" x14ac:dyDescent="0.3"/>
    <row r="32891" ht="14.4" x14ac:dyDescent="0.3"/>
    <row r="32892" ht="14.4" x14ac:dyDescent="0.3"/>
    <row r="32893" ht="14.4" x14ac:dyDescent="0.3"/>
    <row r="32894" ht="14.4" x14ac:dyDescent="0.3"/>
    <row r="32895" ht="14.4" x14ac:dyDescent="0.3"/>
    <row r="32896" ht="14.4" x14ac:dyDescent="0.3"/>
    <row r="32897" ht="14.4" x14ac:dyDescent="0.3"/>
    <row r="32898" ht="14.4" x14ac:dyDescent="0.3"/>
    <row r="32899" ht="14.4" x14ac:dyDescent="0.3"/>
    <row r="32900" ht="14.4" x14ac:dyDescent="0.3"/>
    <row r="32901" ht="14.4" x14ac:dyDescent="0.3"/>
    <row r="32902" ht="14.4" x14ac:dyDescent="0.3"/>
    <row r="32903" ht="14.4" x14ac:dyDescent="0.3"/>
    <row r="32904" ht="14.4" x14ac:dyDescent="0.3"/>
    <row r="32905" ht="14.4" x14ac:dyDescent="0.3"/>
    <row r="32906" ht="14.4" x14ac:dyDescent="0.3"/>
    <row r="32907" ht="14.4" x14ac:dyDescent="0.3"/>
    <row r="32908" ht="14.4" x14ac:dyDescent="0.3"/>
    <row r="32909" ht="14.4" x14ac:dyDescent="0.3"/>
    <row r="32910" ht="14.4" x14ac:dyDescent="0.3"/>
    <row r="32911" ht="14.4" x14ac:dyDescent="0.3"/>
    <row r="32912" ht="14.4" x14ac:dyDescent="0.3"/>
    <row r="32913" ht="14.4" x14ac:dyDescent="0.3"/>
    <row r="32914" ht="14.4" x14ac:dyDescent="0.3"/>
    <row r="32915" ht="14.4" x14ac:dyDescent="0.3"/>
    <row r="32916" ht="14.4" x14ac:dyDescent="0.3"/>
    <row r="32917" ht="14.4" x14ac:dyDescent="0.3"/>
    <row r="32918" ht="14.4" x14ac:dyDescent="0.3"/>
    <row r="32919" ht="14.4" x14ac:dyDescent="0.3"/>
    <row r="32920" ht="14.4" x14ac:dyDescent="0.3"/>
    <row r="32921" ht="14.4" x14ac:dyDescent="0.3"/>
    <row r="32922" ht="14.4" x14ac:dyDescent="0.3"/>
    <row r="32923" ht="14.4" x14ac:dyDescent="0.3"/>
    <row r="32924" ht="14.4" x14ac:dyDescent="0.3"/>
    <row r="32925" ht="14.4" x14ac:dyDescent="0.3"/>
    <row r="32926" ht="14.4" x14ac:dyDescent="0.3"/>
    <row r="32927" ht="14.4" x14ac:dyDescent="0.3"/>
    <row r="32928" ht="14.4" x14ac:dyDescent="0.3"/>
    <row r="32929" ht="14.4" x14ac:dyDescent="0.3"/>
    <row r="32930" ht="14.4" x14ac:dyDescent="0.3"/>
    <row r="32931" ht="14.4" x14ac:dyDescent="0.3"/>
    <row r="32932" ht="14.4" x14ac:dyDescent="0.3"/>
    <row r="32933" ht="14.4" x14ac:dyDescent="0.3"/>
    <row r="32934" ht="14.4" x14ac:dyDescent="0.3"/>
    <row r="32935" ht="14.4" x14ac:dyDescent="0.3"/>
    <row r="32936" ht="14.4" x14ac:dyDescent="0.3"/>
    <row r="32937" ht="14.4" x14ac:dyDescent="0.3"/>
    <row r="32938" ht="14.4" x14ac:dyDescent="0.3"/>
    <row r="32939" ht="14.4" x14ac:dyDescent="0.3"/>
    <row r="32940" ht="14.4" x14ac:dyDescent="0.3"/>
    <row r="32941" ht="14.4" x14ac:dyDescent="0.3"/>
    <row r="32942" ht="14.4" x14ac:dyDescent="0.3"/>
    <row r="32943" ht="14.4" x14ac:dyDescent="0.3"/>
    <row r="32944" ht="14.4" x14ac:dyDescent="0.3"/>
    <row r="32945" ht="14.4" x14ac:dyDescent="0.3"/>
    <row r="32946" ht="14.4" x14ac:dyDescent="0.3"/>
    <row r="32947" ht="14.4" x14ac:dyDescent="0.3"/>
    <row r="32948" ht="14.4" x14ac:dyDescent="0.3"/>
    <row r="32949" ht="14.4" x14ac:dyDescent="0.3"/>
    <row r="32950" ht="14.4" x14ac:dyDescent="0.3"/>
    <row r="32951" ht="14.4" x14ac:dyDescent="0.3"/>
    <row r="32952" ht="14.4" x14ac:dyDescent="0.3"/>
    <row r="32953" ht="14.4" x14ac:dyDescent="0.3"/>
    <row r="32954" ht="14.4" x14ac:dyDescent="0.3"/>
    <row r="32955" ht="14.4" x14ac:dyDescent="0.3"/>
    <row r="32956" ht="14.4" x14ac:dyDescent="0.3"/>
    <row r="32957" ht="14.4" x14ac:dyDescent="0.3"/>
    <row r="32958" ht="14.4" x14ac:dyDescent="0.3"/>
    <row r="32959" ht="14.4" x14ac:dyDescent="0.3"/>
    <row r="32960" ht="14.4" x14ac:dyDescent="0.3"/>
    <row r="32961" ht="14.4" x14ac:dyDescent="0.3"/>
    <row r="32962" ht="14.4" x14ac:dyDescent="0.3"/>
    <row r="32963" ht="14.4" x14ac:dyDescent="0.3"/>
    <row r="32964" ht="14.4" x14ac:dyDescent="0.3"/>
    <row r="32965" ht="14.4" x14ac:dyDescent="0.3"/>
    <row r="32966" ht="14.4" x14ac:dyDescent="0.3"/>
    <row r="32967" ht="14.4" x14ac:dyDescent="0.3"/>
    <row r="32968" ht="14.4" x14ac:dyDescent="0.3"/>
    <row r="32969" ht="14.4" x14ac:dyDescent="0.3"/>
    <row r="32970" ht="14.4" x14ac:dyDescent="0.3"/>
    <row r="32971" ht="14.4" x14ac:dyDescent="0.3"/>
    <row r="32972" ht="14.4" x14ac:dyDescent="0.3"/>
    <row r="32973" ht="14.4" x14ac:dyDescent="0.3"/>
    <row r="32974" ht="14.4" x14ac:dyDescent="0.3"/>
    <row r="32975" ht="14.4" x14ac:dyDescent="0.3"/>
    <row r="32976" ht="14.4" x14ac:dyDescent="0.3"/>
    <row r="32977" ht="14.4" x14ac:dyDescent="0.3"/>
    <row r="32978" ht="14.4" x14ac:dyDescent="0.3"/>
    <row r="32979" ht="14.4" x14ac:dyDescent="0.3"/>
    <row r="32980" ht="14.4" x14ac:dyDescent="0.3"/>
    <row r="32981" ht="14.4" x14ac:dyDescent="0.3"/>
    <row r="32982" ht="14.4" x14ac:dyDescent="0.3"/>
    <row r="32983" ht="14.4" x14ac:dyDescent="0.3"/>
    <row r="32984" ht="14.4" x14ac:dyDescent="0.3"/>
    <row r="32985" ht="14.4" x14ac:dyDescent="0.3"/>
    <row r="32986" ht="14.4" x14ac:dyDescent="0.3"/>
    <row r="32987" ht="14.4" x14ac:dyDescent="0.3"/>
    <row r="32988" ht="14.4" x14ac:dyDescent="0.3"/>
    <row r="32989" ht="14.4" x14ac:dyDescent="0.3"/>
    <row r="32990" ht="14.4" x14ac:dyDescent="0.3"/>
    <row r="32991" ht="14.4" x14ac:dyDescent="0.3"/>
    <row r="32992" ht="14.4" x14ac:dyDescent="0.3"/>
    <row r="32993" ht="14.4" x14ac:dyDescent="0.3"/>
    <row r="32994" ht="14.4" x14ac:dyDescent="0.3"/>
    <row r="32995" ht="14.4" x14ac:dyDescent="0.3"/>
    <row r="32996" ht="14.4" x14ac:dyDescent="0.3"/>
    <row r="32997" ht="14.4" x14ac:dyDescent="0.3"/>
    <row r="32998" ht="14.4" x14ac:dyDescent="0.3"/>
    <row r="32999" ht="14.4" x14ac:dyDescent="0.3"/>
    <row r="33000" ht="14.4" x14ac:dyDescent="0.3"/>
    <row r="33001" ht="14.4" x14ac:dyDescent="0.3"/>
    <row r="33002" ht="14.4" x14ac:dyDescent="0.3"/>
    <row r="33003" ht="14.4" x14ac:dyDescent="0.3"/>
    <row r="33004" ht="14.4" x14ac:dyDescent="0.3"/>
    <row r="33005" ht="14.4" x14ac:dyDescent="0.3"/>
    <row r="33006" ht="14.4" x14ac:dyDescent="0.3"/>
    <row r="33007" ht="14.4" x14ac:dyDescent="0.3"/>
    <row r="33008" ht="14.4" x14ac:dyDescent="0.3"/>
    <row r="33009" ht="14.4" x14ac:dyDescent="0.3"/>
    <row r="33010" ht="14.4" x14ac:dyDescent="0.3"/>
    <row r="33011" ht="14.4" x14ac:dyDescent="0.3"/>
    <row r="33012" ht="14.4" x14ac:dyDescent="0.3"/>
    <row r="33013" ht="14.4" x14ac:dyDescent="0.3"/>
    <row r="33014" ht="14.4" x14ac:dyDescent="0.3"/>
    <row r="33015" ht="14.4" x14ac:dyDescent="0.3"/>
    <row r="33016" ht="14.4" x14ac:dyDescent="0.3"/>
    <row r="33017" ht="14.4" x14ac:dyDescent="0.3"/>
    <row r="33018" ht="14.4" x14ac:dyDescent="0.3"/>
    <row r="33019" ht="14.4" x14ac:dyDescent="0.3"/>
    <row r="33020" ht="14.4" x14ac:dyDescent="0.3"/>
    <row r="33021" ht="14.4" x14ac:dyDescent="0.3"/>
    <row r="33022" ht="14.4" x14ac:dyDescent="0.3"/>
    <row r="33023" ht="14.4" x14ac:dyDescent="0.3"/>
    <row r="33024" ht="14.4" x14ac:dyDescent="0.3"/>
    <row r="33025" ht="14.4" x14ac:dyDescent="0.3"/>
    <row r="33026" ht="14.4" x14ac:dyDescent="0.3"/>
    <row r="33027" ht="14.4" x14ac:dyDescent="0.3"/>
    <row r="33028" ht="14.4" x14ac:dyDescent="0.3"/>
    <row r="33029" ht="14.4" x14ac:dyDescent="0.3"/>
    <row r="33030" ht="14.4" x14ac:dyDescent="0.3"/>
    <row r="33031" ht="14.4" x14ac:dyDescent="0.3"/>
    <row r="33032" ht="14.4" x14ac:dyDescent="0.3"/>
    <row r="33033" ht="14.4" x14ac:dyDescent="0.3"/>
    <row r="33034" ht="14.4" x14ac:dyDescent="0.3"/>
    <row r="33035" ht="14.4" x14ac:dyDescent="0.3"/>
    <row r="33036" ht="14.4" x14ac:dyDescent="0.3"/>
    <row r="33037" ht="14.4" x14ac:dyDescent="0.3"/>
    <row r="33038" ht="14.4" x14ac:dyDescent="0.3"/>
    <row r="33039" ht="14.4" x14ac:dyDescent="0.3"/>
    <row r="33040" ht="14.4" x14ac:dyDescent="0.3"/>
    <row r="33041" ht="14.4" x14ac:dyDescent="0.3"/>
    <row r="33042" ht="14.4" x14ac:dyDescent="0.3"/>
    <row r="33043" ht="14.4" x14ac:dyDescent="0.3"/>
    <row r="33044" ht="14.4" x14ac:dyDescent="0.3"/>
    <row r="33045" ht="14.4" x14ac:dyDescent="0.3"/>
    <row r="33046" ht="14.4" x14ac:dyDescent="0.3"/>
    <row r="33047" ht="14.4" x14ac:dyDescent="0.3"/>
    <row r="33048" ht="14.4" x14ac:dyDescent="0.3"/>
    <row r="33049" ht="14.4" x14ac:dyDescent="0.3"/>
    <row r="33050" ht="14.4" x14ac:dyDescent="0.3"/>
    <row r="33051" ht="14.4" x14ac:dyDescent="0.3"/>
    <row r="33052" ht="14.4" x14ac:dyDescent="0.3"/>
    <row r="33053" ht="14.4" x14ac:dyDescent="0.3"/>
    <row r="33054" ht="14.4" x14ac:dyDescent="0.3"/>
    <row r="33055" ht="14.4" x14ac:dyDescent="0.3"/>
    <row r="33056" ht="14.4" x14ac:dyDescent="0.3"/>
    <row r="33057" ht="14.4" x14ac:dyDescent="0.3"/>
    <row r="33058" ht="14.4" x14ac:dyDescent="0.3"/>
    <row r="33059" ht="14.4" x14ac:dyDescent="0.3"/>
    <row r="33060" ht="14.4" x14ac:dyDescent="0.3"/>
    <row r="33061" ht="14.4" x14ac:dyDescent="0.3"/>
    <row r="33062" ht="14.4" x14ac:dyDescent="0.3"/>
    <row r="33063" ht="14.4" x14ac:dyDescent="0.3"/>
    <row r="33064" ht="14.4" x14ac:dyDescent="0.3"/>
    <row r="33065" ht="14.4" x14ac:dyDescent="0.3"/>
    <row r="33066" ht="14.4" x14ac:dyDescent="0.3"/>
    <row r="33067" ht="14.4" x14ac:dyDescent="0.3"/>
    <row r="33068" ht="14.4" x14ac:dyDescent="0.3"/>
    <row r="33069" ht="14.4" x14ac:dyDescent="0.3"/>
    <row r="33070" ht="14.4" x14ac:dyDescent="0.3"/>
    <row r="33071" ht="14.4" x14ac:dyDescent="0.3"/>
    <row r="33072" ht="14.4" x14ac:dyDescent="0.3"/>
    <row r="33073" ht="14.4" x14ac:dyDescent="0.3"/>
    <row r="33074" ht="14.4" x14ac:dyDescent="0.3"/>
    <row r="33075" ht="14.4" x14ac:dyDescent="0.3"/>
    <row r="33076" ht="14.4" x14ac:dyDescent="0.3"/>
    <row r="33077" ht="14.4" x14ac:dyDescent="0.3"/>
    <row r="33078" ht="14.4" x14ac:dyDescent="0.3"/>
    <row r="33079" ht="14.4" x14ac:dyDescent="0.3"/>
    <row r="33080" ht="14.4" x14ac:dyDescent="0.3"/>
    <row r="33081" ht="14.4" x14ac:dyDescent="0.3"/>
    <row r="33082" ht="14.4" x14ac:dyDescent="0.3"/>
    <row r="33083" ht="14.4" x14ac:dyDescent="0.3"/>
    <row r="33084" ht="14.4" x14ac:dyDescent="0.3"/>
    <row r="33085" ht="14.4" x14ac:dyDescent="0.3"/>
    <row r="33086" ht="14.4" x14ac:dyDescent="0.3"/>
    <row r="33087" ht="14.4" x14ac:dyDescent="0.3"/>
    <row r="33088" ht="14.4" x14ac:dyDescent="0.3"/>
    <row r="33089" ht="14.4" x14ac:dyDescent="0.3"/>
    <row r="33090" ht="14.4" x14ac:dyDescent="0.3"/>
    <row r="33091" ht="14.4" x14ac:dyDescent="0.3"/>
    <row r="33092" ht="14.4" x14ac:dyDescent="0.3"/>
    <row r="33093" ht="14.4" x14ac:dyDescent="0.3"/>
    <row r="33094" ht="14.4" x14ac:dyDescent="0.3"/>
    <row r="33095" ht="14.4" x14ac:dyDescent="0.3"/>
    <row r="33096" ht="14.4" x14ac:dyDescent="0.3"/>
    <row r="33097" ht="14.4" x14ac:dyDescent="0.3"/>
    <row r="33098" ht="14.4" x14ac:dyDescent="0.3"/>
    <row r="33099" ht="14.4" x14ac:dyDescent="0.3"/>
    <row r="33100" ht="14.4" x14ac:dyDescent="0.3"/>
    <row r="33101" ht="14.4" x14ac:dyDescent="0.3"/>
    <row r="33102" ht="14.4" x14ac:dyDescent="0.3"/>
    <row r="33103" ht="14.4" x14ac:dyDescent="0.3"/>
    <row r="33104" ht="14.4" x14ac:dyDescent="0.3"/>
    <row r="33105" ht="14.4" x14ac:dyDescent="0.3"/>
    <row r="33106" ht="14.4" x14ac:dyDescent="0.3"/>
    <row r="33107" ht="14.4" x14ac:dyDescent="0.3"/>
    <row r="33108" ht="14.4" x14ac:dyDescent="0.3"/>
    <row r="33109" ht="14.4" x14ac:dyDescent="0.3"/>
    <row r="33110" ht="14.4" x14ac:dyDescent="0.3"/>
    <row r="33111" ht="14.4" x14ac:dyDescent="0.3"/>
    <row r="33112" ht="14.4" x14ac:dyDescent="0.3"/>
    <row r="33113" ht="14.4" x14ac:dyDescent="0.3"/>
    <row r="33114" ht="14.4" x14ac:dyDescent="0.3"/>
    <row r="33115" ht="14.4" x14ac:dyDescent="0.3"/>
    <row r="33116" ht="14.4" x14ac:dyDescent="0.3"/>
    <row r="33117" ht="14.4" x14ac:dyDescent="0.3"/>
    <row r="33118" ht="14.4" x14ac:dyDescent="0.3"/>
    <row r="33119" ht="14.4" x14ac:dyDescent="0.3"/>
    <row r="33120" ht="14.4" x14ac:dyDescent="0.3"/>
    <row r="33121" ht="14.4" x14ac:dyDescent="0.3"/>
    <row r="33122" ht="14.4" x14ac:dyDescent="0.3"/>
    <row r="33123" ht="14.4" x14ac:dyDescent="0.3"/>
    <row r="33124" ht="14.4" x14ac:dyDescent="0.3"/>
    <row r="33125" ht="14.4" x14ac:dyDescent="0.3"/>
    <row r="33126" ht="14.4" x14ac:dyDescent="0.3"/>
    <row r="33127" ht="14.4" x14ac:dyDescent="0.3"/>
    <row r="33128" ht="14.4" x14ac:dyDescent="0.3"/>
    <row r="33129" ht="14.4" x14ac:dyDescent="0.3"/>
    <row r="33130" ht="14.4" x14ac:dyDescent="0.3"/>
    <row r="33131" ht="14.4" x14ac:dyDescent="0.3"/>
    <row r="33132" ht="14.4" x14ac:dyDescent="0.3"/>
    <row r="33133" ht="14.4" x14ac:dyDescent="0.3"/>
    <row r="33134" ht="14.4" x14ac:dyDescent="0.3"/>
    <row r="33135" ht="14.4" x14ac:dyDescent="0.3"/>
    <row r="33136" ht="14.4" x14ac:dyDescent="0.3"/>
    <row r="33137" ht="14.4" x14ac:dyDescent="0.3"/>
    <row r="33138" ht="14.4" x14ac:dyDescent="0.3"/>
    <row r="33139" ht="14.4" x14ac:dyDescent="0.3"/>
    <row r="33140" ht="14.4" x14ac:dyDescent="0.3"/>
    <row r="33141" ht="14.4" x14ac:dyDescent="0.3"/>
    <row r="33142" ht="14.4" x14ac:dyDescent="0.3"/>
    <row r="33143" ht="14.4" x14ac:dyDescent="0.3"/>
    <row r="33144" ht="14.4" x14ac:dyDescent="0.3"/>
    <row r="33145" ht="14.4" x14ac:dyDescent="0.3"/>
    <row r="33146" ht="14.4" x14ac:dyDescent="0.3"/>
    <row r="33147" ht="14.4" x14ac:dyDescent="0.3"/>
    <row r="33148" ht="14.4" x14ac:dyDescent="0.3"/>
    <row r="33149" ht="14.4" x14ac:dyDescent="0.3"/>
    <row r="33150" ht="14.4" x14ac:dyDescent="0.3"/>
    <row r="33151" ht="14.4" x14ac:dyDescent="0.3"/>
    <row r="33152" ht="14.4" x14ac:dyDescent="0.3"/>
    <row r="33153" ht="14.4" x14ac:dyDescent="0.3"/>
    <row r="33154" ht="14.4" x14ac:dyDescent="0.3"/>
    <row r="33155" ht="14.4" x14ac:dyDescent="0.3"/>
    <row r="33156" ht="14.4" x14ac:dyDescent="0.3"/>
    <row r="33157" ht="14.4" x14ac:dyDescent="0.3"/>
    <row r="33158" ht="14.4" x14ac:dyDescent="0.3"/>
    <row r="33159" ht="14.4" x14ac:dyDescent="0.3"/>
    <row r="33160" ht="14.4" x14ac:dyDescent="0.3"/>
    <row r="33161" ht="14.4" x14ac:dyDescent="0.3"/>
    <row r="33162" ht="14.4" x14ac:dyDescent="0.3"/>
    <row r="33163" ht="14.4" x14ac:dyDescent="0.3"/>
    <row r="33164" ht="14.4" x14ac:dyDescent="0.3"/>
    <row r="33165" ht="14.4" x14ac:dyDescent="0.3"/>
    <row r="33166" ht="14.4" x14ac:dyDescent="0.3"/>
    <row r="33167" ht="14.4" x14ac:dyDescent="0.3"/>
    <row r="33168" ht="14.4" x14ac:dyDescent="0.3"/>
    <row r="33169" ht="14.4" x14ac:dyDescent="0.3"/>
    <row r="33170" ht="14.4" x14ac:dyDescent="0.3"/>
    <row r="33171" ht="14.4" x14ac:dyDescent="0.3"/>
    <row r="33172" ht="14.4" x14ac:dyDescent="0.3"/>
    <row r="33173" ht="14.4" x14ac:dyDescent="0.3"/>
    <row r="33174" ht="14.4" x14ac:dyDescent="0.3"/>
    <row r="33175" ht="14.4" x14ac:dyDescent="0.3"/>
    <row r="33176" ht="14.4" x14ac:dyDescent="0.3"/>
    <row r="33177" ht="14.4" x14ac:dyDescent="0.3"/>
    <row r="33178" ht="14.4" x14ac:dyDescent="0.3"/>
    <row r="33179" ht="14.4" x14ac:dyDescent="0.3"/>
    <row r="33180" ht="14.4" x14ac:dyDescent="0.3"/>
    <row r="33181" ht="14.4" x14ac:dyDescent="0.3"/>
    <row r="33182" ht="14.4" x14ac:dyDescent="0.3"/>
    <row r="33183" ht="14.4" x14ac:dyDescent="0.3"/>
    <row r="33184" ht="14.4" x14ac:dyDescent="0.3"/>
    <row r="33185" ht="14.4" x14ac:dyDescent="0.3"/>
    <row r="33186" ht="14.4" x14ac:dyDescent="0.3"/>
    <row r="33187" ht="14.4" x14ac:dyDescent="0.3"/>
    <row r="33188" ht="14.4" x14ac:dyDescent="0.3"/>
    <row r="33189" ht="14.4" x14ac:dyDescent="0.3"/>
    <row r="33190" ht="14.4" x14ac:dyDescent="0.3"/>
    <row r="33191" ht="14.4" x14ac:dyDescent="0.3"/>
    <row r="33192" ht="14.4" x14ac:dyDescent="0.3"/>
    <row r="33193" ht="14.4" x14ac:dyDescent="0.3"/>
    <row r="33194" ht="14.4" x14ac:dyDescent="0.3"/>
    <row r="33195" ht="14.4" x14ac:dyDescent="0.3"/>
    <row r="33196" ht="14.4" x14ac:dyDescent="0.3"/>
    <row r="33197" ht="14.4" x14ac:dyDescent="0.3"/>
    <row r="33198" ht="14.4" x14ac:dyDescent="0.3"/>
    <row r="33199" ht="14.4" x14ac:dyDescent="0.3"/>
    <row r="33200" ht="14.4" x14ac:dyDescent="0.3"/>
    <row r="33201" ht="14.4" x14ac:dyDescent="0.3"/>
    <row r="33202" ht="14.4" x14ac:dyDescent="0.3"/>
    <row r="33203" ht="14.4" x14ac:dyDescent="0.3"/>
    <row r="33204" ht="14.4" x14ac:dyDescent="0.3"/>
    <row r="33205" ht="14.4" x14ac:dyDescent="0.3"/>
    <row r="33206" ht="14.4" x14ac:dyDescent="0.3"/>
    <row r="33207" ht="14.4" x14ac:dyDescent="0.3"/>
    <row r="33208" ht="14.4" x14ac:dyDescent="0.3"/>
    <row r="33209" ht="14.4" x14ac:dyDescent="0.3"/>
    <row r="33210" ht="14.4" x14ac:dyDescent="0.3"/>
    <row r="33211" ht="14.4" x14ac:dyDescent="0.3"/>
    <row r="33212" ht="14.4" x14ac:dyDescent="0.3"/>
    <row r="33213" ht="14.4" x14ac:dyDescent="0.3"/>
    <row r="33214" ht="14.4" x14ac:dyDescent="0.3"/>
    <row r="33215" ht="14.4" x14ac:dyDescent="0.3"/>
    <row r="33216" ht="14.4" x14ac:dyDescent="0.3"/>
    <row r="33217" ht="14.4" x14ac:dyDescent="0.3"/>
    <row r="33218" ht="14.4" x14ac:dyDescent="0.3"/>
    <row r="33219" ht="14.4" x14ac:dyDescent="0.3"/>
    <row r="33220" ht="14.4" x14ac:dyDescent="0.3"/>
    <row r="33221" ht="14.4" x14ac:dyDescent="0.3"/>
    <row r="33222" ht="14.4" x14ac:dyDescent="0.3"/>
    <row r="33223" ht="14.4" x14ac:dyDescent="0.3"/>
    <row r="33224" ht="14.4" x14ac:dyDescent="0.3"/>
    <row r="33225" ht="14.4" x14ac:dyDescent="0.3"/>
    <row r="33226" ht="14.4" x14ac:dyDescent="0.3"/>
    <row r="33227" ht="14.4" x14ac:dyDescent="0.3"/>
    <row r="33228" ht="14.4" x14ac:dyDescent="0.3"/>
    <row r="33229" ht="14.4" x14ac:dyDescent="0.3"/>
    <row r="33230" ht="14.4" x14ac:dyDescent="0.3"/>
    <row r="33231" ht="14.4" x14ac:dyDescent="0.3"/>
    <row r="33232" ht="14.4" x14ac:dyDescent="0.3"/>
    <row r="33233" ht="14.4" x14ac:dyDescent="0.3"/>
    <row r="33234" ht="14.4" x14ac:dyDescent="0.3"/>
    <row r="33235" ht="14.4" x14ac:dyDescent="0.3"/>
    <row r="33236" ht="14.4" x14ac:dyDescent="0.3"/>
    <row r="33237" ht="14.4" x14ac:dyDescent="0.3"/>
    <row r="33238" ht="14.4" x14ac:dyDescent="0.3"/>
    <row r="33239" ht="14.4" x14ac:dyDescent="0.3"/>
    <row r="33240" ht="14.4" x14ac:dyDescent="0.3"/>
    <row r="33241" ht="14.4" x14ac:dyDescent="0.3"/>
    <row r="33242" ht="14.4" x14ac:dyDescent="0.3"/>
    <row r="33243" ht="14.4" x14ac:dyDescent="0.3"/>
    <row r="33244" ht="14.4" x14ac:dyDescent="0.3"/>
    <row r="33245" ht="14.4" x14ac:dyDescent="0.3"/>
    <row r="33246" ht="14.4" x14ac:dyDescent="0.3"/>
    <row r="33247" ht="14.4" x14ac:dyDescent="0.3"/>
    <row r="33248" ht="14.4" x14ac:dyDescent="0.3"/>
    <row r="33249" ht="14.4" x14ac:dyDescent="0.3"/>
    <row r="33250" ht="14.4" x14ac:dyDescent="0.3"/>
    <row r="33251" ht="14.4" x14ac:dyDescent="0.3"/>
    <row r="33252" ht="14.4" x14ac:dyDescent="0.3"/>
    <row r="33253" ht="14.4" x14ac:dyDescent="0.3"/>
    <row r="33254" ht="14.4" x14ac:dyDescent="0.3"/>
    <row r="33255" ht="14.4" x14ac:dyDescent="0.3"/>
    <row r="33256" ht="14.4" x14ac:dyDescent="0.3"/>
    <row r="33257" ht="14.4" x14ac:dyDescent="0.3"/>
    <row r="33258" ht="14.4" x14ac:dyDescent="0.3"/>
    <row r="33259" ht="14.4" x14ac:dyDescent="0.3"/>
    <row r="33260" ht="14.4" x14ac:dyDescent="0.3"/>
    <row r="33261" ht="14.4" x14ac:dyDescent="0.3"/>
    <row r="33262" ht="14.4" x14ac:dyDescent="0.3"/>
    <row r="33263" ht="14.4" x14ac:dyDescent="0.3"/>
    <row r="33264" ht="14.4" x14ac:dyDescent="0.3"/>
    <row r="33265" ht="14.4" x14ac:dyDescent="0.3"/>
    <row r="33266" ht="14.4" x14ac:dyDescent="0.3"/>
    <row r="33267" ht="14.4" x14ac:dyDescent="0.3"/>
    <row r="33268" ht="14.4" x14ac:dyDescent="0.3"/>
    <row r="33269" ht="14.4" x14ac:dyDescent="0.3"/>
    <row r="33270" ht="14.4" x14ac:dyDescent="0.3"/>
    <row r="33271" ht="14.4" x14ac:dyDescent="0.3"/>
    <row r="33272" ht="14.4" x14ac:dyDescent="0.3"/>
    <row r="33273" ht="14.4" x14ac:dyDescent="0.3"/>
    <row r="33274" ht="14.4" x14ac:dyDescent="0.3"/>
    <row r="33275" ht="14.4" x14ac:dyDescent="0.3"/>
    <row r="33276" ht="14.4" x14ac:dyDescent="0.3"/>
    <row r="33277" ht="14.4" x14ac:dyDescent="0.3"/>
    <row r="33278" ht="14.4" x14ac:dyDescent="0.3"/>
    <row r="33279" ht="14.4" x14ac:dyDescent="0.3"/>
    <row r="33280" ht="14.4" x14ac:dyDescent="0.3"/>
    <row r="33281" ht="14.4" x14ac:dyDescent="0.3"/>
    <row r="33282" ht="14.4" x14ac:dyDescent="0.3"/>
    <row r="33283" ht="14.4" x14ac:dyDescent="0.3"/>
    <row r="33284" ht="14.4" x14ac:dyDescent="0.3"/>
    <row r="33285" ht="14.4" x14ac:dyDescent="0.3"/>
    <row r="33286" ht="14.4" x14ac:dyDescent="0.3"/>
    <row r="33287" ht="14.4" x14ac:dyDescent="0.3"/>
    <row r="33288" ht="14.4" x14ac:dyDescent="0.3"/>
    <row r="33289" ht="14.4" x14ac:dyDescent="0.3"/>
    <row r="33290" ht="14.4" x14ac:dyDescent="0.3"/>
    <row r="33291" ht="14.4" x14ac:dyDescent="0.3"/>
    <row r="33292" ht="14.4" x14ac:dyDescent="0.3"/>
    <row r="33293" ht="14.4" x14ac:dyDescent="0.3"/>
    <row r="33294" ht="14.4" x14ac:dyDescent="0.3"/>
    <row r="33295" ht="14.4" x14ac:dyDescent="0.3"/>
    <row r="33296" ht="14.4" x14ac:dyDescent="0.3"/>
    <row r="33297" ht="14.4" x14ac:dyDescent="0.3"/>
    <row r="33298" ht="14.4" x14ac:dyDescent="0.3"/>
    <row r="33299" ht="14.4" x14ac:dyDescent="0.3"/>
    <row r="33300" ht="14.4" x14ac:dyDescent="0.3"/>
    <row r="33301" ht="14.4" x14ac:dyDescent="0.3"/>
    <row r="33302" ht="14.4" x14ac:dyDescent="0.3"/>
    <row r="33303" ht="14.4" x14ac:dyDescent="0.3"/>
    <row r="33304" ht="14.4" x14ac:dyDescent="0.3"/>
    <row r="33305" ht="14.4" x14ac:dyDescent="0.3"/>
    <row r="33306" ht="14.4" x14ac:dyDescent="0.3"/>
    <row r="33307" ht="14.4" x14ac:dyDescent="0.3"/>
    <row r="33308" ht="14.4" x14ac:dyDescent="0.3"/>
    <row r="33309" ht="14.4" x14ac:dyDescent="0.3"/>
    <row r="33310" ht="14.4" x14ac:dyDescent="0.3"/>
    <row r="33311" ht="14.4" x14ac:dyDescent="0.3"/>
    <row r="33312" ht="14.4" x14ac:dyDescent="0.3"/>
    <row r="33313" ht="14.4" x14ac:dyDescent="0.3"/>
    <row r="33314" ht="14.4" x14ac:dyDescent="0.3"/>
    <row r="33315" ht="14.4" x14ac:dyDescent="0.3"/>
    <row r="33316" ht="14.4" x14ac:dyDescent="0.3"/>
    <row r="33317" ht="14.4" x14ac:dyDescent="0.3"/>
    <row r="33318" ht="14.4" x14ac:dyDescent="0.3"/>
    <row r="33319" ht="14.4" x14ac:dyDescent="0.3"/>
    <row r="33320" ht="14.4" x14ac:dyDescent="0.3"/>
    <row r="33321" ht="14.4" x14ac:dyDescent="0.3"/>
    <row r="33322" ht="14.4" x14ac:dyDescent="0.3"/>
    <row r="33323" ht="14.4" x14ac:dyDescent="0.3"/>
    <row r="33324" ht="14.4" x14ac:dyDescent="0.3"/>
    <row r="33325" ht="14.4" x14ac:dyDescent="0.3"/>
    <row r="33326" ht="14.4" x14ac:dyDescent="0.3"/>
    <row r="33327" ht="14.4" x14ac:dyDescent="0.3"/>
    <row r="33328" ht="14.4" x14ac:dyDescent="0.3"/>
    <row r="33329" ht="14.4" x14ac:dyDescent="0.3"/>
    <row r="33330" ht="14.4" x14ac:dyDescent="0.3"/>
    <row r="33331" ht="14.4" x14ac:dyDescent="0.3"/>
    <row r="33332" ht="14.4" x14ac:dyDescent="0.3"/>
    <row r="33333" ht="14.4" x14ac:dyDescent="0.3"/>
    <row r="33334" ht="14.4" x14ac:dyDescent="0.3"/>
    <row r="33335" ht="14.4" x14ac:dyDescent="0.3"/>
    <row r="33336" ht="14.4" x14ac:dyDescent="0.3"/>
    <row r="33337" ht="14.4" x14ac:dyDescent="0.3"/>
    <row r="33338" ht="14.4" x14ac:dyDescent="0.3"/>
    <row r="33339" ht="14.4" x14ac:dyDescent="0.3"/>
    <row r="33340" ht="14.4" x14ac:dyDescent="0.3"/>
    <row r="33341" ht="14.4" x14ac:dyDescent="0.3"/>
    <row r="33342" ht="14.4" x14ac:dyDescent="0.3"/>
    <row r="33343" ht="14.4" x14ac:dyDescent="0.3"/>
    <row r="33344" ht="14.4" x14ac:dyDescent="0.3"/>
    <row r="33345" ht="14.4" x14ac:dyDescent="0.3"/>
    <row r="33346" ht="14.4" x14ac:dyDescent="0.3"/>
    <row r="33347" ht="14.4" x14ac:dyDescent="0.3"/>
    <row r="33348" ht="14.4" x14ac:dyDescent="0.3"/>
    <row r="33349" ht="14.4" x14ac:dyDescent="0.3"/>
    <row r="33350" ht="14.4" x14ac:dyDescent="0.3"/>
    <row r="33351" ht="14.4" x14ac:dyDescent="0.3"/>
    <row r="33352" ht="14.4" x14ac:dyDescent="0.3"/>
    <row r="33353" ht="14.4" x14ac:dyDescent="0.3"/>
    <row r="33354" ht="14.4" x14ac:dyDescent="0.3"/>
    <row r="33355" ht="14.4" x14ac:dyDescent="0.3"/>
    <row r="33356" ht="14.4" x14ac:dyDescent="0.3"/>
    <row r="33357" ht="14.4" x14ac:dyDescent="0.3"/>
    <row r="33358" ht="14.4" x14ac:dyDescent="0.3"/>
    <row r="33359" ht="14.4" x14ac:dyDescent="0.3"/>
    <row r="33360" ht="14.4" x14ac:dyDescent="0.3"/>
    <row r="33361" ht="14.4" x14ac:dyDescent="0.3"/>
    <row r="33362" ht="14.4" x14ac:dyDescent="0.3"/>
    <row r="33363" ht="14.4" x14ac:dyDescent="0.3"/>
    <row r="33364" ht="14.4" x14ac:dyDescent="0.3"/>
    <row r="33365" ht="14.4" x14ac:dyDescent="0.3"/>
    <row r="33366" ht="14.4" x14ac:dyDescent="0.3"/>
    <row r="33367" ht="14.4" x14ac:dyDescent="0.3"/>
    <row r="33368" ht="14.4" x14ac:dyDescent="0.3"/>
    <row r="33369" ht="14.4" x14ac:dyDescent="0.3"/>
    <row r="33370" ht="14.4" x14ac:dyDescent="0.3"/>
    <row r="33371" ht="14.4" x14ac:dyDescent="0.3"/>
    <row r="33372" ht="14.4" x14ac:dyDescent="0.3"/>
    <row r="33373" ht="14.4" x14ac:dyDescent="0.3"/>
    <row r="33374" ht="14.4" x14ac:dyDescent="0.3"/>
    <row r="33375" ht="14.4" x14ac:dyDescent="0.3"/>
    <row r="33376" ht="14.4" x14ac:dyDescent="0.3"/>
    <row r="33377" ht="14.4" x14ac:dyDescent="0.3"/>
    <row r="33378" ht="14.4" x14ac:dyDescent="0.3"/>
    <row r="33379" ht="14.4" x14ac:dyDescent="0.3"/>
    <row r="33380" ht="14.4" x14ac:dyDescent="0.3"/>
    <row r="33381" ht="14.4" x14ac:dyDescent="0.3"/>
    <row r="33382" ht="14.4" x14ac:dyDescent="0.3"/>
    <row r="33383" ht="14.4" x14ac:dyDescent="0.3"/>
    <row r="33384" ht="14.4" x14ac:dyDescent="0.3"/>
    <row r="33385" ht="14.4" x14ac:dyDescent="0.3"/>
    <row r="33386" ht="14.4" x14ac:dyDescent="0.3"/>
    <row r="33387" ht="14.4" x14ac:dyDescent="0.3"/>
    <row r="33388" ht="14.4" x14ac:dyDescent="0.3"/>
    <row r="33389" ht="14.4" x14ac:dyDescent="0.3"/>
    <row r="33390" ht="14.4" x14ac:dyDescent="0.3"/>
    <row r="33391" ht="14.4" x14ac:dyDescent="0.3"/>
    <row r="33392" ht="14.4" x14ac:dyDescent="0.3"/>
    <row r="33393" ht="14.4" x14ac:dyDescent="0.3"/>
    <row r="33394" ht="14.4" x14ac:dyDescent="0.3"/>
    <row r="33395" ht="14.4" x14ac:dyDescent="0.3"/>
    <row r="33396" ht="14.4" x14ac:dyDescent="0.3"/>
    <row r="33397" ht="14.4" x14ac:dyDescent="0.3"/>
    <row r="33398" ht="14.4" x14ac:dyDescent="0.3"/>
    <row r="33399" ht="14.4" x14ac:dyDescent="0.3"/>
    <row r="33400" ht="14.4" x14ac:dyDescent="0.3"/>
    <row r="33401" ht="14.4" x14ac:dyDescent="0.3"/>
    <row r="33402" ht="14.4" x14ac:dyDescent="0.3"/>
    <row r="33403" ht="14.4" x14ac:dyDescent="0.3"/>
    <row r="33404" ht="14.4" x14ac:dyDescent="0.3"/>
    <row r="33405" ht="14.4" x14ac:dyDescent="0.3"/>
    <row r="33406" ht="14.4" x14ac:dyDescent="0.3"/>
    <row r="33407" ht="14.4" x14ac:dyDescent="0.3"/>
    <row r="33408" ht="14.4" x14ac:dyDescent="0.3"/>
    <row r="33409" ht="14.4" x14ac:dyDescent="0.3"/>
    <row r="33410" ht="14.4" x14ac:dyDescent="0.3"/>
    <row r="33411" ht="14.4" x14ac:dyDescent="0.3"/>
    <row r="33412" ht="14.4" x14ac:dyDescent="0.3"/>
    <row r="33413" ht="14.4" x14ac:dyDescent="0.3"/>
    <row r="33414" ht="14.4" x14ac:dyDescent="0.3"/>
    <row r="33415" ht="14.4" x14ac:dyDescent="0.3"/>
    <row r="33416" ht="14.4" x14ac:dyDescent="0.3"/>
    <row r="33417" ht="14.4" x14ac:dyDescent="0.3"/>
    <row r="33418" ht="14.4" x14ac:dyDescent="0.3"/>
    <row r="33419" ht="14.4" x14ac:dyDescent="0.3"/>
    <row r="33420" ht="14.4" x14ac:dyDescent="0.3"/>
    <row r="33421" ht="14.4" x14ac:dyDescent="0.3"/>
    <row r="33422" ht="14.4" x14ac:dyDescent="0.3"/>
    <row r="33423" ht="14.4" x14ac:dyDescent="0.3"/>
    <row r="33424" ht="14.4" x14ac:dyDescent="0.3"/>
    <row r="33425" ht="14.4" x14ac:dyDescent="0.3"/>
    <row r="33426" ht="14.4" x14ac:dyDescent="0.3"/>
    <row r="33427" ht="14.4" x14ac:dyDescent="0.3"/>
    <row r="33428" ht="14.4" x14ac:dyDescent="0.3"/>
    <row r="33429" ht="14.4" x14ac:dyDescent="0.3"/>
    <row r="33430" ht="14.4" x14ac:dyDescent="0.3"/>
    <row r="33431" ht="14.4" x14ac:dyDescent="0.3"/>
    <row r="33432" ht="14.4" x14ac:dyDescent="0.3"/>
    <row r="33433" ht="14.4" x14ac:dyDescent="0.3"/>
    <row r="33434" ht="14.4" x14ac:dyDescent="0.3"/>
    <row r="33435" ht="14.4" x14ac:dyDescent="0.3"/>
    <row r="33436" ht="14.4" x14ac:dyDescent="0.3"/>
    <row r="33437" ht="14.4" x14ac:dyDescent="0.3"/>
    <row r="33438" ht="14.4" x14ac:dyDescent="0.3"/>
    <row r="33439" ht="14.4" x14ac:dyDescent="0.3"/>
    <row r="33440" ht="14.4" x14ac:dyDescent="0.3"/>
    <row r="33441" ht="14.4" x14ac:dyDescent="0.3"/>
    <row r="33442" ht="14.4" x14ac:dyDescent="0.3"/>
    <row r="33443" ht="14.4" x14ac:dyDescent="0.3"/>
    <row r="33444" ht="14.4" x14ac:dyDescent="0.3"/>
    <row r="33445" ht="14.4" x14ac:dyDescent="0.3"/>
    <row r="33446" ht="14.4" x14ac:dyDescent="0.3"/>
    <row r="33447" ht="14.4" x14ac:dyDescent="0.3"/>
    <row r="33448" ht="14.4" x14ac:dyDescent="0.3"/>
    <row r="33449" ht="14.4" x14ac:dyDescent="0.3"/>
    <row r="33450" ht="14.4" x14ac:dyDescent="0.3"/>
    <row r="33451" ht="14.4" x14ac:dyDescent="0.3"/>
    <row r="33452" ht="14.4" x14ac:dyDescent="0.3"/>
    <row r="33453" ht="14.4" x14ac:dyDescent="0.3"/>
    <row r="33454" ht="14.4" x14ac:dyDescent="0.3"/>
    <row r="33455" ht="14.4" x14ac:dyDescent="0.3"/>
    <row r="33456" ht="14.4" x14ac:dyDescent="0.3"/>
    <row r="33457" ht="14.4" x14ac:dyDescent="0.3"/>
    <row r="33458" ht="14.4" x14ac:dyDescent="0.3"/>
    <row r="33459" ht="14.4" x14ac:dyDescent="0.3"/>
    <row r="33460" ht="14.4" x14ac:dyDescent="0.3"/>
    <row r="33461" ht="14.4" x14ac:dyDescent="0.3"/>
    <row r="33462" ht="14.4" x14ac:dyDescent="0.3"/>
    <row r="33463" ht="14.4" x14ac:dyDescent="0.3"/>
    <row r="33464" ht="14.4" x14ac:dyDescent="0.3"/>
    <row r="33465" ht="14.4" x14ac:dyDescent="0.3"/>
    <row r="33466" ht="14.4" x14ac:dyDescent="0.3"/>
    <row r="33467" ht="14.4" x14ac:dyDescent="0.3"/>
    <row r="33468" ht="14.4" x14ac:dyDescent="0.3"/>
    <row r="33469" ht="14.4" x14ac:dyDescent="0.3"/>
    <row r="33470" ht="14.4" x14ac:dyDescent="0.3"/>
    <row r="33471" ht="14.4" x14ac:dyDescent="0.3"/>
    <row r="33472" ht="14.4" x14ac:dyDescent="0.3"/>
    <row r="33473" ht="14.4" x14ac:dyDescent="0.3"/>
    <row r="33474" ht="14.4" x14ac:dyDescent="0.3"/>
    <row r="33475" ht="14.4" x14ac:dyDescent="0.3"/>
    <row r="33476" ht="14.4" x14ac:dyDescent="0.3"/>
    <row r="33477" ht="14.4" x14ac:dyDescent="0.3"/>
    <row r="33478" ht="14.4" x14ac:dyDescent="0.3"/>
    <row r="33479" ht="14.4" x14ac:dyDescent="0.3"/>
    <row r="33480" ht="14.4" x14ac:dyDescent="0.3"/>
    <row r="33481" ht="14.4" x14ac:dyDescent="0.3"/>
    <row r="33482" ht="14.4" x14ac:dyDescent="0.3"/>
    <row r="33483" ht="14.4" x14ac:dyDescent="0.3"/>
    <row r="33484" ht="14.4" x14ac:dyDescent="0.3"/>
    <row r="33485" ht="14.4" x14ac:dyDescent="0.3"/>
    <row r="33486" ht="14.4" x14ac:dyDescent="0.3"/>
    <row r="33487" ht="14.4" x14ac:dyDescent="0.3"/>
    <row r="33488" ht="14.4" x14ac:dyDescent="0.3"/>
    <row r="33489" ht="14.4" x14ac:dyDescent="0.3"/>
    <row r="33490" ht="14.4" x14ac:dyDescent="0.3"/>
    <row r="33491" ht="14.4" x14ac:dyDescent="0.3"/>
    <row r="33492" ht="14.4" x14ac:dyDescent="0.3"/>
    <row r="33493" ht="14.4" x14ac:dyDescent="0.3"/>
    <row r="33494" ht="14.4" x14ac:dyDescent="0.3"/>
    <row r="33495" ht="14.4" x14ac:dyDescent="0.3"/>
    <row r="33496" ht="14.4" x14ac:dyDescent="0.3"/>
    <row r="33497" ht="14.4" x14ac:dyDescent="0.3"/>
    <row r="33498" ht="14.4" x14ac:dyDescent="0.3"/>
    <row r="33499" ht="14.4" x14ac:dyDescent="0.3"/>
    <row r="33500" ht="14.4" x14ac:dyDescent="0.3"/>
    <row r="33501" ht="14.4" x14ac:dyDescent="0.3"/>
    <row r="33502" ht="14.4" x14ac:dyDescent="0.3"/>
    <row r="33503" ht="14.4" x14ac:dyDescent="0.3"/>
    <row r="33504" ht="14.4" x14ac:dyDescent="0.3"/>
    <row r="33505" ht="14.4" x14ac:dyDescent="0.3"/>
    <row r="33506" ht="14.4" x14ac:dyDescent="0.3"/>
    <row r="33507" ht="14.4" x14ac:dyDescent="0.3"/>
    <row r="33508" ht="14.4" x14ac:dyDescent="0.3"/>
    <row r="33509" ht="14.4" x14ac:dyDescent="0.3"/>
    <row r="33510" ht="14.4" x14ac:dyDescent="0.3"/>
    <row r="33511" ht="14.4" x14ac:dyDescent="0.3"/>
    <row r="33512" ht="14.4" x14ac:dyDescent="0.3"/>
    <row r="33513" ht="14.4" x14ac:dyDescent="0.3"/>
    <row r="33514" ht="14.4" x14ac:dyDescent="0.3"/>
    <row r="33515" ht="14.4" x14ac:dyDescent="0.3"/>
    <row r="33516" ht="14.4" x14ac:dyDescent="0.3"/>
    <row r="33517" ht="14.4" x14ac:dyDescent="0.3"/>
    <row r="33518" ht="14.4" x14ac:dyDescent="0.3"/>
    <row r="33519" ht="14.4" x14ac:dyDescent="0.3"/>
    <row r="33520" ht="14.4" x14ac:dyDescent="0.3"/>
    <row r="33521" ht="14.4" x14ac:dyDescent="0.3"/>
    <row r="33522" ht="14.4" x14ac:dyDescent="0.3"/>
    <row r="33523" ht="14.4" x14ac:dyDescent="0.3"/>
    <row r="33524" ht="14.4" x14ac:dyDescent="0.3"/>
    <row r="33525" ht="14.4" x14ac:dyDescent="0.3"/>
    <row r="33526" ht="14.4" x14ac:dyDescent="0.3"/>
    <row r="33527" ht="14.4" x14ac:dyDescent="0.3"/>
    <row r="33528" ht="14.4" x14ac:dyDescent="0.3"/>
    <row r="33529" ht="14.4" x14ac:dyDescent="0.3"/>
    <row r="33530" ht="14.4" x14ac:dyDescent="0.3"/>
    <row r="33531" ht="14.4" x14ac:dyDescent="0.3"/>
    <row r="33532" ht="14.4" x14ac:dyDescent="0.3"/>
    <row r="33533" ht="14.4" x14ac:dyDescent="0.3"/>
    <row r="33534" ht="14.4" x14ac:dyDescent="0.3"/>
    <row r="33535" ht="14.4" x14ac:dyDescent="0.3"/>
    <row r="33536" ht="14.4" x14ac:dyDescent="0.3"/>
    <row r="33537" ht="14.4" x14ac:dyDescent="0.3"/>
    <row r="33538" ht="14.4" x14ac:dyDescent="0.3"/>
    <row r="33539" ht="14.4" x14ac:dyDescent="0.3"/>
    <row r="33540" ht="14.4" x14ac:dyDescent="0.3"/>
    <row r="33541" ht="14.4" x14ac:dyDescent="0.3"/>
    <row r="33542" ht="14.4" x14ac:dyDescent="0.3"/>
    <row r="33543" ht="14.4" x14ac:dyDescent="0.3"/>
    <row r="33544" ht="14.4" x14ac:dyDescent="0.3"/>
    <row r="33545" ht="14.4" x14ac:dyDescent="0.3"/>
    <row r="33546" ht="14.4" x14ac:dyDescent="0.3"/>
    <row r="33547" ht="14.4" x14ac:dyDescent="0.3"/>
    <row r="33548" ht="14.4" x14ac:dyDescent="0.3"/>
    <row r="33549" ht="14.4" x14ac:dyDescent="0.3"/>
    <row r="33550" ht="14.4" x14ac:dyDescent="0.3"/>
    <row r="33551" ht="14.4" x14ac:dyDescent="0.3"/>
    <row r="33552" ht="14.4" x14ac:dyDescent="0.3"/>
    <row r="33553" ht="14.4" x14ac:dyDescent="0.3"/>
    <row r="33554" ht="14.4" x14ac:dyDescent="0.3"/>
    <row r="33555" ht="14.4" x14ac:dyDescent="0.3"/>
    <row r="33556" ht="14.4" x14ac:dyDescent="0.3"/>
    <row r="33557" ht="14.4" x14ac:dyDescent="0.3"/>
    <row r="33558" ht="14.4" x14ac:dyDescent="0.3"/>
    <row r="33559" ht="14.4" x14ac:dyDescent="0.3"/>
    <row r="33560" ht="14.4" x14ac:dyDescent="0.3"/>
    <row r="33561" ht="14.4" x14ac:dyDescent="0.3"/>
    <row r="33562" ht="14.4" x14ac:dyDescent="0.3"/>
    <row r="33563" ht="14.4" x14ac:dyDescent="0.3"/>
    <row r="33564" ht="14.4" x14ac:dyDescent="0.3"/>
    <row r="33565" ht="14.4" x14ac:dyDescent="0.3"/>
    <row r="33566" ht="14.4" x14ac:dyDescent="0.3"/>
    <row r="33567" ht="14.4" x14ac:dyDescent="0.3"/>
    <row r="33568" ht="14.4" x14ac:dyDescent="0.3"/>
    <row r="33569" ht="14.4" x14ac:dyDescent="0.3"/>
    <row r="33570" ht="14.4" x14ac:dyDescent="0.3"/>
    <row r="33571" ht="14.4" x14ac:dyDescent="0.3"/>
    <row r="33572" ht="14.4" x14ac:dyDescent="0.3"/>
    <row r="33573" ht="14.4" x14ac:dyDescent="0.3"/>
    <row r="33574" ht="14.4" x14ac:dyDescent="0.3"/>
    <row r="33575" ht="14.4" x14ac:dyDescent="0.3"/>
    <row r="33576" ht="14.4" x14ac:dyDescent="0.3"/>
    <row r="33577" ht="14.4" x14ac:dyDescent="0.3"/>
    <row r="33578" ht="14.4" x14ac:dyDescent="0.3"/>
    <row r="33579" ht="14.4" x14ac:dyDescent="0.3"/>
    <row r="33580" ht="14.4" x14ac:dyDescent="0.3"/>
    <row r="33581" ht="14.4" x14ac:dyDescent="0.3"/>
    <row r="33582" ht="14.4" x14ac:dyDescent="0.3"/>
    <row r="33583" ht="14.4" x14ac:dyDescent="0.3"/>
    <row r="33584" ht="14.4" x14ac:dyDescent="0.3"/>
    <row r="33585" ht="14.4" x14ac:dyDescent="0.3"/>
    <row r="33586" ht="14.4" x14ac:dyDescent="0.3"/>
    <row r="33587" ht="14.4" x14ac:dyDescent="0.3"/>
    <row r="33588" ht="14.4" x14ac:dyDescent="0.3"/>
    <row r="33589" ht="14.4" x14ac:dyDescent="0.3"/>
    <row r="33590" ht="14.4" x14ac:dyDescent="0.3"/>
    <row r="33591" ht="14.4" x14ac:dyDescent="0.3"/>
    <row r="33592" ht="14.4" x14ac:dyDescent="0.3"/>
    <row r="33593" ht="14.4" x14ac:dyDescent="0.3"/>
    <row r="33594" ht="14.4" x14ac:dyDescent="0.3"/>
    <row r="33595" ht="14.4" x14ac:dyDescent="0.3"/>
    <row r="33596" ht="14.4" x14ac:dyDescent="0.3"/>
    <row r="33597" ht="14.4" x14ac:dyDescent="0.3"/>
    <row r="33598" ht="14.4" x14ac:dyDescent="0.3"/>
    <row r="33599" ht="14.4" x14ac:dyDescent="0.3"/>
    <row r="33600" ht="14.4" x14ac:dyDescent="0.3"/>
    <row r="33601" spans="1:43" ht="14.4" x14ac:dyDescent="0.3"/>
    <row r="33602" spans="1:43" ht="14.4" x14ac:dyDescent="0.3"/>
    <row r="33603" spans="1:43" ht="14.4" x14ac:dyDescent="0.3"/>
    <row r="33604" spans="1:43" ht="14.4" x14ac:dyDescent="0.3"/>
    <row r="33605" spans="1:43" ht="14.4" x14ac:dyDescent="0.3"/>
    <row r="33606" spans="1:43" ht="14.4" x14ac:dyDescent="0.3"/>
    <row r="33607" spans="1:43" ht="14.4" x14ac:dyDescent="0.3"/>
    <row r="33608" spans="1:43" ht="14.4" x14ac:dyDescent="0.3"/>
    <row r="33609" spans="1:43" ht="14.4" x14ac:dyDescent="0.3"/>
    <row r="33610" spans="1:43" ht="14.4" x14ac:dyDescent="0.3"/>
    <row r="33611" spans="1:43" ht="14.4" x14ac:dyDescent="0.3"/>
    <row r="33612" spans="1:43" ht="14.4" x14ac:dyDescent="0.3"/>
    <row r="33613" spans="1:43" ht="14.4" x14ac:dyDescent="0.3"/>
    <row r="33614" spans="1:43" ht="14.4" x14ac:dyDescent="0.3"/>
    <row r="33615" spans="1:43" ht="14.4" x14ac:dyDescent="0.3"/>
    <row r="33616" spans="1:43" ht="14.4" hidden="1" x14ac:dyDescent="0.3">
      <c r="A33616" t="s">
        <v>4918</v>
      </c>
      <c r="B33616">
        <v>4912368</v>
      </c>
      <c r="C33616" t="s">
        <v>538</v>
      </c>
      <c r="D33616" t="s">
        <v>564</v>
      </c>
      <c r="E33616" t="s">
        <v>660</v>
      </c>
      <c r="F33616" t="s">
        <v>682</v>
      </c>
      <c r="H33616" t="s">
        <v>407</v>
      </c>
      <c r="I33616" t="s">
        <v>4919</v>
      </c>
      <c r="J33616" t="s">
        <v>140</v>
      </c>
      <c r="K33616">
        <v>162973.78099999999</v>
      </c>
      <c r="L33616">
        <v>383293.45400000003</v>
      </c>
      <c r="M33616">
        <v>1</v>
      </c>
      <c r="N33616" t="s">
        <v>263</v>
      </c>
      <c r="O33616" t="s">
        <v>1093</v>
      </c>
      <c r="P33616" t="s">
        <v>1536</v>
      </c>
      <c r="Q33616" t="s">
        <v>264</v>
      </c>
      <c r="R33616" t="s">
        <v>145</v>
      </c>
      <c r="S33616">
        <v>36</v>
      </c>
      <c r="T33616">
        <v>2900</v>
      </c>
      <c r="U33616">
        <v>82</v>
      </c>
      <c r="V33616" t="s">
        <v>265</v>
      </c>
      <c r="W33616" t="s">
        <v>415</v>
      </c>
      <c r="X33616" t="s">
        <v>7</v>
      </c>
      <c r="Y33616" t="s">
        <v>4920</v>
      </c>
      <c r="Z33616" t="s">
        <v>3430</v>
      </c>
      <c r="AA33616" t="s">
        <v>1781</v>
      </c>
      <c r="AB33616">
        <v>150</v>
      </c>
      <c r="AC33616" t="s">
        <v>150</v>
      </c>
      <c r="AE33616" t="s">
        <v>4921</v>
      </c>
      <c r="AF33616" t="s">
        <v>3430</v>
      </c>
      <c r="AG33616" t="s">
        <v>1368</v>
      </c>
      <c r="AL33616" t="s">
        <v>4922</v>
      </c>
      <c r="AM33616" t="s">
        <v>4923</v>
      </c>
      <c r="AN33616" t="s">
        <v>4924</v>
      </c>
      <c r="AO33616" t="s">
        <v>263</v>
      </c>
      <c r="AQ33616" t="str">
        <f>IF(ISBLANK(AP33616), IFERROR(IF(VLOOKUP(AO33616, Ellens_additions!$A$2:$B$252, 2, FALSE) = "", "", VLOOKUP(AO33616, Ellens_additions!$A$2:$B$252, 2, FALSE)), 0), AP33616)</f>
        <v/>
      </c>
    </row>
    <row r="33617" ht="14.4" x14ac:dyDescent="0.3"/>
    <row r="33618" ht="14.4" x14ac:dyDescent="0.3"/>
    <row r="33619" ht="14.4" x14ac:dyDescent="0.3"/>
    <row r="33620" ht="14.4" x14ac:dyDescent="0.3"/>
    <row r="33621" ht="14.4" x14ac:dyDescent="0.3"/>
    <row r="33622" ht="14.4" x14ac:dyDescent="0.3"/>
    <row r="33623" ht="14.4" x14ac:dyDescent="0.3"/>
    <row r="33624" ht="14.4" x14ac:dyDescent="0.3"/>
    <row r="33625" ht="14.4" x14ac:dyDescent="0.3"/>
    <row r="33626" ht="14.4" x14ac:dyDescent="0.3"/>
    <row r="33627" ht="14.4" x14ac:dyDescent="0.3"/>
    <row r="33628" ht="14.4" x14ac:dyDescent="0.3"/>
    <row r="33629" ht="14.4" x14ac:dyDescent="0.3"/>
    <row r="33630" ht="14.4" x14ac:dyDescent="0.3"/>
    <row r="33631" ht="14.4" x14ac:dyDescent="0.3"/>
    <row r="33632" ht="14.4" x14ac:dyDescent="0.3"/>
    <row r="33633" ht="14.4" x14ac:dyDescent="0.3"/>
    <row r="33634" ht="14.4" x14ac:dyDescent="0.3"/>
    <row r="33635" ht="14.4" x14ac:dyDescent="0.3"/>
    <row r="33636" ht="14.4" x14ac:dyDescent="0.3"/>
    <row r="33637" ht="14.4" x14ac:dyDescent="0.3"/>
    <row r="33638" ht="14.4" x14ac:dyDescent="0.3"/>
    <row r="33639" ht="14.4" x14ac:dyDescent="0.3"/>
    <row r="33640" ht="14.4" x14ac:dyDescent="0.3"/>
    <row r="33641" ht="14.4" x14ac:dyDescent="0.3"/>
    <row r="33642" ht="14.4" x14ac:dyDescent="0.3"/>
    <row r="33643" ht="14.4" x14ac:dyDescent="0.3"/>
    <row r="33644" ht="14.4" x14ac:dyDescent="0.3"/>
    <row r="33645" ht="14.4" x14ac:dyDescent="0.3"/>
    <row r="33646" ht="14.4" x14ac:dyDescent="0.3"/>
    <row r="33647" ht="14.4" x14ac:dyDescent="0.3"/>
    <row r="33648" ht="14.4" x14ac:dyDescent="0.3"/>
    <row r="33649" ht="14.4" x14ac:dyDescent="0.3"/>
    <row r="33650" ht="14.4" x14ac:dyDescent="0.3"/>
    <row r="33651" ht="14.4" x14ac:dyDescent="0.3"/>
    <row r="33652" ht="14.4" x14ac:dyDescent="0.3"/>
    <row r="33653" ht="14.4" x14ac:dyDescent="0.3"/>
    <row r="33654" ht="14.4" x14ac:dyDescent="0.3"/>
    <row r="33655" ht="14.4" x14ac:dyDescent="0.3"/>
    <row r="33656" ht="14.4" x14ac:dyDescent="0.3"/>
    <row r="33657" ht="14.4" x14ac:dyDescent="0.3"/>
    <row r="33658" ht="14.4" x14ac:dyDescent="0.3"/>
    <row r="33659" ht="14.4" x14ac:dyDescent="0.3"/>
    <row r="33660" ht="14.4" x14ac:dyDescent="0.3"/>
    <row r="33661" ht="14.4" x14ac:dyDescent="0.3"/>
    <row r="33662" ht="14.4" x14ac:dyDescent="0.3"/>
    <row r="33663" ht="14.4" x14ac:dyDescent="0.3"/>
    <row r="33664" ht="14.4" x14ac:dyDescent="0.3"/>
    <row r="33665" ht="14.4" x14ac:dyDescent="0.3"/>
    <row r="33666" ht="14.4" x14ac:dyDescent="0.3"/>
    <row r="33667" ht="14.4" x14ac:dyDescent="0.3"/>
    <row r="33668" ht="14.4" x14ac:dyDescent="0.3"/>
    <row r="33669" ht="14.4" x14ac:dyDescent="0.3"/>
    <row r="33670" ht="14.4" x14ac:dyDescent="0.3"/>
    <row r="33671" ht="14.4" x14ac:dyDescent="0.3"/>
    <row r="33672" ht="14.4" x14ac:dyDescent="0.3"/>
    <row r="33673" ht="14.4" x14ac:dyDescent="0.3"/>
    <row r="33674" ht="14.4" x14ac:dyDescent="0.3"/>
    <row r="33675" ht="14.4" x14ac:dyDescent="0.3"/>
    <row r="33676" ht="14.4" x14ac:dyDescent="0.3"/>
    <row r="33677" ht="14.4" x14ac:dyDescent="0.3"/>
    <row r="33678" ht="14.4" x14ac:dyDescent="0.3"/>
    <row r="33679" ht="14.4" x14ac:dyDescent="0.3"/>
    <row r="33680" ht="14.4" x14ac:dyDescent="0.3"/>
    <row r="33681" ht="14.4" x14ac:dyDescent="0.3"/>
    <row r="33682" ht="14.4" x14ac:dyDescent="0.3"/>
    <row r="33683" ht="14.4" x14ac:dyDescent="0.3"/>
    <row r="33684" ht="14.4" x14ac:dyDescent="0.3"/>
    <row r="33685" ht="14.4" x14ac:dyDescent="0.3"/>
    <row r="33686" ht="14.4" x14ac:dyDescent="0.3"/>
    <row r="33687" ht="14.4" x14ac:dyDescent="0.3"/>
    <row r="33688" ht="14.4" x14ac:dyDescent="0.3"/>
    <row r="33689" ht="14.4" x14ac:dyDescent="0.3"/>
    <row r="33690" ht="14.4" x14ac:dyDescent="0.3"/>
    <row r="33691" ht="14.4" x14ac:dyDescent="0.3"/>
    <row r="33692" ht="14.4" x14ac:dyDescent="0.3"/>
    <row r="33693" ht="14.4" x14ac:dyDescent="0.3"/>
    <row r="33694" ht="14.4" x14ac:dyDescent="0.3"/>
    <row r="33695" ht="14.4" x14ac:dyDescent="0.3"/>
    <row r="33696" ht="14.4" x14ac:dyDescent="0.3"/>
    <row r="33697" ht="14.4" x14ac:dyDescent="0.3"/>
    <row r="33698" ht="14.4" x14ac:dyDescent="0.3"/>
    <row r="33699" ht="14.4" x14ac:dyDescent="0.3"/>
    <row r="33700" ht="14.4" x14ac:dyDescent="0.3"/>
    <row r="33701" ht="14.4" x14ac:dyDescent="0.3"/>
    <row r="33702" ht="14.4" x14ac:dyDescent="0.3"/>
    <row r="33703" ht="14.4" x14ac:dyDescent="0.3"/>
    <row r="33704" ht="14.4" x14ac:dyDescent="0.3"/>
    <row r="33705" ht="14.4" x14ac:dyDescent="0.3"/>
    <row r="33706" ht="14.4" x14ac:dyDescent="0.3"/>
    <row r="33707" ht="14.4" x14ac:dyDescent="0.3"/>
    <row r="33708" ht="14.4" x14ac:dyDescent="0.3"/>
    <row r="33709" ht="14.4" x14ac:dyDescent="0.3"/>
    <row r="33710" ht="14.4" x14ac:dyDescent="0.3"/>
    <row r="33711" ht="14.4" x14ac:dyDescent="0.3"/>
    <row r="33712" ht="14.4" x14ac:dyDescent="0.3"/>
    <row r="33713" ht="14.4" x14ac:dyDescent="0.3"/>
    <row r="33714" ht="14.4" x14ac:dyDescent="0.3"/>
    <row r="33715" ht="14.4" x14ac:dyDescent="0.3"/>
    <row r="33716" ht="14.4" x14ac:dyDescent="0.3"/>
    <row r="33717" ht="14.4" x14ac:dyDescent="0.3"/>
    <row r="33718" ht="14.4" x14ac:dyDescent="0.3"/>
    <row r="33719" ht="14.4" x14ac:dyDescent="0.3"/>
    <row r="33720" ht="14.4" x14ac:dyDescent="0.3"/>
    <row r="33721" ht="14.4" x14ac:dyDescent="0.3"/>
    <row r="33722" ht="14.4" x14ac:dyDescent="0.3"/>
    <row r="33723" ht="14.4" x14ac:dyDescent="0.3"/>
    <row r="33724" ht="14.4" x14ac:dyDescent="0.3"/>
    <row r="33725" ht="14.4" x14ac:dyDescent="0.3"/>
    <row r="33726" ht="14.4" x14ac:dyDescent="0.3"/>
    <row r="33727" ht="14.4" x14ac:dyDescent="0.3"/>
    <row r="33728" ht="14.4" x14ac:dyDescent="0.3"/>
    <row r="33729" ht="14.4" x14ac:dyDescent="0.3"/>
    <row r="33730" ht="14.4" x14ac:dyDescent="0.3"/>
    <row r="33731" ht="14.4" x14ac:dyDescent="0.3"/>
    <row r="33732" ht="14.4" x14ac:dyDescent="0.3"/>
    <row r="33733" ht="14.4" x14ac:dyDescent="0.3"/>
    <row r="33734" ht="14.4" x14ac:dyDescent="0.3"/>
    <row r="33735" ht="14.4" x14ac:dyDescent="0.3"/>
    <row r="33736" ht="14.4" x14ac:dyDescent="0.3"/>
    <row r="33737" ht="14.4" x14ac:dyDescent="0.3"/>
    <row r="33738" ht="14.4" x14ac:dyDescent="0.3"/>
    <row r="33739" ht="14.4" x14ac:dyDescent="0.3"/>
    <row r="33740" ht="14.4" x14ac:dyDescent="0.3"/>
    <row r="33741" ht="14.4" x14ac:dyDescent="0.3"/>
    <row r="33742" ht="14.4" x14ac:dyDescent="0.3"/>
    <row r="33743" ht="14.4" x14ac:dyDescent="0.3"/>
    <row r="33744" ht="14.4" x14ac:dyDescent="0.3"/>
    <row r="33745" spans="1:43" ht="14.4" x14ac:dyDescent="0.3"/>
    <row r="33746" spans="1:43" ht="14.4" x14ac:dyDescent="0.3"/>
    <row r="33747" spans="1:43" ht="14.4" x14ac:dyDescent="0.3"/>
    <row r="33748" spans="1:43" ht="14.4" x14ac:dyDescent="0.3"/>
    <row r="33749" spans="1:43" ht="14.4" x14ac:dyDescent="0.3"/>
    <row r="33750" spans="1:43" ht="14.4" x14ac:dyDescent="0.3"/>
    <row r="33751" spans="1:43" ht="14.4" x14ac:dyDescent="0.3"/>
    <row r="33752" spans="1:43" ht="14.4" x14ac:dyDescent="0.3"/>
    <row r="33753" spans="1:43" ht="14.4" x14ac:dyDescent="0.3"/>
    <row r="33754" spans="1:43" ht="14.4" x14ac:dyDescent="0.3"/>
    <row r="33755" spans="1:43" ht="14.4" x14ac:dyDescent="0.3"/>
    <row r="33756" spans="1:43" ht="14.4" x14ac:dyDescent="0.3"/>
    <row r="33757" spans="1:43" ht="14.4" x14ac:dyDescent="0.3"/>
    <row r="33758" spans="1:43" ht="14.4" hidden="1" x14ac:dyDescent="0.3">
      <c r="A33758" t="s">
        <v>4925</v>
      </c>
      <c r="B33758">
        <v>4897414</v>
      </c>
      <c r="C33758" t="s">
        <v>1045</v>
      </c>
      <c r="D33758" t="s">
        <v>1046</v>
      </c>
      <c r="E33758" t="s">
        <v>1048</v>
      </c>
      <c r="F33758" t="s">
        <v>1051</v>
      </c>
      <c r="H33758" t="s">
        <v>277</v>
      </c>
      <c r="J33758" t="s">
        <v>140</v>
      </c>
      <c r="K33758">
        <v>160126.12</v>
      </c>
      <c r="L33758">
        <v>381859.52</v>
      </c>
      <c r="M33758">
        <v>1</v>
      </c>
      <c r="N33758" t="s">
        <v>4926</v>
      </c>
      <c r="O33758" t="s">
        <v>552</v>
      </c>
      <c r="P33758" t="s">
        <v>2040</v>
      </c>
      <c r="Q33758" t="s">
        <v>144</v>
      </c>
      <c r="S33758">
        <v>16</v>
      </c>
      <c r="T33758">
        <v>0</v>
      </c>
      <c r="V33758" t="s">
        <v>146</v>
      </c>
      <c r="W33758" t="s">
        <v>273</v>
      </c>
      <c r="X33758" t="s">
        <v>7</v>
      </c>
      <c r="Y33758" t="s">
        <v>863</v>
      </c>
      <c r="Z33758" t="s">
        <v>552</v>
      </c>
      <c r="AA33758" t="s">
        <v>404</v>
      </c>
      <c r="AB33758">
        <v>0</v>
      </c>
      <c r="AE33758" t="s">
        <v>1407</v>
      </c>
      <c r="AF33758" t="s">
        <v>552</v>
      </c>
      <c r="AG33758" t="s">
        <v>1399</v>
      </c>
      <c r="AL33758" t="s">
        <v>4927</v>
      </c>
      <c r="AM33758" t="s">
        <v>4928</v>
      </c>
      <c r="AN33758" t="s">
        <v>4929</v>
      </c>
      <c r="AO33758" t="s">
        <v>4926</v>
      </c>
      <c r="AQ33758" t="str">
        <f>IF(ISBLANK(AP33758), IFERROR(IF(VLOOKUP(AO33758, Ellens_additions!$A$2:$B$252, 2, FALSE) = "", "", VLOOKUP(AO33758, Ellens_additions!$A$2:$B$252, 2, FALSE)), 0), AP33758)</f>
        <v/>
      </c>
    </row>
    <row r="33759" spans="1:43" ht="14.4" x14ac:dyDescent="0.3"/>
    <row r="33760" spans="1:43" ht="14.4" x14ac:dyDescent="0.3"/>
    <row r="33761" ht="14.4" x14ac:dyDescent="0.3"/>
    <row r="33762" ht="14.4" x14ac:dyDescent="0.3"/>
    <row r="33763" ht="14.4" x14ac:dyDescent="0.3"/>
    <row r="33764" ht="14.4" x14ac:dyDescent="0.3"/>
    <row r="33765" ht="14.4" x14ac:dyDescent="0.3"/>
    <row r="33766" ht="14.4" x14ac:dyDescent="0.3"/>
    <row r="33767" ht="14.4" x14ac:dyDescent="0.3"/>
    <row r="33768" ht="14.4" x14ac:dyDescent="0.3"/>
    <row r="33769" ht="14.4" x14ac:dyDescent="0.3"/>
    <row r="33770" ht="14.4" x14ac:dyDescent="0.3"/>
    <row r="33771" ht="14.4" x14ac:dyDescent="0.3"/>
    <row r="33772" ht="14.4" x14ac:dyDescent="0.3"/>
    <row r="33773" ht="14.4" x14ac:dyDescent="0.3"/>
    <row r="33774" ht="14.4" x14ac:dyDescent="0.3"/>
    <row r="33775" ht="14.4" x14ac:dyDescent="0.3"/>
    <row r="33776" ht="14.4" x14ac:dyDescent="0.3"/>
    <row r="33777" spans="1:43" ht="14.4" x14ac:dyDescent="0.3"/>
    <row r="33778" spans="1:43" ht="14.4" x14ac:dyDescent="0.3"/>
    <row r="33779" spans="1:43" ht="14.4" x14ac:dyDescent="0.3"/>
    <row r="33780" spans="1:43" ht="14.4" x14ac:dyDescent="0.3"/>
    <row r="33781" spans="1:43" ht="14.4" x14ac:dyDescent="0.3"/>
    <row r="33782" spans="1:43" ht="14.4" x14ac:dyDescent="0.3"/>
    <row r="33783" spans="1:43" ht="14.4" x14ac:dyDescent="0.3"/>
    <row r="33784" spans="1:43" ht="14.4" x14ac:dyDescent="0.3"/>
    <row r="33785" spans="1:43" ht="14.4" x14ac:dyDescent="0.3"/>
    <row r="33786" spans="1:43" ht="14.4" x14ac:dyDescent="0.3"/>
    <row r="33787" spans="1:43" ht="14.4" hidden="1" x14ac:dyDescent="0.3">
      <c r="A33787" t="s">
        <v>4930</v>
      </c>
      <c r="B33787">
        <v>4897435</v>
      </c>
      <c r="C33787" t="s">
        <v>1045</v>
      </c>
      <c r="D33787" t="s">
        <v>1062</v>
      </c>
      <c r="E33787" t="s">
        <v>1223</v>
      </c>
      <c r="F33787" t="s">
        <v>1967</v>
      </c>
      <c r="H33787" t="s">
        <v>377</v>
      </c>
      <c r="J33787" t="s">
        <v>140</v>
      </c>
      <c r="K33787">
        <v>160745.65</v>
      </c>
      <c r="L33787">
        <v>382565.19</v>
      </c>
      <c r="N33787" t="s">
        <v>814</v>
      </c>
      <c r="O33787" t="s">
        <v>568</v>
      </c>
      <c r="P33787" t="s">
        <v>1014</v>
      </c>
      <c r="S33787">
        <v>10.4</v>
      </c>
      <c r="T33787">
        <v>1600</v>
      </c>
      <c r="V33787" t="s">
        <v>146</v>
      </c>
      <c r="W33787" t="s">
        <v>147</v>
      </c>
      <c r="Y33787" t="s">
        <v>815</v>
      </c>
      <c r="Z33787" t="s">
        <v>568</v>
      </c>
      <c r="AA33787" t="s">
        <v>1968</v>
      </c>
      <c r="AB33787">
        <v>0</v>
      </c>
      <c r="AE33787" t="s">
        <v>1407</v>
      </c>
      <c r="AF33787" t="s">
        <v>568</v>
      </c>
      <c r="AG33787" t="s">
        <v>1969</v>
      </c>
      <c r="AL33787" t="s">
        <v>4931</v>
      </c>
      <c r="AM33787" t="s">
        <v>4932</v>
      </c>
      <c r="AN33787" t="s">
        <v>4933</v>
      </c>
      <c r="AO33787" t="s">
        <v>814</v>
      </c>
      <c r="AQ33787" t="str">
        <f>IF(ISBLANK(AP33787), IFERROR(IF(VLOOKUP(AO33787, Ellens_additions!$A$2:$B$252, 2, FALSE) = "", "", VLOOKUP(AO33787, Ellens_additions!$A$2:$B$252, 2, FALSE)), 0), AP33787)</f>
        <v/>
      </c>
    </row>
    <row r="33788" spans="1:43" ht="14.4" hidden="1" x14ac:dyDescent="0.3">
      <c r="A33788" t="s">
        <v>4934</v>
      </c>
      <c r="B33788">
        <v>4897436</v>
      </c>
      <c r="C33788" t="s">
        <v>1045</v>
      </c>
      <c r="D33788" t="s">
        <v>1062</v>
      </c>
      <c r="E33788" t="s">
        <v>1223</v>
      </c>
      <c r="F33788" t="s">
        <v>1967</v>
      </c>
      <c r="H33788" t="s">
        <v>229</v>
      </c>
      <c r="J33788" t="s">
        <v>140</v>
      </c>
      <c r="K33788">
        <v>160722.63810000001</v>
      </c>
      <c r="L33788">
        <v>382576.05</v>
      </c>
      <c r="N33788" t="s">
        <v>814</v>
      </c>
      <c r="O33788" t="s">
        <v>568</v>
      </c>
      <c r="P33788" t="s">
        <v>1014</v>
      </c>
      <c r="S33788">
        <v>10.4</v>
      </c>
      <c r="T33788">
        <v>1600</v>
      </c>
      <c r="V33788" t="s">
        <v>146</v>
      </c>
      <c r="W33788" t="s">
        <v>147</v>
      </c>
      <c r="Y33788" t="s">
        <v>815</v>
      </c>
      <c r="Z33788" t="s">
        <v>568</v>
      </c>
      <c r="AA33788" t="s">
        <v>1968</v>
      </c>
      <c r="AB33788">
        <v>0</v>
      </c>
      <c r="AE33788" t="s">
        <v>1407</v>
      </c>
      <c r="AF33788" t="s">
        <v>568</v>
      </c>
      <c r="AG33788" t="s">
        <v>1969</v>
      </c>
      <c r="AL33788" t="s">
        <v>4935</v>
      </c>
      <c r="AM33788" t="s">
        <v>4936</v>
      </c>
      <c r="AN33788" t="s">
        <v>4937</v>
      </c>
      <c r="AO33788" t="s">
        <v>814</v>
      </c>
      <c r="AQ33788" t="str">
        <f>IF(ISBLANK(AP33788), IFERROR(IF(VLOOKUP(AO33788, Ellens_additions!$A$2:$B$252, 2, FALSE) = "", "", VLOOKUP(AO33788, Ellens_additions!$A$2:$B$252, 2, FALSE)), 0), AP33788)</f>
        <v/>
      </c>
    </row>
    <row r="33789" spans="1:43" ht="14.4" x14ac:dyDescent="0.3"/>
    <row r="33790" spans="1:43" ht="14.4" x14ac:dyDescent="0.3"/>
    <row r="33791" spans="1:43" ht="14.4" x14ac:dyDescent="0.3"/>
    <row r="33792" spans="1:43" ht="14.4" x14ac:dyDescent="0.3"/>
    <row r="33793" spans="1:43" ht="14.4" x14ac:dyDescent="0.3"/>
    <row r="33794" spans="1:43" ht="14.4" x14ac:dyDescent="0.3"/>
    <row r="33795" spans="1:43" ht="14.4" x14ac:dyDescent="0.3"/>
    <row r="33796" spans="1:43" ht="14.4" x14ac:dyDescent="0.3"/>
    <row r="33797" spans="1:43" ht="14.4" x14ac:dyDescent="0.3"/>
    <row r="33798" spans="1:43" ht="14.4" x14ac:dyDescent="0.3"/>
    <row r="33799" spans="1:43" ht="14.4" x14ac:dyDescent="0.3"/>
    <row r="33800" spans="1:43" ht="14.4" x14ac:dyDescent="0.3"/>
    <row r="33801" spans="1:43" ht="14.4" x14ac:dyDescent="0.3"/>
    <row r="33802" spans="1:43" ht="14.4" x14ac:dyDescent="0.3"/>
    <row r="33803" spans="1:43" ht="14.4" x14ac:dyDescent="0.3"/>
    <row r="33804" spans="1:43" ht="14.4" x14ac:dyDescent="0.3"/>
    <row r="33805" spans="1:43" ht="14.4" x14ac:dyDescent="0.3"/>
    <row r="33806" spans="1:43" ht="14.4" x14ac:dyDescent="0.3"/>
    <row r="33807" spans="1:43" ht="14.4" hidden="1" x14ac:dyDescent="0.3">
      <c r="A33807" t="s">
        <v>4938</v>
      </c>
      <c r="B33807">
        <v>4897497</v>
      </c>
      <c r="C33807" t="s">
        <v>1045</v>
      </c>
      <c r="D33807" t="s">
        <v>1046</v>
      </c>
      <c r="E33807" t="s">
        <v>1205</v>
      </c>
      <c r="F33807" t="s">
        <v>1050</v>
      </c>
      <c r="H33807" t="s">
        <v>4939</v>
      </c>
      <c r="J33807" t="s">
        <v>140</v>
      </c>
      <c r="K33807">
        <v>160838.24</v>
      </c>
      <c r="L33807">
        <v>380607.15</v>
      </c>
      <c r="M33807">
        <v>1</v>
      </c>
      <c r="N33807" t="s">
        <v>1134</v>
      </c>
      <c r="O33807" t="s">
        <v>566</v>
      </c>
      <c r="P33807" t="s">
        <v>826</v>
      </c>
      <c r="Q33807" t="s">
        <v>358</v>
      </c>
      <c r="R33807" t="s">
        <v>145</v>
      </c>
      <c r="S33807">
        <v>70</v>
      </c>
      <c r="T33807">
        <v>6600</v>
      </c>
      <c r="V33807" t="s">
        <v>359</v>
      </c>
      <c r="W33807" t="s">
        <v>184</v>
      </c>
      <c r="X33807" t="s">
        <v>7</v>
      </c>
      <c r="Y33807" t="s">
        <v>4940</v>
      </c>
      <c r="Z33807" t="s">
        <v>566</v>
      </c>
      <c r="AA33807" t="s">
        <v>387</v>
      </c>
      <c r="AB33807">
        <v>0</v>
      </c>
      <c r="AE33807" t="s">
        <v>4941</v>
      </c>
      <c r="AF33807" t="s">
        <v>566</v>
      </c>
      <c r="AG33807" t="s">
        <v>387</v>
      </c>
      <c r="AL33807" t="s">
        <v>4942</v>
      </c>
      <c r="AM33807" t="s">
        <v>4943</v>
      </c>
      <c r="AN33807" t="s">
        <v>4944</v>
      </c>
      <c r="AO33807" t="s">
        <v>1134</v>
      </c>
      <c r="AQ33807" t="str">
        <f>IF(ISBLANK(AP33807), IFERROR(IF(VLOOKUP(AO33807, Ellens_additions!$A$2:$B$252, 2, FALSE) = "", "", VLOOKUP(AO33807, Ellens_additions!$A$2:$B$252, 2, FALSE)), 0), AP33807)</f>
        <v/>
      </c>
    </row>
    <row r="33808" spans="1:43" ht="14.4" x14ac:dyDescent="0.3"/>
    <row r="33809" ht="14.4" x14ac:dyDescent="0.3"/>
    <row r="33810" ht="14.4" x14ac:dyDescent="0.3"/>
    <row r="33811" ht="14.4" x14ac:dyDescent="0.3"/>
    <row r="33812" ht="14.4" x14ac:dyDescent="0.3"/>
    <row r="33813" ht="14.4" x14ac:dyDescent="0.3"/>
    <row r="33814" ht="14.4" x14ac:dyDescent="0.3"/>
    <row r="33815" ht="14.4" x14ac:dyDescent="0.3"/>
    <row r="33816" ht="14.4" x14ac:dyDescent="0.3"/>
    <row r="33817" ht="14.4" x14ac:dyDescent="0.3"/>
    <row r="33818" ht="14.4" x14ac:dyDescent="0.3"/>
    <row r="33819" ht="14.4" x14ac:dyDescent="0.3"/>
    <row r="33820" ht="14.4" x14ac:dyDescent="0.3"/>
    <row r="33821" ht="14.4" x14ac:dyDescent="0.3"/>
    <row r="33822" ht="14.4" x14ac:dyDescent="0.3"/>
    <row r="33823" ht="14.4" x14ac:dyDescent="0.3"/>
    <row r="33824" ht="14.4" x14ac:dyDescent="0.3"/>
    <row r="33825" ht="14.4" x14ac:dyDescent="0.3"/>
    <row r="33826" ht="14.4" x14ac:dyDescent="0.3"/>
    <row r="33827" ht="14.4" x14ac:dyDescent="0.3"/>
    <row r="33828" ht="14.4" x14ac:dyDescent="0.3"/>
    <row r="33829" ht="14.4" x14ac:dyDescent="0.3"/>
    <row r="33830" ht="14.4" x14ac:dyDescent="0.3"/>
    <row r="33831" ht="14.4" x14ac:dyDescent="0.3"/>
    <row r="33832" ht="14.4" x14ac:dyDescent="0.3"/>
    <row r="33833" ht="14.4" x14ac:dyDescent="0.3"/>
    <row r="33834" ht="14.4" x14ac:dyDescent="0.3"/>
    <row r="33835" ht="14.4" x14ac:dyDescent="0.3"/>
    <row r="33836" ht="14.4" x14ac:dyDescent="0.3"/>
    <row r="33837" ht="14.4" x14ac:dyDescent="0.3"/>
    <row r="33838" ht="14.4" x14ac:dyDescent="0.3"/>
    <row r="33839" ht="14.4" x14ac:dyDescent="0.3"/>
    <row r="33840" ht="14.4" x14ac:dyDescent="0.3"/>
    <row r="33841" ht="14.4" x14ac:dyDescent="0.3"/>
    <row r="33842" ht="14.4" x14ac:dyDescent="0.3"/>
    <row r="33843" ht="14.4" x14ac:dyDescent="0.3"/>
    <row r="33844" ht="14.4" x14ac:dyDescent="0.3"/>
    <row r="33845" ht="14.4" x14ac:dyDescent="0.3"/>
    <row r="33846" ht="14.4" x14ac:dyDescent="0.3"/>
    <row r="33847" ht="14.4" x14ac:dyDescent="0.3"/>
    <row r="33848" ht="14.4" x14ac:dyDescent="0.3"/>
    <row r="33849" ht="14.4" x14ac:dyDescent="0.3"/>
    <row r="33850" ht="14.4" x14ac:dyDescent="0.3"/>
    <row r="33851" ht="14.4" x14ac:dyDescent="0.3"/>
    <row r="33852" ht="14.4" x14ac:dyDescent="0.3"/>
    <row r="33853" ht="14.4" x14ac:dyDescent="0.3"/>
    <row r="33854" ht="14.4" x14ac:dyDescent="0.3"/>
    <row r="33855" ht="14.4" x14ac:dyDescent="0.3"/>
    <row r="33856" ht="14.4" x14ac:dyDescent="0.3"/>
    <row r="33857" ht="14.4" x14ac:dyDescent="0.3"/>
    <row r="33858" ht="14.4" x14ac:dyDescent="0.3"/>
    <row r="33859" ht="14.4" x14ac:dyDescent="0.3"/>
    <row r="33860" ht="14.4" x14ac:dyDescent="0.3"/>
    <row r="33861" ht="14.4" x14ac:dyDescent="0.3"/>
    <row r="33862" ht="14.4" x14ac:dyDescent="0.3"/>
    <row r="33863" ht="14.4" x14ac:dyDescent="0.3"/>
    <row r="33864" ht="14.4" x14ac:dyDescent="0.3"/>
    <row r="33865" ht="14.4" x14ac:dyDescent="0.3"/>
    <row r="33866" ht="14.4" x14ac:dyDescent="0.3"/>
    <row r="33867" ht="14.4" x14ac:dyDescent="0.3"/>
    <row r="33868" ht="14.4" x14ac:dyDescent="0.3"/>
    <row r="33869" ht="14.4" x14ac:dyDescent="0.3"/>
    <row r="33870" ht="14.4" x14ac:dyDescent="0.3"/>
    <row r="33871" ht="14.4" x14ac:dyDescent="0.3"/>
    <row r="33872" ht="14.4" x14ac:dyDescent="0.3"/>
    <row r="33873" ht="14.4" x14ac:dyDescent="0.3"/>
    <row r="33874" ht="14.4" x14ac:dyDescent="0.3"/>
    <row r="33875" ht="14.4" x14ac:dyDescent="0.3"/>
    <row r="33876" ht="14.4" x14ac:dyDescent="0.3"/>
    <row r="33877" ht="14.4" x14ac:dyDescent="0.3"/>
    <row r="33878" ht="14.4" x14ac:dyDescent="0.3"/>
    <row r="33879" ht="14.4" x14ac:dyDescent="0.3"/>
    <row r="33880" ht="14.4" x14ac:dyDescent="0.3"/>
    <row r="33881" ht="14.4" x14ac:dyDescent="0.3"/>
    <row r="33882" ht="14.4" x14ac:dyDescent="0.3"/>
    <row r="33883" ht="14.4" x14ac:dyDescent="0.3"/>
    <row r="33884" ht="14.4" x14ac:dyDescent="0.3"/>
    <row r="33885" ht="14.4" x14ac:dyDescent="0.3"/>
    <row r="33886" ht="14.4" x14ac:dyDescent="0.3"/>
    <row r="33887" ht="14.4" x14ac:dyDescent="0.3"/>
    <row r="33888" ht="14.4" x14ac:dyDescent="0.3"/>
    <row r="33889" ht="14.4" x14ac:dyDescent="0.3"/>
    <row r="33890" ht="14.4" x14ac:dyDescent="0.3"/>
    <row r="33891" ht="14.4" x14ac:dyDescent="0.3"/>
    <row r="33892" ht="14.4" x14ac:dyDescent="0.3"/>
    <row r="33893" ht="14.4" x14ac:dyDescent="0.3"/>
    <row r="33894" ht="14.4" x14ac:dyDescent="0.3"/>
    <row r="33895" ht="14.4" x14ac:dyDescent="0.3"/>
    <row r="33896" ht="14.4" x14ac:dyDescent="0.3"/>
    <row r="33897" ht="14.4" x14ac:dyDescent="0.3"/>
    <row r="33898" ht="14.4" x14ac:dyDescent="0.3"/>
    <row r="33899" ht="14.4" x14ac:dyDescent="0.3"/>
    <row r="33900" ht="14.4" x14ac:dyDescent="0.3"/>
    <row r="33901" ht="14.4" x14ac:dyDescent="0.3"/>
    <row r="33902" ht="14.4" x14ac:dyDescent="0.3"/>
    <row r="33903" ht="14.4" x14ac:dyDescent="0.3"/>
    <row r="33904" ht="14.4" x14ac:dyDescent="0.3"/>
    <row r="33905" ht="14.4" x14ac:dyDescent="0.3"/>
    <row r="33906" ht="14.4" x14ac:dyDescent="0.3"/>
    <row r="33907" ht="14.4" x14ac:dyDescent="0.3"/>
    <row r="33908" ht="14.4" x14ac:dyDescent="0.3"/>
    <row r="33909" ht="14.4" x14ac:dyDescent="0.3"/>
    <row r="33910" ht="14.4" x14ac:dyDescent="0.3"/>
    <row r="33911" ht="14.4" x14ac:dyDescent="0.3"/>
    <row r="33912" ht="14.4" x14ac:dyDescent="0.3"/>
    <row r="33913" ht="14.4" x14ac:dyDescent="0.3"/>
    <row r="33914" ht="14.4" x14ac:dyDescent="0.3"/>
    <row r="33915" ht="14.4" x14ac:dyDescent="0.3"/>
    <row r="33916" ht="14.4" x14ac:dyDescent="0.3"/>
    <row r="33917" ht="14.4" x14ac:dyDescent="0.3"/>
    <row r="33918" ht="14.4" x14ac:dyDescent="0.3"/>
    <row r="33919" ht="14.4" x14ac:dyDescent="0.3"/>
    <row r="33920" ht="14.4" x14ac:dyDescent="0.3"/>
    <row r="33921" ht="14.4" x14ac:dyDescent="0.3"/>
    <row r="33922" ht="14.4" x14ac:dyDescent="0.3"/>
    <row r="33923" ht="14.4" x14ac:dyDescent="0.3"/>
    <row r="33924" ht="14.4" x14ac:dyDescent="0.3"/>
    <row r="33925" ht="14.4" x14ac:dyDescent="0.3"/>
    <row r="33926" ht="14.4" x14ac:dyDescent="0.3"/>
    <row r="33927" ht="14.4" x14ac:dyDescent="0.3"/>
    <row r="33928" ht="14.4" x14ac:dyDescent="0.3"/>
    <row r="33929" ht="14.4" x14ac:dyDescent="0.3"/>
    <row r="33930" ht="14.4" x14ac:dyDescent="0.3"/>
    <row r="33931" ht="14.4" x14ac:dyDescent="0.3"/>
    <row r="33932" ht="14.4" x14ac:dyDescent="0.3"/>
    <row r="33933" ht="14.4" x14ac:dyDescent="0.3"/>
    <row r="33934" ht="14.4" x14ac:dyDescent="0.3"/>
    <row r="33935" ht="14.4" x14ac:dyDescent="0.3"/>
    <row r="33936" ht="14.4" x14ac:dyDescent="0.3"/>
    <row r="33937" ht="14.4" x14ac:dyDescent="0.3"/>
    <row r="33938" ht="14.4" x14ac:dyDescent="0.3"/>
    <row r="33939" ht="14.4" x14ac:dyDescent="0.3"/>
    <row r="33940" ht="14.4" x14ac:dyDescent="0.3"/>
    <row r="33941" ht="14.4" x14ac:dyDescent="0.3"/>
    <row r="33942" ht="14.4" x14ac:dyDescent="0.3"/>
    <row r="33943" ht="14.4" x14ac:dyDescent="0.3"/>
    <row r="33944" ht="14.4" x14ac:dyDescent="0.3"/>
    <row r="33945" ht="14.4" x14ac:dyDescent="0.3"/>
    <row r="33946" ht="14.4" x14ac:dyDescent="0.3"/>
    <row r="33947" ht="14.4" x14ac:dyDescent="0.3"/>
    <row r="33948" ht="14.4" x14ac:dyDescent="0.3"/>
    <row r="33949" ht="14.4" x14ac:dyDescent="0.3"/>
    <row r="33950" ht="14.4" x14ac:dyDescent="0.3"/>
    <row r="33951" ht="14.4" x14ac:dyDescent="0.3"/>
    <row r="33952" ht="14.4" x14ac:dyDescent="0.3"/>
    <row r="33953" ht="14.4" x14ac:dyDescent="0.3"/>
    <row r="33954" ht="14.4" x14ac:dyDescent="0.3"/>
    <row r="33955" ht="14.4" x14ac:dyDescent="0.3"/>
    <row r="33956" ht="14.4" x14ac:dyDescent="0.3"/>
    <row r="33957" ht="14.4" x14ac:dyDescent="0.3"/>
    <row r="33958" ht="14.4" x14ac:dyDescent="0.3"/>
    <row r="33959" ht="14.4" x14ac:dyDescent="0.3"/>
    <row r="33960" ht="14.4" x14ac:dyDescent="0.3"/>
    <row r="33961" ht="14.4" x14ac:dyDescent="0.3"/>
    <row r="33962" ht="14.4" x14ac:dyDescent="0.3"/>
    <row r="33963" ht="14.4" x14ac:dyDescent="0.3"/>
    <row r="33964" ht="14.4" x14ac:dyDescent="0.3"/>
    <row r="33965" ht="14.4" x14ac:dyDescent="0.3"/>
    <row r="33966" ht="14.4" x14ac:dyDescent="0.3"/>
    <row r="33967" ht="14.4" x14ac:dyDescent="0.3"/>
    <row r="33968" ht="14.4" x14ac:dyDescent="0.3"/>
    <row r="33969" ht="14.4" x14ac:dyDescent="0.3"/>
    <row r="33970" ht="14.4" x14ac:dyDescent="0.3"/>
    <row r="33971" ht="14.4" x14ac:dyDescent="0.3"/>
    <row r="33972" ht="14.4" x14ac:dyDescent="0.3"/>
    <row r="33973" ht="14.4" x14ac:dyDescent="0.3"/>
    <row r="33974" ht="14.4" x14ac:dyDescent="0.3"/>
    <row r="33975" ht="14.4" x14ac:dyDescent="0.3"/>
    <row r="33976" ht="14.4" x14ac:dyDescent="0.3"/>
    <row r="33977" ht="14.4" x14ac:dyDescent="0.3"/>
    <row r="33978" ht="14.4" x14ac:dyDescent="0.3"/>
    <row r="33979" ht="14.4" x14ac:dyDescent="0.3"/>
    <row r="33980" ht="14.4" x14ac:dyDescent="0.3"/>
    <row r="33981" ht="14.4" x14ac:dyDescent="0.3"/>
    <row r="33982" ht="14.4" x14ac:dyDescent="0.3"/>
    <row r="33983" ht="14.4" x14ac:dyDescent="0.3"/>
    <row r="33984" ht="14.4" x14ac:dyDescent="0.3"/>
    <row r="33985" ht="14.4" x14ac:dyDescent="0.3"/>
    <row r="33986" ht="14.4" x14ac:dyDescent="0.3"/>
    <row r="33987" ht="14.4" x14ac:dyDescent="0.3"/>
    <row r="33988" ht="14.4" x14ac:dyDescent="0.3"/>
    <row r="33989" ht="14.4" x14ac:dyDescent="0.3"/>
    <row r="33990" ht="14.4" x14ac:dyDescent="0.3"/>
    <row r="33991" ht="14.4" x14ac:dyDescent="0.3"/>
    <row r="33992" ht="14.4" x14ac:dyDescent="0.3"/>
    <row r="33993" ht="14.4" x14ac:dyDescent="0.3"/>
    <row r="33994" ht="14.4" x14ac:dyDescent="0.3"/>
    <row r="33995" ht="14.4" x14ac:dyDescent="0.3"/>
    <row r="33996" ht="14.4" x14ac:dyDescent="0.3"/>
    <row r="33997" ht="14.4" x14ac:dyDescent="0.3"/>
    <row r="33998" ht="14.4" x14ac:dyDescent="0.3"/>
    <row r="33999" ht="14.4" x14ac:dyDescent="0.3"/>
    <row r="34000" ht="14.4" x14ac:dyDescent="0.3"/>
    <row r="34001" ht="14.4" x14ac:dyDescent="0.3"/>
    <row r="34002" ht="14.4" x14ac:dyDescent="0.3"/>
    <row r="34003" ht="14.4" x14ac:dyDescent="0.3"/>
    <row r="34004" ht="14.4" x14ac:dyDescent="0.3"/>
    <row r="34005" ht="14.4" x14ac:dyDescent="0.3"/>
    <row r="34006" ht="14.4" x14ac:dyDescent="0.3"/>
    <row r="34007" ht="14.4" x14ac:dyDescent="0.3"/>
    <row r="34008" ht="14.4" x14ac:dyDescent="0.3"/>
    <row r="34009" ht="14.4" x14ac:dyDescent="0.3"/>
    <row r="34010" ht="14.4" x14ac:dyDescent="0.3"/>
    <row r="34011" ht="14.4" x14ac:dyDescent="0.3"/>
    <row r="34012" ht="14.4" x14ac:dyDescent="0.3"/>
    <row r="34013" ht="14.4" x14ac:dyDescent="0.3"/>
    <row r="34014" ht="14.4" x14ac:dyDescent="0.3"/>
    <row r="34015" ht="14.4" x14ac:dyDescent="0.3"/>
    <row r="34016" ht="14.4" x14ac:dyDescent="0.3"/>
    <row r="34017" ht="14.4" x14ac:dyDescent="0.3"/>
    <row r="34018" ht="14.4" x14ac:dyDescent="0.3"/>
    <row r="34019" ht="14.4" x14ac:dyDescent="0.3"/>
    <row r="34020" ht="14.4" x14ac:dyDescent="0.3"/>
    <row r="34021" ht="14.4" x14ac:dyDescent="0.3"/>
    <row r="34022" ht="14.4" x14ac:dyDescent="0.3"/>
    <row r="34023" ht="14.4" x14ac:dyDescent="0.3"/>
    <row r="34024" ht="14.4" x14ac:dyDescent="0.3"/>
    <row r="34025" ht="14.4" x14ac:dyDescent="0.3"/>
    <row r="34026" ht="14.4" x14ac:dyDescent="0.3"/>
    <row r="34027" ht="14.4" x14ac:dyDescent="0.3"/>
    <row r="34028" ht="14.4" x14ac:dyDescent="0.3"/>
    <row r="34029" ht="14.4" x14ac:dyDescent="0.3"/>
    <row r="34030" ht="14.4" x14ac:dyDescent="0.3"/>
    <row r="34031" ht="14.4" x14ac:dyDescent="0.3"/>
    <row r="34032" ht="14.4" x14ac:dyDescent="0.3"/>
    <row r="34033" spans="1:43" ht="14.4" x14ac:dyDescent="0.3"/>
    <row r="34034" spans="1:43" ht="14.4" x14ac:dyDescent="0.3"/>
    <row r="34035" spans="1:43" ht="14.4" x14ac:dyDescent="0.3"/>
    <row r="34036" spans="1:43" ht="14.4" x14ac:dyDescent="0.3"/>
    <row r="34037" spans="1:43" ht="14.4" x14ac:dyDescent="0.3"/>
    <row r="34038" spans="1:43" ht="14.4" x14ac:dyDescent="0.3"/>
    <row r="34039" spans="1:43" ht="14.4" x14ac:dyDescent="0.3"/>
    <row r="34040" spans="1:43" ht="14.4" x14ac:dyDescent="0.3"/>
    <row r="34041" spans="1:43" ht="14.4" x14ac:dyDescent="0.3"/>
    <row r="34042" spans="1:43" ht="14.4" hidden="1" x14ac:dyDescent="0.3">
      <c r="A34042" t="s">
        <v>4946</v>
      </c>
      <c r="B34042">
        <v>4891205</v>
      </c>
      <c r="C34042" t="s">
        <v>842</v>
      </c>
      <c r="D34042" t="s">
        <v>843</v>
      </c>
      <c r="E34042" t="s">
        <v>846</v>
      </c>
      <c r="F34042" t="s">
        <v>1991</v>
      </c>
      <c r="H34042" t="s">
        <v>229</v>
      </c>
      <c r="J34042" t="s">
        <v>140</v>
      </c>
      <c r="K34042">
        <v>161267.288</v>
      </c>
      <c r="L34042">
        <v>383866.603</v>
      </c>
      <c r="M34042">
        <v>1</v>
      </c>
      <c r="N34042" t="s">
        <v>871</v>
      </c>
      <c r="O34042" t="s">
        <v>832</v>
      </c>
      <c r="P34042" t="s">
        <v>567</v>
      </c>
      <c r="Q34042" t="s">
        <v>761</v>
      </c>
      <c r="R34042" t="s">
        <v>145</v>
      </c>
      <c r="S34042">
        <v>36</v>
      </c>
      <c r="T34042">
        <v>3350</v>
      </c>
      <c r="V34042" t="s">
        <v>848</v>
      </c>
      <c r="W34042" t="s">
        <v>390</v>
      </c>
      <c r="X34042" t="s">
        <v>7</v>
      </c>
      <c r="Y34042" t="s">
        <v>1948</v>
      </c>
      <c r="Z34042" t="s">
        <v>1992</v>
      </c>
      <c r="AA34042" t="s">
        <v>1552</v>
      </c>
      <c r="AB34042">
        <v>100</v>
      </c>
      <c r="AC34042" t="s">
        <v>150</v>
      </c>
      <c r="AE34042" t="s">
        <v>1960</v>
      </c>
      <c r="AF34042" t="s">
        <v>485</v>
      </c>
      <c r="AG34042" t="s">
        <v>486</v>
      </c>
      <c r="AL34042" t="s">
        <v>4947</v>
      </c>
      <c r="AM34042" t="s">
        <v>4948</v>
      </c>
      <c r="AN34042" t="s">
        <v>4949</v>
      </c>
      <c r="AO34042" t="s">
        <v>871</v>
      </c>
      <c r="AQ34042" t="str">
        <f>IF(ISBLANK(AP34042), IFERROR(IF(VLOOKUP(AO34042, Ellens_additions!$A$2:$B$252, 2, FALSE) = "", "", VLOOKUP(AO34042, Ellens_additions!$A$2:$B$252, 2, FALSE)), 0), AP34042)</f>
        <v/>
      </c>
    </row>
    <row r="34043" spans="1:43" ht="14.4" hidden="1" x14ac:dyDescent="0.3">
      <c r="A34043" t="s">
        <v>4950</v>
      </c>
      <c r="B34043">
        <v>4891207</v>
      </c>
      <c r="C34043" t="s">
        <v>842</v>
      </c>
      <c r="D34043" t="s">
        <v>843</v>
      </c>
      <c r="E34043" t="s">
        <v>846</v>
      </c>
      <c r="F34043" t="s">
        <v>1991</v>
      </c>
      <c r="H34043" t="s">
        <v>274</v>
      </c>
      <c r="J34043" t="s">
        <v>140</v>
      </c>
      <c r="K34043">
        <v>161261.40599999999</v>
      </c>
      <c r="L34043">
        <v>383864.88900000002</v>
      </c>
      <c r="M34043">
        <v>1</v>
      </c>
      <c r="N34043" t="s">
        <v>871</v>
      </c>
      <c r="O34043" t="s">
        <v>832</v>
      </c>
      <c r="P34043" t="s">
        <v>567</v>
      </c>
      <c r="Q34043" t="s">
        <v>761</v>
      </c>
      <c r="R34043" t="s">
        <v>145</v>
      </c>
      <c r="S34043">
        <v>36</v>
      </c>
      <c r="T34043">
        <v>3350</v>
      </c>
      <c r="V34043" t="s">
        <v>848</v>
      </c>
      <c r="W34043" t="s">
        <v>390</v>
      </c>
      <c r="X34043" t="s">
        <v>7</v>
      </c>
      <c r="Y34043" t="s">
        <v>1948</v>
      </c>
      <c r="Z34043" t="s">
        <v>1992</v>
      </c>
      <c r="AA34043" t="s">
        <v>1552</v>
      </c>
      <c r="AB34043">
        <v>100</v>
      </c>
      <c r="AC34043" t="s">
        <v>150</v>
      </c>
      <c r="AE34043" t="s">
        <v>1960</v>
      </c>
      <c r="AF34043" t="s">
        <v>485</v>
      </c>
      <c r="AG34043" t="s">
        <v>486</v>
      </c>
      <c r="AL34043" t="s">
        <v>4951</v>
      </c>
      <c r="AM34043" t="s">
        <v>4952</v>
      </c>
      <c r="AN34043" t="s">
        <v>4953</v>
      </c>
      <c r="AO34043" t="s">
        <v>871</v>
      </c>
      <c r="AQ34043" t="str">
        <f>IF(ISBLANK(AP34043), IFERROR(IF(VLOOKUP(AO34043, Ellens_additions!$A$2:$B$252, 2, FALSE) = "", "", VLOOKUP(AO34043, Ellens_additions!$A$2:$B$252, 2, FALSE)), 0), AP34043)</f>
        <v/>
      </c>
    </row>
    <row r="34044" spans="1:43" ht="14.4" hidden="1" x14ac:dyDescent="0.3">
      <c r="A34044" t="s">
        <v>4954</v>
      </c>
      <c r="B34044">
        <v>4891208</v>
      </c>
      <c r="C34044" t="s">
        <v>842</v>
      </c>
      <c r="D34044" t="s">
        <v>843</v>
      </c>
      <c r="E34044" t="s">
        <v>846</v>
      </c>
      <c r="F34044" t="s">
        <v>1991</v>
      </c>
      <c r="H34044" t="s">
        <v>244</v>
      </c>
      <c r="J34044" t="s">
        <v>140</v>
      </c>
      <c r="K34044">
        <v>161254.36600000001</v>
      </c>
      <c r="L34044">
        <v>383844.478</v>
      </c>
      <c r="M34044">
        <v>1</v>
      </c>
      <c r="N34044" t="s">
        <v>871</v>
      </c>
      <c r="O34044" t="s">
        <v>693</v>
      </c>
      <c r="P34044" t="s">
        <v>541</v>
      </c>
      <c r="Q34044" t="s">
        <v>761</v>
      </c>
      <c r="R34044" t="s">
        <v>145</v>
      </c>
      <c r="S34044">
        <v>36</v>
      </c>
      <c r="T34044">
        <v>3350</v>
      </c>
      <c r="V34044" t="s">
        <v>848</v>
      </c>
      <c r="W34044" t="s">
        <v>390</v>
      </c>
      <c r="X34044" t="s">
        <v>7</v>
      </c>
      <c r="Y34044" t="s">
        <v>1948</v>
      </c>
      <c r="Z34044" t="s">
        <v>1992</v>
      </c>
      <c r="AA34044" t="s">
        <v>1552</v>
      </c>
      <c r="AB34044">
        <v>100</v>
      </c>
      <c r="AC34044" t="s">
        <v>150</v>
      </c>
      <c r="AE34044" t="s">
        <v>1960</v>
      </c>
      <c r="AF34044" t="s">
        <v>485</v>
      </c>
      <c r="AG34044" t="s">
        <v>486</v>
      </c>
      <c r="AL34044" t="s">
        <v>4955</v>
      </c>
      <c r="AM34044" t="s">
        <v>4956</v>
      </c>
      <c r="AN34044" t="s">
        <v>4957</v>
      </c>
      <c r="AO34044" t="s">
        <v>871</v>
      </c>
      <c r="AQ34044" t="str">
        <f>IF(ISBLANK(AP34044), IFERROR(IF(VLOOKUP(AO34044, Ellens_additions!$A$2:$B$252, 2, FALSE) = "", "", VLOOKUP(AO34044, Ellens_additions!$A$2:$B$252, 2, FALSE)), 0), AP34044)</f>
        <v/>
      </c>
    </row>
    <row r="34045" spans="1:43" ht="14.4" hidden="1" x14ac:dyDescent="0.3">
      <c r="A34045" t="s">
        <v>4958</v>
      </c>
      <c r="B34045">
        <v>4891209</v>
      </c>
      <c r="C34045" t="s">
        <v>842</v>
      </c>
      <c r="D34045" t="s">
        <v>843</v>
      </c>
      <c r="E34045" t="s">
        <v>846</v>
      </c>
      <c r="F34045" t="s">
        <v>1991</v>
      </c>
      <c r="H34045" t="s">
        <v>275</v>
      </c>
      <c r="J34045" t="s">
        <v>140</v>
      </c>
      <c r="K34045">
        <v>161252.78099999999</v>
      </c>
      <c r="L34045">
        <v>383862.18900000001</v>
      </c>
      <c r="M34045">
        <v>1</v>
      </c>
      <c r="N34045" t="s">
        <v>871</v>
      </c>
      <c r="O34045" t="s">
        <v>832</v>
      </c>
      <c r="P34045" t="s">
        <v>567</v>
      </c>
      <c r="Q34045" t="s">
        <v>761</v>
      </c>
      <c r="R34045" t="s">
        <v>145</v>
      </c>
      <c r="S34045">
        <v>36</v>
      </c>
      <c r="T34045">
        <v>3350</v>
      </c>
      <c r="V34045" t="s">
        <v>848</v>
      </c>
      <c r="W34045" t="s">
        <v>390</v>
      </c>
      <c r="X34045" t="s">
        <v>7</v>
      </c>
      <c r="Y34045" t="s">
        <v>1948</v>
      </c>
      <c r="Z34045" t="s">
        <v>1992</v>
      </c>
      <c r="AA34045" t="s">
        <v>1552</v>
      </c>
      <c r="AB34045">
        <v>100</v>
      </c>
      <c r="AC34045" t="s">
        <v>150</v>
      </c>
      <c r="AE34045" t="s">
        <v>1960</v>
      </c>
      <c r="AF34045" t="s">
        <v>485</v>
      </c>
      <c r="AG34045" t="s">
        <v>486</v>
      </c>
      <c r="AL34045" t="s">
        <v>4959</v>
      </c>
      <c r="AM34045" t="s">
        <v>4960</v>
      </c>
      <c r="AN34045" t="s">
        <v>4961</v>
      </c>
      <c r="AO34045" t="s">
        <v>871</v>
      </c>
      <c r="AQ34045" t="str">
        <f>IF(ISBLANK(AP34045), IFERROR(IF(VLOOKUP(AO34045, Ellens_additions!$A$2:$B$252, 2, FALSE) = "", "", VLOOKUP(AO34045, Ellens_additions!$A$2:$B$252, 2, FALSE)), 0), AP34045)</f>
        <v/>
      </c>
    </row>
    <row r="34046" spans="1:43" ht="14.4" hidden="1" x14ac:dyDescent="0.3">
      <c r="A34046" t="s">
        <v>4962</v>
      </c>
      <c r="B34046">
        <v>4891212</v>
      </c>
      <c r="C34046" t="s">
        <v>842</v>
      </c>
      <c r="D34046" t="s">
        <v>843</v>
      </c>
      <c r="E34046" t="s">
        <v>846</v>
      </c>
      <c r="F34046" t="s">
        <v>1991</v>
      </c>
      <c r="H34046" t="s">
        <v>406</v>
      </c>
      <c r="J34046" t="s">
        <v>140</v>
      </c>
      <c r="K34046">
        <v>161237.27499999999</v>
      </c>
      <c r="L34046">
        <v>383857.40399999998</v>
      </c>
      <c r="M34046">
        <v>1</v>
      </c>
      <c r="N34046" t="s">
        <v>871</v>
      </c>
      <c r="O34046" t="s">
        <v>832</v>
      </c>
      <c r="P34046" t="s">
        <v>567</v>
      </c>
      <c r="Q34046" t="s">
        <v>761</v>
      </c>
      <c r="R34046" t="s">
        <v>145</v>
      </c>
      <c r="S34046">
        <v>36</v>
      </c>
      <c r="T34046">
        <v>3350</v>
      </c>
      <c r="V34046" t="s">
        <v>848</v>
      </c>
      <c r="W34046" t="s">
        <v>390</v>
      </c>
      <c r="X34046" t="s">
        <v>7</v>
      </c>
      <c r="Y34046" t="s">
        <v>1948</v>
      </c>
      <c r="Z34046" t="s">
        <v>1992</v>
      </c>
      <c r="AA34046" t="s">
        <v>1552</v>
      </c>
      <c r="AB34046">
        <v>100</v>
      </c>
      <c r="AC34046" t="s">
        <v>150</v>
      </c>
      <c r="AE34046" t="s">
        <v>1960</v>
      </c>
      <c r="AF34046" t="s">
        <v>485</v>
      </c>
      <c r="AG34046" t="s">
        <v>486</v>
      </c>
      <c r="AL34046" t="s">
        <v>4963</v>
      </c>
      <c r="AM34046" t="s">
        <v>4964</v>
      </c>
      <c r="AN34046" t="s">
        <v>4965</v>
      </c>
      <c r="AO34046" t="s">
        <v>871</v>
      </c>
      <c r="AQ34046" t="str">
        <f>IF(ISBLANK(AP34046), IFERROR(IF(VLOOKUP(AO34046, Ellens_additions!$A$2:$B$252, 2, FALSE) = "", "", VLOOKUP(AO34046, Ellens_additions!$A$2:$B$252, 2, FALSE)), 0), AP34046)</f>
        <v/>
      </c>
    </row>
    <row r="34047" spans="1:43" ht="14.4" hidden="1" x14ac:dyDescent="0.3">
      <c r="A34047" t="s">
        <v>4966</v>
      </c>
      <c r="B34047">
        <v>4891220</v>
      </c>
      <c r="C34047" t="s">
        <v>842</v>
      </c>
      <c r="D34047" t="s">
        <v>843</v>
      </c>
      <c r="E34047" t="s">
        <v>846</v>
      </c>
      <c r="F34047" t="s">
        <v>2001</v>
      </c>
      <c r="H34047" t="s">
        <v>255</v>
      </c>
      <c r="J34047" t="s">
        <v>140</v>
      </c>
      <c r="K34047">
        <v>161262.31599999999</v>
      </c>
      <c r="L34047">
        <v>383938.21100000001</v>
      </c>
      <c r="M34047">
        <v>1</v>
      </c>
      <c r="N34047" t="s">
        <v>1246</v>
      </c>
      <c r="O34047" t="s">
        <v>1543</v>
      </c>
      <c r="P34047" t="s">
        <v>2017</v>
      </c>
      <c r="Q34047" t="s">
        <v>761</v>
      </c>
      <c r="R34047" t="s">
        <v>145</v>
      </c>
      <c r="S34047">
        <v>18</v>
      </c>
      <c r="T34047">
        <v>0</v>
      </c>
      <c r="V34047" t="s">
        <v>848</v>
      </c>
      <c r="W34047" t="s">
        <v>849</v>
      </c>
      <c r="X34047" t="s">
        <v>7</v>
      </c>
      <c r="Y34047" t="s">
        <v>2004</v>
      </c>
      <c r="Z34047" t="s">
        <v>1511</v>
      </c>
      <c r="AA34047" t="s">
        <v>1947</v>
      </c>
      <c r="AB34047">
        <v>100</v>
      </c>
      <c r="AC34047" t="s">
        <v>150</v>
      </c>
      <c r="AE34047" t="s">
        <v>1960</v>
      </c>
      <c r="AF34047" t="s">
        <v>485</v>
      </c>
      <c r="AG34047" t="s">
        <v>486</v>
      </c>
      <c r="AL34047" t="s">
        <v>4967</v>
      </c>
      <c r="AM34047" t="s">
        <v>4968</v>
      </c>
      <c r="AN34047" t="s">
        <v>4969</v>
      </c>
      <c r="AO34047" t="s">
        <v>1246</v>
      </c>
      <c r="AQ34047" t="str">
        <f>IF(ISBLANK(AP34047), IFERROR(IF(VLOOKUP(AO34047, Ellens_additions!$A$2:$B$252, 2, FALSE) = "", "", VLOOKUP(AO34047, Ellens_additions!$A$2:$B$252, 2, FALSE)), 0), AP34047)</f>
        <v/>
      </c>
    </row>
    <row r="34048" spans="1:43" ht="14.4" hidden="1" x14ac:dyDescent="0.3">
      <c r="A34048" t="s">
        <v>4970</v>
      </c>
      <c r="B34048">
        <v>4891222</v>
      </c>
      <c r="C34048" t="s">
        <v>842</v>
      </c>
      <c r="D34048" t="s">
        <v>843</v>
      </c>
      <c r="E34048" t="s">
        <v>846</v>
      </c>
      <c r="F34048" t="s">
        <v>2001</v>
      </c>
      <c r="H34048" t="s">
        <v>256</v>
      </c>
      <c r="J34048" t="s">
        <v>140</v>
      </c>
      <c r="K34048">
        <v>161261.09700000001</v>
      </c>
      <c r="L34048">
        <v>383943.272</v>
      </c>
      <c r="M34048">
        <v>1</v>
      </c>
      <c r="N34048" t="s">
        <v>2002</v>
      </c>
      <c r="O34048" t="s">
        <v>1268</v>
      </c>
      <c r="P34048" t="s">
        <v>2003</v>
      </c>
      <c r="Q34048" t="s">
        <v>761</v>
      </c>
      <c r="R34048" t="s">
        <v>145</v>
      </c>
      <c r="S34048">
        <v>18</v>
      </c>
      <c r="T34048">
        <v>0</v>
      </c>
      <c r="V34048" t="s">
        <v>848</v>
      </c>
      <c r="W34048" t="s">
        <v>849</v>
      </c>
      <c r="X34048" t="s">
        <v>7</v>
      </c>
      <c r="Y34048" t="s">
        <v>2004</v>
      </c>
      <c r="Z34048" t="s">
        <v>1511</v>
      </c>
      <c r="AA34048" t="s">
        <v>1947</v>
      </c>
      <c r="AB34048">
        <v>100</v>
      </c>
      <c r="AC34048" t="s">
        <v>150</v>
      </c>
      <c r="AE34048" t="s">
        <v>1960</v>
      </c>
      <c r="AF34048" t="s">
        <v>485</v>
      </c>
      <c r="AG34048" t="s">
        <v>486</v>
      </c>
      <c r="AL34048" t="s">
        <v>4971</v>
      </c>
      <c r="AM34048" t="s">
        <v>4972</v>
      </c>
      <c r="AN34048" t="s">
        <v>4973</v>
      </c>
      <c r="AO34048" t="s">
        <v>2002</v>
      </c>
      <c r="AQ34048" t="str">
        <f>IF(ISBLANK(AP34048), IFERROR(IF(VLOOKUP(AO34048, Ellens_additions!$A$2:$B$252, 2, FALSE) = "", "", VLOOKUP(AO34048, Ellens_additions!$A$2:$B$252, 2, FALSE)), 0), AP34048)</f>
        <v/>
      </c>
    </row>
    <row r="34049" ht="14.4" x14ac:dyDescent="0.3"/>
    <row r="34050" ht="14.4" x14ac:dyDescent="0.3"/>
    <row r="34051" ht="14.4" x14ac:dyDescent="0.3"/>
    <row r="34052" ht="14.4" x14ac:dyDescent="0.3"/>
    <row r="34053" ht="14.4" x14ac:dyDescent="0.3"/>
    <row r="34054" ht="14.4" x14ac:dyDescent="0.3"/>
    <row r="34055" ht="14.4" x14ac:dyDescent="0.3"/>
    <row r="34056" ht="14.4" x14ac:dyDescent="0.3"/>
    <row r="34057" ht="14.4" x14ac:dyDescent="0.3"/>
    <row r="34058" ht="14.4" x14ac:dyDescent="0.3"/>
    <row r="34059" ht="14.4" x14ac:dyDescent="0.3"/>
    <row r="34060" ht="14.4" x14ac:dyDescent="0.3"/>
    <row r="34061" ht="14.4" x14ac:dyDescent="0.3"/>
    <row r="34062" ht="14.4" x14ac:dyDescent="0.3"/>
    <row r="34063" ht="14.4" x14ac:dyDescent="0.3"/>
    <row r="34064" ht="14.4" x14ac:dyDescent="0.3"/>
    <row r="34065" ht="14.4" x14ac:dyDescent="0.3"/>
    <row r="34066" ht="14.4" x14ac:dyDescent="0.3"/>
    <row r="34067" ht="14.4" x14ac:dyDescent="0.3"/>
    <row r="34068" ht="14.4" x14ac:dyDescent="0.3"/>
    <row r="34069" ht="14.4" x14ac:dyDescent="0.3"/>
    <row r="34070" ht="14.4" x14ac:dyDescent="0.3"/>
    <row r="34071" ht="14.4" x14ac:dyDescent="0.3"/>
    <row r="34072" ht="14.4" x14ac:dyDescent="0.3"/>
    <row r="34073" ht="14.4" x14ac:dyDescent="0.3"/>
    <row r="34074" ht="14.4" x14ac:dyDescent="0.3"/>
    <row r="34075" ht="14.4" x14ac:dyDescent="0.3"/>
    <row r="34076" ht="14.4" x14ac:dyDescent="0.3"/>
    <row r="34077" ht="14.4" x14ac:dyDescent="0.3"/>
    <row r="34078" ht="14.4" x14ac:dyDescent="0.3"/>
    <row r="34079" ht="14.4" x14ac:dyDescent="0.3"/>
    <row r="34080" ht="14.4" x14ac:dyDescent="0.3"/>
    <row r="34081" ht="14.4" x14ac:dyDescent="0.3"/>
    <row r="34082" ht="14.4" x14ac:dyDescent="0.3"/>
    <row r="34083" ht="14.4" x14ac:dyDescent="0.3"/>
    <row r="34084" ht="14.4" x14ac:dyDescent="0.3"/>
    <row r="34085" ht="14.4" x14ac:dyDescent="0.3"/>
    <row r="34086" ht="14.4" x14ac:dyDescent="0.3"/>
    <row r="34087" ht="14.4" x14ac:dyDescent="0.3"/>
    <row r="34088" ht="14.4" x14ac:dyDescent="0.3"/>
    <row r="34089" ht="14.4" x14ac:dyDescent="0.3"/>
    <row r="34090" ht="14.4" x14ac:dyDescent="0.3"/>
    <row r="34091" ht="14.4" x14ac:dyDescent="0.3"/>
    <row r="34092" ht="14.4" x14ac:dyDescent="0.3"/>
    <row r="34093" ht="14.4" x14ac:dyDescent="0.3"/>
    <row r="34094" ht="14.4" x14ac:dyDescent="0.3"/>
    <row r="34095" ht="14.4" x14ac:dyDescent="0.3"/>
    <row r="34096" ht="14.4" x14ac:dyDescent="0.3"/>
    <row r="34097" ht="14.4" x14ac:dyDescent="0.3"/>
    <row r="34098" ht="14.4" x14ac:dyDescent="0.3"/>
    <row r="34099" ht="14.4" x14ac:dyDescent="0.3"/>
    <row r="34100" ht="14.4" x14ac:dyDescent="0.3"/>
    <row r="34101" ht="14.4" x14ac:dyDescent="0.3"/>
    <row r="34102" ht="14.4" x14ac:dyDescent="0.3"/>
    <row r="34103" ht="14.4" x14ac:dyDescent="0.3"/>
    <row r="34104" ht="14.4" x14ac:dyDescent="0.3"/>
    <row r="34105" ht="14.4" x14ac:dyDescent="0.3"/>
    <row r="34106" ht="14.4" x14ac:dyDescent="0.3"/>
    <row r="34107" ht="14.4" x14ac:dyDescent="0.3"/>
    <row r="34108" ht="14.4" x14ac:dyDescent="0.3"/>
    <row r="34109" ht="14.4" x14ac:dyDescent="0.3"/>
    <row r="34110" ht="14.4" x14ac:dyDescent="0.3"/>
    <row r="34111" ht="14.4" x14ac:dyDescent="0.3"/>
    <row r="34112" ht="14.4" x14ac:dyDescent="0.3"/>
    <row r="34113" ht="14.4" x14ac:dyDescent="0.3"/>
    <row r="34114" ht="14.4" x14ac:dyDescent="0.3"/>
    <row r="34115" ht="14.4" x14ac:dyDescent="0.3"/>
    <row r="34116" ht="14.4" x14ac:dyDescent="0.3"/>
    <row r="34117" ht="14.4" x14ac:dyDescent="0.3"/>
    <row r="34118" ht="14.4" x14ac:dyDescent="0.3"/>
    <row r="34119" ht="14.4" x14ac:dyDescent="0.3"/>
    <row r="34120" ht="14.4" x14ac:dyDescent="0.3"/>
    <row r="34121" ht="14.4" x14ac:dyDescent="0.3"/>
    <row r="34122" ht="14.4" x14ac:dyDescent="0.3"/>
    <row r="34123" ht="14.4" x14ac:dyDescent="0.3"/>
    <row r="34124" ht="14.4" x14ac:dyDescent="0.3"/>
    <row r="34125" ht="14.4" x14ac:dyDescent="0.3"/>
    <row r="34126" ht="14.4" x14ac:dyDescent="0.3"/>
    <row r="34127" ht="14.4" x14ac:dyDescent="0.3"/>
    <row r="34128" ht="14.4" x14ac:dyDescent="0.3"/>
    <row r="34129" ht="14.4" x14ac:dyDescent="0.3"/>
    <row r="34130" ht="14.4" x14ac:dyDescent="0.3"/>
    <row r="34131" ht="14.4" x14ac:dyDescent="0.3"/>
    <row r="34132" ht="14.4" x14ac:dyDescent="0.3"/>
    <row r="34133" ht="14.4" x14ac:dyDescent="0.3"/>
    <row r="34134" ht="14.4" x14ac:dyDescent="0.3"/>
    <row r="34135" ht="14.4" x14ac:dyDescent="0.3"/>
    <row r="34136" ht="14.4" x14ac:dyDescent="0.3"/>
    <row r="34137" ht="14.4" x14ac:dyDescent="0.3"/>
    <row r="34138" ht="14.4" x14ac:dyDescent="0.3"/>
    <row r="34139" ht="14.4" x14ac:dyDescent="0.3"/>
    <row r="34140" ht="14.4" x14ac:dyDescent="0.3"/>
    <row r="34141" ht="14.4" x14ac:dyDescent="0.3"/>
    <row r="34142" ht="14.4" x14ac:dyDescent="0.3"/>
    <row r="34143" ht="14.4" x14ac:dyDescent="0.3"/>
    <row r="34144" ht="14.4" x14ac:dyDescent="0.3"/>
    <row r="34145" ht="14.4" x14ac:dyDescent="0.3"/>
    <row r="34146" ht="14.4" x14ac:dyDescent="0.3"/>
    <row r="34147" ht="14.4" x14ac:dyDescent="0.3"/>
    <row r="34148" ht="14.4" x14ac:dyDescent="0.3"/>
    <row r="34149" ht="14.4" x14ac:dyDescent="0.3"/>
    <row r="34150" ht="14.4" x14ac:dyDescent="0.3"/>
    <row r="34151" ht="14.4" x14ac:dyDescent="0.3"/>
    <row r="34152" ht="14.4" x14ac:dyDescent="0.3"/>
    <row r="34153" ht="14.4" x14ac:dyDescent="0.3"/>
    <row r="34154" ht="14.4" x14ac:dyDescent="0.3"/>
    <row r="34155" ht="14.4" x14ac:dyDescent="0.3"/>
    <row r="34156" ht="14.4" x14ac:dyDescent="0.3"/>
    <row r="34157" ht="14.4" x14ac:dyDescent="0.3"/>
    <row r="34158" ht="14.4" x14ac:dyDescent="0.3"/>
    <row r="34159" ht="14.4" x14ac:dyDescent="0.3"/>
    <row r="34160" ht="14.4" x14ac:dyDescent="0.3"/>
    <row r="34161" ht="14.4" x14ac:dyDescent="0.3"/>
    <row r="34162" ht="14.4" x14ac:dyDescent="0.3"/>
    <row r="34163" ht="14.4" x14ac:dyDescent="0.3"/>
    <row r="34164" ht="14.4" x14ac:dyDescent="0.3"/>
    <row r="34165" ht="14.4" x14ac:dyDescent="0.3"/>
    <row r="34166" ht="14.4" x14ac:dyDescent="0.3"/>
    <row r="34167" ht="14.4" x14ac:dyDescent="0.3"/>
    <row r="34168" ht="14.4" x14ac:dyDescent="0.3"/>
    <row r="34169" ht="14.4" x14ac:dyDescent="0.3"/>
    <row r="34170" ht="14.4" x14ac:dyDescent="0.3"/>
    <row r="34171" ht="14.4" x14ac:dyDescent="0.3"/>
    <row r="34172" ht="14.4" x14ac:dyDescent="0.3"/>
    <row r="34173" ht="14.4" x14ac:dyDescent="0.3"/>
    <row r="34174" ht="14.4" x14ac:dyDescent="0.3"/>
    <row r="34175" ht="14.4" x14ac:dyDescent="0.3"/>
    <row r="34176" ht="14.4" x14ac:dyDescent="0.3"/>
    <row r="34177" ht="14.4" x14ac:dyDescent="0.3"/>
    <row r="34178" ht="14.4" x14ac:dyDescent="0.3"/>
    <row r="34179" ht="14.4" x14ac:dyDescent="0.3"/>
    <row r="34180" ht="14.4" x14ac:dyDescent="0.3"/>
    <row r="34181" ht="14.4" x14ac:dyDescent="0.3"/>
    <row r="34182" ht="14.4" x14ac:dyDescent="0.3"/>
    <row r="34183" ht="14.4" x14ac:dyDescent="0.3"/>
    <row r="34184" ht="14.4" x14ac:dyDescent="0.3"/>
    <row r="34185" ht="14.4" x14ac:dyDescent="0.3"/>
    <row r="34186" ht="14.4" x14ac:dyDescent="0.3"/>
    <row r="34187" ht="14.4" x14ac:dyDescent="0.3"/>
    <row r="34188" ht="14.4" x14ac:dyDescent="0.3"/>
    <row r="34189" ht="14.4" x14ac:dyDescent="0.3"/>
    <row r="34190" ht="14.4" x14ac:dyDescent="0.3"/>
    <row r="34191" ht="14.4" x14ac:dyDescent="0.3"/>
    <row r="34192" ht="14.4" x14ac:dyDescent="0.3"/>
    <row r="34193" ht="14.4" x14ac:dyDescent="0.3"/>
    <row r="34194" ht="14.4" x14ac:dyDescent="0.3"/>
    <row r="34195" ht="14.4" x14ac:dyDescent="0.3"/>
    <row r="34196" ht="14.4" x14ac:dyDescent="0.3"/>
    <row r="34197" ht="14.4" x14ac:dyDescent="0.3"/>
    <row r="34198" ht="14.4" x14ac:dyDescent="0.3"/>
    <row r="34199" ht="14.4" x14ac:dyDescent="0.3"/>
    <row r="34200" ht="14.4" x14ac:dyDescent="0.3"/>
    <row r="34201" ht="14.4" x14ac:dyDescent="0.3"/>
    <row r="34202" ht="14.4" x14ac:dyDescent="0.3"/>
    <row r="34203" ht="14.4" x14ac:dyDescent="0.3"/>
    <row r="34204" ht="14.4" x14ac:dyDescent="0.3"/>
    <row r="34205" ht="14.4" x14ac:dyDescent="0.3"/>
    <row r="34206" ht="14.4" x14ac:dyDescent="0.3"/>
    <row r="34207" ht="14.4" x14ac:dyDescent="0.3"/>
    <row r="34208" ht="14.4" x14ac:dyDescent="0.3"/>
    <row r="34209" ht="14.4" x14ac:dyDescent="0.3"/>
    <row r="34210" ht="14.4" x14ac:dyDescent="0.3"/>
    <row r="34211" ht="14.4" x14ac:dyDescent="0.3"/>
    <row r="34212" ht="14.4" x14ac:dyDescent="0.3"/>
    <row r="34213" ht="14.4" x14ac:dyDescent="0.3"/>
    <row r="34214" ht="14.4" x14ac:dyDescent="0.3"/>
    <row r="34215" ht="14.4" x14ac:dyDescent="0.3"/>
    <row r="34216" ht="14.4" x14ac:dyDescent="0.3"/>
    <row r="34217" ht="14.4" x14ac:dyDescent="0.3"/>
    <row r="34218" ht="14.4" x14ac:dyDescent="0.3"/>
    <row r="34219" ht="14.4" x14ac:dyDescent="0.3"/>
    <row r="34220" ht="14.4" x14ac:dyDescent="0.3"/>
    <row r="34221" ht="14.4" x14ac:dyDescent="0.3"/>
    <row r="34222" ht="14.4" x14ac:dyDescent="0.3"/>
    <row r="34223" ht="14.4" x14ac:dyDescent="0.3"/>
    <row r="34224" ht="14.4" x14ac:dyDescent="0.3"/>
    <row r="34225" ht="14.4" x14ac:dyDescent="0.3"/>
    <row r="34226" ht="14.4" x14ac:dyDescent="0.3"/>
    <row r="34227" ht="14.4" x14ac:dyDescent="0.3"/>
    <row r="34228" ht="14.4" x14ac:dyDescent="0.3"/>
    <row r="34229" ht="14.4" x14ac:dyDescent="0.3"/>
    <row r="34230" ht="14.4" x14ac:dyDescent="0.3"/>
    <row r="34231" ht="14.4" x14ac:dyDescent="0.3"/>
    <row r="34232" ht="14.4" x14ac:dyDescent="0.3"/>
    <row r="34233" ht="14.4" x14ac:dyDescent="0.3"/>
    <row r="34234" ht="14.4" x14ac:dyDescent="0.3"/>
    <row r="34235" ht="14.4" x14ac:dyDescent="0.3"/>
    <row r="34236" ht="14.4" x14ac:dyDescent="0.3"/>
    <row r="34237" ht="14.4" x14ac:dyDescent="0.3"/>
    <row r="34238" ht="14.4" x14ac:dyDescent="0.3"/>
    <row r="34239" ht="14.4" x14ac:dyDescent="0.3"/>
    <row r="34240" ht="14.4" x14ac:dyDescent="0.3"/>
    <row r="34241" ht="14.4" x14ac:dyDescent="0.3"/>
    <row r="34242" ht="14.4" x14ac:dyDescent="0.3"/>
    <row r="34243" ht="14.4" x14ac:dyDescent="0.3"/>
    <row r="34244" ht="14.4" x14ac:dyDescent="0.3"/>
    <row r="34245" ht="14.4" x14ac:dyDescent="0.3"/>
    <row r="34246" ht="14.4" x14ac:dyDescent="0.3"/>
    <row r="34247" ht="14.4" x14ac:dyDescent="0.3"/>
    <row r="34248" ht="14.4" x14ac:dyDescent="0.3"/>
    <row r="34249" ht="14.4" x14ac:dyDescent="0.3"/>
    <row r="34250" ht="14.4" x14ac:dyDescent="0.3"/>
    <row r="34251" ht="14.4" x14ac:dyDescent="0.3"/>
    <row r="34252" ht="14.4" x14ac:dyDescent="0.3"/>
    <row r="34253" ht="14.4" x14ac:dyDescent="0.3"/>
    <row r="34254" ht="14.4" x14ac:dyDescent="0.3"/>
    <row r="34255" ht="14.4" x14ac:dyDescent="0.3"/>
    <row r="34256" ht="14.4" x14ac:dyDescent="0.3"/>
    <row r="34257" ht="14.4" x14ac:dyDescent="0.3"/>
    <row r="34258" ht="14.4" x14ac:dyDescent="0.3"/>
    <row r="34259" ht="14.4" x14ac:dyDescent="0.3"/>
    <row r="34260" ht="14.4" x14ac:dyDescent="0.3"/>
    <row r="34261" ht="14.4" x14ac:dyDescent="0.3"/>
    <row r="34262" ht="14.4" x14ac:dyDescent="0.3"/>
    <row r="34263" ht="14.4" x14ac:dyDescent="0.3"/>
    <row r="34264" ht="14.4" x14ac:dyDescent="0.3"/>
    <row r="34265" ht="14.4" x14ac:dyDescent="0.3"/>
    <row r="34266" ht="14.4" x14ac:dyDescent="0.3"/>
    <row r="34267" ht="14.4" x14ac:dyDescent="0.3"/>
    <row r="34268" ht="14.4" x14ac:dyDescent="0.3"/>
    <row r="34269" ht="14.4" x14ac:dyDescent="0.3"/>
    <row r="34270" ht="14.4" x14ac:dyDescent="0.3"/>
    <row r="34271" ht="14.4" x14ac:dyDescent="0.3"/>
    <row r="34272" ht="14.4" x14ac:dyDescent="0.3"/>
    <row r="34273" ht="14.4" x14ac:dyDescent="0.3"/>
    <row r="34274" ht="14.4" x14ac:dyDescent="0.3"/>
    <row r="34275" ht="14.4" x14ac:dyDescent="0.3"/>
    <row r="34276" ht="14.4" x14ac:dyDescent="0.3"/>
    <row r="34277" ht="14.4" x14ac:dyDescent="0.3"/>
    <row r="34278" ht="14.4" x14ac:dyDescent="0.3"/>
    <row r="34279" ht="14.4" x14ac:dyDescent="0.3"/>
    <row r="34280" ht="14.4" x14ac:dyDescent="0.3"/>
    <row r="34281" ht="14.4" x14ac:dyDescent="0.3"/>
    <row r="34282" ht="14.4" x14ac:dyDescent="0.3"/>
    <row r="34283" ht="14.4" x14ac:dyDescent="0.3"/>
    <row r="34284" ht="14.4" x14ac:dyDescent="0.3"/>
    <row r="34285" ht="14.4" x14ac:dyDescent="0.3"/>
    <row r="34286" ht="14.4" x14ac:dyDescent="0.3"/>
    <row r="34287" ht="14.4" x14ac:dyDescent="0.3"/>
    <row r="34288" ht="14.4" x14ac:dyDescent="0.3"/>
    <row r="34289" ht="14.4" x14ac:dyDescent="0.3"/>
    <row r="34290" ht="14.4" x14ac:dyDescent="0.3"/>
    <row r="34291" ht="14.4" x14ac:dyDescent="0.3"/>
    <row r="34292" ht="14.4" x14ac:dyDescent="0.3"/>
    <row r="34293" ht="14.4" x14ac:dyDescent="0.3"/>
    <row r="34294" ht="14.4" x14ac:dyDescent="0.3"/>
    <row r="34295" ht="14.4" x14ac:dyDescent="0.3"/>
    <row r="34296" ht="14.4" x14ac:dyDescent="0.3"/>
    <row r="34297" ht="14.4" x14ac:dyDescent="0.3"/>
    <row r="34298" ht="14.4" x14ac:dyDescent="0.3"/>
    <row r="34299" ht="14.4" x14ac:dyDescent="0.3"/>
    <row r="34300" ht="14.4" x14ac:dyDescent="0.3"/>
    <row r="34301" ht="14.4" x14ac:dyDescent="0.3"/>
    <row r="34302" ht="14.4" x14ac:dyDescent="0.3"/>
    <row r="34303" ht="14.4" x14ac:dyDescent="0.3"/>
    <row r="34304" ht="14.4" x14ac:dyDescent="0.3"/>
    <row r="34305" ht="14.4" x14ac:dyDescent="0.3"/>
    <row r="34306" ht="14.4" x14ac:dyDescent="0.3"/>
    <row r="34307" ht="14.4" x14ac:dyDescent="0.3"/>
    <row r="34308" ht="14.4" x14ac:dyDescent="0.3"/>
    <row r="34309" ht="14.4" x14ac:dyDescent="0.3"/>
    <row r="34310" ht="14.4" x14ac:dyDescent="0.3"/>
    <row r="34311" ht="14.4" x14ac:dyDescent="0.3"/>
    <row r="34312" ht="14.4" x14ac:dyDescent="0.3"/>
    <row r="34313" ht="14.4" x14ac:dyDescent="0.3"/>
    <row r="34314" ht="14.4" x14ac:dyDescent="0.3"/>
    <row r="34315" ht="14.4" x14ac:dyDescent="0.3"/>
    <row r="34316" ht="14.4" x14ac:dyDescent="0.3"/>
    <row r="34317" ht="14.4" x14ac:dyDescent="0.3"/>
    <row r="34318" ht="14.4" x14ac:dyDescent="0.3"/>
    <row r="34319" ht="14.4" x14ac:dyDescent="0.3"/>
    <row r="34320" ht="14.4" x14ac:dyDescent="0.3"/>
    <row r="34321" ht="14.4" x14ac:dyDescent="0.3"/>
    <row r="34322" ht="14.4" x14ac:dyDescent="0.3"/>
    <row r="34323" ht="14.4" x14ac:dyDescent="0.3"/>
    <row r="34324" ht="14.4" x14ac:dyDescent="0.3"/>
    <row r="34325" ht="14.4" x14ac:dyDescent="0.3"/>
    <row r="34326" ht="14.4" x14ac:dyDescent="0.3"/>
    <row r="34327" ht="14.4" x14ac:dyDescent="0.3"/>
    <row r="34328" ht="14.4" x14ac:dyDescent="0.3"/>
    <row r="34329" ht="14.4" x14ac:dyDescent="0.3"/>
    <row r="34330" ht="14.4" x14ac:dyDescent="0.3"/>
    <row r="34331" ht="14.4" x14ac:dyDescent="0.3"/>
    <row r="34332" ht="14.4" x14ac:dyDescent="0.3"/>
    <row r="34333" ht="14.4" x14ac:dyDescent="0.3"/>
    <row r="34334" ht="14.4" x14ac:dyDescent="0.3"/>
    <row r="34335" ht="14.4" x14ac:dyDescent="0.3"/>
    <row r="34336" ht="14.4" x14ac:dyDescent="0.3"/>
    <row r="34337" ht="14.4" x14ac:dyDescent="0.3"/>
    <row r="34338" ht="14.4" x14ac:dyDescent="0.3"/>
    <row r="34339" ht="14.4" x14ac:dyDescent="0.3"/>
    <row r="34340" ht="14.4" x14ac:dyDescent="0.3"/>
    <row r="34341" ht="14.4" x14ac:dyDescent="0.3"/>
    <row r="34342" ht="14.4" x14ac:dyDescent="0.3"/>
    <row r="34343" ht="14.4" x14ac:dyDescent="0.3"/>
    <row r="34344" ht="14.4" x14ac:dyDescent="0.3"/>
    <row r="34345" ht="14.4" x14ac:dyDescent="0.3"/>
    <row r="34346" ht="14.4" x14ac:dyDescent="0.3"/>
    <row r="34347" ht="14.4" x14ac:dyDescent="0.3"/>
    <row r="34348" ht="14.4" x14ac:dyDescent="0.3"/>
    <row r="34349" ht="14.4" x14ac:dyDescent="0.3"/>
    <row r="34350" ht="14.4" x14ac:dyDescent="0.3"/>
    <row r="34351" ht="14.4" x14ac:dyDescent="0.3"/>
    <row r="34352" ht="14.4" x14ac:dyDescent="0.3"/>
    <row r="34353" ht="14.4" x14ac:dyDescent="0.3"/>
    <row r="34354" ht="14.4" x14ac:dyDescent="0.3"/>
    <row r="34355" ht="14.4" x14ac:dyDescent="0.3"/>
    <row r="34356" ht="14.4" x14ac:dyDescent="0.3"/>
    <row r="34357" ht="14.4" x14ac:dyDescent="0.3"/>
    <row r="34358" ht="14.4" x14ac:dyDescent="0.3"/>
    <row r="34359" ht="14.4" x14ac:dyDescent="0.3"/>
    <row r="34360" ht="14.4" x14ac:dyDescent="0.3"/>
    <row r="34361" ht="14.4" x14ac:dyDescent="0.3"/>
    <row r="34362" ht="14.4" x14ac:dyDescent="0.3"/>
    <row r="34363" ht="14.4" x14ac:dyDescent="0.3"/>
    <row r="34364" ht="14.4" x14ac:dyDescent="0.3"/>
    <row r="34365" ht="14.4" x14ac:dyDescent="0.3"/>
    <row r="34366" ht="14.4" x14ac:dyDescent="0.3"/>
    <row r="34367" ht="14.4" x14ac:dyDescent="0.3"/>
    <row r="34368" ht="14.4" x14ac:dyDescent="0.3"/>
    <row r="34369" ht="14.4" x14ac:dyDescent="0.3"/>
    <row r="34370" ht="14.4" x14ac:dyDescent="0.3"/>
    <row r="34371" ht="14.4" x14ac:dyDescent="0.3"/>
    <row r="34372" ht="14.4" x14ac:dyDescent="0.3"/>
    <row r="34373" ht="14.4" x14ac:dyDescent="0.3"/>
    <row r="34374" ht="14.4" x14ac:dyDescent="0.3"/>
    <row r="34375" ht="14.4" x14ac:dyDescent="0.3"/>
    <row r="34376" ht="14.4" x14ac:dyDescent="0.3"/>
    <row r="34377" ht="14.4" x14ac:dyDescent="0.3"/>
    <row r="34378" ht="14.4" x14ac:dyDescent="0.3"/>
    <row r="34379" ht="14.4" x14ac:dyDescent="0.3"/>
    <row r="34380" ht="14.4" x14ac:dyDescent="0.3"/>
    <row r="34381" ht="14.4" x14ac:dyDescent="0.3"/>
    <row r="34382" ht="14.4" x14ac:dyDescent="0.3"/>
    <row r="34383" ht="14.4" x14ac:dyDescent="0.3"/>
    <row r="34384" ht="14.4" x14ac:dyDescent="0.3"/>
    <row r="34385" ht="14.4" x14ac:dyDescent="0.3"/>
    <row r="34386" ht="14.4" x14ac:dyDescent="0.3"/>
    <row r="34387" ht="14.4" x14ac:dyDescent="0.3"/>
    <row r="34388" ht="14.4" x14ac:dyDescent="0.3"/>
    <row r="34389" ht="14.4" x14ac:dyDescent="0.3"/>
    <row r="34390" ht="14.4" x14ac:dyDescent="0.3"/>
    <row r="34391" ht="14.4" x14ac:dyDescent="0.3"/>
    <row r="34392" ht="14.4" x14ac:dyDescent="0.3"/>
    <row r="34393" ht="14.4" x14ac:dyDescent="0.3"/>
    <row r="34394" ht="14.4" x14ac:dyDescent="0.3"/>
    <row r="34395" ht="14.4" x14ac:dyDescent="0.3"/>
    <row r="34396" ht="14.4" x14ac:dyDescent="0.3"/>
    <row r="34397" ht="14.4" x14ac:dyDescent="0.3"/>
    <row r="34398" ht="14.4" x14ac:dyDescent="0.3"/>
    <row r="34399" ht="14.4" x14ac:dyDescent="0.3"/>
    <row r="34400" ht="14.4" x14ac:dyDescent="0.3"/>
    <row r="34401" ht="14.4" x14ac:dyDescent="0.3"/>
    <row r="34402" ht="14.4" x14ac:dyDescent="0.3"/>
    <row r="34403" ht="14.4" x14ac:dyDescent="0.3"/>
    <row r="34404" ht="14.4" x14ac:dyDescent="0.3"/>
    <row r="34405" ht="14.4" x14ac:dyDescent="0.3"/>
    <row r="34406" ht="14.4" x14ac:dyDescent="0.3"/>
    <row r="34407" ht="14.4" x14ac:dyDescent="0.3"/>
    <row r="34408" ht="14.4" x14ac:dyDescent="0.3"/>
    <row r="34409" ht="14.4" x14ac:dyDescent="0.3"/>
    <row r="34410" ht="14.4" x14ac:dyDescent="0.3"/>
    <row r="34411" ht="14.4" x14ac:dyDescent="0.3"/>
    <row r="34412" ht="14.4" x14ac:dyDescent="0.3"/>
    <row r="34413" ht="14.4" x14ac:dyDescent="0.3"/>
    <row r="34414" ht="14.4" x14ac:dyDescent="0.3"/>
    <row r="34415" ht="14.4" x14ac:dyDescent="0.3"/>
    <row r="34416" ht="14.4" x14ac:dyDescent="0.3"/>
    <row r="34417" ht="14.4" x14ac:dyDescent="0.3"/>
    <row r="34418" ht="14.4" x14ac:dyDescent="0.3"/>
    <row r="34419" ht="14.4" x14ac:dyDescent="0.3"/>
    <row r="34420" ht="14.4" x14ac:dyDescent="0.3"/>
    <row r="34421" ht="14.4" x14ac:dyDescent="0.3"/>
    <row r="34422" ht="14.4" x14ac:dyDescent="0.3"/>
    <row r="34423" ht="14.4" x14ac:dyDescent="0.3"/>
    <row r="34424" ht="14.4" x14ac:dyDescent="0.3"/>
    <row r="34425" ht="14.4" x14ac:dyDescent="0.3"/>
    <row r="34426" ht="14.4" x14ac:dyDescent="0.3"/>
    <row r="34427" ht="14.4" x14ac:dyDescent="0.3"/>
    <row r="34428" ht="14.4" x14ac:dyDescent="0.3"/>
    <row r="34429" ht="14.4" x14ac:dyDescent="0.3"/>
    <row r="34430" ht="14.4" x14ac:dyDescent="0.3"/>
    <row r="34431" ht="14.4" x14ac:dyDescent="0.3"/>
    <row r="34432" ht="14.4" x14ac:dyDescent="0.3"/>
    <row r="34433" ht="14.4" x14ac:dyDescent="0.3"/>
    <row r="34434" ht="14.4" x14ac:dyDescent="0.3"/>
    <row r="34435" ht="14.4" x14ac:dyDescent="0.3"/>
    <row r="34436" ht="14.4" x14ac:dyDescent="0.3"/>
    <row r="34437" ht="14.4" x14ac:dyDescent="0.3"/>
    <row r="34438" ht="14.4" x14ac:dyDescent="0.3"/>
    <row r="34439" ht="14.4" x14ac:dyDescent="0.3"/>
    <row r="34440" ht="14.4" x14ac:dyDescent="0.3"/>
    <row r="34441" ht="14.4" x14ac:dyDescent="0.3"/>
    <row r="34442" ht="14.4" x14ac:dyDescent="0.3"/>
    <row r="34443" ht="14.4" x14ac:dyDescent="0.3"/>
    <row r="34444" ht="14.4" x14ac:dyDescent="0.3"/>
    <row r="34445" ht="14.4" x14ac:dyDescent="0.3"/>
    <row r="34446" ht="14.4" x14ac:dyDescent="0.3"/>
    <row r="34447" ht="14.4" x14ac:dyDescent="0.3"/>
    <row r="34448" ht="14.4" x14ac:dyDescent="0.3"/>
    <row r="34449" ht="14.4" x14ac:dyDescent="0.3"/>
    <row r="34450" ht="14.4" x14ac:dyDescent="0.3"/>
    <row r="34451" ht="14.4" x14ac:dyDescent="0.3"/>
    <row r="34452" ht="14.4" x14ac:dyDescent="0.3"/>
    <row r="34453" ht="14.4" x14ac:dyDescent="0.3"/>
    <row r="34454" ht="14.4" x14ac:dyDescent="0.3"/>
    <row r="34455" ht="14.4" x14ac:dyDescent="0.3"/>
    <row r="34456" ht="14.4" x14ac:dyDescent="0.3"/>
    <row r="34457" ht="14.4" x14ac:dyDescent="0.3"/>
    <row r="34458" ht="14.4" x14ac:dyDescent="0.3"/>
    <row r="34459" ht="14.4" x14ac:dyDescent="0.3"/>
    <row r="34460" ht="14.4" x14ac:dyDescent="0.3"/>
    <row r="34461" ht="14.4" x14ac:dyDescent="0.3"/>
    <row r="34462" ht="14.4" x14ac:dyDescent="0.3"/>
    <row r="34463" ht="14.4" x14ac:dyDescent="0.3"/>
    <row r="34464" ht="14.4" x14ac:dyDescent="0.3"/>
    <row r="34465" ht="14.4" x14ac:dyDescent="0.3"/>
    <row r="34466" ht="14.4" x14ac:dyDescent="0.3"/>
    <row r="34467" ht="14.4" x14ac:dyDescent="0.3"/>
    <row r="34468" ht="14.4" x14ac:dyDescent="0.3"/>
    <row r="34469" ht="14.4" x14ac:dyDescent="0.3"/>
    <row r="34470" ht="14.4" x14ac:dyDescent="0.3"/>
    <row r="34471" ht="14.4" x14ac:dyDescent="0.3"/>
    <row r="34472" ht="14.4" x14ac:dyDescent="0.3"/>
    <row r="34473" ht="14.4" x14ac:dyDescent="0.3"/>
    <row r="34474" ht="14.4" x14ac:dyDescent="0.3"/>
    <row r="34475" ht="14.4" x14ac:dyDescent="0.3"/>
    <row r="34476" ht="14.4" x14ac:dyDescent="0.3"/>
    <row r="34477" ht="14.4" x14ac:dyDescent="0.3"/>
    <row r="34478" ht="14.4" x14ac:dyDescent="0.3"/>
    <row r="34479" ht="14.4" x14ac:dyDescent="0.3"/>
    <row r="34480" ht="14.4" x14ac:dyDescent="0.3"/>
    <row r="34481" ht="14.4" x14ac:dyDescent="0.3"/>
    <row r="34482" ht="14.4" x14ac:dyDescent="0.3"/>
    <row r="34483" ht="14.4" x14ac:dyDescent="0.3"/>
    <row r="34484" ht="14.4" x14ac:dyDescent="0.3"/>
    <row r="34485" ht="14.4" x14ac:dyDescent="0.3"/>
    <row r="34486" ht="14.4" x14ac:dyDescent="0.3"/>
    <row r="34487" ht="14.4" x14ac:dyDescent="0.3"/>
    <row r="34488" ht="14.4" x14ac:dyDescent="0.3"/>
    <row r="34489" ht="14.4" x14ac:dyDescent="0.3"/>
    <row r="34490" ht="14.4" x14ac:dyDescent="0.3"/>
    <row r="34491" ht="14.4" x14ac:dyDescent="0.3"/>
    <row r="34492" ht="14.4" x14ac:dyDescent="0.3"/>
    <row r="34493" ht="14.4" x14ac:dyDescent="0.3"/>
    <row r="34494" ht="14.4" x14ac:dyDescent="0.3"/>
    <row r="34495" ht="14.4" x14ac:dyDescent="0.3"/>
    <row r="34496" ht="14.4" x14ac:dyDescent="0.3"/>
    <row r="34497" ht="14.4" x14ac:dyDescent="0.3"/>
    <row r="34498" ht="14.4" x14ac:dyDescent="0.3"/>
    <row r="34499" ht="14.4" x14ac:dyDescent="0.3"/>
    <row r="34500" ht="14.4" x14ac:dyDescent="0.3"/>
    <row r="34501" ht="14.4" x14ac:dyDescent="0.3"/>
    <row r="34502" ht="14.4" x14ac:dyDescent="0.3"/>
    <row r="34503" ht="14.4" x14ac:dyDescent="0.3"/>
    <row r="34504" ht="14.4" x14ac:dyDescent="0.3"/>
    <row r="34505" ht="14.4" x14ac:dyDescent="0.3"/>
    <row r="34506" ht="14.4" x14ac:dyDescent="0.3"/>
    <row r="34507" ht="14.4" x14ac:dyDescent="0.3"/>
    <row r="34508" ht="14.4" x14ac:dyDescent="0.3"/>
    <row r="34509" ht="14.4" x14ac:dyDescent="0.3"/>
    <row r="34510" ht="14.4" x14ac:dyDescent="0.3"/>
    <row r="34511" ht="14.4" x14ac:dyDescent="0.3"/>
    <row r="34512" ht="14.4" x14ac:dyDescent="0.3"/>
    <row r="34513" ht="14.4" x14ac:dyDescent="0.3"/>
    <row r="34514" ht="14.4" x14ac:dyDescent="0.3"/>
    <row r="34515" ht="14.4" x14ac:dyDescent="0.3"/>
    <row r="34516" ht="14.4" x14ac:dyDescent="0.3"/>
    <row r="34517" ht="14.4" x14ac:dyDescent="0.3"/>
    <row r="34518" ht="14.4" x14ac:dyDescent="0.3"/>
    <row r="34519" ht="14.4" x14ac:dyDescent="0.3"/>
    <row r="34520" ht="14.4" x14ac:dyDescent="0.3"/>
    <row r="34521" ht="14.4" x14ac:dyDescent="0.3"/>
    <row r="34522" ht="14.4" x14ac:dyDescent="0.3"/>
    <row r="34523" ht="14.4" x14ac:dyDescent="0.3"/>
    <row r="34524" ht="14.4" x14ac:dyDescent="0.3"/>
    <row r="34525" ht="14.4" x14ac:dyDescent="0.3"/>
    <row r="34526" ht="14.4" x14ac:dyDescent="0.3"/>
    <row r="34527" ht="14.4" x14ac:dyDescent="0.3"/>
    <row r="34528" ht="14.4" x14ac:dyDescent="0.3"/>
    <row r="34529" ht="14.4" x14ac:dyDescent="0.3"/>
    <row r="34530" ht="14.4" x14ac:dyDescent="0.3"/>
    <row r="34531" ht="14.4" x14ac:dyDescent="0.3"/>
    <row r="34532" ht="14.4" x14ac:dyDescent="0.3"/>
    <row r="34533" ht="14.4" x14ac:dyDescent="0.3"/>
    <row r="34534" ht="14.4" x14ac:dyDescent="0.3"/>
    <row r="34535" ht="14.4" x14ac:dyDescent="0.3"/>
    <row r="34536" ht="14.4" x14ac:dyDescent="0.3"/>
    <row r="34537" ht="14.4" x14ac:dyDescent="0.3"/>
    <row r="34538" ht="14.4" x14ac:dyDescent="0.3"/>
    <row r="34539" ht="14.4" x14ac:dyDescent="0.3"/>
    <row r="34540" ht="14.4" x14ac:dyDescent="0.3"/>
    <row r="34541" ht="14.4" x14ac:dyDescent="0.3"/>
    <row r="34542" ht="14.4" x14ac:dyDescent="0.3"/>
    <row r="34543" ht="14.4" x14ac:dyDescent="0.3"/>
    <row r="34544" ht="14.4" x14ac:dyDescent="0.3"/>
    <row r="34545" ht="14.4" x14ac:dyDescent="0.3"/>
    <row r="34546" ht="14.4" x14ac:dyDescent="0.3"/>
    <row r="34547" ht="14.4" x14ac:dyDescent="0.3"/>
    <row r="34548" ht="14.4" x14ac:dyDescent="0.3"/>
    <row r="34549" ht="14.4" x14ac:dyDescent="0.3"/>
    <row r="34550" ht="14.4" x14ac:dyDescent="0.3"/>
    <row r="34551" ht="14.4" x14ac:dyDescent="0.3"/>
    <row r="34552" ht="14.4" x14ac:dyDescent="0.3"/>
    <row r="34553" ht="14.4" x14ac:dyDescent="0.3"/>
    <row r="34554" ht="14.4" x14ac:dyDescent="0.3"/>
    <row r="34555" ht="14.4" x14ac:dyDescent="0.3"/>
    <row r="34556" ht="14.4" x14ac:dyDescent="0.3"/>
    <row r="34557" ht="14.4" x14ac:dyDescent="0.3"/>
    <row r="34558" ht="14.4" x14ac:dyDescent="0.3"/>
    <row r="34559" ht="14.4" x14ac:dyDescent="0.3"/>
    <row r="34560" ht="14.4" x14ac:dyDescent="0.3"/>
    <row r="34561" ht="14.4" x14ac:dyDescent="0.3"/>
    <row r="34562" ht="14.4" x14ac:dyDescent="0.3"/>
    <row r="34563" ht="14.4" x14ac:dyDescent="0.3"/>
    <row r="34564" ht="14.4" x14ac:dyDescent="0.3"/>
    <row r="34565" ht="14.4" x14ac:dyDescent="0.3"/>
    <row r="34566" ht="14.4" x14ac:dyDescent="0.3"/>
    <row r="34567" ht="14.4" x14ac:dyDescent="0.3"/>
    <row r="34568" ht="14.4" x14ac:dyDescent="0.3"/>
    <row r="34569" ht="14.4" x14ac:dyDescent="0.3"/>
    <row r="34570" ht="14.4" x14ac:dyDescent="0.3"/>
    <row r="34571" ht="14.4" x14ac:dyDescent="0.3"/>
    <row r="34572" ht="14.4" x14ac:dyDescent="0.3"/>
    <row r="34573" ht="14.4" x14ac:dyDescent="0.3"/>
    <row r="34574" ht="14.4" x14ac:dyDescent="0.3"/>
    <row r="34575" ht="14.4" x14ac:dyDescent="0.3"/>
    <row r="34576" ht="14.4" x14ac:dyDescent="0.3"/>
    <row r="34577" ht="14.4" x14ac:dyDescent="0.3"/>
    <row r="34578" ht="14.4" x14ac:dyDescent="0.3"/>
    <row r="34579" ht="14.4" x14ac:dyDescent="0.3"/>
    <row r="34580" ht="14.4" x14ac:dyDescent="0.3"/>
    <row r="34581" ht="14.4" x14ac:dyDescent="0.3"/>
    <row r="34582" ht="14.4" x14ac:dyDescent="0.3"/>
    <row r="34583" ht="14.4" x14ac:dyDescent="0.3"/>
    <row r="34584" ht="14.4" x14ac:dyDescent="0.3"/>
    <row r="34585" ht="14.4" x14ac:dyDescent="0.3"/>
    <row r="34586" ht="14.4" x14ac:dyDescent="0.3"/>
    <row r="34587" ht="14.4" x14ac:dyDescent="0.3"/>
    <row r="34588" ht="14.4" x14ac:dyDescent="0.3"/>
    <row r="34589" ht="14.4" x14ac:dyDescent="0.3"/>
    <row r="34590" ht="14.4" x14ac:dyDescent="0.3"/>
    <row r="34591" ht="14.4" x14ac:dyDescent="0.3"/>
    <row r="34592" ht="14.4" x14ac:dyDescent="0.3"/>
    <row r="34593" ht="14.4" x14ac:dyDescent="0.3"/>
    <row r="34594" ht="14.4" x14ac:dyDescent="0.3"/>
    <row r="34595" ht="14.4" x14ac:dyDescent="0.3"/>
    <row r="34596" ht="14.4" x14ac:dyDescent="0.3"/>
    <row r="34597" ht="14.4" x14ac:dyDescent="0.3"/>
    <row r="34598" ht="14.4" x14ac:dyDescent="0.3"/>
    <row r="34599" ht="14.4" x14ac:dyDescent="0.3"/>
    <row r="34600" ht="14.4" x14ac:dyDescent="0.3"/>
    <row r="34601" ht="14.4" x14ac:dyDescent="0.3"/>
    <row r="34602" ht="14.4" x14ac:dyDescent="0.3"/>
    <row r="34603" ht="14.4" x14ac:dyDescent="0.3"/>
    <row r="34604" ht="14.4" x14ac:dyDescent="0.3"/>
    <row r="34605" ht="14.4" x14ac:dyDescent="0.3"/>
    <row r="34606" ht="14.4" x14ac:dyDescent="0.3"/>
    <row r="34607" ht="14.4" x14ac:dyDescent="0.3"/>
    <row r="34608" ht="14.4" x14ac:dyDescent="0.3"/>
    <row r="34609" ht="14.4" x14ac:dyDescent="0.3"/>
    <row r="34610" ht="14.4" x14ac:dyDescent="0.3"/>
    <row r="34611" ht="14.4" x14ac:dyDescent="0.3"/>
    <row r="34612" ht="14.4" x14ac:dyDescent="0.3"/>
    <row r="34613" ht="14.4" x14ac:dyDescent="0.3"/>
    <row r="34614" ht="14.4" x14ac:dyDescent="0.3"/>
    <row r="34615" ht="14.4" x14ac:dyDescent="0.3"/>
    <row r="34616" ht="14.4" x14ac:dyDescent="0.3"/>
    <row r="34617" ht="14.4" x14ac:dyDescent="0.3"/>
    <row r="34618" ht="14.4" x14ac:dyDescent="0.3"/>
    <row r="34619" ht="14.4" x14ac:dyDescent="0.3"/>
    <row r="34620" ht="14.4" x14ac:dyDescent="0.3"/>
    <row r="34621" ht="14.4" x14ac:dyDescent="0.3"/>
    <row r="34622" ht="14.4" x14ac:dyDescent="0.3"/>
    <row r="34623" ht="14.4" x14ac:dyDescent="0.3"/>
    <row r="34624" ht="14.4" x14ac:dyDescent="0.3"/>
    <row r="34625" ht="14.4" x14ac:dyDescent="0.3"/>
    <row r="34626" ht="14.4" x14ac:dyDescent="0.3"/>
    <row r="34627" ht="14.4" x14ac:dyDescent="0.3"/>
    <row r="34628" ht="14.4" x14ac:dyDescent="0.3"/>
    <row r="34629" ht="14.4" x14ac:dyDescent="0.3"/>
    <row r="34630" ht="14.4" x14ac:dyDescent="0.3"/>
    <row r="34631" ht="14.4" x14ac:dyDescent="0.3"/>
    <row r="34632" ht="14.4" x14ac:dyDescent="0.3"/>
    <row r="34633" ht="14.4" x14ac:dyDescent="0.3"/>
    <row r="34634" ht="14.4" x14ac:dyDescent="0.3"/>
    <row r="34635" ht="14.4" x14ac:dyDescent="0.3"/>
    <row r="34636" ht="14.4" x14ac:dyDescent="0.3"/>
    <row r="34637" ht="14.4" x14ac:dyDescent="0.3"/>
    <row r="34638" ht="14.4" x14ac:dyDescent="0.3"/>
    <row r="34639" ht="14.4" x14ac:dyDescent="0.3"/>
    <row r="34640" ht="14.4" x14ac:dyDescent="0.3"/>
    <row r="34641" ht="14.4" x14ac:dyDescent="0.3"/>
    <row r="34642" ht="14.4" x14ac:dyDescent="0.3"/>
    <row r="34643" ht="14.4" x14ac:dyDescent="0.3"/>
    <row r="34644" ht="14.4" x14ac:dyDescent="0.3"/>
    <row r="34645" ht="14.4" x14ac:dyDescent="0.3"/>
    <row r="34646" ht="14.4" x14ac:dyDescent="0.3"/>
    <row r="34647" ht="14.4" x14ac:dyDescent="0.3"/>
    <row r="34648" ht="14.4" x14ac:dyDescent="0.3"/>
    <row r="34649" ht="14.4" x14ac:dyDescent="0.3"/>
    <row r="34650" ht="14.4" x14ac:dyDescent="0.3"/>
    <row r="34651" ht="14.4" x14ac:dyDescent="0.3"/>
    <row r="34652" ht="14.4" x14ac:dyDescent="0.3"/>
    <row r="34653" ht="14.4" x14ac:dyDescent="0.3"/>
    <row r="34654" ht="14.4" x14ac:dyDescent="0.3"/>
    <row r="34655" ht="14.4" x14ac:dyDescent="0.3"/>
    <row r="34656" ht="14.4" x14ac:dyDescent="0.3"/>
    <row r="34657" ht="14.4" x14ac:dyDescent="0.3"/>
    <row r="34658" ht="14.4" x14ac:dyDescent="0.3"/>
    <row r="34659" ht="14.4" x14ac:dyDescent="0.3"/>
    <row r="34660" ht="14.4" x14ac:dyDescent="0.3"/>
    <row r="34661" ht="14.4" x14ac:dyDescent="0.3"/>
    <row r="34662" ht="14.4" x14ac:dyDescent="0.3"/>
    <row r="34663" ht="14.4" x14ac:dyDescent="0.3"/>
    <row r="34664" ht="14.4" x14ac:dyDescent="0.3"/>
    <row r="34665" ht="14.4" x14ac:dyDescent="0.3"/>
    <row r="34666" ht="14.4" x14ac:dyDescent="0.3"/>
    <row r="34667" ht="14.4" x14ac:dyDescent="0.3"/>
    <row r="34668" ht="14.4" x14ac:dyDescent="0.3"/>
    <row r="34669" ht="14.4" x14ac:dyDescent="0.3"/>
    <row r="34670" ht="14.4" x14ac:dyDescent="0.3"/>
    <row r="34671" ht="14.4" x14ac:dyDescent="0.3"/>
    <row r="34672" ht="14.4" x14ac:dyDescent="0.3"/>
    <row r="34673" ht="14.4" x14ac:dyDescent="0.3"/>
    <row r="34674" ht="14.4" x14ac:dyDescent="0.3"/>
    <row r="34675" ht="14.4" x14ac:dyDescent="0.3"/>
    <row r="34676" ht="14.4" x14ac:dyDescent="0.3"/>
    <row r="34677" ht="14.4" x14ac:dyDescent="0.3"/>
    <row r="34678" ht="14.4" x14ac:dyDescent="0.3"/>
    <row r="34679" ht="14.4" x14ac:dyDescent="0.3"/>
    <row r="34680" ht="14.4" x14ac:dyDescent="0.3"/>
    <row r="34681" ht="14.4" x14ac:dyDescent="0.3"/>
    <row r="34682" ht="14.4" x14ac:dyDescent="0.3"/>
    <row r="34683" ht="14.4" x14ac:dyDescent="0.3"/>
    <row r="34684" ht="14.4" x14ac:dyDescent="0.3"/>
    <row r="34685" ht="14.4" x14ac:dyDescent="0.3"/>
    <row r="34686" ht="14.4" x14ac:dyDescent="0.3"/>
    <row r="34687" ht="14.4" x14ac:dyDescent="0.3"/>
    <row r="34688" ht="14.4" x14ac:dyDescent="0.3"/>
    <row r="34689" ht="14.4" x14ac:dyDescent="0.3"/>
    <row r="34690" ht="14.4" x14ac:dyDescent="0.3"/>
    <row r="34691" ht="14.4" x14ac:dyDescent="0.3"/>
    <row r="34692" ht="14.4" x14ac:dyDescent="0.3"/>
    <row r="34693" ht="14.4" x14ac:dyDescent="0.3"/>
    <row r="34694" ht="14.4" x14ac:dyDescent="0.3"/>
    <row r="34695" ht="14.4" x14ac:dyDescent="0.3"/>
    <row r="34696" ht="14.4" x14ac:dyDescent="0.3"/>
    <row r="34697" ht="14.4" x14ac:dyDescent="0.3"/>
    <row r="34698" ht="14.4" x14ac:dyDescent="0.3"/>
    <row r="34699" ht="14.4" x14ac:dyDescent="0.3"/>
    <row r="34700" ht="14.4" x14ac:dyDescent="0.3"/>
    <row r="34701" ht="14.4" x14ac:dyDescent="0.3"/>
    <row r="34702" ht="14.4" x14ac:dyDescent="0.3"/>
    <row r="34703" ht="14.4" x14ac:dyDescent="0.3"/>
    <row r="34704" ht="14.4" x14ac:dyDescent="0.3"/>
    <row r="34705" ht="14.4" x14ac:dyDescent="0.3"/>
    <row r="34706" ht="14.4" x14ac:dyDescent="0.3"/>
    <row r="34707" ht="14.4" x14ac:dyDescent="0.3"/>
    <row r="34708" ht="14.4" x14ac:dyDescent="0.3"/>
    <row r="34709" ht="14.4" x14ac:dyDescent="0.3"/>
    <row r="34710" ht="14.4" x14ac:dyDescent="0.3"/>
    <row r="34711" ht="14.4" x14ac:dyDescent="0.3"/>
    <row r="34712" ht="14.4" x14ac:dyDescent="0.3"/>
    <row r="34713" ht="14.4" x14ac:dyDescent="0.3"/>
    <row r="34714" ht="14.4" x14ac:dyDescent="0.3"/>
    <row r="34715" ht="14.4" x14ac:dyDescent="0.3"/>
    <row r="34716" ht="14.4" x14ac:dyDescent="0.3"/>
    <row r="34717" ht="14.4" x14ac:dyDescent="0.3"/>
    <row r="34718" ht="14.4" x14ac:dyDescent="0.3"/>
    <row r="34719" ht="14.4" x14ac:dyDescent="0.3"/>
    <row r="34720" ht="14.4" x14ac:dyDescent="0.3"/>
    <row r="34721" ht="14.4" x14ac:dyDescent="0.3"/>
    <row r="34722" ht="14.4" x14ac:dyDescent="0.3"/>
    <row r="34723" ht="14.4" x14ac:dyDescent="0.3"/>
    <row r="34724" ht="14.4" x14ac:dyDescent="0.3"/>
    <row r="34725" ht="14.4" x14ac:dyDescent="0.3"/>
    <row r="34726" ht="14.4" x14ac:dyDescent="0.3"/>
    <row r="34727" ht="14.4" x14ac:dyDescent="0.3"/>
    <row r="34728" ht="14.4" x14ac:dyDescent="0.3"/>
    <row r="34729" ht="14.4" x14ac:dyDescent="0.3"/>
    <row r="34730" ht="14.4" x14ac:dyDescent="0.3"/>
    <row r="34731" ht="14.4" x14ac:dyDescent="0.3"/>
    <row r="34732" ht="14.4" x14ac:dyDescent="0.3"/>
    <row r="34733" ht="14.4" x14ac:dyDescent="0.3"/>
    <row r="34734" ht="14.4" x14ac:dyDescent="0.3"/>
    <row r="34735" ht="14.4" x14ac:dyDescent="0.3"/>
    <row r="34736" ht="14.4" x14ac:dyDescent="0.3"/>
    <row r="34737" ht="14.4" x14ac:dyDescent="0.3"/>
    <row r="34738" ht="14.4" x14ac:dyDescent="0.3"/>
    <row r="34739" ht="14.4" x14ac:dyDescent="0.3"/>
    <row r="34740" ht="14.4" x14ac:dyDescent="0.3"/>
    <row r="34741" ht="14.4" x14ac:dyDescent="0.3"/>
    <row r="34742" ht="14.4" x14ac:dyDescent="0.3"/>
    <row r="34743" ht="14.4" x14ac:dyDescent="0.3"/>
    <row r="34744" ht="14.4" x14ac:dyDescent="0.3"/>
    <row r="34745" ht="14.4" x14ac:dyDescent="0.3"/>
    <row r="34746" ht="14.4" x14ac:dyDescent="0.3"/>
    <row r="34747" ht="14.4" x14ac:dyDescent="0.3"/>
    <row r="34748" ht="14.4" x14ac:dyDescent="0.3"/>
    <row r="34749" ht="14.4" x14ac:dyDescent="0.3"/>
    <row r="34750" ht="14.4" x14ac:dyDescent="0.3"/>
    <row r="34751" ht="14.4" x14ac:dyDescent="0.3"/>
    <row r="34752" ht="14.4" x14ac:dyDescent="0.3"/>
    <row r="34753" ht="14.4" x14ac:dyDescent="0.3"/>
    <row r="34754" ht="14.4" x14ac:dyDescent="0.3"/>
    <row r="34755" ht="14.4" x14ac:dyDescent="0.3"/>
    <row r="34756" ht="14.4" x14ac:dyDescent="0.3"/>
    <row r="34757" ht="14.4" x14ac:dyDescent="0.3"/>
    <row r="34758" ht="14.4" x14ac:dyDescent="0.3"/>
    <row r="34759" ht="14.4" x14ac:dyDescent="0.3"/>
    <row r="34760" ht="14.4" x14ac:dyDescent="0.3"/>
    <row r="34761" ht="14.4" x14ac:dyDescent="0.3"/>
    <row r="34762" ht="14.4" x14ac:dyDescent="0.3"/>
    <row r="34763" ht="14.4" x14ac:dyDescent="0.3"/>
    <row r="34764" ht="14.4" x14ac:dyDescent="0.3"/>
    <row r="34765" ht="14.4" x14ac:dyDescent="0.3"/>
    <row r="34766" ht="14.4" x14ac:dyDescent="0.3"/>
    <row r="34767" ht="14.4" x14ac:dyDescent="0.3"/>
    <row r="34768" ht="14.4" x14ac:dyDescent="0.3"/>
    <row r="34769" spans="1:43" ht="14.4" x14ac:dyDescent="0.3"/>
    <row r="34770" spans="1:43" ht="14.4" x14ac:dyDescent="0.3"/>
    <row r="34771" spans="1:43" ht="14.4" x14ac:dyDescent="0.3"/>
    <row r="34772" spans="1:43" ht="14.4" hidden="1" x14ac:dyDescent="0.3">
      <c r="A34772" t="s">
        <v>4975</v>
      </c>
      <c r="B34772">
        <v>4905870</v>
      </c>
      <c r="C34772" t="s">
        <v>135</v>
      </c>
      <c r="D34772" t="s">
        <v>136</v>
      </c>
      <c r="E34772" t="s">
        <v>318</v>
      </c>
      <c r="F34772" t="s">
        <v>537</v>
      </c>
      <c r="H34772" t="s">
        <v>350</v>
      </c>
      <c r="J34772" t="s">
        <v>140</v>
      </c>
      <c r="K34772">
        <v>155395.35</v>
      </c>
      <c r="L34772">
        <v>385313.03</v>
      </c>
      <c r="M34772">
        <v>1</v>
      </c>
      <c r="N34772" t="s">
        <v>2032</v>
      </c>
      <c r="O34772" t="s">
        <v>862</v>
      </c>
      <c r="P34772" t="s">
        <v>536</v>
      </c>
      <c r="Q34772" t="s">
        <v>144</v>
      </c>
      <c r="S34772">
        <v>53</v>
      </c>
      <c r="T34772">
        <v>6800</v>
      </c>
      <c r="V34772" t="s">
        <v>146</v>
      </c>
      <c r="W34772" t="s">
        <v>147</v>
      </c>
      <c r="X34772" t="s">
        <v>7</v>
      </c>
      <c r="Y34772" t="s">
        <v>2033</v>
      </c>
      <c r="Z34772" t="s">
        <v>862</v>
      </c>
      <c r="AA34772" t="s">
        <v>2034</v>
      </c>
      <c r="AB34772">
        <v>0</v>
      </c>
      <c r="AE34772" t="s">
        <v>2035</v>
      </c>
      <c r="AF34772" t="s">
        <v>862</v>
      </c>
      <c r="AG34772" t="s">
        <v>2036</v>
      </c>
      <c r="AL34772" t="s">
        <v>4976</v>
      </c>
      <c r="AM34772" t="s">
        <v>4977</v>
      </c>
      <c r="AN34772" t="s">
        <v>4978</v>
      </c>
      <c r="AO34772" t="s">
        <v>2032</v>
      </c>
      <c r="AP34772" t="s">
        <v>158</v>
      </c>
      <c r="AQ34772" t="str">
        <f>IF(ISBLANK(AP34772), IFERROR(IF(VLOOKUP(AO34772, Ellens_additions!$A$2:$B$252, 2, FALSE) = "", "", VLOOKUP(AO34772, Ellens_additions!$A$2:$B$252, 2, FALSE)), 0), AP34772)</f>
        <v>3000</v>
      </c>
    </row>
    <row r="34773" spans="1:43" ht="14.4" x14ac:dyDescent="0.3"/>
    <row r="34774" spans="1:43" ht="14.4" x14ac:dyDescent="0.3"/>
    <row r="34775" spans="1:43" ht="14.4" x14ac:dyDescent="0.3"/>
    <row r="34776" spans="1:43" ht="14.4" x14ac:dyDescent="0.3"/>
    <row r="34777" spans="1:43" ht="14.4" x14ac:dyDescent="0.3"/>
    <row r="34778" spans="1:43" ht="14.4" x14ac:dyDescent="0.3"/>
    <row r="34779" spans="1:43" ht="14.4" x14ac:dyDescent="0.3"/>
    <row r="34780" spans="1:43" ht="14.4" x14ac:dyDescent="0.3"/>
    <row r="34781" spans="1:43" ht="14.4" x14ac:dyDescent="0.3"/>
    <row r="34782" spans="1:43" ht="14.4" x14ac:dyDescent="0.3"/>
    <row r="34783" spans="1:43" ht="14.4" x14ac:dyDescent="0.3"/>
    <row r="34784" spans="1:43" ht="14.4" x14ac:dyDescent="0.3"/>
    <row r="34785" ht="14.4" x14ac:dyDescent="0.3"/>
    <row r="34786" ht="14.4" x14ac:dyDescent="0.3"/>
    <row r="34787" ht="14.4" x14ac:dyDescent="0.3"/>
    <row r="34788" ht="14.4" x14ac:dyDescent="0.3"/>
    <row r="34789" ht="14.4" x14ac:dyDescent="0.3"/>
    <row r="34790" ht="14.4" x14ac:dyDescent="0.3"/>
    <row r="34791" ht="14.4" x14ac:dyDescent="0.3"/>
    <row r="34792" ht="14.4" x14ac:dyDescent="0.3"/>
    <row r="34793" ht="14.4" x14ac:dyDescent="0.3"/>
    <row r="34794" ht="14.4" x14ac:dyDescent="0.3"/>
    <row r="34795" ht="14.4" x14ac:dyDescent="0.3"/>
    <row r="34796" ht="14.4" x14ac:dyDescent="0.3"/>
    <row r="34797" ht="14.4" x14ac:dyDescent="0.3"/>
    <row r="34798" ht="14.4" x14ac:dyDescent="0.3"/>
    <row r="34799" ht="14.4" x14ac:dyDescent="0.3"/>
    <row r="34800" ht="14.4" x14ac:dyDescent="0.3"/>
    <row r="34801" ht="14.4" x14ac:dyDescent="0.3"/>
    <row r="34802" ht="14.4" x14ac:dyDescent="0.3"/>
    <row r="34803" ht="14.4" x14ac:dyDescent="0.3"/>
    <row r="34804" ht="14.4" x14ac:dyDescent="0.3"/>
    <row r="34805" ht="14.4" x14ac:dyDescent="0.3"/>
    <row r="34806" ht="14.4" x14ac:dyDescent="0.3"/>
    <row r="34807" ht="14.4" x14ac:dyDescent="0.3"/>
    <row r="34808" ht="14.4" x14ac:dyDescent="0.3"/>
    <row r="34809" ht="14.4" x14ac:dyDescent="0.3"/>
    <row r="34810" ht="14.4" x14ac:dyDescent="0.3"/>
    <row r="34811" ht="14.4" x14ac:dyDescent="0.3"/>
    <row r="34812" ht="14.4" x14ac:dyDescent="0.3"/>
    <row r="34813" ht="14.4" x14ac:dyDescent="0.3"/>
    <row r="34814" ht="14.4" x14ac:dyDescent="0.3"/>
    <row r="34815" ht="14.4" x14ac:dyDescent="0.3"/>
    <row r="34816" ht="14.4" x14ac:dyDescent="0.3"/>
    <row r="34817" ht="14.4" x14ac:dyDescent="0.3"/>
    <row r="34818" ht="14.4" x14ac:dyDescent="0.3"/>
    <row r="34819" ht="14.4" x14ac:dyDescent="0.3"/>
    <row r="34820" ht="14.4" x14ac:dyDescent="0.3"/>
    <row r="34821" ht="14.4" x14ac:dyDescent="0.3"/>
    <row r="34822" ht="14.4" x14ac:dyDescent="0.3"/>
    <row r="34823" ht="14.4" x14ac:dyDescent="0.3"/>
    <row r="34824" ht="14.4" x14ac:dyDescent="0.3"/>
    <row r="34825" ht="14.4" x14ac:dyDescent="0.3"/>
    <row r="34826" ht="14.4" x14ac:dyDescent="0.3"/>
    <row r="34827" ht="14.4" x14ac:dyDescent="0.3"/>
    <row r="34828" ht="14.4" x14ac:dyDescent="0.3"/>
    <row r="34829" ht="14.4" x14ac:dyDescent="0.3"/>
    <row r="34830" ht="14.4" x14ac:dyDescent="0.3"/>
    <row r="34831" ht="14.4" x14ac:dyDescent="0.3"/>
    <row r="34832" ht="14.4" x14ac:dyDescent="0.3"/>
    <row r="34833" ht="14.4" x14ac:dyDescent="0.3"/>
    <row r="34834" ht="14.4" x14ac:dyDescent="0.3"/>
    <row r="34835" ht="14.4" x14ac:dyDescent="0.3"/>
    <row r="34836" ht="14.4" x14ac:dyDescent="0.3"/>
    <row r="34837" ht="14.4" x14ac:dyDescent="0.3"/>
    <row r="34838" ht="14.4" x14ac:dyDescent="0.3"/>
    <row r="34839" ht="14.4" x14ac:dyDescent="0.3"/>
    <row r="34840" ht="14.4" x14ac:dyDescent="0.3"/>
    <row r="34841" ht="14.4" x14ac:dyDescent="0.3"/>
    <row r="34842" ht="14.4" x14ac:dyDescent="0.3"/>
    <row r="34843" ht="14.4" x14ac:dyDescent="0.3"/>
    <row r="34844" ht="14.4" x14ac:dyDescent="0.3"/>
    <row r="34845" ht="14.4" x14ac:dyDescent="0.3"/>
    <row r="34846" ht="14.4" x14ac:dyDescent="0.3"/>
    <row r="34847" ht="14.4" x14ac:dyDescent="0.3"/>
    <row r="34848" ht="14.4" x14ac:dyDescent="0.3"/>
    <row r="34849" ht="14.4" x14ac:dyDescent="0.3"/>
    <row r="34850" ht="14.4" x14ac:dyDescent="0.3"/>
    <row r="34851" ht="14.4" x14ac:dyDescent="0.3"/>
    <row r="34852" ht="14.4" x14ac:dyDescent="0.3"/>
    <row r="34853" ht="14.4" x14ac:dyDescent="0.3"/>
    <row r="34854" ht="14.4" x14ac:dyDescent="0.3"/>
    <row r="34855" ht="14.4" x14ac:dyDescent="0.3"/>
    <row r="34856" ht="14.4" x14ac:dyDescent="0.3"/>
    <row r="34857" ht="14.4" x14ac:dyDescent="0.3"/>
    <row r="34858" ht="14.4" x14ac:dyDescent="0.3"/>
    <row r="34859" ht="14.4" x14ac:dyDescent="0.3"/>
    <row r="34860" ht="14.4" x14ac:dyDescent="0.3"/>
    <row r="34861" ht="14.4" x14ac:dyDescent="0.3"/>
    <row r="34862" ht="14.4" x14ac:dyDescent="0.3"/>
    <row r="34863" ht="14.4" x14ac:dyDescent="0.3"/>
    <row r="34864" ht="14.4" x14ac:dyDescent="0.3"/>
    <row r="34865" ht="14.4" x14ac:dyDescent="0.3"/>
    <row r="34866" ht="14.4" x14ac:dyDescent="0.3"/>
    <row r="34867" ht="14.4" x14ac:dyDescent="0.3"/>
    <row r="34868" ht="14.4" x14ac:dyDescent="0.3"/>
    <row r="34869" ht="14.4" x14ac:dyDescent="0.3"/>
    <row r="34870" ht="14.4" x14ac:dyDescent="0.3"/>
    <row r="34871" ht="14.4" x14ac:dyDescent="0.3"/>
    <row r="34872" ht="14.4" x14ac:dyDescent="0.3"/>
    <row r="34873" ht="14.4" x14ac:dyDescent="0.3"/>
    <row r="34874" ht="14.4" x14ac:dyDescent="0.3"/>
    <row r="34875" ht="14.4" x14ac:dyDescent="0.3"/>
    <row r="34876" ht="14.4" x14ac:dyDescent="0.3"/>
    <row r="34877" ht="14.4" x14ac:dyDescent="0.3"/>
    <row r="34878" ht="14.4" x14ac:dyDescent="0.3"/>
    <row r="34879" ht="14.4" x14ac:dyDescent="0.3"/>
    <row r="34880" ht="14.4" x14ac:dyDescent="0.3"/>
    <row r="34881" ht="14.4" x14ac:dyDescent="0.3"/>
    <row r="34882" ht="14.4" x14ac:dyDescent="0.3"/>
    <row r="34883" ht="14.4" x14ac:dyDescent="0.3"/>
    <row r="34884" ht="14.4" x14ac:dyDescent="0.3"/>
    <row r="34885" ht="14.4" x14ac:dyDescent="0.3"/>
    <row r="34886" ht="14.4" x14ac:dyDescent="0.3"/>
    <row r="34887" ht="14.4" x14ac:dyDescent="0.3"/>
    <row r="34888" ht="14.4" x14ac:dyDescent="0.3"/>
    <row r="34889" ht="14.4" x14ac:dyDescent="0.3"/>
    <row r="34890" ht="14.4" x14ac:dyDescent="0.3"/>
    <row r="34891" ht="14.4" x14ac:dyDescent="0.3"/>
    <row r="34892" ht="14.4" x14ac:dyDescent="0.3"/>
    <row r="34893" ht="14.4" x14ac:dyDescent="0.3"/>
    <row r="34894" ht="14.4" x14ac:dyDescent="0.3"/>
    <row r="34895" ht="14.4" x14ac:dyDescent="0.3"/>
    <row r="34896" ht="14.4" x14ac:dyDescent="0.3"/>
    <row r="34897" ht="14.4" x14ac:dyDescent="0.3"/>
    <row r="34898" ht="14.4" x14ac:dyDescent="0.3"/>
    <row r="34899" ht="14.4" x14ac:dyDescent="0.3"/>
    <row r="34900" ht="14.4" x14ac:dyDescent="0.3"/>
    <row r="34901" ht="14.4" x14ac:dyDescent="0.3"/>
    <row r="34902" ht="14.4" x14ac:dyDescent="0.3"/>
    <row r="34903" ht="14.4" x14ac:dyDescent="0.3"/>
    <row r="34904" ht="14.4" x14ac:dyDescent="0.3"/>
    <row r="34905" ht="14.4" x14ac:dyDescent="0.3"/>
    <row r="34906" ht="14.4" x14ac:dyDescent="0.3"/>
    <row r="34907" ht="14.4" x14ac:dyDescent="0.3"/>
    <row r="34908" ht="14.4" x14ac:dyDescent="0.3"/>
    <row r="34909" ht="14.4" x14ac:dyDescent="0.3"/>
    <row r="34910" ht="14.4" x14ac:dyDescent="0.3"/>
    <row r="34911" ht="14.4" x14ac:dyDescent="0.3"/>
    <row r="34912" ht="14.4" x14ac:dyDescent="0.3"/>
    <row r="34913" ht="14.4" x14ac:dyDescent="0.3"/>
    <row r="34914" ht="14.4" x14ac:dyDescent="0.3"/>
    <row r="34915" ht="14.4" x14ac:dyDescent="0.3"/>
    <row r="34916" ht="14.4" x14ac:dyDescent="0.3"/>
    <row r="34917" ht="14.4" x14ac:dyDescent="0.3"/>
    <row r="34918" ht="14.4" x14ac:dyDescent="0.3"/>
    <row r="34919" ht="14.4" x14ac:dyDescent="0.3"/>
    <row r="34920" ht="14.4" x14ac:dyDescent="0.3"/>
    <row r="34921" ht="14.4" x14ac:dyDescent="0.3"/>
    <row r="34922" ht="14.4" x14ac:dyDescent="0.3"/>
    <row r="34923" ht="14.4" x14ac:dyDescent="0.3"/>
    <row r="34924" ht="14.4" x14ac:dyDescent="0.3"/>
    <row r="34925" ht="14.4" x14ac:dyDescent="0.3"/>
    <row r="34926" ht="14.4" x14ac:dyDescent="0.3"/>
    <row r="34927" ht="14.4" x14ac:dyDescent="0.3"/>
    <row r="34928" ht="14.4" x14ac:dyDescent="0.3"/>
    <row r="34929" ht="14.4" x14ac:dyDescent="0.3"/>
    <row r="34930" ht="14.4" x14ac:dyDescent="0.3"/>
    <row r="34931" ht="14.4" x14ac:dyDescent="0.3"/>
    <row r="34932" ht="14.4" x14ac:dyDescent="0.3"/>
    <row r="34933" ht="14.4" x14ac:dyDescent="0.3"/>
    <row r="34934" ht="14.4" x14ac:dyDescent="0.3"/>
    <row r="34935" ht="14.4" x14ac:dyDescent="0.3"/>
    <row r="34936" ht="14.4" x14ac:dyDescent="0.3"/>
    <row r="34937" ht="14.4" x14ac:dyDescent="0.3"/>
    <row r="34938" ht="14.4" x14ac:dyDescent="0.3"/>
    <row r="34939" ht="14.4" x14ac:dyDescent="0.3"/>
    <row r="34940" ht="14.4" x14ac:dyDescent="0.3"/>
    <row r="34941" ht="14.4" x14ac:dyDescent="0.3"/>
    <row r="34942" ht="14.4" x14ac:dyDescent="0.3"/>
    <row r="34943" ht="14.4" x14ac:dyDescent="0.3"/>
    <row r="34944" ht="14.4" x14ac:dyDescent="0.3"/>
    <row r="34945" ht="14.4" x14ac:dyDescent="0.3"/>
    <row r="34946" ht="14.4" x14ac:dyDescent="0.3"/>
    <row r="34947" ht="14.4" x14ac:dyDescent="0.3"/>
    <row r="34948" ht="14.4" x14ac:dyDescent="0.3"/>
    <row r="34949" ht="14.4" x14ac:dyDescent="0.3"/>
    <row r="34950" ht="14.4" x14ac:dyDescent="0.3"/>
    <row r="34951" ht="14.4" x14ac:dyDescent="0.3"/>
    <row r="34952" ht="14.4" x14ac:dyDescent="0.3"/>
    <row r="34953" ht="14.4" x14ac:dyDescent="0.3"/>
    <row r="34954" ht="14.4" x14ac:dyDescent="0.3"/>
    <row r="34955" ht="14.4" x14ac:dyDescent="0.3"/>
    <row r="34956" ht="14.4" x14ac:dyDescent="0.3"/>
    <row r="34957" ht="14.4" x14ac:dyDescent="0.3"/>
    <row r="34958" ht="14.4" x14ac:dyDescent="0.3"/>
    <row r="34959" ht="14.4" x14ac:dyDescent="0.3"/>
    <row r="34960" ht="14.4" x14ac:dyDescent="0.3"/>
    <row r="34961" ht="14.4" x14ac:dyDescent="0.3"/>
    <row r="34962" ht="14.4" x14ac:dyDescent="0.3"/>
    <row r="34963" ht="14.4" x14ac:dyDescent="0.3"/>
    <row r="34964" ht="14.4" x14ac:dyDescent="0.3"/>
    <row r="34965" ht="14.4" x14ac:dyDescent="0.3"/>
    <row r="34966" ht="14.4" x14ac:dyDescent="0.3"/>
    <row r="34967" ht="14.4" x14ac:dyDescent="0.3"/>
    <row r="34968" ht="14.4" x14ac:dyDescent="0.3"/>
    <row r="34969" ht="14.4" x14ac:dyDescent="0.3"/>
    <row r="34970" ht="14.4" x14ac:dyDescent="0.3"/>
    <row r="34971" ht="14.4" x14ac:dyDescent="0.3"/>
    <row r="34972" ht="14.4" x14ac:dyDescent="0.3"/>
    <row r="34973" ht="14.4" x14ac:dyDescent="0.3"/>
    <row r="34974" ht="14.4" x14ac:dyDescent="0.3"/>
    <row r="34975" ht="14.4" x14ac:dyDescent="0.3"/>
    <row r="34976" ht="14.4" x14ac:dyDescent="0.3"/>
    <row r="34977" ht="14.4" x14ac:dyDescent="0.3"/>
    <row r="34978" ht="14.4" x14ac:dyDescent="0.3"/>
    <row r="34979" ht="14.4" x14ac:dyDescent="0.3"/>
    <row r="34980" ht="14.4" x14ac:dyDescent="0.3"/>
    <row r="34981" ht="14.4" x14ac:dyDescent="0.3"/>
    <row r="34982" ht="14.4" x14ac:dyDescent="0.3"/>
    <row r="34983" ht="14.4" x14ac:dyDescent="0.3"/>
    <row r="34984" ht="14.4" x14ac:dyDescent="0.3"/>
    <row r="34985" ht="14.4" x14ac:dyDescent="0.3"/>
    <row r="34986" ht="14.4" x14ac:dyDescent="0.3"/>
    <row r="34987" ht="14.4" x14ac:dyDescent="0.3"/>
    <row r="34988" ht="14.4" x14ac:dyDescent="0.3"/>
    <row r="34989" ht="14.4" x14ac:dyDescent="0.3"/>
    <row r="34990" ht="14.4" x14ac:dyDescent="0.3"/>
    <row r="34991" ht="14.4" x14ac:dyDescent="0.3"/>
    <row r="34992" ht="14.4" x14ac:dyDescent="0.3"/>
    <row r="34993" ht="14.4" x14ac:dyDescent="0.3"/>
    <row r="34994" ht="14.4" x14ac:dyDescent="0.3"/>
    <row r="34995" ht="14.4" x14ac:dyDescent="0.3"/>
    <row r="34996" ht="14.4" x14ac:dyDescent="0.3"/>
    <row r="34997" ht="14.4" x14ac:dyDescent="0.3"/>
    <row r="34998" ht="14.4" x14ac:dyDescent="0.3"/>
    <row r="34999" ht="14.4" x14ac:dyDescent="0.3"/>
    <row r="35000" ht="14.4" x14ac:dyDescent="0.3"/>
    <row r="35001" ht="14.4" x14ac:dyDescent="0.3"/>
    <row r="35002" ht="14.4" x14ac:dyDescent="0.3"/>
    <row r="35003" ht="14.4" x14ac:dyDescent="0.3"/>
    <row r="35004" ht="14.4" x14ac:dyDescent="0.3"/>
    <row r="35005" ht="14.4" x14ac:dyDescent="0.3"/>
    <row r="35006" ht="14.4" x14ac:dyDescent="0.3"/>
    <row r="35007" ht="14.4" x14ac:dyDescent="0.3"/>
    <row r="35008" ht="14.4" x14ac:dyDescent="0.3"/>
    <row r="35009" ht="14.4" x14ac:dyDescent="0.3"/>
    <row r="35010" ht="14.4" x14ac:dyDescent="0.3"/>
    <row r="35011" ht="14.4" x14ac:dyDescent="0.3"/>
    <row r="35012" ht="14.4" x14ac:dyDescent="0.3"/>
    <row r="35013" ht="14.4" x14ac:dyDescent="0.3"/>
    <row r="35014" ht="14.4" x14ac:dyDescent="0.3"/>
    <row r="35015" ht="14.4" x14ac:dyDescent="0.3"/>
    <row r="35016" ht="14.4" x14ac:dyDescent="0.3"/>
    <row r="35017" ht="14.4" x14ac:dyDescent="0.3"/>
    <row r="35018" ht="14.4" x14ac:dyDescent="0.3"/>
    <row r="35019" ht="14.4" x14ac:dyDescent="0.3"/>
    <row r="35020" ht="14.4" x14ac:dyDescent="0.3"/>
    <row r="35021" ht="14.4" x14ac:dyDescent="0.3"/>
    <row r="35022" ht="14.4" x14ac:dyDescent="0.3"/>
    <row r="35023" ht="14.4" x14ac:dyDescent="0.3"/>
    <row r="35024" ht="14.4" x14ac:dyDescent="0.3"/>
    <row r="35025" ht="14.4" x14ac:dyDescent="0.3"/>
    <row r="35026" ht="14.4" x14ac:dyDescent="0.3"/>
    <row r="35027" ht="14.4" x14ac:dyDescent="0.3"/>
    <row r="35028" ht="14.4" x14ac:dyDescent="0.3"/>
    <row r="35029" ht="14.4" x14ac:dyDescent="0.3"/>
    <row r="35030" ht="14.4" x14ac:dyDescent="0.3"/>
    <row r="35031" ht="14.4" x14ac:dyDescent="0.3"/>
    <row r="35032" ht="14.4" x14ac:dyDescent="0.3"/>
    <row r="35033" ht="14.4" x14ac:dyDescent="0.3"/>
    <row r="35034" ht="14.4" x14ac:dyDescent="0.3"/>
    <row r="35035" ht="14.4" x14ac:dyDescent="0.3"/>
    <row r="35036" ht="14.4" x14ac:dyDescent="0.3"/>
    <row r="35037" ht="14.4" x14ac:dyDescent="0.3"/>
    <row r="35038" ht="14.4" x14ac:dyDescent="0.3"/>
    <row r="35039" ht="14.4" x14ac:dyDescent="0.3"/>
    <row r="35040" ht="14.4" x14ac:dyDescent="0.3"/>
    <row r="35041" ht="14.4" x14ac:dyDescent="0.3"/>
    <row r="35042" ht="14.4" x14ac:dyDescent="0.3"/>
    <row r="35043" ht="14.4" x14ac:dyDescent="0.3"/>
    <row r="35044" ht="14.4" x14ac:dyDescent="0.3"/>
    <row r="35045" ht="14.4" x14ac:dyDescent="0.3"/>
    <row r="35046" ht="14.4" x14ac:dyDescent="0.3"/>
    <row r="35047" ht="14.4" x14ac:dyDescent="0.3"/>
    <row r="35048" ht="14.4" x14ac:dyDescent="0.3"/>
    <row r="35049" ht="14.4" x14ac:dyDescent="0.3"/>
    <row r="35050" ht="14.4" x14ac:dyDescent="0.3"/>
    <row r="35051" ht="14.4" x14ac:dyDescent="0.3"/>
    <row r="35052" ht="14.4" x14ac:dyDescent="0.3"/>
    <row r="35053" ht="14.4" x14ac:dyDescent="0.3"/>
    <row r="35054" ht="14.4" x14ac:dyDescent="0.3"/>
    <row r="35055" ht="14.4" x14ac:dyDescent="0.3"/>
    <row r="35056" ht="14.4" x14ac:dyDescent="0.3"/>
    <row r="35057" ht="14.4" x14ac:dyDescent="0.3"/>
    <row r="35058" ht="14.4" x14ac:dyDescent="0.3"/>
    <row r="35059" ht="14.4" x14ac:dyDescent="0.3"/>
    <row r="35060" ht="14.4" x14ac:dyDescent="0.3"/>
    <row r="35061" ht="14.4" x14ac:dyDescent="0.3"/>
    <row r="35062" ht="14.4" x14ac:dyDescent="0.3"/>
    <row r="35063" ht="14.4" x14ac:dyDescent="0.3"/>
    <row r="35064" ht="14.4" x14ac:dyDescent="0.3"/>
    <row r="35065" ht="14.4" x14ac:dyDescent="0.3"/>
    <row r="35066" ht="14.4" x14ac:dyDescent="0.3"/>
    <row r="35067" ht="14.4" x14ac:dyDescent="0.3"/>
    <row r="35068" ht="14.4" x14ac:dyDescent="0.3"/>
    <row r="35069" ht="14.4" x14ac:dyDescent="0.3"/>
    <row r="35070" ht="14.4" x14ac:dyDescent="0.3"/>
    <row r="35071" ht="14.4" x14ac:dyDescent="0.3"/>
    <row r="35072" ht="14.4" x14ac:dyDescent="0.3"/>
    <row r="35073" ht="14.4" x14ac:dyDescent="0.3"/>
    <row r="35074" ht="14.4" x14ac:dyDescent="0.3"/>
    <row r="35075" ht="14.4" x14ac:dyDescent="0.3"/>
    <row r="35076" ht="14.4" x14ac:dyDescent="0.3"/>
    <row r="35077" ht="14.4" x14ac:dyDescent="0.3"/>
    <row r="35078" ht="14.4" x14ac:dyDescent="0.3"/>
    <row r="35079" ht="14.4" x14ac:dyDescent="0.3"/>
    <row r="35080" ht="14.4" x14ac:dyDescent="0.3"/>
    <row r="35081" ht="14.4" x14ac:dyDescent="0.3"/>
    <row r="35082" ht="14.4" x14ac:dyDescent="0.3"/>
    <row r="35083" ht="14.4" x14ac:dyDescent="0.3"/>
    <row r="35084" ht="14.4" x14ac:dyDescent="0.3"/>
    <row r="35085" ht="14.4" x14ac:dyDescent="0.3"/>
    <row r="35086" ht="14.4" x14ac:dyDescent="0.3"/>
    <row r="35087" ht="14.4" x14ac:dyDescent="0.3"/>
    <row r="35088" ht="14.4" x14ac:dyDescent="0.3"/>
    <row r="35089" ht="14.4" x14ac:dyDescent="0.3"/>
    <row r="35090" ht="14.4" x14ac:dyDescent="0.3"/>
    <row r="35091" ht="14.4" x14ac:dyDescent="0.3"/>
    <row r="35092" ht="14.4" x14ac:dyDescent="0.3"/>
    <row r="35093" ht="14.4" x14ac:dyDescent="0.3"/>
    <row r="35094" ht="14.4" x14ac:dyDescent="0.3"/>
    <row r="35095" ht="14.4" x14ac:dyDescent="0.3"/>
    <row r="35096" ht="14.4" x14ac:dyDescent="0.3"/>
    <row r="35097" ht="14.4" x14ac:dyDescent="0.3"/>
    <row r="35098" ht="14.4" x14ac:dyDescent="0.3"/>
    <row r="35099" ht="14.4" x14ac:dyDescent="0.3"/>
    <row r="35100" ht="14.4" x14ac:dyDescent="0.3"/>
    <row r="35101" ht="14.4" x14ac:dyDescent="0.3"/>
    <row r="35102" ht="14.4" x14ac:dyDescent="0.3"/>
    <row r="35103" ht="14.4" x14ac:dyDescent="0.3"/>
    <row r="35104" ht="14.4" x14ac:dyDescent="0.3"/>
    <row r="35105" ht="14.4" x14ac:dyDescent="0.3"/>
    <row r="35106" ht="14.4" x14ac:dyDescent="0.3"/>
    <row r="35107" ht="14.4" x14ac:dyDescent="0.3"/>
    <row r="35108" ht="14.4" x14ac:dyDescent="0.3"/>
    <row r="35109" ht="14.4" x14ac:dyDescent="0.3"/>
    <row r="35110" ht="14.4" x14ac:dyDescent="0.3"/>
    <row r="35111" ht="14.4" x14ac:dyDescent="0.3"/>
    <row r="35112" ht="14.4" x14ac:dyDescent="0.3"/>
    <row r="35113" ht="14.4" x14ac:dyDescent="0.3"/>
    <row r="35114" ht="14.4" x14ac:dyDescent="0.3"/>
    <row r="35115" ht="14.4" x14ac:dyDescent="0.3"/>
    <row r="35116" ht="14.4" x14ac:dyDescent="0.3"/>
    <row r="35117" ht="14.4" x14ac:dyDescent="0.3"/>
    <row r="35118" ht="14.4" x14ac:dyDescent="0.3"/>
    <row r="35119" ht="14.4" x14ac:dyDescent="0.3"/>
    <row r="35120" ht="14.4" x14ac:dyDescent="0.3"/>
    <row r="35121" ht="14.4" x14ac:dyDescent="0.3"/>
    <row r="35122" ht="14.4" x14ac:dyDescent="0.3"/>
    <row r="35123" ht="14.4" x14ac:dyDescent="0.3"/>
    <row r="35124" ht="14.4" x14ac:dyDescent="0.3"/>
    <row r="35125" ht="14.4" x14ac:dyDescent="0.3"/>
    <row r="35126" ht="14.4" x14ac:dyDescent="0.3"/>
    <row r="35127" ht="14.4" x14ac:dyDescent="0.3"/>
    <row r="35128" ht="14.4" x14ac:dyDescent="0.3"/>
    <row r="35129" ht="14.4" x14ac:dyDescent="0.3"/>
    <row r="35130" ht="14.4" x14ac:dyDescent="0.3"/>
    <row r="35131" ht="14.4" x14ac:dyDescent="0.3"/>
    <row r="35132" ht="14.4" x14ac:dyDescent="0.3"/>
    <row r="35133" ht="14.4" x14ac:dyDescent="0.3"/>
    <row r="35134" ht="14.4" x14ac:dyDescent="0.3"/>
    <row r="35135" ht="14.4" x14ac:dyDescent="0.3"/>
    <row r="35136" ht="14.4" x14ac:dyDescent="0.3"/>
    <row r="35137" ht="14.4" x14ac:dyDescent="0.3"/>
    <row r="35138" ht="14.4" x14ac:dyDescent="0.3"/>
    <row r="35139" ht="14.4" x14ac:dyDescent="0.3"/>
    <row r="35140" ht="14.4" x14ac:dyDescent="0.3"/>
    <row r="35141" ht="14.4" x14ac:dyDescent="0.3"/>
    <row r="35142" ht="14.4" x14ac:dyDescent="0.3"/>
    <row r="35143" ht="14.4" x14ac:dyDescent="0.3"/>
    <row r="35144" ht="14.4" x14ac:dyDescent="0.3"/>
    <row r="35145" ht="14.4" x14ac:dyDescent="0.3"/>
    <row r="35146" ht="14.4" x14ac:dyDescent="0.3"/>
    <row r="35147" ht="14.4" x14ac:dyDescent="0.3"/>
    <row r="35148" ht="14.4" x14ac:dyDescent="0.3"/>
    <row r="35149" ht="14.4" x14ac:dyDescent="0.3"/>
    <row r="35150" ht="14.4" x14ac:dyDescent="0.3"/>
    <row r="35151" ht="14.4" x14ac:dyDescent="0.3"/>
    <row r="35152" ht="14.4" x14ac:dyDescent="0.3"/>
    <row r="35153" ht="14.4" x14ac:dyDescent="0.3"/>
    <row r="35154" ht="14.4" x14ac:dyDescent="0.3"/>
    <row r="35155" ht="14.4" x14ac:dyDescent="0.3"/>
    <row r="35156" ht="14.4" x14ac:dyDescent="0.3"/>
    <row r="35157" ht="14.4" x14ac:dyDescent="0.3"/>
    <row r="35158" ht="14.4" x14ac:dyDescent="0.3"/>
    <row r="35159" ht="14.4" x14ac:dyDescent="0.3"/>
    <row r="35160" ht="14.4" x14ac:dyDescent="0.3"/>
    <row r="35161" ht="14.4" x14ac:dyDescent="0.3"/>
    <row r="35162" ht="14.4" x14ac:dyDescent="0.3"/>
    <row r="35163" ht="14.4" x14ac:dyDescent="0.3"/>
    <row r="35164" ht="14.4" x14ac:dyDescent="0.3"/>
    <row r="35165" ht="14.4" x14ac:dyDescent="0.3"/>
    <row r="35166" ht="14.4" x14ac:dyDescent="0.3"/>
    <row r="35167" ht="14.4" x14ac:dyDescent="0.3"/>
    <row r="35168" ht="14.4" x14ac:dyDescent="0.3"/>
    <row r="35169" ht="14.4" x14ac:dyDescent="0.3"/>
    <row r="35170" ht="14.4" x14ac:dyDescent="0.3"/>
    <row r="35171" ht="14.4" x14ac:dyDescent="0.3"/>
    <row r="35172" ht="14.4" x14ac:dyDescent="0.3"/>
    <row r="35173" ht="14.4" x14ac:dyDescent="0.3"/>
    <row r="35174" ht="14.4" x14ac:dyDescent="0.3"/>
    <row r="35175" ht="14.4" x14ac:dyDescent="0.3"/>
    <row r="35176" ht="14.4" x14ac:dyDescent="0.3"/>
    <row r="35177" ht="14.4" x14ac:dyDescent="0.3"/>
    <row r="35178" ht="14.4" x14ac:dyDescent="0.3"/>
    <row r="35179" ht="14.4" x14ac:dyDescent="0.3"/>
    <row r="35180" ht="14.4" x14ac:dyDescent="0.3"/>
    <row r="35181" ht="14.4" x14ac:dyDescent="0.3"/>
    <row r="35182" ht="14.4" x14ac:dyDescent="0.3"/>
    <row r="35183" ht="14.4" x14ac:dyDescent="0.3"/>
    <row r="35184" ht="14.4" x14ac:dyDescent="0.3"/>
    <row r="35185" ht="14.4" x14ac:dyDescent="0.3"/>
    <row r="35186" ht="14.4" x14ac:dyDescent="0.3"/>
    <row r="35187" ht="14.4" x14ac:dyDescent="0.3"/>
    <row r="35188" ht="14.4" x14ac:dyDescent="0.3"/>
    <row r="35189" ht="14.4" x14ac:dyDescent="0.3"/>
    <row r="35190" ht="14.4" x14ac:dyDescent="0.3"/>
    <row r="35191" ht="14.4" x14ac:dyDescent="0.3"/>
    <row r="35192" ht="14.4" x14ac:dyDescent="0.3"/>
    <row r="35193" ht="14.4" x14ac:dyDescent="0.3"/>
    <row r="35194" ht="14.4" x14ac:dyDescent="0.3"/>
    <row r="35195" ht="14.4" x14ac:dyDescent="0.3"/>
    <row r="35196" ht="14.4" x14ac:dyDescent="0.3"/>
    <row r="35197" ht="14.4" x14ac:dyDescent="0.3"/>
    <row r="35198" ht="14.4" x14ac:dyDescent="0.3"/>
    <row r="35199" ht="14.4" x14ac:dyDescent="0.3"/>
    <row r="35200" ht="14.4" x14ac:dyDescent="0.3"/>
    <row r="35201" ht="14.4" x14ac:dyDescent="0.3"/>
    <row r="35202" ht="14.4" x14ac:dyDescent="0.3"/>
    <row r="35203" ht="14.4" x14ac:dyDescent="0.3"/>
    <row r="35204" ht="14.4" x14ac:dyDescent="0.3"/>
    <row r="35205" ht="14.4" x14ac:dyDescent="0.3"/>
    <row r="35206" ht="14.4" x14ac:dyDescent="0.3"/>
    <row r="35207" ht="14.4" x14ac:dyDescent="0.3"/>
    <row r="35208" ht="14.4" x14ac:dyDescent="0.3"/>
    <row r="35209" ht="14.4" x14ac:dyDescent="0.3"/>
    <row r="35210" ht="14.4" x14ac:dyDescent="0.3"/>
    <row r="35211" ht="14.4" x14ac:dyDescent="0.3"/>
    <row r="35212" ht="14.4" x14ac:dyDescent="0.3"/>
    <row r="35213" ht="14.4" x14ac:dyDescent="0.3"/>
    <row r="35214" ht="14.4" x14ac:dyDescent="0.3"/>
    <row r="35215" ht="14.4" x14ac:dyDescent="0.3"/>
    <row r="35216" ht="14.4" x14ac:dyDescent="0.3"/>
    <row r="35217" ht="14.4" x14ac:dyDescent="0.3"/>
    <row r="35218" ht="14.4" x14ac:dyDescent="0.3"/>
    <row r="35219" ht="14.4" x14ac:dyDescent="0.3"/>
    <row r="35220" ht="14.4" x14ac:dyDescent="0.3"/>
    <row r="35221" ht="14.4" x14ac:dyDescent="0.3"/>
    <row r="35222" ht="14.4" x14ac:dyDescent="0.3"/>
    <row r="35223" ht="14.4" x14ac:dyDescent="0.3"/>
    <row r="35224" ht="14.4" x14ac:dyDescent="0.3"/>
    <row r="35225" ht="14.4" x14ac:dyDescent="0.3"/>
    <row r="35226" ht="14.4" x14ac:dyDescent="0.3"/>
    <row r="35227" ht="14.4" x14ac:dyDescent="0.3"/>
    <row r="35228" ht="14.4" x14ac:dyDescent="0.3"/>
    <row r="35229" ht="14.4" x14ac:dyDescent="0.3"/>
    <row r="35230" ht="14.4" x14ac:dyDescent="0.3"/>
    <row r="35231" ht="14.4" x14ac:dyDescent="0.3"/>
    <row r="35232" ht="14.4" x14ac:dyDescent="0.3"/>
    <row r="35233" ht="14.4" x14ac:dyDescent="0.3"/>
    <row r="35234" ht="14.4" x14ac:dyDescent="0.3"/>
    <row r="35235" ht="14.4" x14ac:dyDescent="0.3"/>
    <row r="35236" ht="14.4" x14ac:dyDescent="0.3"/>
    <row r="35237" ht="14.4" x14ac:dyDescent="0.3"/>
    <row r="35238" ht="14.4" x14ac:dyDescent="0.3"/>
    <row r="35239" ht="14.4" x14ac:dyDescent="0.3"/>
    <row r="35240" ht="14.4" x14ac:dyDescent="0.3"/>
    <row r="35241" ht="14.4" x14ac:dyDescent="0.3"/>
    <row r="35242" ht="14.4" x14ac:dyDescent="0.3"/>
    <row r="35243" ht="14.4" x14ac:dyDescent="0.3"/>
    <row r="35244" ht="14.4" x14ac:dyDescent="0.3"/>
    <row r="35245" ht="14.4" x14ac:dyDescent="0.3"/>
    <row r="35246" ht="14.4" x14ac:dyDescent="0.3"/>
    <row r="35247" ht="14.4" x14ac:dyDescent="0.3"/>
    <row r="35248" ht="14.4" x14ac:dyDescent="0.3"/>
    <row r="35249" ht="14.4" x14ac:dyDescent="0.3"/>
    <row r="35250" ht="14.4" x14ac:dyDescent="0.3"/>
    <row r="35251" ht="14.4" x14ac:dyDescent="0.3"/>
    <row r="35252" ht="14.4" x14ac:dyDescent="0.3"/>
    <row r="35253" ht="14.4" x14ac:dyDescent="0.3"/>
    <row r="35254" ht="14.4" x14ac:dyDescent="0.3"/>
    <row r="35255" ht="14.4" x14ac:dyDescent="0.3"/>
    <row r="35256" ht="14.4" x14ac:dyDescent="0.3"/>
    <row r="35257" ht="14.4" x14ac:dyDescent="0.3"/>
    <row r="35258" ht="14.4" x14ac:dyDescent="0.3"/>
    <row r="35259" ht="14.4" x14ac:dyDescent="0.3"/>
    <row r="35260" ht="14.4" x14ac:dyDescent="0.3"/>
    <row r="35261" ht="14.4" x14ac:dyDescent="0.3"/>
    <row r="35262" ht="14.4" x14ac:dyDescent="0.3"/>
    <row r="35263" ht="14.4" x14ac:dyDescent="0.3"/>
    <row r="35264" ht="14.4" x14ac:dyDescent="0.3"/>
    <row r="35265" ht="14.4" x14ac:dyDescent="0.3"/>
    <row r="35266" ht="14.4" x14ac:dyDescent="0.3"/>
    <row r="35267" ht="14.4" x14ac:dyDescent="0.3"/>
    <row r="35268" ht="14.4" x14ac:dyDescent="0.3"/>
    <row r="35269" ht="14.4" x14ac:dyDescent="0.3"/>
    <row r="35270" ht="14.4" x14ac:dyDescent="0.3"/>
    <row r="35271" ht="14.4" x14ac:dyDescent="0.3"/>
    <row r="35272" ht="14.4" x14ac:dyDescent="0.3"/>
    <row r="35273" ht="14.4" x14ac:dyDescent="0.3"/>
    <row r="35274" ht="14.4" x14ac:dyDescent="0.3"/>
    <row r="35275" ht="14.4" x14ac:dyDescent="0.3"/>
    <row r="35276" ht="14.4" x14ac:dyDescent="0.3"/>
    <row r="35277" ht="14.4" x14ac:dyDescent="0.3"/>
    <row r="35278" ht="14.4" x14ac:dyDescent="0.3"/>
    <row r="35279" ht="14.4" x14ac:dyDescent="0.3"/>
    <row r="35280" ht="14.4" x14ac:dyDescent="0.3"/>
    <row r="35281" ht="14.4" x14ac:dyDescent="0.3"/>
    <row r="35282" ht="14.4" x14ac:dyDescent="0.3"/>
    <row r="35283" ht="14.4" x14ac:dyDescent="0.3"/>
    <row r="35284" ht="14.4" x14ac:dyDescent="0.3"/>
    <row r="35285" ht="14.4" x14ac:dyDescent="0.3"/>
    <row r="35286" ht="14.4" x14ac:dyDescent="0.3"/>
    <row r="35287" ht="14.4" x14ac:dyDescent="0.3"/>
    <row r="35288" ht="14.4" x14ac:dyDescent="0.3"/>
    <row r="35289" ht="14.4" x14ac:dyDescent="0.3"/>
    <row r="35290" ht="14.4" x14ac:dyDescent="0.3"/>
    <row r="35291" ht="14.4" x14ac:dyDescent="0.3"/>
    <row r="35292" ht="14.4" x14ac:dyDescent="0.3"/>
    <row r="35293" ht="14.4" x14ac:dyDescent="0.3"/>
    <row r="35294" ht="14.4" x14ac:dyDescent="0.3"/>
    <row r="35295" ht="14.4" x14ac:dyDescent="0.3"/>
    <row r="35296" ht="14.4" x14ac:dyDescent="0.3"/>
    <row r="35297" ht="14.4" x14ac:dyDescent="0.3"/>
    <row r="35298" ht="14.4" x14ac:dyDescent="0.3"/>
    <row r="35299" ht="14.4" x14ac:dyDescent="0.3"/>
    <row r="35300" ht="14.4" x14ac:dyDescent="0.3"/>
    <row r="35301" ht="14.4" x14ac:dyDescent="0.3"/>
    <row r="35302" ht="14.4" x14ac:dyDescent="0.3"/>
    <row r="35303" ht="14.4" x14ac:dyDescent="0.3"/>
    <row r="35304" ht="14.4" x14ac:dyDescent="0.3"/>
    <row r="35305" ht="14.4" x14ac:dyDescent="0.3"/>
    <row r="35306" ht="14.4" x14ac:dyDescent="0.3"/>
    <row r="35307" ht="14.4" x14ac:dyDescent="0.3"/>
    <row r="35308" ht="14.4" x14ac:dyDescent="0.3"/>
    <row r="35309" ht="14.4" x14ac:dyDescent="0.3"/>
    <row r="35310" ht="14.4" x14ac:dyDescent="0.3"/>
    <row r="35311" ht="14.4" x14ac:dyDescent="0.3"/>
    <row r="35312" ht="14.4" x14ac:dyDescent="0.3"/>
    <row r="35313" ht="14.4" x14ac:dyDescent="0.3"/>
    <row r="35314" ht="14.4" x14ac:dyDescent="0.3"/>
    <row r="35315" ht="14.4" x14ac:dyDescent="0.3"/>
    <row r="35316" ht="14.4" x14ac:dyDescent="0.3"/>
    <row r="35317" ht="14.4" x14ac:dyDescent="0.3"/>
    <row r="35318" ht="14.4" x14ac:dyDescent="0.3"/>
    <row r="35319" ht="14.4" x14ac:dyDescent="0.3"/>
    <row r="35320" ht="14.4" x14ac:dyDescent="0.3"/>
    <row r="35321" ht="14.4" x14ac:dyDescent="0.3"/>
    <row r="35322" ht="14.4" x14ac:dyDescent="0.3"/>
    <row r="35323" ht="14.4" x14ac:dyDescent="0.3"/>
    <row r="35324" ht="14.4" x14ac:dyDescent="0.3"/>
    <row r="35325" ht="14.4" x14ac:dyDescent="0.3"/>
    <row r="35326" ht="14.4" x14ac:dyDescent="0.3"/>
    <row r="35327" ht="14.4" x14ac:dyDescent="0.3"/>
    <row r="35328" ht="14.4" x14ac:dyDescent="0.3"/>
    <row r="35329" ht="14.4" x14ac:dyDescent="0.3"/>
    <row r="35330" ht="14.4" x14ac:dyDescent="0.3"/>
    <row r="35331" ht="14.4" x14ac:dyDescent="0.3"/>
    <row r="35332" ht="14.4" x14ac:dyDescent="0.3"/>
    <row r="35333" ht="14.4" x14ac:dyDescent="0.3"/>
    <row r="35334" ht="14.4" x14ac:dyDescent="0.3"/>
    <row r="35335" ht="14.4" x14ac:dyDescent="0.3"/>
    <row r="35336" ht="14.4" x14ac:dyDescent="0.3"/>
    <row r="35337" ht="14.4" x14ac:dyDescent="0.3"/>
    <row r="35338" ht="14.4" x14ac:dyDescent="0.3"/>
    <row r="35339" ht="14.4" x14ac:dyDescent="0.3"/>
    <row r="35340" ht="14.4" x14ac:dyDescent="0.3"/>
    <row r="35341" ht="14.4" x14ac:dyDescent="0.3"/>
    <row r="35342" ht="14.4" x14ac:dyDescent="0.3"/>
    <row r="35343" ht="14.4" x14ac:dyDescent="0.3"/>
    <row r="35344" ht="14.4" x14ac:dyDescent="0.3"/>
    <row r="35345" ht="14.4" x14ac:dyDescent="0.3"/>
    <row r="35346" ht="14.4" x14ac:dyDescent="0.3"/>
    <row r="35347" ht="14.4" x14ac:dyDescent="0.3"/>
    <row r="35348" ht="14.4" x14ac:dyDescent="0.3"/>
    <row r="35349" ht="14.4" x14ac:dyDescent="0.3"/>
    <row r="35350" ht="14.4" x14ac:dyDescent="0.3"/>
    <row r="35351" ht="14.4" x14ac:dyDescent="0.3"/>
    <row r="35352" ht="14.4" x14ac:dyDescent="0.3"/>
    <row r="35353" ht="14.4" x14ac:dyDescent="0.3"/>
    <row r="35354" ht="14.4" x14ac:dyDescent="0.3"/>
    <row r="35355" ht="14.4" x14ac:dyDescent="0.3"/>
    <row r="35356" ht="14.4" x14ac:dyDescent="0.3"/>
    <row r="35357" ht="14.4" x14ac:dyDescent="0.3"/>
    <row r="35358" ht="14.4" x14ac:dyDescent="0.3"/>
    <row r="35359" ht="14.4" x14ac:dyDescent="0.3"/>
    <row r="35360" ht="14.4" x14ac:dyDescent="0.3"/>
    <row r="35361" ht="14.4" x14ac:dyDescent="0.3"/>
    <row r="35362" ht="14.4" x14ac:dyDescent="0.3"/>
    <row r="35363" ht="14.4" x14ac:dyDescent="0.3"/>
    <row r="35364" ht="14.4" x14ac:dyDescent="0.3"/>
    <row r="35365" ht="14.4" x14ac:dyDescent="0.3"/>
    <row r="35366" ht="14.4" x14ac:dyDescent="0.3"/>
    <row r="35367" ht="14.4" x14ac:dyDescent="0.3"/>
    <row r="35368" ht="14.4" x14ac:dyDescent="0.3"/>
    <row r="35369" ht="14.4" x14ac:dyDescent="0.3"/>
    <row r="35370" ht="14.4" x14ac:dyDescent="0.3"/>
    <row r="35371" ht="14.4" x14ac:dyDescent="0.3"/>
    <row r="35372" ht="14.4" x14ac:dyDescent="0.3"/>
    <row r="35373" ht="14.4" x14ac:dyDescent="0.3"/>
    <row r="35374" ht="14.4" x14ac:dyDescent="0.3"/>
    <row r="35375" ht="14.4" x14ac:dyDescent="0.3"/>
    <row r="35376" ht="14.4" x14ac:dyDescent="0.3"/>
    <row r="35377" ht="14.4" x14ac:dyDescent="0.3"/>
    <row r="35378" ht="14.4" x14ac:dyDescent="0.3"/>
    <row r="35379" ht="14.4" x14ac:dyDescent="0.3"/>
    <row r="35380" ht="14.4" x14ac:dyDescent="0.3"/>
    <row r="35381" ht="14.4" x14ac:dyDescent="0.3"/>
    <row r="35382" ht="14.4" x14ac:dyDescent="0.3"/>
    <row r="35383" ht="14.4" x14ac:dyDescent="0.3"/>
    <row r="35384" ht="14.4" x14ac:dyDescent="0.3"/>
    <row r="35385" ht="14.4" x14ac:dyDescent="0.3"/>
    <row r="35386" ht="14.4" x14ac:dyDescent="0.3"/>
    <row r="35387" ht="14.4" x14ac:dyDescent="0.3"/>
    <row r="35388" ht="14.4" x14ac:dyDescent="0.3"/>
    <row r="35389" ht="14.4" x14ac:dyDescent="0.3"/>
    <row r="35390" ht="14.4" x14ac:dyDescent="0.3"/>
    <row r="35391" ht="14.4" x14ac:dyDescent="0.3"/>
    <row r="35392" ht="14.4" x14ac:dyDescent="0.3"/>
    <row r="35393" ht="14.4" x14ac:dyDescent="0.3"/>
    <row r="35394" ht="14.4" x14ac:dyDescent="0.3"/>
    <row r="35395" ht="14.4" x14ac:dyDescent="0.3"/>
    <row r="35396" ht="14.4" x14ac:dyDescent="0.3"/>
    <row r="35397" ht="14.4" x14ac:dyDescent="0.3"/>
    <row r="35398" ht="14.4" x14ac:dyDescent="0.3"/>
    <row r="35399" ht="14.4" x14ac:dyDescent="0.3"/>
    <row r="35400" ht="14.4" x14ac:dyDescent="0.3"/>
    <row r="35401" ht="14.4" x14ac:dyDescent="0.3"/>
    <row r="35402" ht="14.4" x14ac:dyDescent="0.3"/>
    <row r="35403" ht="14.4" x14ac:dyDescent="0.3"/>
    <row r="35404" ht="14.4" x14ac:dyDescent="0.3"/>
    <row r="35405" ht="14.4" x14ac:dyDescent="0.3"/>
    <row r="35406" ht="14.4" x14ac:dyDescent="0.3"/>
    <row r="35407" ht="14.4" x14ac:dyDescent="0.3"/>
    <row r="35408" ht="14.4" x14ac:dyDescent="0.3"/>
    <row r="35409" ht="14.4" x14ac:dyDescent="0.3"/>
    <row r="35410" ht="14.4" x14ac:dyDescent="0.3"/>
    <row r="35411" ht="14.4" x14ac:dyDescent="0.3"/>
    <row r="35412" ht="14.4" x14ac:dyDescent="0.3"/>
    <row r="35413" ht="14.4" x14ac:dyDescent="0.3"/>
    <row r="35414" ht="14.4" x14ac:dyDescent="0.3"/>
    <row r="35415" ht="14.4" x14ac:dyDescent="0.3"/>
    <row r="35416" ht="14.4" x14ac:dyDescent="0.3"/>
    <row r="35417" ht="14.4" x14ac:dyDescent="0.3"/>
    <row r="35418" ht="14.4" x14ac:dyDescent="0.3"/>
    <row r="35419" ht="14.4" x14ac:dyDescent="0.3"/>
    <row r="35420" ht="14.4" x14ac:dyDescent="0.3"/>
    <row r="35421" ht="14.4" x14ac:dyDescent="0.3"/>
    <row r="35422" ht="14.4" x14ac:dyDescent="0.3"/>
    <row r="35423" ht="14.4" x14ac:dyDescent="0.3"/>
    <row r="35424" ht="14.4" x14ac:dyDescent="0.3"/>
    <row r="35425" ht="14.4" x14ac:dyDescent="0.3"/>
    <row r="35426" ht="14.4" x14ac:dyDescent="0.3"/>
    <row r="35427" ht="14.4" x14ac:dyDescent="0.3"/>
    <row r="35428" ht="14.4" x14ac:dyDescent="0.3"/>
    <row r="35429" ht="14.4" x14ac:dyDescent="0.3"/>
    <row r="35430" ht="14.4" x14ac:dyDescent="0.3"/>
    <row r="35431" ht="14.4" x14ac:dyDescent="0.3"/>
    <row r="35432" ht="14.4" x14ac:dyDescent="0.3"/>
    <row r="35433" ht="14.4" x14ac:dyDescent="0.3"/>
    <row r="35434" ht="14.4" x14ac:dyDescent="0.3"/>
    <row r="35435" ht="14.4" x14ac:dyDescent="0.3"/>
    <row r="35436" ht="14.4" x14ac:dyDescent="0.3"/>
    <row r="35437" ht="14.4" x14ac:dyDescent="0.3"/>
    <row r="35438" ht="14.4" x14ac:dyDescent="0.3"/>
    <row r="35439" ht="14.4" x14ac:dyDescent="0.3"/>
    <row r="35440" ht="14.4" x14ac:dyDescent="0.3"/>
    <row r="35441" ht="14.4" x14ac:dyDescent="0.3"/>
    <row r="35442" ht="14.4" x14ac:dyDescent="0.3"/>
    <row r="35443" ht="14.4" x14ac:dyDescent="0.3"/>
    <row r="35444" ht="14.4" x14ac:dyDescent="0.3"/>
    <row r="35445" ht="14.4" x14ac:dyDescent="0.3"/>
    <row r="35446" ht="14.4" x14ac:dyDescent="0.3"/>
    <row r="35447" ht="14.4" x14ac:dyDescent="0.3"/>
    <row r="35448" ht="14.4" x14ac:dyDescent="0.3"/>
    <row r="35449" ht="14.4" x14ac:dyDescent="0.3"/>
    <row r="35450" ht="14.4" x14ac:dyDescent="0.3"/>
    <row r="35451" ht="14.4" x14ac:dyDescent="0.3"/>
    <row r="35452" ht="14.4" x14ac:dyDescent="0.3"/>
    <row r="35453" ht="14.4" x14ac:dyDescent="0.3"/>
    <row r="35454" ht="14.4" x14ac:dyDescent="0.3"/>
    <row r="35455" ht="14.4" x14ac:dyDescent="0.3"/>
    <row r="35456" ht="14.4" x14ac:dyDescent="0.3"/>
    <row r="35457" ht="14.4" x14ac:dyDescent="0.3"/>
    <row r="35458" ht="14.4" x14ac:dyDescent="0.3"/>
    <row r="35459" ht="14.4" x14ac:dyDescent="0.3"/>
    <row r="35460" ht="14.4" x14ac:dyDescent="0.3"/>
    <row r="35461" ht="14.4" x14ac:dyDescent="0.3"/>
    <row r="35462" ht="14.4" x14ac:dyDescent="0.3"/>
    <row r="35463" ht="14.4" x14ac:dyDescent="0.3"/>
    <row r="35464" ht="14.4" x14ac:dyDescent="0.3"/>
    <row r="35465" ht="14.4" x14ac:dyDescent="0.3"/>
    <row r="35466" ht="14.4" x14ac:dyDescent="0.3"/>
    <row r="35467" ht="14.4" x14ac:dyDescent="0.3"/>
    <row r="35468" ht="14.4" x14ac:dyDescent="0.3"/>
    <row r="35469" ht="14.4" x14ac:dyDescent="0.3"/>
    <row r="35470" ht="14.4" x14ac:dyDescent="0.3"/>
    <row r="35471" ht="14.4" x14ac:dyDescent="0.3"/>
    <row r="35472" ht="14.4" x14ac:dyDescent="0.3"/>
    <row r="35473" ht="14.4" x14ac:dyDescent="0.3"/>
    <row r="35474" ht="14.4" x14ac:dyDescent="0.3"/>
    <row r="35475" ht="14.4" x14ac:dyDescent="0.3"/>
    <row r="35476" ht="14.4" x14ac:dyDescent="0.3"/>
    <row r="35477" ht="14.4" x14ac:dyDescent="0.3"/>
    <row r="35478" ht="14.4" x14ac:dyDescent="0.3"/>
    <row r="35479" ht="14.4" x14ac:dyDescent="0.3"/>
    <row r="35480" ht="14.4" x14ac:dyDescent="0.3"/>
    <row r="35481" ht="14.4" x14ac:dyDescent="0.3"/>
    <row r="35482" ht="14.4" x14ac:dyDescent="0.3"/>
    <row r="35483" ht="14.4" x14ac:dyDescent="0.3"/>
    <row r="35484" ht="14.4" x14ac:dyDescent="0.3"/>
    <row r="35485" ht="14.4" x14ac:dyDescent="0.3"/>
    <row r="35486" ht="14.4" x14ac:dyDescent="0.3"/>
    <row r="35487" ht="14.4" x14ac:dyDescent="0.3"/>
    <row r="35488" ht="14.4" x14ac:dyDescent="0.3"/>
    <row r="35489" ht="14.4" x14ac:dyDescent="0.3"/>
    <row r="35490" ht="14.4" x14ac:dyDescent="0.3"/>
    <row r="35491" ht="14.4" x14ac:dyDescent="0.3"/>
    <row r="35492" ht="14.4" x14ac:dyDescent="0.3"/>
    <row r="35493" ht="14.4" x14ac:dyDescent="0.3"/>
    <row r="35494" ht="14.4" x14ac:dyDescent="0.3"/>
    <row r="35495" ht="14.4" x14ac:dyDescent="0.3"/>
    <row r="35496" ht="14.4" x14ac:dyDescent="0.3"/>
    <row r="35497" ht="14.4" x14ac:dyDescent="0.3"/>
    <row r="35498" ht="14.4" x14ac:dyDescent="0.3"/>
    <row r="35499" ht="14.4" x14ac:dyDescent="0.3"/>
    <row r="35500" ht="14.4" x14ac:dyDescent="0.3"/>
    <row r="35501" ht="14.4" x14ac:dyDescent="0.3"/>
    <row r="35502" ht="14.4" x14ac:dyDescent="0.3"/>
    <row r="35503" ht="14.4" x14ac:dyDescent="0.3"/>
    <row r="35504" ht="14.4" x14ac:dyDescent="0.3"/>
    <row r="35505" ht="14.4" x14ac:dyDescent="0.3"/>
    <row r="35506" ht="14.4" x14ac:dyDescent="0.3"/>
    <row r="35507" ht="14.4" x14ac:dyDescent="0.3"/>
    <row r="35508" ht="14.4" x14ac:dyDescent="0.3"/>
    <row r="35509" ht="14.4" x14ac:dyDescent="0.3"/>
    <row r="35510" ht="14.4" x14ac:dyDescent="0.3"/>
    <row r="35511" ht="14.4" x14ac:dyDescent="0.3"/>
    <row r="35512" ht="14.4" x14ac:dyDescent="0.3"/>
    <row r="35513" ht="14.4" x14ac:dyDescent="0.3"/>
    <row r="35514" ht="14.4" x14ac:dyDescent="0.3"/>
    <row r="35515" ht="14.4" x14ac:dyDescent="0.3"/>
    <row r="35516" ht="14.4" x14ac:dyDescent="0.3"/>
    <row r="35517" ht="14.4" x14ac:dyDescent="0.3"/>
    <row r="35518" ht="14.4" x14ac:dyDescent="0.3"/>
    <row r="35519" ht="14.4" x14ac:dyDescent="0.3"/>
    <row r="35520" ht="14.4" x14ac:dyDescent="0.3"/>
    <row r="35521" ht="14.4" x14ac:dyDescent="0.3"/>
    <row r="35522" ht="14.4" x14ac:dyDescent="0.3"/>
    <row r="35523" ht="14.4" x14ac:dyDescent="0.3"/>
    <row r="35524" ht="14.4" x14ac:dyDescent="0.3"/>
    <row r="35525" ht="14.4" x14ac:dyDescent="0.3"/>
    <row r="35526" ht="14.4" x14ac:dyDescent="0.3"/>
    <row r="35527" ht="14.4" x14ac:dyDescent="0.3"/>
    <row r="35528" ht="14.4" x14ac:dyDescent="0.3"/>
    <row r="35529" ht="14.4" x14ac:dyDescent="0.3"/>
    <row r="35530" ht="14.4" x14ac:dyDescent="0.3"/>
    <row r="35531" ht="14.4" x14ac:dyDescent="0.3"/>
    <row r="35532" ht="14.4" x14ac:dyDescent="0.3"/>
    <row r="35533" ht="14.4" x14ac:dyDescent="0.3"/>
    <row r="35534" ht="14.4" x14ac:dyDescent="0.3"/>
    <row r="35535" ht="14.4" x14ac:dyDescent="0.3"/>
    <row r="35536" ht="14.4" x14ac:dyDescent="0.3"/>
    <row r="35537" ht="14.4" x14ac:dyDescent="0.3"/>
    <row r="35538" ht="14.4" x14ac:dyDescent="0.3"/>
    <row r="35539" ht="14.4" x14ac:dyDescent="0.3"/>
    <row r="35540" ht="14.4" x14ac:dyDescent="0.3"/>
    <row r="35541" ht="14.4" x14ac:dyDescent="0.3"/>
    <row r="35542" ht="14.4" x14ac:dyDescent="0.3"/>
    <row r="35543" ht="14.4" x14ac:dyDescent="0.3"/>
    <row r="35544" ht="14.4" x14ac:dyDescent="0.3"/>
    <row r="35545" ht="14.4" x14ac:dyDescent="0.3"/>
    <row r="35546" ht="14.4" x14ac:dyDescent="0.3"/>
    <row r="35547" ht="14.4" x14ac:dyDescent="0.3"/>
    <row r="35548" ht="14.4" x14ac:dyDescent="0.3"/>
    <row r="35549" ht="14.4" x14ac:dyDescent="0.3"/>
    <row r="35550" ht="14.4" x14ac:dyDescent="0.3"/>
    <row r="35551" ht="14.4" x14ac:dyDescent="0.3"/>
    <row r="35552" ht="14.4" x14ac:dyDescent="0.3"/>
    <row r="35553" ht="14.4" x14ac:dyDescent="0.3"/>
    <row r="35554" ht="14.4" x14ac:dyDescent="0.3"/>
    <row r="35555" ht="14.4" x14ac:dyDescent="0.3"/>
    <row r="35556" ht="14.4" x14ac:dyDescent="0.3"/>
    <row r="35557" ht="14.4" x14ac:dyDescent="0.3"/>
    <row r="35558" ht="14.4" x14ac:dyDescent="0.3"/>
    <row r="35559" ht="14.4" x14ac:dyDescent="0.3"/>
    <row r="35560" ht="14.4" x14ac:dyDescent="0.3"/>
    <row r="35561" ht="14.4" x14ac:dyDescent="0.3"/>
    <row r="35562" ht="14.4" x14ac:dyDescent="0.3"/>
    <row r="35563" ht="14.4" x14ac:dyDescent="0.3"/>
    <row r="35564" ht="14.4" x14ac:dyDescent="0.3"/>
    <row r="35565" ht="14.4" x14ac:dyDescent="0.3"/>
    <row r="35566" ht="14.4" x14ac:dyDescent="0.3"/>
    <row r="35567" ht="14.4" x14ac:dyDescent="0.3"/>
    <row r="35568" ht="14.4" x14ac:dyDescent="0.3"/>
    <row r="35569" ht="14.4" x14ac:dyDescent="0.3"/>
    <row r="35570" ht="14.4" x14ac:dyDescent="0.3"/>
    <row r="35571" ht="14.4" x14ac:dyDescent="0.3"/>
    <row r="35572" ht="14.4" x14ac:dyDescent="0.3"/>
    <row r="35573" ht="14.4" x14ac:dyDescent="0.3"/>
    <row r="35574" ht="14.4" x14ac:dyDescent="0.3"/>
    <row r="35575" ht="14.4" x14ac:dyDescent="0.3"/>
    <row r="35576" ht="14.4" x14ac:dyDescent="0.3"/>
    <row r="35577" ht="14.4" x14ac:dyDescent="0.3"/>
    <row r="35578" ht="14.4" x14ac:dyDescent="0.3"/>
    <row r="35579" ht="14.4" x14ac:dyDescent="0.3"/>
    <row r="35580" ht="14.4" x14ac:dyDescent="0.3"/>
    <row r="35581" ht="14.4" x14ac:dyDescent="0.3"/>
    <row r="35582" ht="14.4" x14ac:dyDescent="0.3"/>
    <row r="35583" ht="14.4" x14ac:dyDescent="0.3"/>
    <row r="35584" ht="14.4" x14ac:dyDescent="0.3"/>
    <row r="35585" ht="14.4" x14ac:dyDescent="0.3"/>
    <row r="35586" ht="14.4" x14ac:dyDescent="0.3"/>
    <row r="35587" ht="14.4" x14ac:dyDescent="0.3"/>
    <row r="35588" ht="14.4" x14ac:dyDescent="0.3"/>
    <row r="35589" ht="14.4" x14ac:dyDescent="0.3"/>
    <row r="35590" ht="14.4" x14ac:dyDescent="0.3"/>
    <row r="35591" ht="14.4" x14ac:dyDescent="0.3"/>
    <row r="35592" ht="14.4" x14ac:dyDescent="0.3"/>
    <row r="35593" ht="14.4" x14ac:dyDescent="0.3"/>
    <row r="35594" ht="14.4" x14ac:dyDescent="0.3"/>
    <row r="35595" ht="14.4" x14ac:dyDescent="0.3"/>
    <row r="35596" ht="14.4" x14ac:dyDescent="0.3"/>
    <row r="35597" ht="14.4" x14ac:dyDescent="0.3"/>
    <row r="35598" ht="14.4" x14ac:dyDescent="0.3"/>
    <row r="35599" ht="14.4" x14ac:dyDescent="0.3"/>
    <row r="35600" ht="14.4" x14ac:dyDescent="0.3"/>
    <row r="35601" ht="14.4" x14ac:dyDescent="0.3"/>
    <row r="35602" ht="14.4" x14ac:dyDescent="0.3"/>
    <row r="35603" ht="14.4" x14ac:dyDescent="0.3"/>
    <row r="35604" ht="14.4" x14ac:dyDescent="0.3"/>
    <row r="35605" ht="14.4" x14ac:dyDescent="0.3"/>
    <row r="35606" ht="14.4" x14ac:dyDescent="0.3"/>
    <row r="35607" ht="14.4" x14ac:dyDescent="0.3"/>
    <row r="35608" ht="14.4" x14ac:dyDescent="0.3"/>
    <row r="35609" ht="14.4" x14ac:dyDescent="0.3"/>
    <row r="35610" ht="14.4" x14ac:dyDescent="0.3"/>
    <row r="35611" ht="14.4" x14ac:dyDescent="0.3"/>
    <row r="35612" ht="14.4" x14ac:dyDescent="0.3"/>
    <row r="35613" ht="14.4" x14ac:dyDescent="0.3"/>
    <row r="35614" ht="14.4" x14ac:dyDescent="0.3"/>
    <row r="35615" ht="14.4" x14ac:dyDescent="0.3"/>
    <row r="35616" ht="14.4" x14ac:dyDescent="0.3"/>
    <row r="35617" ht="14.4" x14ac:dyDescent="0.3"/>
    <row r="35618" ht="14.4" x14ac:dyDescent="0.3"/>
    <row r="35619" ht="14.4" x14ac:dyDescent="0.3"/>
    <row r="35620" ht="14.4" x14ac:dyDescent="0.3"/>
    <row r="35621" ht="14.4" x14ac:dyDescent="0.3"/>
    <row r="35622" ht="14.4" x14ac:dyDescent="0.3"/>
    <row r="35623" ht="14.4" x14ac:dyDescent="0.3"/>
    <row r="35624" ht="14.4" x14ac:dyDescent="0.3"/>
    <row r="35625" ht="14.4" x14ac:dyDescent="0.3"/>
    <row r="35626" ht="14.4" x14ac:dyDescent="0.3"/>
    <row r="35627" ht="14.4" x14ac:dyDescent="0.3"/>
    <row r="35628" ht="14.4" x14ac:dyDescent="0.3"/>
    <row r="35629" ht="14.4" x14ac:dyDescent="0.3"/>
    <row r="35630" ht="14.4" x14ac:dyDescent="0.3"/>
    <row r="35631" ht="14.4" x14ac:dyDescent="0.3"/>
    <row r="35632" ht="14.4" x14ac:dyDescent="0.3"/>
    <row r="35633" ht="14.4" x14ac:dyDescent="0.3"/>
    <row r="35634" ht="14.4" x14ac:dyDescent="0.3"/>
    <row r="35635" ht="14.4" x14ac:dyDescent="0.3"/>
    <row r="35636" ht="14.4" x14ac:dyDescent="0.3"/>
    <row r="35637" ht="14.4" x14ac:dyDescent="0.3"/>
    <row r="35638" ht="14.4" x14ac:dyDescent="0.3"/>
    <row r="35639" ht="14.4" x14ac:dyDescent="0.3"/>
    <row r="35640" ht="14.4" x14ac:dyDescent="0.3"/>
    <row r="35641" ht="14.4" x14ac:dyDescent="0.3"/>
    <row r="35642" ht="14.4" x14ac:dyDescent="0.3"/>
    <row r="35643" ht="14.4" x14ac:dyDescent="0.3"/>
    <row r="35644" ht="14.4" x14ac:dyDescent="0.3"/>
    <row r="35645" ht="14.4" x14ac:dyDescent="0.3"/>
    <row r="35646" ht="14.4" x14ac:dyDescent="0.3"/>
    <row r="35647" ht="14.4" x14ac:dyDescent="0.3"/>
    <row r="35648" ht="14.4" x14ac:dyDescent="0.3"/>
    <row r="35649" ht="14.4" x14ac:dyDescent="0.3"/>
    <row r="35650" ht="14.4" x14ac:dyDescent="0.3"/>
    <row r="35651" ht="14.4" x14ac:dyDescent="0.3"/>
    <row r="35652" ht="14.4" x14ac:dyDescent="0.3"/>
    <row r="35653" ht="14.4" x14ac:dyDescent="0.3"/>
    <row r="35654" ht="14.4" x14ac:dyDescent="0.3"/>
    <row r="35655" ht="14.4" x14ac:dyDescent="0.3"/>
    <row r="35656" ht="14.4" x14ac:dyDescent="0.3"/>
    <row r="35657" ht="14.4" x14ac:dyDescent="0.3"/>
    <row r="35658" ht="14.4" x14ac:dyDescent="0.3"/>
    <row r="35659" ht="14.4" x14ac:dyDescent="0.3"/>
    <row r="35660" ht="14.4" x14ac:dyDescent="0.3"/>
    <row r="35661" ht="14.4" x14ac:dyDescent="0.3"/>
    <row r="35662" ht="14.4" x14ac:dyDescent="0.3"/>
    <row r="35663" ht="14.4" x14ac:dyDescent="0.3"/>
    <row r="35664" ht="14.4" x14ac:dyDescent="0.3"/>
    <row r="35665" ht="14.4" x14ac:dyDescent="0.3"/>
    <row r="35666" ht="14.4" x14ac:dyDescent="0.3"/>
    <row r="35667" ht="14.4" x14ac:dyDescent="0.3"/>
    <row r="35668" ht="14.4" x14ac:dyDescent="0.3"/>
    <row r="35669" ht="14.4" x14ac:dyDescent="0.3"/>
    <row r="35670" ht="14.4" x14ac:dyDescent="0.3"/>
    <row r="35671" ht="14.4" x14ac:dyDescent="0.3"/>
    <row r="35672" ht="14.4" x14ac:dyDescent="0.3"/>
    <row r="35673" ht="14.4" x14ac:dyDescent="0.3"/>
    <row r="35674" ht="14.4" x14ac:dyDescent="0.3"/>
    <row r="35675" ht="14.4" x14ac:dyDescent="0.3"/>
    <row r="35676" ht="14.4" x14ac:dyDescent="0.3"/>
    <row r="35677" ht="14.4" x14ac:dyDescent="0.3"/>
    <row r="35678" ht="14.4" x14ac:dyDescent="0.3"/>
    <row r="35679" ht="14.4" x14ac:dyDescent="0.3"/>
    <row r="35680" ht="14.4" x14ac:dyDescent="0.3"/>
    <row r="35681" ht="14.4" x14ac:dyDescent="0.3"/>
    <row r="35682" ht="14.4" x14ac:dyDescent="0.3"/>
    <row r="35683" ht="14.4" x14ac:dyDescent="0.3"/>
    <row r="35684" ht="14.4" x14ac:dyDescent="0.3"/>
    <row r="35685" ht="14.4" x14ac:dyDescent="0.3"/>
    <row r="35686" ht="14.4" x14ac:dyDescent="0.3"/>
    <row r="35687" ht="14.4" x14ac:dyDescent="0.3"/>
    <row r="35688" ht="14.4" x14ac:dyDescent="0.3"/>
    <row r="35689" ht="14.4" x14ac:dyDescent="0.3"/>
    <row r="35690" ht="14.4" x14ac:dyDescent="0.3"/>
    <row r="35691" ht="14.4" x14ac:dyDescent="0.3"/>
    <row r="35692" ht="14.4" x14ac:dyDescent="0.3"/>
    <row r="35693" ht="14.4" x14ac:dyDescent="0.3"/>
    <row r="35694" ht="14.4" x14ac:dyDescent="0.3"/>
    <row r="35695" ht="14.4" x14ac:dyDescent="0.3"/>
    <row r="35696" ht="14.4" x14ac:dyDescent="0.3"/>
    <row r="35697" ht="14.4" x14ac:dyDescent="0.3"/>
    <row r="35698" ht="14.4" x14ac:dyDescent="0.3"/>
    <row r="35699" ht="14.4" x14ac:dyDescent="0.3"/>
    <row r="35700" ht="14.4" x14ac:dyDescent="0.3"/>
    <row r="35701" ht="14.4" x14ac:dyDescent="0.3"/>
    <row r="35702" ht="14.4" x14ac:dyDescent="0.3"/>
    <row r="35703" ht="14.4" x14ac:dyDescent="0.3"/>
    <row r="35704" ht="14.4" x14ac:dyDescent="0.3"/>
    <row r="35705" ht="14.4" x14ac:dyDescent="0.3"/>
    <row r="35706" ht="14.4" x14ac:dyDescent="0.3"/>
    <row r="35707" ht="14.4" x14ac:dyDescent="0.3"/>
    <row r="35708" ht="14.4" x14ac:dyDescent="0.3"/>
    <row r="35709" ht="14.4" x14ac:dyDescent="0.3"/>
    <row r="35710" ht="14.4" x14ac:dyDescent="0.3"/>
    <row r="35711" ht="14.4" x14ac:dyDescent="0.3"/>
    <row r="35712" ht="14.4" x14ac:dyDescent="0.3"/>
    <row r="35713" ht="14.4" x14ac:dyDescent="0.3"/>
    <row r="35714" ht="14.4" x14ac:dyDescent="0.3"/>
    <row r="35715" ht="14.4" x14ac:dyDescent="0.3"/>
    <row r="35716" ht="14.4" x14ac:dyDescent="0.3"/>
    <row r="35717" ht="14.4" x14ac:dyDescent="0.3"/>
    <row r="35718" ht="14.4" x14ac:dyDescent="0.3"/>
    <row r="35719" ht="14.4" x14ac:dyDescent="0.3"/>
    <row r="35720" ht="14.4" x14ac:dyDescent="0.3"/>
    <row r="35721" ht="14.4" x14ac:dyDescent="0.3"/>
    <row r="35722" ht="14.4" x14ac:dyDescent="0.3"/>
    <row r="35723" ht="14.4" x14ac:dyDescent="0.3"/>
    <row r="35724" ht="14.4" x14ac:dyDescent="0.3"/>
    <row r="35725" ht="14.4" x14ac:dyDescent="0.3"/>
    <row r="35726" ht="14.4" x14ac:dyDescent="0.3"/>
    <row r="35727" ht="14.4" x14ac:dyDescent="0.3"/>
    <row r="35728" ht="14.4" x14ac:dyDescent="0.3"/>
    <row r="35729" ht="14.4" x14ac:dyDescent="0.3"/>
    <row r="35730" ht="14.4" x14ac:dyDescent="0.3"/>
    <row r="35731" ht="14.4" x14ac:dyDescent="0.3"/>
    <row r="35732" ht="14.4" x14ac:dyDescent="0.3"/>
    <row r="35733" ht="14.4" x14ac:dyDescent="0.3"/>
    <row r="35734" ht="14.4" x14ac:dyDescent="0.3"/>
    <row r="35735" ht="14.4" x14ac:dyDescent="0.3"/>
    <row r="35736" ht="14.4" x14ac:dyDescent="0.3"/>
    <row r="35737" ht="14.4" x14ac:dyDescent="0.3"/>
    <row r="35738" ht="14.4" x14ac:dyDescent="0.3"/>
    <row r="35739" ht="14.4" x14ac:dyDescent="0.3"/>
    <row r="35740" ht="14.4" x14ac:dyDescent="0.3"/>
    <row r="35741" ht="14.4" x14ac:dyDescent="0.3"/>
    <row r="35742" ht="14.4" x14ac:dyDescent="0.3"/>
    <row r="35743" ht="14.4" x14ac:dyDescent="0.3"/>
    <row r="35744" ht="14.4" x14ac:dyDescent="0.3"/>
    <row r="35745" ht="14.4" x14ac:dyDescent="0.3"/>
    <row r="35746" ht="14.4" x14ac:dyDescent="0.3"/>
    <row r="35747" ht="14.4" x14ac:dyDescent="0.3"/>
    <row r="35748" ht="14.4" x14ac:dyDescent="0.3"/>
    <row r="35749" ht="14.4" x14ac:dyDescent="0.3"/>
    <row r="35750" ht="14.4" x14ac:dyDescent="0.3"/>
    <row r="35751" ht="14.4" x14ac:dyDescent="0.3"/>
    <row r="35752" ht="14.4" x14ac:dyDescent="0.3"/>
    <row r="35753" ht="14.4" x14ac:dyDescent="0.3"/>
    <row r="35754" ht="14.4" x14ac:dyDescent="0.3"/>
    <row r="35755" ht="14.4" x14ac:dyDescent="0.3"/>
    <row r="35756" ht="14.4" x14ac:dyDescent="0.3"/>
    <row r="35757" ht="14.4" x14ac:dyDescent="0.3"/>
    <row r="35758" ht="14.4" x14ac:dyDescent="0.3"/>
    <row r="35759" ht="14.4" x14ac:dyDescent="0.3"/>
    <row r="35760" ht="14.4" x14ac:dyDescent="0.3"/>
    <row r="35761" ht="14.4" x14ac:dyDescent="0.3"/>
    <row r="35762" ht="14.4" x14ac:dyDescent="0.3"/>
    <row r="35763" ht="14.4" x14ac:dyDescent="0.3"/>
    <row r="35764" ht="14.4" x14ac:dyDescent="0.3"/>
    <row r="35765" ht="14.4" x14ac:dyDescent="0.3"/>
    <row r="35766" ht="14.4" x14ac:dyDescent="0.3"/>
    <row r="35767" ht="14.4" x14ac:dyDescent="0.3"/>
    <row r="35768" ht="14.4" x14ac:dyDescent="0.3"/>
    <row r="35769" ht="14.4" x14ac:dyDescent="0.3"/>
    <row r="35770" ht="14.4" x14ac:dyDescent="0.3"/>
    <row r="35771" ht="14.4" x14ac:dyDescent="0.3"/>
    <row r="35772" ht="14.4" x14ac:dyDescent="0.3"/>
    <row r="35773" ht="14.4" x14ac:dyDescent="0.3"/>
    <row r="35774" ht="14.4" x14ac:dyDescent="0.3"/>
    <row r="35775" ht="14.4" x14ac:dyDescent="0.3"/>
    <row r="35776" ht="14.4" x14ac:dyDescent="0.3"/>
    <row r="35777" ht="14.4" x14ac:dyDescent="0.3"/>
    <row r="35778" ht="14.4" x14ac:dyDescent="0.3"/>
    <row r="35779" ht="14.4" x14ac:dyDescent="0.3"/>
    <row r="35780" ht="14.4" x14ac:dyDescent="0.3"/>
    <row r="35781" ht="14.4" x14ac:dyDescent="0.3"/>
    <row r="35782" ht="14.4" x14ac:dyDescent="0.3"/>
    <row r="35783" ht="14.4" x14ac:dyDescent="0.3"/>
    <row r="35784" ht="14.4" x14ac:dyDescent="0.3"/>
    <row r="35785" ht="14.4" x14ac:dyDescent="0.3"/>
    <row r="35786" ht="14.4" x14ac:dyDescent="0.3"/>
    <row r="35787" ht="14.4" x14ac:dyDescent="0.3"/>
    <row r="35788" ht="14.4" x14ac:dyDescent="0.3"/>
    <row r="35789" ht="14.4" x14ac:dyDescent="0.3"/>
    <row r="35790" ht="14.4" x14ac:dyDescent="0.3"/>
    <row r="35791" ht="14.4" x14ac:dyDescent="0.3"/>
    <row r="35792" ht="14.4" x14ac:dyDescent="0.3"/>
    <row r="35793" ht="14.4" x14ac:dyDescent="0.3"/>
    <row r="35794" ht="14.4" x14ac:dyDescent="0.3"/>
    <row r="35795" ht="14.4" x14ac:dyDescent="0.3"/>
    <row r="35796" ht="14.4" x14ac:dyDescent="0.3"/>
    <row r="35797" ht="14.4" x14ac:dyDescent="0.3"/>
    <row r="35798" ht="14.4" x14ac:dyDescent="0.3"/>
    <row r="35799" ht="14.4" x14ac:dyDescent="0.3"/>
    <row r="35800" ht="14.4" x14ac:dyDescent="0.3"/>
    <row r="35801" ht="14.4" x14ac:dyDescent="0.3"/>
    <row r="35802" ht="14.4" x14ac:dyDescent="0.3"/>
    <row r="35803" ht="14.4" x14ac:dyDescent="0.3"/>
    <row r="35804" ht="14.4" x14ac:dyDescent="0.3"/>
    <row r="35805" ht="14.4" x14ac:dyDescent="0.3"/>
    <row r="35806" ht="14.4" x14ac:dyDescent="0.3"/>
    <row r="35807" ht="14.4" x14ac:dyDescent="0.3"/>
    <row r="35808" ht="14.4" x14ac:dyDescent="0.3"/>
    <row r="35809" ht="14.4" x14ac:dyDescent="0.3"/>
    <row r="35810" ht="14.4" x14ac:dyDescent="0.3"/>
    <row r="35811" ht="14.4" x14ac:dyDescent="0.3"/>
    <row r="35812" ht="14.4" x14ac:dyDescent="0.3"/>
    <row r="35813" ht="14.4" x14ac:dyDescent="0.3"/>
    <row r="35814" ht="14.4" x14ac:dyDescent="0.3"/>
    <row r="35815" ht="14.4" x14ac:dyDescent="0.3"/>
    <row r="35816" ht="14.4" x14ac:dyDescent="0.3"/>
    <row r="35817" ht="14.4" x14ac:dyDescent="0.3"/>
    <row r="35818" ht="14.4" x14ac:dyDescent="0.3"/>
    <row r="35819" ht="14.4" x14ac:dyDescent="0.3"/>
    <row r="35820" ht="14.4" x14ac:dyDescent="0.3"/>
    <row r="35821" ht="14.4" x14ac:dyDescent="0.3"/>
    <row r="35822" ht="14.4" x14ac:dyDescent="0.3"/>
    <row r="35823" ht="14.4" x14ac:dyDescent="0.3"/>
    <row r="35824" ht="14.4" x14ac:dyDescent="0.3"/>
    <row r="35825" ht="14.4" x14ac:dyDescent="0.3"/>
    <row r="35826" ht="14.4" x14ac:dyDescent="0.3"/>
    <row r="35827" ht="14.4" x14ac:dyDescent="0.3"/>
    <row r="35828" ht="14.4" x14ac:dyDescent="0.3"/>
    <row r="35829" ht="14.4" x14ac:dyDescent="0.3"/>
    <row r="35830" ht="14.4" x14ac:dyDescent="0.3"/>
    <row r="35831" ht="14.4" x14ac:dyDescent="0.3"/>
    <row r="35832" ht="14.4" x14ac:dyDescent="0.3"/>
    <row r="35833" ht="14.4" x14ac:dyDescent="0.3"/>
    <row r="35834" ht="14.4" x14ac:dyDescent="0.3"/>
    <row r="35835" ht="14.4" x14ac:dyDescent="0.3"/>
    <row r="35836" ht="14.4" x14ac:dyDescent="0.3"/>
    <row r="35837" ht="14.4" x14ac:dyDescent="0.3"/>
    <row r="35838" ht="14.4" x14ac:dyDescent="0.3"/>
    <row r="35839" ht="14.4" x14ac:dyDescent="0.3"/>
    <row r="35840" ht="14.4" x14ac:dyDescent="0.3"/>
    <row r="35841" ht="14.4" x14ac:dyDescent="0.3"/>
    <row r="35842" ht="14.4" x14ac:dyDescent="0.3"/>
    <row r="35843" ht="14.4" x14ac:dyDescent="0.3"/>
    <row r="35844" ht="14.4" x14ac:dyDescent="0.3"/>
    <row r="35845" ht="14.4" x14ac:dyDescent="0.3"/>
    <row r="35846" ht="14.4" x14ac:dyDescent="0.3"/>
    <row r="35847" ht="14.4" x14ac:dyDescent="0.3"/>
    <row r="35848" ht="14.4" x14ac:dyDescent="0.3"/>
    <row r="35849" ht="14.4" x14ac:dyDescent="0.3"/>
    <row r="35850" ht="14.4" x14ac:dyDescent="0.3"/>
    <row r="35851" ht="14.4" x14ac:dyDescent="0.3"/>
    <row r="35852" ht="14.4" x14ac:dyDescent="0.3"/>
    <row r="35853" ht="14.4" x14ac:dyDescent="0.3"/>
    <row r="35854" ht="14.4" x14ac:dyDescent="0.3"/>
    <row r="35855" ht="14.4" x14ac:dyDescent="0.3"/>
    <row r="35856" ht="14.4" x14ac:dyDescent="0.3"/>
    <row r="35857" ht="14.4" x14ac:dyDescent="0.3"/>
    <row r="35858" ht="14.4" x14ac:dyDescent="0.3"/>
    <row r="35859" ht="14.4" x14ac:dyDescent="0.3"/>
    <row r="35860" ht="14.4" x14ac:dyDescent="0.3"/>
    <row r="35861" ht="14.4" x14ac:dyDescent="0.3"/>
    <row r="35862" ht="14.4" x14ac:dyDescent="0.3"/>
    <row r="35863" ht="14.4" x14ac:dyDescent="0.3"/>
    <row r="35864" ht="14.4" x14ac:dyDescent="0.3"/>
    <row r="35865" ht="14.4" x14ac:dyDescent="0.3"/>
    <row r="35866" ht="14.4" x14ac:dyDescent="0.3"/>
    <row r="35867" ht="14.4" x14ac:dyDescent="0.3"/>
    <row r="35868" ht="14.4" x14ac:dyDescent="0.3"/>
    <row r="35869" ht="14.4" x14ac:dyDescent="0.3"/>
    <row r="35870" ht="14.4" x14ac:dyDescent="0.3"/>
    <row r="35871" ht="14.4" x14ac:dyDescent="0.3"/>
    <row r="35872" ht="14.4" x14ac:dyDescent="0.3"/>
    <row r="35873" ht="14.4" x14ac:dyDescent="0.3"/>
    <row r="35874" ht="14.4" x14ac:dyDescent="0.3"/>
    <row r="35875" ht="14.4" x14ac:dyDescent="0.3"/>
    <row r="35876" ht="14.4" x14ac:dyDescent="0.3"/>
    <row r="35877" ht="14.4" x14ac:dyDescent="0.3"/>
    <row r="35878" ht="14.4" x14ac:dyDescent="0.3"/>
    <row r="35879" ht="14.4" x14ac:dyDescent="0.3"/>
    <row r="35880" ht="14.4" x14ac:dyDescent="0.3"/>
    <row r="35881" ht="14.4" x14ac:dyDescent="0.3"/>
    <row r="35882" ht="14.4" x14ac:dyDescent="0.3"/>
    <row r="35883" ht="14.4" x14ac:dyDescent="0.3"/>
    <row r="35884" ht="14.4" x14ac:dyDescent="0.3"/>
    <row r="35885" ht="14.4" x14ac:dyDescent="0.3"/>
    <row r="35886" ht="14.4" x14ac:dyDescent="0.3"/>
    <row r="35887" ht="14.4" x14ac:dyDescent="0.3"/>
    <row r="35888" ht="14.4" x14ac:dyDescent="0.3"/>
    <row r="35889" ht="14.4" x14ac:dyDescent="0.3"/>
    <row r="35890" ht="14.4" x14ac:dyDescent="0.3"/>
    <row r="35891" ht="14.4" x14ac:dyDescent="0.3"/>
    <row r="35892" ht="14.4" x14ac:dyDescent="0.3"/>
    <row r="35893" ht="14.4" x14ac:dyDescent="0.3"/>
    <row r="35894" ht="14.4" x14ac:dyDescent="0.3"/>
    <row r="35895" ht="14.4" x14ac:dyDescent="0.3"/>
    <row r="35896" ht="14.4" x14ac:dyDescent="0.3"/>
    <row r="35897" ht="14.4" x14ac:dyDescent="0.3"/>
    <row r="35898" ht="14.4" x14ac:dyDescent="0.3"/>
    <row r="35899" ht="14.4" x14ac:dyDescent="0.3"/>
    <row r="35900" ht="14.4" x14ac:dyDescent="0.3"/>
    <row r="35901" ht="14.4" x14ac:dyDescent="0.3"/>
    <row r="35902" ht="14.4" x14ac:dyDescent="0.3"/>
    <row r="35903" ht="14.4" x14ac:dyDescent="0.3"/>
    <row r="35904" ht="14.4" x14ac:dyDescent="0.3"/>
    <row r="35905" ht="14.4" x14ac:dyDescent="0.3"/>
    <row r="35906" ht="14.4" x14ac:dyDescent="0.3"/>
    <row r="35907" ht="14.4" x14ac:dyDescent="0.3"/>
    <row r="35908" ht="14.4" x14ac:dyDescent="0.3"/>
    <row r="35909" ht="14.4" x14ac:dyDescent="0.3"/>
    <row r="35910" ht="14.4" x14ac:dyDescent="0.3"/>
    <row r="35911" ht="14.4" x14ac:dyDescent="0.3"/>
    <row r="35912" ht="14.4" x14ac:dyDescent="0.3"/>
    <row r="35913" ht="14.4" x14ac:dyDescent="0.3"/>
    <row r="35914" ht="14.4" x14ac:dyDescent="0.3"/>
    <row r="35915" ht="14.4" x14ac:dyDescent="0.3"/>
    <row r="35916" ht="14.4" x14ac:dyDescent="0.3"/>
    <row r="35917" ht="14.4" x14ac:dyDescent="0.3"/>
    <row r="35918" ht="14.4" x14ac:dyDescent="0.3"/>
    <row r="35919" ht="14.4" x14ac:dyDescent="0.3"/>
    <row r="35920" ht="14.4" x14ac:dyDescent="0.3"/>
    <row r="35921" ht="14.4" x14ac:dyDescent="0.3"/>
    <row r="35922" ht="14.4" x14ac:dyDescent="0.3"/>
    <row r="35923" ht="14.4" x14ac:dyDescent="0.3"/>
    <row r="35924" ht="14.4" x14ac:dyDescent="0.3"/>
    <row r="35925" ht="14.4" x14ac:dyDescent="0.3"/>
    <row r="35926" ht="14.4" x14ac:dyDescent="0.3"/>
    <row r="35927" ht="14.4" x14ac:dyDescent="0.3"/>
    <row r="35928" ht="14.4" x14ac:dyDescent="0.3"/>
    <row r="35929" ht="14.4" x14ac:dyDescent="0.3"/>
    <row r="35930" ht="14.4" x14ac:dyDescent="0.3"/>
    <row r="35931" ht="14.4" x14ac:dyDescent="0.3"/>
    <row r="35932" ht="14.4" x14ac:dyDescent="0.3"/>
    <row r="35933" ht="14.4" x14ac:dyDescent="0.3"/>
    <row r="35934" ht="14.4" x14ac:dyDescent="0.3"/>
    <row r="35935" ht="14.4" x14ac:dyDescent="0.3"/>
    <row r="35936" ht="14.4" x14ac:dyDescent="0.3"/>
    <row r="35937" ht="14.4" x14ac:dyDescent="0.3"/>
    <row r="35938" ht="14.4" x14ac:dyDescent="0.3"/>
    <row r="35939" ht="14.4" x14ac:dyDescent="0.3"/>
    <row r="35940" ht="14.4" x14ac:dyDescent="0.3"/>
    <row r="35941" ht="14.4" x14ac:dyDescent="0.3"/>
    <row r="35942" ht="14.4" x14ac:dyDescent="0.3"/>
    <row r="35943" ht="14.4" x14ac:dyDescent="0.3"/>
    <row r="35944" ht="14.4" x14ac:dyDescent="0.3"/>
    <row r="35945" ht="14.4" x14ac:dyDescent="0.3"/>
    <row r="35946" ht="14.4" x14ac:dyDescent="0.3"/>
    <row r="35947" ht="14.4" x14ac:dyDescent="0.3"/>
    <row r="35948" ht="14.4" x14ac:dyDescent="0.3"/>
    <row r="35949" ht="14.4" x14ac:dyDescent="0.3"/>
    <row r="35950" ht="14.4" x14ac:dyDescent="0.3"/>
    <row r="35951" ht="14.4" x14ac:dyDescent="0.3"/>
    <row r="35952" ht="14.4" x14ac:dyDescent="0.3"/>
    <row r="35953" spans="1:43" ht="14.4" x14ac:dyDescent="0.3"/>
    <row r="35954" spans="1:43" ht="14.4" x14ac:dyDescent="0.3"/>
    <row r="35955" spans="1:43" ht="14.4" x14ac:dyDescent="0.3"/>
    <row r="35956" spans="1:43" ht="14.4" x14ac:dyDescent="0.3"/>
    <row r="35957" spans="1:43" ht="14.4" x14ac:dyDescent="0.3"/>
    <row r="35958" spans="1:43" ht="14.4" x14ac:dyDescent="0.3"/>
    <row r="35959" spans="1:43" ht="14.4" x14ac:dyDescent="0.3"/>
    <row r="35960" spans="1:43" ht="14.4" x14ac:dyDescent="0.3"/>
    <row r="35961" spans="1:43" ht="14.4" x14ac:dyDescent="0.3"/>
    <row r="35962" spans="1:43" ht="14.4" x14ac:dyDescent="0.3"/>
    <row r="35963" spans="1:43" ht="14.4" x14ac:dyDescent="0.3"/>
    <row r="35964" spans="1:43" ht="14.4" x14ac:dyDescent="0.3"/>
    <row r="35965" spans="1:43" ht="14.4" hidden="1" x14ac:dyDescent="0.3">
      <c r="A35965" t="s">
        <v>4980</v>
      </c>
      <c r="B35965">
        <v>4906584</v>
      </c>
      <c r="C35965" t="s">
        <v>135</v>
      </c>
      <c r="D35965" t="s">
        <v>136</v>
      </c>
      <c r="E35965" t="s">
        <v>344</v>
      </c>
      <c r="F35965" t="s">
        <v>1799</v>
      </c>
      <c r="H35965" t="s">
        <v>1031</v>
      </c>
      <c r="I35965" t="s">
        <v>3064</v>
      </c>
      <c r="J35965" t="s">
        <v>140</v>
      </c>
      <c r="K35965">
        <v>156859.81899999999</v>
      </c>
      <c r="L35965">
        <v>384387.90700000001</v>
      </c>
      <c r="M35965">
        <v>1</v>
      </c>
      <c r="N35965" t="s">
        <v>3065</v>
      </c>
      <c r="O35965" t="s">
        <v>3061</v>
      </c>
      <c r="P35965" t="s">
        <v>1380</v>
      </c>
      <c r="Q35965" t="s">
        <v>144</v>
      </c>
      <c r="S35965">
        <v>7</v>
      </c>
      <c r="T35965">
        <v>0</v>
      </c>
      <c r="V35965" t="s">
        <v>146</v>
      </c>
      <c r="W35965" t="s">
        <v>415</v>
      </c>
      <c r="X35965" t="s">
        <v>7</v>
      </c>
      <c r="Y35965" t="s">
        <v>3066</v>
      </c>
      <c r="Z35965" t="s">
        <v>3061</v>
      </c>
      <c r="AA35965" t="s">
        <v>1570</v>
      </c>
      <c r="AB35965">
        <v>80</v>
      </c>
      <c r="AC35965" t="s">
        <v>150</v>
      </c>
      <c r="AE35965" t="s">
        <v>2885</v>
      </c>
      <c r="AF35965" t="s">
        <v>1512</v>
      </c>
      <c r="AG35965" t="s">
        <v>3067</v>
      </c>
      <c r="AL35965" t="s">
        <v>4981</v>
      </c>
      <c r="AM35965" t="s">
        <v>4982</v>
      </c>
      <c r="AN35965" t="s">
        <v>4983</v>
      </c>
      <c r="AO35965" t="s">
        <v>3065</v>
      </c>
      <c r="AQ35965">
        <f>IF(ISBLANK(AP35965), IFERROR(IF(VLOOKUP(AO35965, Ellens_additions!$A$2:$B$252, 2, FALSE) = "", "", VLOOKUP(AO35965, Ellens_additions!$A$2:$B$252, 2, FALSE)), 0), AP35965)</f>
        <v>0</v>
      </c>
    </row>
    <row r="35966" spans="1:43" ht="14.4" hidden="1" x14ac:dyDescent="0.3">
      <c r="A35966" t="s">
        <v>4984</v>
      </c>
      <c r="B35966">
        <v>4906585</v>
      </c>
      <c r="C35966" t="s">
        <v>135</v>
      </c>
      <c r="D35966" t="s">
        <v>136</v>
      </c>
      <c r="E35966" t="s">
        <v>344</v>
      </c>
      <c r="F35966" t="s">
        <v>1799</v>
      </c>
      <c r="H35966" t="s">
        <v>374</v>
      </c>
      <c r="I35966" t="s">
        <v>3064</v>
      </c>
      <c r="J35966" t="s">
        <v>140</v>
      </c>
      <c r="K35966">
        <v>156860.91699999999</v>
      </c>
      <c r="L35966">
        <v>384390.80800000002</v>
      </c>
      <c r="M35966">
        <v>1</v>
      </c>
      <c r="N35966" t="s">
        <v>3065</v>
      </c>
      <c r="O35966" t="s">
        <v>3061</v>
      </c>
      <c r="P35966" t="s">
        <v>1380</v>
      </c>
      <c r="Q35966" t="s">
        <v>144</v>
      </c>
      <c r="S35966">
        <v>7</v>
      </c>
      <c r="T35966">
        <v>0</v>
      </c>
      <c r="V35966" t="s">
        <v>146</v>
      </c>
      <c r="W35966" t="s">
        <v>415</v>
      </c>
      <c r="X35966" t="s">
        <v>7</v>
      </c>
      <c r="Y35966" t="s">
        <v>3066</v>
      </c>
      <c r="Z35966" t="s">
        <v>3061</v>
      </c>
      <c r="AA35966" t="s">
        <v>1570</v>
      </c>
      <c r="AB35966">
        <v>80</v>
      </c>
      <c r="AC35966" t="s">
        <v>150</v>
      </c>
      <c r="AE35966" t="s">
        <v>2885</v>
      </c>
      <c r="AF35966" t="s">
        <v>1512</v>
      </c>
      <c r="AG35966" t="s">
        <v>3067</v>
      </c>
      <c r="AL35966" t="s">
        <v>4985</v>
      </c>
      <c r="AM35966" t="s">
        <v>4986</v>
      </c>
      <c r="AN35966" t="s">
        <v>4987</v>
      </c>
      <c r="AO35966" t="s">
        <v>3065</v>
      </c>
      <c r="AQ35966">
        <f>IF(ISBLANK(AP35966), IFERROR(IF(VLOOKUP(AO35966, Ellens_additions!$A$2:$B$252, 2, FALSE) = "", "", VLOOKUP(AO35966, Ellens_additions!$A$2:$B$252, 2, FALSE)), 0), AP35966)</f>
        <v>0</v>
      </c>
    </row>
    <row r="35967" spans="1:43" ht="14.4" hidden="1" x14ac:dyDescent="0.3">
      <c r="A35967" t="s">
        <v>4988</v>
      </c>
      <c r="B35967">
        <v>4906587</v>
      </c>
      <c r="C35967" t="s">
        <v>135</v>
      </c>
      <c r="D35967" t="s">
        <v>136</v>
      </c>
      <c r="E35967" t="s">
        <v>344</v>
      </c>
      <c r="F35967" t="s">
        <v>1799</v>
      </c>
      <c r="H35967" t="s">
        <v>311</v>
      </c>
      <c r="I35967" t="s">
        <v>3064</v>
      </c>
      <c r="J35967" t="s">
        <v>140</v>
      </c>
      <c r="K35967">
        <v>156863.003</v>
      </c>
      <c r="L35967">
        <v>384396.60100000002</v>
      </c>
      <c r="M35967">
        <v>1</v>
      </c>
      <c r="N35967" t="s">
        <v>3065</v>
      </c>
      <c r="O35967" t="s">
        <v>3061</v>
      </c>
      <c r="P35967" t="s">
        <v>1380</v>
      </c>
      <c r="Q35967" t="s">
        <v>144</v>
      </c>
      <c r="S35967">
        <v>7</v>
      </c>
      <c r="T35967">
        <v>0</v>
      </c>
      <c r="V35967" t="s">
        <v>146</v>
      </c>
      <c r="W35967" t="s">
        <v>415</v>
      </c>
      <c r="X35967" t="s">
        <v>7</v>
      </c>
      <c r="Y35967" t="s">
        <v>3066</v>
      </c>
      <c r="Z35967" t="s">
        <v>3061</v>
      </c>
      <c r="AA35967" t="s">
        <v>1570</v>
      </c>
      <c r="AB35967">
        <v>80</v>
      </c>
      <c r="AC35967" t="s">
        <v>150</v>
      </c>
      <c r="AE35967" t="s">
        <v>2885</v>
      </c>
      <c r="AF35967" t="s">
        <v>1512</v>
      </c>
      <c r="AG35967" t="s">
        <v>3067</v>
      </c>
      <c r="AL35967" t="s">
        <v>4989</v>
      </c>
      <c r="AM35967" t="s">
        <v>4990</v>
      </c>
      <c r="AN35967" t="s">
        <v>4991</v>
      </c>
      <c r="AO35967" t="s">
        <v>3065</v>
      </c>
      <c r="AQ35967">
        <f>IF(ISBLANK(AP35967), IFERROR(IF(VLOOKUP(AO35967, Ellens_additions!$A$2:$B$252, 2, FALSE) = "", "", VLOOKUP(AO35967, Ellens_additions!$A$2:$B$252, 2, FALSE)), 0), AP35967)</f>
        <v>0</v>
      </c>
    </row>
    <row r="35968" spans="1:43" ht="14.4" hidden="1" x14ac:dyDescent="0.3">
      <c r="A35968" t="s">
        <v>4992</v>
      </c>
      <c r="B35968">
        <v>4906591</v>
      </c>
      <c r="C35968" t="s">
        <v>135</v>
      </c>
      <c r="D35968" t="s">
        <v>136</v>
      </c>
      <c r="E35968" t="s">
        <v>344</v>
      </c>
      <c r="F35968" t="s">
        <v>1799</v>
      </c>
      <c r="H35968" t="s">
        <v>360</v>
      </c>
      <c r="I35968" t="s">
        <v>3064</v>
      </c>
      <c r="J35968" t="s">
        <v>140</v>
      </c>
      <c r="K35968">
        <v>156867.32</v>
      </c>
      <c r="L35968">
        <v>384408.18900000001</v>
      </c>
      <c r="M35968">
        <v>1</v>
      </c>
      <c r="N35968" t="s">
        <v>3065</v>
      </c>
      <c r="O35968" t="s">
        <v>3061</v>
      </c>
      <c r="P35968" t="s">
        <v>1380</v>
      </c>
      <c r="Q35968" t="s">
        <v>144</v>
      </c>
      <c r="S35968">
        <v>7</v>
      </c>
      <c r="T35968">
        <v>0</v>
      </c>
      <c r="V35968" t="s">
        <v>146</v>
      </c>
      <c r="W35968" t="s">
        <v>415</v>
      </c>
      <c r="X35968" t="s">
        <v>7</v>
      </c>
      <c r="Y35968" t="s">
        <v>3066</v>
      </c>
      <c r="Z35968" t="s">
        <v>3061</v>
      </c>
      <c r="AA35968" t="s">
        <v>1570</v>
      </c>
      <c r="AB35968">
        <v>80</v>
      </c>
      <c r="AC35968" t="s">
        <v>150</v>
      </c>
      <c r="AE35968" t="s">
        <v>2885</v>
      </c>
      <c r="AF35968" t="s">
        <v>1512</v>
      </c>
      <c r="AG35968" t="s">
        <v>3067</v>
      </c>
      <c r="AL35968" t="s">
        <v>4993</v>
      </c>
      <c r="AM35968" t="s">
        <v>4994</v>
      </c>
      <c r="AN35968" t="s">
        <v>4995</v>
      </c>
      <c r="AO35968" t="s">
        <v>3065</v>
      </c>
      <c r="AQ35968">
        <f>IF(ISBLANK(AP35968), IFERROR(IF(VLOOKUP(AO35968, Ellens_additions!$A$2:$B$252, 2, FALSE) = "", "", VLOOKUP(AO35968, Ellens_additions!$A$2:$B$252, 2, FALSE)), 0), AP35968)</f>
        <v>0</v>
      </c>
    </row>
    <row r="35969" spans="1:43" ht="14.4" hidden="1" x14ac:dyDescent="0.3">
      <c r="A35969" t="s">
        <v>4996</v>
      </c>
      <c r="B35969">
        <v>4906593</v>
      </c>
      <c r="C35969" t="s">
        <v>135</v>
      </c>
      <c r="D35969" t="s">
        <v>136</v>
      </c>
      <c r="E35969" t="s">
        <v>344</v>
      </c>
      <c r="F35969" t="s">
        <v>1799</v>
      </c>
      <c r="H35969" t="s">
        <v>294</v>
      </c>
      <c r="I35969" t="s">
        <v>3064</v>
      </c>
      <c r="J35969" t="s">
        <v>140</v>
      </c>
      <c r="K35969">
        <v>156869.33499999999</v>
      </c>
      <c r="L35969">
        <v>384413.95199999999</v>
      </c>
      <c r="M35969">
        <v>1</v>
      </c>
      <c r="N35969" t="s">
        <v>3065</v>
      </c>
      <c r="O35969" t="s">
        <v>3061</v>
      </c>
      <c r="P35969" t="s">
        <v>1380</v>
      </c>
      <c r="Q35969" t="s">
        <v>144</v>
      </c>
      <c r="S35969">
        <v>7</v>
      </c>
      <c r="T35969">
        <v>0</v>
      </c>
      <c r="V35969" t="s">
        <v>146</v>
      </c>
      <c r="W35969" t="s">
        <v>415</v>
      </c>
      <c r="X35969" t="s">
        <v>7</v>
      </c>
      <c r="Y35969" t="s">
        <v>3066</v>
      </c>
      <c r="Z35969" t="s">
        <v>3061</v>
      </c>
      <c r="AA35969" t="s">
        <v>1570</v>
      </c>
      <c r="AB35969">
        <v>80</v>
      </c>
      <c r="AC35969" t="s">
        <v>150</v>
      </c>
      <c r="AE35969" t="s">
        <v>2885</v>
      </c>
      <c r="AF35969" t="s">
        <v>1512</v>
      </c>
      <c r="AG35969" t="s">
        <v>3067</v>
      </c>
      <c r="AL35969" t="s">
        <v>4997</v>
      </c>
      <c r="AM35969" t="s">
        <v>4998</v>
      </c>
      <c r="AN35969" t="s">
        <v>4999</v>
      </c>
      <c r="AO35969" t="s">
        <v>3065</v>
      </c>
      <c r="AQ35969">
        <f>IF(ISBLANK(AP35969), IFERROR(IF(VLOOKUP(AO35969, Ellens_additions!$A$2:$B$252, 2, FALSE) = "", "", VLOOKUP(AO35969, Ellens_additions!$A$2:$B$252, 2, FALSE)), 0), AP35969)</f>
        <v>0</v>
      </c>
    </row>
    <row r="35970" spans="1:43" ht="14.4" hidden="1" x14ac:dyDescent="0.3">
      <c r="A35970" t="s">
        <v>5000</v>
      </c>
      <c r="B35970">
        <v>4906596</v>
      </c>
      <c r="C35970" t="s">
        <v>135</v>
      </c>
      <c r="D35970" t="s">
        <v>136</v>
      </c>
      <c r="E35970" t="s">
        <v>344</v>
      </c>
      <c r="F35970" t="s">
        <v>1799</v>
      </c>
      <c r="H35970" t="s">
        <v>305</v>
      </c>
      <c r="I35970" t="s">
        <v>3064</v>
      </c>
      <c r="J35970" t="s">
        <v>140</v>
      </c>
      <c r="K35970">
        <v>156872.53</v>
      </c>
      <c r="L35970">
        <v>384422.71600000001</v>
      </c>
      <c r="M35970">
        <v>1</v>
      </c>
      <c r="N35970" t="s">
        <v>3065</v>
      </c>
      <c r="O35970" t="s">
        <v>3061</v>
      </c>
      <c r="P35970" t="s">
        <v>1380</v>
      </c>
      <c r="Q35970" t="s">
        <v>144</v>
      </c>
      <c r="S35970">
        <v>7</v>
      </c>
      <c r="T35970">
        <v>0</v>
      </c>
      <c r="V35970" t="s">
        <v>146</v>
      </c>
      <c r="W35970" t="s">
        <v>415</v>
      </c>
      <c r="X35970" t="s">
        <v>7</v>
      </c>
      <c r="Y35970" t="s">
        <v>3066</v>
      </c>
      <c r="Z35970" t="s">
        <v>3061</v>
      </c>
      <c r="AA35970" t="s">
        <v>1570</v>
      </c>
      <c r="AB35970">
        <v>80</v>
      </c>
      <c r="AC35970" t="s">
        <v>150</v>
      </c>
      <c r="AE35970" t="s">
        <v>2885</v>
      </c>
      <c r="AF35970" t="s">
        <v>1512</v>
      </c>
      <c r="AG35970" t="s">
        <v>3067</v>
      </c>
      <c r="AL35970" t="s">
        <v>5001</v>
      </c>
      <c r="AM35970" t="s">
        <v>5002</v>
      </c>
      <c r="AN35970" t="s">
        <v>5003</v>
      </c>
      <c r="AO35970" t="s">
        <v>3065</v>
      </c>
      <c r="AQ35970">
        <f>IF(ISBLANK(AP35970), IFERROR(IF(VLOOKUP(AO35970, Ellens_additions!$A$2:$B$252, 2, FALSE) = "", "", VLOOKUP(AO35970, Ellens_additions!$A$2:$B$252, 2, FALSE)), 0), AP35970)</f>
        <v>0</v>
      </c>
    </row>
    <row r="35971" spans="1:43" ht="14.4" hidden="1" x14ac:dyDescent="0.3">
      <c r="A35971" t="s">
        <v>5004</v>
      </c>
      <c r="B35971">
        <v>4906598</v>
      </c>
      <c r="C35971" t="s">
        <v>135</v>
      </c>
      <c r="D35971" t="s">
        <v>136</v>
      </c>
      <c r="E35971" t="s">
        <v>344</v>
      </c>
      <c r="F35971" t="s">
        <v>1799</v>
      </c>
      <c r="H35971" t="s">
        <v>306</v>
      </c>
      <c r="I35971" t="s">
        <v>3064</v>
      </c>
      <c r="J35971" t="s">
        <v>140</v>
      </c>
      <c r="K35971">
        <v>156874.68799999999</v>
      </c>
      <c r="L35971">
        <v>384428.56099999999</v>
      </c>
      <c r="M35971">
        <v>1</v>
      </c>
      <c r="N35971" t="s">
        <v>3065</v>
      </c>
      <c r="O35971" t="s">
        <v>3061</v>
      </c>
      <c r="P35971" t="s">
        <v>1380</v>
      </c>
      <c r="Q35971" t="s">
        <v>144</v>
      </c>
      <c r="S35971">
        <v>7</v>
      </c>
      <c r="T35971">
        <v>0</v>
      </c>
      <c r="V35971" t="s">
        <v>146</v>
      </c>
      <c r="W35971" t="s">
        <v>415</v>
      </c>
      <c r="X35971" t="s">
        <v>7</v>
      </c>
      <c r="Y35971" t="s">
        <v>3066</v>
      </c>
      <c r="Z35971" t="s">
        <v>3061</v>
      </c>
      <c r="AA35971" t="s">
        <v>1570</v>
      </c>
      <c r="AB35971">
        <v>80</v>
      </c>
      <c r="AC35971" t="s">
        <v>150</v>
      </c>
      <c r="AE35971" t="s">
        <v>2885</v>
      </c>
      <c r="AF35971" t="s">
        <v>1512</v>
      </c>
      <c r="AG35971" t="s">
        <v>3067</v>
      </c>
      <c r="AL35971" t="s">
        <v>5005</v>
      </c>
      <c r="AM35971" t="s">
        <v>5006</v>
      </c>
      <c r="AN35971" t="s">
        <v>5007</v>
      </c>
      <c r="AO35971" t="s">
        <v>3065</v>
      </c>
      <c r="AQ35971">
        <f>IF(ISBLANK(AP35971), IFERROR(IF(VLOOKUP(AO35971, Ellens_additions!$A$2:$B$252, 2, FALSE) = "", "", VLOOKUP(AO35971, Ellens_additions!$A$2:$B$252, 2, FALSE)), 0), AP35971)</f>
        <v>0</v>
      </c>
    </row>
    <row r="35972" spans="1:43" ht="14.4" hidden="1" x14ac:dyDescent="0.3">
      <c r="A35972" t="s">
        <v>5008</v>
      </c>
      <c r="B35972">
        <v>4906602</v>
      </c>
      <c r="C35972" t="s">
        <v>135</v>
      </c>
      <c r="D35972" t="s">
        <v>136</v>
      </c>
      <c r="E35972" t="s">
        <v>344</v>
      </c>
      <c r="F35972" t="s">
        <v>1799</v>
      </c>
      <c r="H35972" t="s">
        <v>1019</v>
      </c>
      <c r="I35972" t="s">
        <v>3064</v>
      </c>
      <c r="J35972" t="s">
        <v>140</v>
      </c>
      <c r="K35972">
        <v>156878.655</v>
      </c>
      <c r="L35972">
        <v>384440.13</v>
      </c>
      <c r="M35972">
        <v>1</v>
      </c>
      <c r="N35972" t="s">
        <v>3065</v>
      </c>
      <c r="O35972" t="s">
        <v>3061</v>
      </c>
      <c r="P35972" t="s">
        <v>1380</v>
      </c>
      <c r="Q35972" t="s">
        <v>144</v>
      </c>
      <c r="S35972">
        <v>7</v>
      </c>
      <c r="T35972">
        <v>0</v>
      </c>
      <c r="V35972" t="s">
        <v>146</v>
      </c>
      <c r="W35972" t="s">
        <v>415</v>
      </c>
      <c r="X35972" t="s">
        <v>7</v>
      </c>
      <c r="Y35972" t="s">
        <v>3066</v>
      </c>
      <c r="Z35972" t="s">
        <v>3061</v>
      </c>
      <c r="AA35972" t="s">
        <v>1570</v>
      </c>
      <c r="AB35972">
        <v>80</v>
      </c>
      <c r="AC35972" t="s">
        <v>150</v>
      </c>
      <c r="AE35972" t="s">
        <v>2885</v>
      </c>
      <c r="AF35972" t="s">
        <v>1512</v>
      </c>
      <c r="AG35972" t="s">
        <v>3067</v>
      </c>
      <c r="AL35972" t="s">
        <v>5009</v>
      </c>
      <c r="AM35972" t="s">
        <v>5010</v>
      </c>
      <c r="AN35972" t="s">
        <v>5011</v>
      </c>
      <c r="AO35972" t="s">
        <v>3065</v>
      </c>
      <c r="AQ35972">
        <f>IF(ISBLANK(AP35972), IFERROR(IF(VLOOKUP(AO35972, Ellens_additions!$A$2:$B$252, 2, FALSE) = "", "", VLOOKUP(AO35972, Ellens_additions!$A$2:$B$252, 2, FALSE)), 0), AP35972)</f>
        <v>0</v>
      </c>
    </row>
    <row r="35973" spans="1:43" ht="14.4" hidden="1" x14ac:dyDescent="0.3">
      <c r="A35973" t="s">
        <v>5012</v>
      </c>
      <c r="B35973">
        <v>4906608</v>
      </c>
      <c r="C35973" t="s">
        <v>135</v>
      </c>
      <c r="D35973" t="s">
        <v>136</v>
      </c>
      <c r="E35973" t="s">
        <v>344</v>
      </c>
      <c r="F35973" t="s">
        <v>1799</v>
      </c>
      <c r="H35973" t="s">
        <v>820</v>
      </c>
      <c r="I35973" t="s">
        <v>3064</v>
      </c>
      <c r="J35973" t="s">
        <v>140</v>
      </c>
      <c r="K35973">
        <v>156865.378</v>
      </c>
      <c r="L35973">
        <v>384389.72100000002</v>
      </c>
      <c r="M35973">
        <v>1</v>
      </c>
      <c r="N35973" t="s">
        <v>3065</v>
      </c>
      <c r="O35973" t="s">
        <v>3061</v>
      </c>
      <c r="P35973" t="s">
        <v>1380</v>
      </c>
      <c r="Q35973" t="s">
        <v>144</v>
      </c>
      <c r="S35973">
        <v>7</v>
      </c>
      <c r="T35973">
        <v>0</v>
      </c>
      <c r="V35973" t="s">
        <v>146</v>
      </c>
      <c r="W35973" t="s">
        <v>415</v>
      </c>
      <c r="X35973" t="s">
        <v>7</v>
      </c>
      <c r="Y35973" t="s">
        <v>3066</v>
      </c>
      <c r="Z35973" t="s">
        <v>3061</v>
      </c>
      <c r="AA35973" t="s">
        <v>1570</v>
      </c>
      <c r="AB35973">
        <v>80</v>
      </c>
      <c r="AC35973" t="s">
        <v>150</v>
      </c>
      <c r="AE35973" t="s">
        <v>2885</v>
      </c>
      <c r="AF35973" t="s">
        <v>1512</v>
      </c>
      <c r="AG35973" t="s">
        <v>3067</v>
      </c>
      <c r="AL35973" t="s">
        <v>5013</v>
      </c>
      <c r="AM35973" t="s">
        <v>5014</v>
      </c>
      <c r="AN35973" t="s">
        <v>5015</v>
      </c>
      <c r="AO35973" t="s">
        <v>3065</v>
      </c>
      <c r="AQ35973">
        <f>IF(ISBLANK(AP35973), IFERROR(IF(VLOOKUP(AO35973, Ellens_additions!$A$2:$B$252, 2, FALSE) = "", "", VLOOKUP(AO35973, Ellens_additions!$A$2:$B$252, 2, FALSE)), 0), AP35973)</f>
        <v>0</v>
      </c>
    </row>
    <row r="35974" spans="1:43" ht="14.4" hidden="1" x14ac:dyDescent="0.3">
      <c r="A35974" t="s">
        <v>5016</v>
      </c>
      <c r="B35974">
        <v>4906614</v>
      </c>
      <c r="C35974" t="s">
        <v>135</v>
      </c>
      <c r="D35974" t="s">
        <v>136</v>
      </c>
      <c r="E35974" t="s">
        <v>344</v>
      </c>
      <c r="F35974" t="s">
        <v>1799</v>
      </c>
      <c r="H35974" t="s">
        <v>284</v>
      </c>
      <c r="I35974" t="s">
        <v>3064</v>
      </c>
      <c r="J35974" t="s">
        <v>140</v>
      </c>
      <c r="K35974">
        <v>156871.74</v>
      </c>
      <c r="L35974">
        <v>384407.18099999998</v>
      </c>
      <c r="M35974">
        <v>1</v>
      </c>
      <c r="N35974" t="s">
        <v>3065</v>
      </c>
      <c r="O35974" t="s">
        <v>3061</v>
      </c>
      <c r="P35974" t="s">
        <v>1380</v>
      </c>
      <c r="Q35974" t="s">
        <v>144</v>
      </c>
      <c r="S35974">
        <v>7</v>
      </c>
      <c r="T35974">
        <v>0</v>
      </c>
      <c r="V35974" t="s">
        <v>146</v>
      </c>
      <c r="W35974" t="s">
        <v>415</v>
      </c>
      <c r="X35974" t="s">
        <v>7</v>
      </c>
      <c r="Y35974" t="s">
        <v>3066</v>
      </c>
      <c r="Z35974" t="s">
        <v>3061</v>
      </c>
      <c r="AA35974" t="s">
        <v>1570</v>
      </c>
      <c r="AB35974">
        <v>80</v>
      </c>
      <c r="AC35974" t="s">
        <v>150</v>
      </c>
      <c r="AE35974" t="s">
        <v>2885</v>
      </c>
      <c r="AF35974" t="s">
        <v>1512</v>
      </c>
      <c r="AG35974" t="s">
        <v>3067</v>
      </c>
      <c r="AL35974" t="s">
        <v>5017</v>
      </c>
      <c r="AM35974" t="s">
        <v>5018</v>
      </c>
      <c r="AN35974" t="s">
        <v>5019</v>
      </c>
      <c r="AO35974" t="s">
        <v>3065</v>
      </c>
      <c r="AQ35974">
        <f>IF(ISBLANK(AP35974), IFERROR(IF(VLOOKUP(AO35974, Ellens_additions!$A$2:$B$252, 2, FALSE) = "", "", VLOOKUP(AO35974, Ellens_additions!$A$2:$B$252, 2, FALSE)), 0), AP35974)</f>
        <v>0</v>
      </c>
    </row>
    <row r="35975" spans="1:43" ht="14.4" hidden="1" x14ac:dyDescent="0.3">
      <c r="A35975" t="s">
        <v>5020</v>
      </c>
      <c r="B35975">
        <v>4906624</v>
      </c>
      <c r="C35975" t="s">
        <v>135</v>
      </c>
      <c r="D35975" t="s">
        <v>136</v>
      </c>
      <c r="E35975" t="s">
        <v>344</v>
      </c>
      <c r="F35975" t="s">
        <v>1799</v>
      </c>
      <c r="H35975" t="s">
        <v>1227</v>
      </c>
      <c r="I35975" t="s">
        <v>3064</v>
      </c>
      <c r="J35975" t="s">
        <v>140</v>
      </c>
      <c r="K35975">
        <v>156882</v>
      </c>
      <c r="L35975">
        <v>384436.16800000001</v>
      </c>
      <c r="M35975">
        <v>1</v>
      </c>
      <c r="N35975" t="s">
        <v>3065</v>
      </c>
      <c r="O35975" t="s">
        <v>3061</v>
      </c>
      <c r="P35975" t="s">
        <v>1380</v>
      </c>
      <c r="Q35975" t="s">
        <v>144</v>
      </c>
      <c r="S35975">
        <v>7</v>
      </c>
      <c r="T35975">
        <v>0</v>
      </c>
      <c r="V35975" t="s">
        <v>146</v>
      </c>
      <c r="W35975" t="s">
        <v>415</v>
      </c>
      <c r="X35975" t="s">
        <v>7</v>
      </c>
      <c r="Y35975" t="s">
        <v>3066</v>
      </c>
      <c r="Z35975" t="s">
        <v>3061</v>
      </c>
      <c r="AA35975" t="s">
        <v>1570</v>
      </c>
      <c r="AB35975">
        <v>80</v>
      </c>
      <c r="AC35975" t="s">
        <v>150</v>
      </c>
      <c r="AE35975" t="s">
        <v>2885</v>
      </c>
      <c r="AF35975" t="s">
        <v>1512</v>
      </c>
      <c r="AG35975" t="s">
        <v>3067</v>
      </c>
      <c r="AL35975" t="s">
        <v>5021</v>
      </c>
      <c r="AM35975" t="s">
        <v>5022</v>
      </c>
      <c r="AN35975" t="s">
        <v>5023</v>
      </c>
      <c r="AO35975" t="s">
        <v>3065</v>
      </c>
      <c r="AQ35975">
        <f>IF(ISBLANK(AP35975), IFERROR(IF(VLOOKUP(AO35975, Ellens_additions!$A$2:$B$252, 2, FALSE) = "", "", VLOOKUP(AO35975, Ellens_additions!$A$2:$B$252, 2, FALSE)), 0), AP35975)</f>
        <v>0</v>
      </c>
    </row>
    <row r="35976" spans="1:43" ht="14.4" hidden="1" x14ac:dyDescent="0.3">
      <c r="A35976" t="s">
        <v>5024</v>
      </c>
      <c r="B35976">
        <v>4906629</v>
      </c>
      <c r="C35976" t="s">
        <v>135</v>
      </c>
      <c r="D35976" t="s">
        <v>136</v>
      </c>
      <c r="E35976" t="s">
        <v>344</v>
      </c>
      <c r="F35976" t="s">
        <v>1785</v>
      </c>
      <c r="H35976" t="s">
        <v>400</v>
      </c>
      <c r="I35976" t="s">
        <v>3064</v>
      </c>
      <c r="J35976" t="s">
        <v>140</v>
      </c>
      <c r="K35976">
        <v>156625.90700000001</v>
      </c>
      <c r="L35976">
        <v>384673.09899999999</v>
      </c>
      <c r="M35976">
        <v>1</v>
      </c>
      <c r="N35976" t="s">
        <v>3132</v>
      </c>
      <c r="O35976" t="s">
        <v>1512</v>
      </c>
      <c r="P35976" t="s">
        <v>630</v>
      </c>
      <c r="Q35976" t="s">
        <v>144</v>
      </c>
      <c r="R35976" t="s">
        <v>145</v>
      </c>
      <c r="S35976">
        <v>22.5</v>
      </c>
      <c r="T35976">
        <v>50</v>
      </c>
      <c r="V35976" t="s">
        <v>146</v>
      </c>
      <c r="W35976" t="s">
        <v>184</v>
      </c>
      <c r="X35976" t="s">
        <v>7</v>
      </c>
      <c r="Y35976" t="s">
        <v>3133</v>
      </c>
      <c r="Z35976" t="s">
        <v>1512</v>
      </c>
      <c r="AA35976" t="s">
        <v>1541</v>
      </c>
      <c r="AB35976">
        <v>80</v>
      </c>
      <c r="AC35976" t="s">
        <v>150</v>
      </c>
      <c r="AE35976" t="s">
        <v>2885</v>
      </c>
      <c r="AF35976" t="s">
        <v>1512</v>
      </c>
      <c r="AG35976" t="s">
        <v>3067</v>
      </c>
      <c r="AL35976" t="s">
        <v>5025</v>
      </c>
      <c r="AM35976" t="s">
        <v>5026</v>
      </c>
      <c r="AN35976" t="s">
        <v>5027</v>
      </c>
      <c r="AO35976" t="s">
        <v>3132</v>
      </c>
      <c r="AQ35976">
        <f>IF(ISBLANK(AP35976), IFERROR(IF(VLOOKUP(AO35976, Ellens_additions!$A$2:$B$252, 2, FALSE) = "", "", VLOOKUP(AO35976, Ellens_additions!$A$2:$B$252, 2, FALSE)), 0), AP35976)</f>
        <v>0</v>
      </c>
    </row>
    <row r="35977" spans="1:43" ht="14.4" hidden="1" x14ac:dyDescent="0.3">
      <c r="A35977" t="s">
        <v>5028</v>
      </c>
      <c r="B35977">
        <v>4906631</v>
      </c>
      <c r="C35977" t="s">
        <v>135</v>
      </c>
      <c r="D35977" t="s">
        <v>136</v>
      </c>
      <c r="E35977" t="s">
        <v>344</v>
      </c>
      <c r="F35977" t="s">
        <v>1785</v>
      </c>
      <c r="H35977" t="s">
        <v>822</v>
      </c>
      <c r="I35977" t="s">
        <v>3064</v>
      </c>
      <c r="J35977" t="s">
        <v>140</v>
      </c>
      <c r="K35977">
        <v>156630.54</v>
      </c>
      <c r="L35977">
        <v>384677.15500000003</v>
      </c>
      <c r="M35977">
        <v>1</v>
      </c>
      <c r="N35977" t="s">
        <v>3132</v>
      </c>
      <c r="O35977" t="s">
        <v>1512</v>
      </c>
      <c r="P35977" t="s">
        <v>630</v>
      </c>
      <c r="Q35977" t="s">
        <v>144</v>
      </c>
      <c r="R35977" t="s">
        <v>145</v>
      </c>
      <c r="S35977">
        <v>22.5</v>
      </c>
      <c r="T35977">
        <v>50</v>
      </c>
      <c r="V35977" t="s">
        <v>146</v>
      </c>
      <c r="W35977" t="s">
        <v>184</v>
      </c>
      <c r="X35977" t="s">
        <v>7</v>
      </c>
      <c r="Y35977" t="s">
        <v>3133</v>
      </c>
      <c r="Z35977" t="s">
        <v>1512</v>
      </c>
      <c r="AA35977" t="s">
        <v>1541</v>
      </c>
      <c r="AB35977">
        <v>80</v>
      </c>
      <c r="AC35977" t="s">
        <v>150</v>
      </c>
      <c r="AE35977" t="s">
        <v>2885</v>
      </c>
      <c r="AF35977" t="s">
        <v>1512</v>
      </c>
      <c r="AG35977" t="s">
        <v>3067</v>
      </c>
      <c r="AL35977" t="s">
        <v>5029</v>
      </c>
      <c r="AM35977" t="s">
        <v>5030</v>
      </c>
      <c r="AN35977" t="s">
        <v>5031</v>
      </c>
      <c r="AO35977" t="s">
        <v>3132</v>
      </c>
      <c r="AQ35977">
        <f>IF(ISBLANK(AP35977), IFERROR(IF(VLOOKUP(AO35977, Ellens_additions!$A$2:$B$252, 2, FALSE) = "", "", VLOOKUP(AO35977, Ellens_additions!$A$2:$B$252, 2, FALSE)), 0), AP35977)</f>
        <v>0</v>
      </c>
    </row>
    <row r="35978" spans="1:43" ht="14.4" hidden="1" x14ac:dyDescent="0.3">
      <c r="A35978" t="s">
        <v>5032</v>
      </c>
      <c r="B35978">
        <v>4906634</v>
      </c>
      <c r="C35978" t="s">
        <v>135</v>
      </c>
      <c r="D35978" t="s">
        <v>136</v>
      </c>
      <c r="E35978" t="s">
        <v>344</v>
      </c>
      <c r="F35978" t="s">
        <v>1785</v>
      </c>
      <c r="H35978" t="s">
        <v>735</v>
      </c>
      <c r="I35978" t="s">
        <v>3064</v>
      </c>
      <c r="J35978" t="s">
        <v>140</v>
      </c>
      <c r="K35978">
        <v>156637.592</v>
      </c>
      <c r="L35978">
        <v>384683.19500000001</v>
      </c>
      <c r="M35978">
        <v>1</v>
      </c>
      <c r="N35978" t="s">
        <v>3132</v>
      </c>
      <c r="O35978" t="s">
        <v>1512</v>
      </c>
      <c r="P35978" t="s">
        <v>630</v>
      </c>
      <c r="Q35978" t="s">
        <v>144</v>
      </c>
      <c r="R35978" t="s">
        <v>145</v>
      </c>
      <c r="S35978">
        <v>22.5</v>
      </c>
      <c r="T35978">
        <v>50</v>
      </c>
      <c r="V35978" t="s">
        <v>146</v>
      </c>
      <c r="W35978" t="s">
        <v>184</v>
      </c>
      <c r="X35978" t="s">
        <v>7</v>
      </c>
      <c r="Y35978" t="s">
        <v>3133</v>
      </c>
      <c r="Z35978" t="s">
        <v>1512</v>
      </c>
      <c r="AA35978" t="s">
        <v>1541</v>
      </c>
      <c r="AB35978">
        <v>80</v>
      </c>
      <c r="AC35978" t="s">
        <v>150</v>
      </c>
      <c r="AE35978" t="s">
        <v>2885</v>
      </c>
      <c r="AF35978" t="s">
        <v>1512</v>
      </c>
      <c r="AG35978" t="s">
        <v>3067</v>
      </c>
      <c r="AL35978" t="s">
        <v>5033</v>
      </c>
      <c r="AM35978" t="s">
        <v>5034</v>
      </c>
      <c r="AN35978" t="s">
        <v>5035</v>
      </c>
      <c r="AO35978" t="s">
        <v>3132</v>
      </c>
      <c r="AQ35978">
        <f>IF(ISBLANK(AP35978), IFERROR(IF(VLOOKUP(AO35978, Ellens_additions!$A$2:$B$252, 2, FALSE) = "", "", VLOOKUP(AO35978, Ellens_additions!$A$2:$B$252, 2, FALSE)), 0), AP35978)</f>
        <v>0</v>
      </c>
    </row>
    <row r="35979" spans="1:43" ht="14.4" hidden="1" x14ac:dyDescent="0.3">
      <c r="A35979" t="s">
        <v>5036</v>
      </c>
      <c r="B35979">
        <v>4906635</v>
      </c>
      <c r="C35979" t="s">
        <v>135</v>
      </c>
      <c r="D35979" t="s">
        <v>136</v>
      </c>
      <c r="E35979" t="s">
        <v>344</v>
      </c>
      <c r="F35979" t="s">
        <v>1785</v>
      </c>
      <c r="H35979" t="s">
        <v>673</v>
      </c>
      <c r="I35979" t="s">
        <v>3064</v>
      </c>
      <c r="J35979" t="s">
        <v>140</v>
      </c>
      <c r="K35979">
        <v>156639.93299999999</v>
      </c>
      <c r="L35979">
        <v>384685.19699999999</v>
      </c>
      <c r="M35979">
        <v>1</v>
      </c>
      <c r="N35979" t="s">
        <v>3132</v>
      </c>
      <c r="O35979" t="s">
        <v>1512</v>
      </c>
      <c r="P35979" t="s">
        <v>630</v>
      </c>
      <c r="Q35979" t="s">
        <v>144</v>
      </c>
      <c r="R35979" t="s">
        <v>145</v>
      </c>
      <c r="S35979">
        <v>22.5</v>
      </c>
      <c r="T35979">
        <v>50</v>
      </c>
      <c r="V35979" t="s">
        <v>146</v>
      </c>
      <c r="W35979" t="s">
        <v>184</v>
      </c>
      <c r="X35979" t="s">
        <v>7</v>
      </c>
      <c r="Y35979" t="s">
        <v>3133</v>
      </c>
      <c r="Z35979" t="s">
        <v>1512</v>
      </c>
      <c r="AA35979" t="s">
        <v>1541</v>
      </c>
      <c r="AB35979">
        <v>80</v>
      </c>
      <c r="AC35979" t="s">
        <v>150</v>
      </c>
      <c r="AE35979" t="s">
        <v>2885</v>
      </c>
      <c r="AF35979" t="s">
        <v>1512</v>
      </c>
      <c r="AG35979" t="s">
        <v>3067</v>
      </c>
      <c r="AL35979" t="s">
        <v>5037</v>
      </c>
      <c r="AM35979" t="s">
        <v>5038</v>
      </c>
      <c r="AN35979" t="s">
        <v>5039</v>
      </c>
      <c r="AO35979" t="s">
        <v>3132</v>
      </c>
      <c r="AQ35979">
        <f>IF(ISBLANK(AP35979), IFERROR(IF(VLOOKUP(AO35979, Ellens_additions!$A$2:$B$252, 2, FALSE) = "", "", VLOOKUP(AO35979, Ellens_additions!$A$2:$B$252, 2, FALSE)), 0), AP35979)</f>
        <v>0</v>
      </c>
    </row>
    <row r="35980" spans="1:43" ht="14.4" hidden="1" x14ac:dyDescent="0.3">
      <c r="A35980" t="s">
        <v>5040</v>
      </c>
      <c r="B35980">
        <v>4906638</v>
      </c>
      <c r="C35980" t="s">
        <v>135</v>
      </c>
      <c r="D35980" t="s">
        <v>136</v>
      </c>
      <c r="E35980" t="s">
        <v>344</v>
      </c>
      <c r="F35980" t="s">
        <v>1785</v>
      </c>
      <c r="H35980" t="s">
        <v>412</v>
      </c>
      <c r="I35980" t="s">
        <v>3064</v>
      </c>
      <c r="J35980" t="s">
        <v>140</v>
      </c>
      <c r="K35980">
        <v>156646.85999999999</v>
      </c>
      <c r="L35980">
        <v>384691.34299999999</v>
      </c>
      <c r="M35980">
        <v>1</v>
      </c>
      <c r="N35980" t="s">
        <v>3132</v>
      </c>
      <c r="O35980" t="s">
        <v>1512</v>
      </c>
      <c r="P35980" t="s">
        <v>630</v>
      </c>
      <c r="Q35980" t="s">
        <v>144</v>
      </c>
      <c r="R35980" t="s">
        <v>145</v>
      </c>
      <c r="S35980">
        <v>22.5</v>
      </c>
      <c r="T35980">
        <v>50</v>
      </c>
      <c r="V35980" t="s">
        <v>146</v>
      </c>
      <c r="W35980" t="s">
        <v>184</v>
      </c>
      <c r="X35980" t="s">
        <v>7</v>
      </c>
      <c r="Y35980" t="s">
        <v>3133</v>
      </c>
      <c r="Z35980" t="s">
        <v>1512</v>
      </c>
      <c r="AA35980" t="s">
        <v>1541</v>
      </c>
      <c r="AB35980">
        <v>80</v>
      </c>
      <c r="AC35980" t="s">
        <v>150</v>
      </c>
      <c r="AE35980" t="s">
        <v>2885</v>
      </c>
      <c r="AF35980" t="s">
        <v>1512</v>
      </c>
      <c r="AG35980" t="s">
        <v>3067</v>
      </c>
      <c r="AL35980" t="s">
        <v>5041</v>
      </c>
      <c r="AM35980" t="s">
        <v>5042</v>
      </c>
      <c r="AN35980" t="s">
        <v>5043</v>
      </c>
      <c r="AO35980" t="s">
        <v>3132</v>
      </c>
      <c r="AQ35980">
        <f>IF(ISBLANK(AP35980), IFERROR(IF(VLOOKUP(AO35980, Ellens_additions!$A$2:$B$252, 2, FALSE) = "", "", VLOOKUP(AO35980, Ellens_additions!$A$2:$B$252, 2, FALSE)), 0), AP35980)</f>
        <v>0</v>
      </c>
    </row>
    <row r="35981" spans="1:43" ht="14.4" hidden="1" x14ac:dyDescent="0.3">
      <c r="A35981" t="s">
        <v>5044</v>
      </c>
      <c r="B35981">
        <v>4906641</v>
      </c>
      <c r="C35981" t="s">
        <v>135</v>
      </c>
      <c r="D35981" t="s">
        <v>136</v>
      </c>
      <c r="E35981" t="s">
        <v>344</v>
      </c>
      <c r="F35981" t="s">
        <v>1785</v>
      </c>
      <c r="H35981" t="s">
        <v>835</v>
      </c>
      <c r="I35981" t="s">
        <v>3064</v>
      </c>
      <c r="J35981" t="s">
        <v>140</v>
      </c>
      <c r="K35981">
        <v>156653.91800000001</v>
      </c>
      <c r="L35981">
        <v>384697.39799999999</v>
      </c>
      <c r="M35981">
        <v>1</v>
      </c>
      <c r="N35981" t="s">
        <v>3132</v>
      </c>
      <c r="O35981" t="s">
        <v>1512</v>
      </c>
      <c r="P35981" t="s">
        <v>630</v>
      </c>
      <c r="Q35981" t="s">
        <v>144</v>
      </c>
      <c r="R35981" t="s">
        <v>145</v>
      </c>
      <c r="S35981">
        <v>22.5</v>
      </c>
      <c r="T35981">
        <v>50</v>
      </c>
      <c r="V35981" t="s">
        <v>146</v>
      </c>
      <c r="W35981" t="s">
        <v>184</v>
      </c>
      <c r="X35981" t="s">
        <v>7</v>
      </c>
      <c r="Y35981" t="s">
        <v>3133</v>
      </c>
      <c r="Z35981" t="s">
        <v>1512</v>
      </c>
      <c r="AA35981" t="s">
        <v>1541</v>
      </c>
      <c r="AB35981">
        <v>80</v>
      </c>
      <c r="AC35981" t="s">
        <v>150</v>
      </c>
      <c r="AE35981" t="s">
        <v>2885</v>
      </c>
      <c r="AF35981" t="s">
        <v>1512</v>
      </c>
      <c r="AG35981" t="s">
        <v>3067</v>
      </c>
      <c r="AL35981" t="s">
        <v>5045</v>
      </c>
      <c r="AM35981" t="s">
        <v>5046</v>
      </c>
      <c r="AN35981" t="s">
        <v>5047</v>
      </c>
      <c r="AO35981" t="s">
        <v>3132</v>
      </c>
      <c r="AQ35981">
        <f>IF(ISBLANK(AP35981), IFERROR(IF(VLOOKUP(AO35981, Ellens_additions!$A$2:$B$252, 2, FALSE) = "", "", VLOOKUP(AO35981, Ellens_additions!$A$2:$B$252, 2, FALSE)), 0), AP35981)</f>
        <v>0</v>
      </c>
    </row>
    <row r="35982" spans="1:43" ht="14.4" hidden="1" x14ac:dyDescent="0.3">
      <c r="A35982" t="s">
        <v>5048</v>
      </c>
      <c r="B35982">
        <v>4906645</v>
      </c>
      <c r="C35982" t="s">
        <v>135</v>
      </c>
      <c r="D35982" t="s">
        <v>136</v>
      </c>
      <c r="E35982" t="s">
        <v>344</v>
      </c>
      <c r="F35982" t="s">
        <v>1785</v>
      </c>
      <c r="H35982" t="s">
        <v>1940</v>
      </c>
      <c r="I35982" t="s">
        <v>3064</v>
      </c>
      <c r="J35982" t="s">
        <v>140</v>
      </c>
      <c r="K35982">
        <v>156626.008</v>
      </c>
      <c r="L35982">
        <v>384668.14</v>
      </c>
      <c r="M35982">
        <v>1</v>
      </c>
      <c r="N35982" t="s">
        <v>3132</v>
      </c>
      <c r="O35982" t="s">
        <v>1512</v>
      </c>
      <c r="P35982" t="s">
        <v>630</v>
      </c>
      <c r="Q35982" t="s">
        <v>144</v>
      </c>
      <c r="R35982" t="s">
        <v>145</v>
      </c>
      <c r="S35982">
        <v>22.5</v>
      </c>
      <c r="T35982">
        <v>50</v>
      </c>
      <c r="V35982" t="s">
        <v>146</v>
      </c>
      <c r="W35982" t="s">
        <v>184</v>
      </c>
      <c r="X35982" t="s">
        <v>7</v>
      </c>
      <c r="Y35982" t="s">
        <v>3133</v>
      </c>
      <c r="Z35982" t="s">
        <v>1512</v>
      </c>
      <c r="AA35982" t="s">
        <v>1541</v>
      </c>
      <c r="AB35982">
        <v>80</v>
      </c>
      <c r="AC35982" t="s">
        <v>150</v>
      </c>
      <c r="AE35982" t="s">
        <v>2885</v>
      </c>
      <c r="AF35982" t="s">
        <v>1512</v>
      </c>
      <c r="AG35982" t="s">
        <v>3067</v>
      </c>
      <c r="AL35982" t="s">
        <v>5049</v>
      </c>
      <c r="AM35982" t="s">
        <v>5050</v>
      </c>
      <c r="AN35982" t="s">
        <v>5051</v>
      </c>
      <c r="AO35982" t="s">
        <v>3132</v>
      </c>
      <c r="AQ35982">
        <f>IF(ISBLANK(AP35982), IFERROR(IF(VLOOKUP(AO35982, Ellens_additions!$A$2:$B$252, 2, FALSE) = "", "", VLOOKUP(AO35982, Ellens_additions!$A$2:$B$252, 2, FALSE)), 0), AP35982)</f>
        <v>0</v>
      </c>
    </row>
    <row r="35983" spans="1:43" ht="14.4" hidden="1" x14ac:dyDescent="0.3">
      <c r="A35983" t="s">
        <v>5052</v>
      </c>
      <c r="B35983">
        <v>4906648</v>
      </c>
      <c r="C35983" t="s">
        <v>135</v>
      </c>
      <c r="D35983" t="s">
        <v>136</v>
      </c>
      <c r="E35983" t="s">
        <v>344</v>
      </c>
      <c r="F35983" t="s">
        <v>1785</v>
      </c>
      <c r="H35983" t="s">
        <v>466</v>
      </c>
      <c r="I35983" t="s">
        <v>3064</v>
      </c>
      <c r="J35983" t="s">
        <v>140</v>
      </c>
      <c r="K35983">
        <v>156633.008</v>
      </c>
      <c r="L35983">
        <v>384674.2</v>
      </c>
      <c r="M35983">
        <v>1</v>
      </c>
      <c r="N35983" t="s">
        <v>3132</v>
      </c>
      <c r="O35983" t="s">
        <v>1512</v>
      </c>
      <c r="P35983" t="s">
        <v>630</v>
      </c>
      <c r="Q35983" t="s">
        <v>144</v>
      </c>
      <c r="R35983" t="s">
        <v>145</v>
      </c>
      <c r="S35983">
        <v>22.5</v>
      </c>
      <c r="T35983">
        <v>50</v>
      </c>
      <c r="V35983" t="s">
        <v>146</v>
      </c>
      <c r="W35983" t="s">
        <v>184</v>
      </c>
      <c r="X35983" t="s">
        <v>7</v>
      </c>
      <c r="Y35983" t="s">
        <v>3133</v>
      </c>
      <c r="Z35983" t="s">
        <v>1512</v>
      </c>
      <c r="AA35983" t="s">
        <v>1541</v>
      </c>
      <c r="AB35983">
        <v>80</v>
      </c>
      <c r="AC35983" t="s">
        <v>150</v>
      </c>
      <c r="AE35983" t="s">
        <v>2885</v>
      </c>
      <c r="AF35983" t="s">
        <v>1512</v>
      </c>
      <c r="AG35983" t="s">
        <v>3067</v>
      </c>
      <c r="AL35983" t="s">
        <v>5053</v>
      </c>
      <c r="AM35983" t="s">
        <v>5054</v>
      </c>
      <c r="AN35983" t="s">
        <v>5055</v>
      </c>
      <c r="AO35983" t="s">
        <v>3132</v>
      </c>
      <c r="AQ35983">
        <f>IF(ISBLANK(AP35983), IFERROR(IF(VLOOKUP(AO35983, Ellens_additions!$A$2:$B$252, 2, FALSE) = "", "", VLOOKUP(AO35983, Ellens_additions!$A$2:$B$252, 2, FALSE)), 0), AP35983)</f>
        <v>0</v>
      </c>
    </row>
    <row r="35984" spans="1:43" ht="14.4" hidden="1" x14ac:dyDescent="0.3">
      <c r="A35984" t="s">
        <v>5056</v>
      </c>
      <c r="B35984">
        <v>4906649</v>
      </c>
      <c r="C35984" t="s">
        <v>135</v>
      </c>
      <c r="D35984" t="s">
        <v>136</v>
      </c>
      <c r="E35984" t="s">
        <v>344</v>
      </c>
      <c r="F35984" t="s">
        <v>1785</v>
      </c>
      <c r="H35984" t="s">
        <v>686</v>
      </c>
      <c r="I35984" t="s">
        <v>3064</v>
      </c>
      <c r="J35984" t="s">
        <v>140</v>
      </c>
      <c r="K35984">
        <v>156635.37400000001</v>
      </c>
      <c r="L35984">
        <v>384676.25799999997</v>
      </c>
      <c r="M35984">
        <v>1</v>
      </c>
      <c r="N35984" t="s">
        <v>3132</v>
      </c>
      <c r="O35984" t="s">
        <v>1512</v>
      </c>
      <c r="P35984" t="s">
        <v>630</v>
      </c>
      <c r="Q35984" t="s">
        <v>144</v>
      </c>
      <c r="R35984" t="s">
        <v>145</v>
      </c>
      <c r="S35984">
        <v>22.5</v>
      </c>
      <c r="T35984">
        <v>50</v>
      </c>
      <c r="V35984" t="s">
        <v>146</v>
      </c>
      <c r="W35984" t="s">
        <v>184</v>
      </c>
      <c r="X35984" t="s">
        <v>7</v>
      </c>
      <c r="Y35984" t="s">
        <v>3133</v>
      </c>
      <c r="Z35984" t="s">
        <v>1512</v>
      </c>
      <c r="AA35984" t="s">
        <v>1541</v>
      </c>
      <c r="AB35984">
        <v>80</v>
      </c>
      <c r="AC35984" t="s">
        <v>150</v>
      </c>
      <c r="AE35984" t="s">
        <v>2885</v>
      </c>
      <c r="AF35984" t="s">
        <v>1512</v>
      </c>
      <c r="AG35984" t="s">
        <v>3067</v>
      </c>
      <c r="AL35984" t="s">
        <v>5057</v>
      </c>
      <c r="AM35984" t="s">
        <v>5058</v>
      </c>
      <c r="AN35984" t="s">
        <v>5059</v>
      </c>
      <c r="AO35984" t="s">
        <v>3132</v>
      </c>
      <c r="AQ35984">
        <f>IF(ISBLANK(AP35984), IFERROR(IF(VLOOKUP(AO35984, Ellens_additions!$A$2:$B$252, 2, FALSE) = "", "", VLOOKUP(AO35984, Ellens_additions!$A$2:$B$252, 2, FALSE)), 0), AP35984)</f>
        <v>0</v>
      </c>
    </row>
    <row r="35985" spans="1:43" ht="14.4" hidden="1" x14ac:dyDescent="0.3">
      <c r="A35985" t="s">
        <v>5060</v>
      </c>
      <c r="B35985">
        <v>4906651</v>
      </c>
      <c r="C35985" t="s">
        <v>135</v>
      </c>
      <c r="D35985" t="s">
        <v>136</v>
      </c>
      <c r="E35985" t="s">
        <v>344</v>
      </c>
      <c r="F35985" t="s">
        <v>1785</v>
      </c>
      <c r="H35985" t="s">
        <v>1228</v>
      </c>
      <c r="I35985" t="s">
        <v>3064</v>
      </c>
      <c r="J35985" t="s">
        <v>140</v>
      </c>
      <c r="K35985">
        <v>156640.06</v>
      </c>
      <c r="L35985">
        <v>384680.24</v>
      </c>
      <c r="M35985">
        <v>1</v>
      </c>
      <c r="N35985" t="s">
        <v>3132</v>
      </c>
      <c r="O35985" t="s">
        <v>1512</v>
      </c>
      <c r="P35985" t="s">
        <v>630</v>
      </c>
      <c r="Q35985" t="s">
        <v>144</v>
      </c>
      <c r="R35985" t="s">
        <v>145</v>
      </c>
      <c r="S35985">
        <v>22.5</v>
      </c>
      <c r="T35985">
        <v>50</v>
      </c>
      <c r="V35985" t="s">
        <v>146</v>
      </c>
      <c r="W35985" t="s">
        <v>184</v>
      </c>
      <c r="X35985" t="s">
        <v>7</v>
      </c>
      <c r="Y35985" t="s">
        <v>3133</v>
      </c>
      <c r="Z35985" t="s">
        <v>1512</v>
      </c>
      <c r="AA35985" t="s">
        <v>1541</v>
      </c>
      <c r="AB35985">
        <v>80</v>
      </c>
      <c r="AC35985" t="s">
        <v>150</v>
      </c>
      <c r="AE35985" t="s">
        <v>2885</v>
      </c>
      <c r="AF35985" t="s">
        <v>1512</v>
      </c>
      <c r="AG35985" t="s">
        <v>3067</v>
      </c>
      <c r="AL35985" t="s">
        <v>5061</v>
      </c>
      <c r="AM35985" t="s">
        <v>5062</v>
      </c>
      <c r="AN35985" t="s">
        <v>5063</v>
      </c>
      <c r="AO35985" t="s">
        <v>3132</v>
      </c>
      <c r="AQ35985">
        <f>IF(ISBLANK(AP35985), IFERROR(IF(VLOOKUP(AO35985, Ellens_additions!$A$2:$B$252, 2, FALSE) = "", "", VLOOKUP(AO35985, Ellens_additions!$A$2:$B$252, 2, FALSE)), 0), AP35985)</f>
        <v>0</v>
      </c>
    </row>
    <row r="35986" spans="1:43" ht="14.4" hidden="1" x14ac:dyDescent="0.3">
      <c r="A35986" t="s">
        <v>5064</v>
      </c>
      <c r="B35986">
        <v>4906652</v>
      </c>
      <c r="C35986" t="s">
        <v>135</v>
      </c>
      <c r="D35986" t="s">
        <v>136</v>
      </c>
      <c r="E35986" t="s">
        <v>344</v>
      </c>
      <c r="F35986" t="s">
        <v>1785</v>
      </c>
      <c r="H35986" t="s">
        <v>687</v>
      </c>
      <c r="I35986" t="s">
        <v>3064</v>
      </c>
      <c r="J35986" t="s">
        <v>140</v>
      </c>
      <c r="K35986">
        <v>156642.40100000001</v>
      </c>
      <c r="L35986">
        <v>384682.24200000003</v>
      </c>
      <c r="M35986">
        <v>1</v>
      </c>
      <c r="N35986" t="s">
        <v>3132</v>
      </c>
      <c r="O35986" t="s">
        <v>1512</v>
      </c>
      <c r="P35986" t="s">
        <v>630</v>
      </c>
      <c r="Q35986" t="s">
        <v>144</v>
      </c>
      <c r="R35986" t="s">
        <v>145</v>
      </c>
      <c r="S35986">
        <v>22.5</v>
      </c>
      <c r="T35986">
        <v>50</v>
      </c>
      <c r="V35986" t="s">
        <v>146</v>
      </c>
      <c r="W35986" t="s">
        <v>184</v>
      </c>
      <c r="X35986" t="s">
        <v>7</v>
      </c>
      <c r="Y35986" t="s">
        <v>3133</v>
      </c>
      <c r="Z35986" t="s">
        <v>1512</v>
      </c>
      <c r="AA35986" t="s">
        <v>1541</v>
      </c>
      <c r="AB35986">
        <v>80</v>
      </c>
      <c r="AC35986" t="s">
        <v>150</v>
      </c>
      <c r="AE35986" t="s">
        <v>2885</v>
      </c>
      <c r="AF35986" t="s">
        <v>1512</v>
      </c>
      <c r="AG35986" t="s">
        <v>3067</v>
      </c>
      <c r="AL35986" t="s">
        <v>5065</v>
      </c>
      <c r="AM35986" t="s">
        <v>5066</v>
      </c>
      <c r="AN35986" t="s">
        <v>5067</v>
      </c>
      <c r="AO35986" t="s">
        <v>3132</v>
      </c>
      <c r="AQ35986">
        <f>IF(ISBLANK(AP35986), IFERROR(IF(VLOOKUP(AO35986, Ellens_additions!$A$2:$B$252, 2, FALSE) = "", "", VLOOKUP(AO35986, Ellens_additions!$A$2:$B$252, 2, FALSE)), 0), AP35986)</f>
        <v>0</v>
      </c>
    </row>
    <row r="35987" spans="1:43" ht="14.4" hidden="1" x14ac:dyDescent="0.3">
      <c r="A35987" t="s">
        <v>5068</v>
      </c>
      <c r="B35987">
        <v>4906656</v>
      </c>
      <c r="C35987" t="s">
        <v>135</v>
      </c>
      <c r="D35987" t="s">
        <v>136</v>
      </c>
      <c r="E35987" t="s">
        <v>344</v>
      </c>
      <c r="F35987" t="s">
        <v>1785</v>
      </c>
      <c r="H35987" t="s">
        <v>690</v>
      </c>
      <c r="I35987" t="s">
        <v>3064</v>
      </c>
      <c r="J35987" t="s">
        <v>140</v>
      </c>
      <c r="K35987">
        <v>156651.72200000001</v>
      </c>
      <c r="L35987">
        <v>384690.41600000003</v>
      </c>
      <c r="M35987">
        <v>1</v>
      </c>
      <c r="N35987" t="s">
        <v>3132</v>
      </c>
      <c r="O35987" t="s">
        <v>1512</v>
      </c>
      <c r="P35987" t="s">
        <v>630</v>
      </c>
      <c r="Q35987" t="s">
        <v>144</v>
      </c>
      <c r="R35987" t="s">
        <v>145</v>
      </c>
      <c r="S35987">
        <v>22.5</v>
      </c>
      <c r="T35987">
        <v>50</v>
      </c>
      <c r="V35987" t="s">
        <v>146</v>
      </c>
      <c r="W35987" t="s">
        <v>184</v>
      </c>
      <c r="X35987" t="s">
        <v>7</v>
      </c>
      <c r="Y35987" t="s">
        <v>3133</v>
      </c>
      <c r="Z35987" t="s">
        <v>1512</v>
      </c>
      <c r="AA35987" t="s">
        <v>1541</v>
      </c>
      <c r="AB35987">
        <v>80</v>
      </c>
      <c r="AC35987" t="s">
        <v>150</v>
      </c>
      <c r="AE35987" t="s">
        <v>2885</v>
      </c>
      <c r="AF35987" t="s">
        <v>1512</v>
      </c>
      <c r="AG35987" t="s">
        <v>3067</v>
      </c>
      <c r="AL35987" t="s">
        <v>5069</v>
      </c>
      <c r="AM35987" t="s">
        <v>5070</v>
      </c>
      <c r="AN35987" t="s">
        <v>5071</v>
      </c>
      <c r="AO35987" t="s">
        <v>3132</v>
      </c>
      <c r="AQ35987">
        <f>IF(ISBLANK(AP35987), IFERROR(IF(VLOOKUP(AO35987, Ellens_additions!$A$2:$B$252, 2, FALSE) = "", "", VLOOKUP(AO35987, Ellens_additions!$A$2:$B$252, 2, FALSE)), 0), AP35987)</f>
        <v>0</v>
      </c>
    </row>
    <row r="35988" spans="1:43" ht="14.4" hidden="1" x14ac:dyDescent="0.3">
      <c r="A35988" t="s">
        <v>5072</v>
      </c>
      <c r="B35988">
        <v>4906660</v>
      </c>
      <c r="C35988" t="s">
        <v>135</v>
      </c>
      <c r="D35988" t="s">
        <v>136</v>
      </c>
      <c r="E35988" t="s">
        <v>344</v>
      </c>
      <c r="F35988" t="s">
        <v>1785</v>
      </c>
      <c r="H35988" t="s">
        <v>677</v>
      </c>
      <c r="I35988" t="s">
        <v>3064</v>
      </c>
      <c r="J35988" t="s">
        <v>140</v>
      </c>
      <c r="K35988">
        <v>156661.10699999999</v>
      </c>
      <c r="L35988">
        <v>384698.50699999998</v>
      </c>
      <c r="M35988">
        <v>1</v>
      </c>
      <c r="N35988" t="s">
        <v>3132</v>
      </c>
      <c r="O35988" t="s">
        <v>1512</v>
      </c>
      <c r="P35988" t="s">
        <v>630</v>
      </c>
      <c r="Q35988" t="s">
        <v>144</v>
      </c>
      <c r="R35988" t="s">
        <v>145</v>
      </c>
      <c r="S35988">
        <v>22.5</v>
      </c>
      <c r="T35988">
        <v>50</v>
      </c>
      <c r="V35988" t="s">
        <v>146</v>
      </c>
      <c r="W35988" t="s">
        <v>184</v>
      </c>
      <c r="X35988" t="s">
        <v>7</v>
      </c>
      <c r="Y35988" t="s">
        <v>3133</v>
      </c>
      <c r="Z35988" t="s">
        <v>1512</v>
      </c>
      <c r="AA35988" t="s">
        <v>1541</v>
      </c>
      <c r="AB35988">
        <v>80</v>
      </c>
      <c r="AC35988" t="s">
        <v>150</v>
      </c>
      <c r="AE35988" t="s">
        <v>2885</v>
      </c>
      <c r="AF35988" t="s">
        <v>1512</v>
      </c>
      <c r="AG35988" t="s">
        <v>3067</v>
      </c>
      <c r="AL35988" t="s">
        <v>5073</v>
      </c>
      <c r="AM35988" t="s">
        <v>5074</v>
      </c>
      <c r="AN35988" t="s">
        <v>5075</v>
      </c>
      <c r="AO35988" t="s">
        <v>3132</v>
      </c>
      <c r="AQ35988">
        <f>IF(ISBLANK(AP35988), IFERROR(IF(VLOOKUP(AO35988, Ellens_additions!$A$2:$B$252, 2, FALSE) = "", "", VLOOKUP(AO35988, Ellens_additions!$A$2:$B$252, 2, FALSE)), 0), AP35988)</f>
        <v>0</v>
      </c>
    </row>
    <row r="35989" spans="1:43" ht="14.4" x14ac:dyDescent="0.3"/>
    <row r="35990" spans="1:43" ht="14.4" x14ac:dyDescent="0.3"/>
    <row r="35991" spans="1:43" ht="14.4" x14ac:dyDescent="0.3"/>
    <row r="35992" spans="1:43" ht="14.4" x14ac:dyDescent="0.3"/>
    <row r="35993" spans="1:43" ht="14.4" x14ac:dyDescent="0.3"/>
    <row r="35994" spans="1:43" ht="14.4" x14ac:dyDescent="0.3"/>
    <row r="35995" spans="1:43" ht="14.4" x14ac:dyDescent="0.3"/>
    <row r="35996" spans="1:43" ht="14.4" x14ac:dyDescent="0.3"/>
    <row r="35997" spans="1:43" ht="14.4" x14ac:dyDescent="0.3"/>
    <row r="35998" spans="1:43" ht="14.4" x14ac:dyDescent="0.3"/>
    <row r="35999" spans="1:43" ht="14.4" x14ac:dyDescent="0.3"/>
    <row r="36000" spans="1:43" ht="14.4" x14ac:dyDescent="0.3"/>
    <row r="36001" ht="14.4" x14ac:dyDescent="0.3"/>
    <row r="36002" ht="14.4" x14ac:dyDescent="0.3"/>
    <row r="36003" ht="14.4" x14ac:dyDescent="0.3"/>
    <row r="36004" ht="14.4" x14ac:dyDescent="0.3"/>
    <row r="36005" ht="14.4" x14ac:dyDescent="0.3"/>
    <row r="36006" ht="14.4" x14ac:dyDescent="0.3"/>
    <row r="36007" ht="14.4" x14ac:dyDescent="0.3"/>
    <row r="36008" ht="14.4" x14ac:dyDescent="0.3"/>
    <row r="36009" ht="14.4" x14ac:dyDescent="0.3"/>
    <row r="36010" ht="14.4" x14ac:dyDescent="0.3"/>
    <row r="36011" ht="14.4" x14ac:dyDescent="0.3"/>
    <row r="36012" ht="14.4" x14ac:dyDescent="0.3"/>
    <row r="36013" ht="14.4" x14ac:dyDescent="0.3"/>
    <row r="36014" ht="14.4" x14ac:dyDescent="0.3"/>
    <row r="36015" ht="14.4" x14ac:dyDescent="0.3"/>
    <row r="36016" ht="14.4" x14ac:dyDescent="0.3"/>
    <row r="36017" ht="14.4" x14ac:dyDescent="0.3"/>
    <row r="36018" ht="14.4" x14ac:dyDescent="0.3"/>
    <row r="36019" ht="14.4" x14ac:dyDescent="0.3"/>
    <row r="36020" ht="14.4" x14ac:dyDescent="0.3"/>
    <row r="36021" ht="14.4" x14ac:dyDescent="0.3"/>
    <row r="36022" ht="14.4" x14ac:dyDescent="0.3"/>
    <row r="36023" ht="14.4" x14ac:dyDescent="0.3"/>
    <row r="36024" ht="14.4" x14ac:dyDescent="0.3"/>
    <row r="36025" ht="14.4" x14ac:dyDescent="0.3"/>
    <row r="36026" ht="14.4" x14ac:dyDescent="0.3"/>
    <row r="36027" ht="14.4" x14ac:dyDescent="0.3"/>
    <row r="36028" ht="14.4" x14ac:dyDescent="0.3"/>
    <row r="36029" ht="14.4" x14ac:dyDescent="0.3"/>
    <row r="36030" ht="14.4" x14ac:dyDescent="0.3"/>
    <row r="36031" ht="14.4" x14ac:dyDescent="0.3"/>
    <row r="36032" ht="14.4" x14ac:dyDescent="0.3"/>
    <row r="36033" ht="14.4" x14ac:dyDescent="0.3"/>
    <row r="36034" ht="14.4" x14ac:dyDescent="0.3"/>
    <row r="36035" ht="14.4" x14ac:dyDescent="0.3"/>
    <row r="36036" ht="14.4" x14ac:dyDescent="0.3"/>
    <row r="36037" ht="14.4" x14ac:dyDescent="0.3"/>
    <row r="36038" ht="14.4" x14ac:dyDescent="0.3"/>
    <row r="36039" ht="14.4" x14ac:dyDescent="0.3"/>
    <row r="36040" ht="14.4" x14ac:dyDescent="0.3"/>
    <row r="36041" ht="14.4" x14ac:dyDescent="0.3"/>
    <row r="36042" ht="14.4" x14ac:dyDescent="0.3"/>
    <row r="36043" ht="14.4" x14ac:dyDescent="0.3"/>
    <row r="36044" ht="14.4" x14ac:dyDescent="0.3"/>
    <row r="36045" ht="14.4" x14ac:dyDescent="0.3"/>
    <row r="36046" ht="14.4" x14ac:dyDescent="0.3"/>
    <row r="36047" ht="14.4" x14ac:dyDescent="0.3"/>
    <row r="36048" ht="14.4" x14ac:dyDescent="0.3"/>
    <row r="36049" ht="14.4" x14ac:dyDescent="0.3"/>
    <row r="36050" ht="14.4" x14ac:dyDescent="0.3"/>
    <row r="36051" ht="14.4" x14ac:dyDescent="0.3"/>
    <row r="36052" ht="14.4" x14ac:dyDescent="0.3"/>
    <row r="36053" ht="14.4" x14ac:dyDescent="0.3"/>
    <row r="36054" ht="14.4" x14ac:dyDescent="0.3"/>
    <row r="36055" ht="14.4" x14ac:dyDescent="0.3"/>
    <row r="36056" ht="14.4" x14ac:dyDescent="0.3"/>
    <row r="36057" ht="14.4" x14ac:dyDescent="0.3"/>
    <row r="36058" ht="14.4" x14ac:dyDescent="0.3"/>
    <row r="36059" ht="14.4" x14ac:dyDescent="0.3"/>
    <row r="36060" ht="14.4" x14ac:dyDescent="0.3"/>
    <row r="36061" ht="14.4" x14ac:dyDescent="0.3"/>
    <row r="36062" ht="14.4" x14ac:dyDescent="0.3"/>
    <row r="36063" ht="14.4" x14ac:dyDescent="0.3"/>
    <row r="36064" ht="14.4" x14ac:dyDescent="0.3"/>
    <row r="36065" ht="14.4" x14ac:dyDescent="0.3"/>
    <row r="36066" ht="14.4" x14ac:dyDescent="0.3"/>
    <row r="36067" ht="14.4" x14ac:dyDescent="0.3"/>
    <row r="36068" ht="14.4" x14ac:dyDescent="0.3"/>
    <row r="36069" ht="14.4" x14ac:dyDescent="0.3"/>
    <row r="36070" ht="14.4" x14ac:dyDescent="0.3"/>
    <row r="36071" ht="14.4" x14ac:dyDescent="0.3"/>
    <row r="36072" ht="14.4" x14ac:dyDescent="0.3"/>
    <row r="36073" ht="14.4" x14ac:dyDescent="0.3"/>
    <row r="36074" ht="14.4" x14ac:dyDescent="0.3"/>
    <row r="36075" ht="14.4" x14ac:dyDescent="0.3"/>
    <row r="36076" ht="14.4" x14ac:dyDescent="0.3"/>
    <row r="36077" ht="14.4" x14ac:dyDescent="0.3"/>
    <row r="36078" ht="14.4" x14ac:dyDescent="0.3"/>
    <row r="36079" ht="14.4" x14ac:dyDescent="0.3"/>
    <row r="36080" ht="14.4" x14ac:dyDescent="0.3"/>
    <row r="36081" ht="14.4" x14ac:dyDescent="0.3"/>
    <row r="36082" ht="14.4" x14ac:dyDescent="0.3"/>
    <row r="36083" ht="14.4" x14ac:dyDescent="0.3"/>
    <row r="36084" ht="14.4" x14ac:dyDescent="0.3"/>
    <row r="36085" ht="14.4" x14ac:dyDescent="0.3"/>
    <row r="36086" ht="14.4" x14ac:dyDescent="0.3"/>
    <row r="36087" ht="14.4" x14ac:dyDescent="0.3"/>
    <row r="36088" ht="14.4" x14ac:dyDescent="0.3"/>
    <row r="36089" ht="14.4" x14ac:dyDescent="0.3"/>
    <row r="36090" ht="14.4" x14ac:dyDescent="0.3"/>
    <row r="36091" ht="14.4" x14ac:dyDescent="0.3"/>
    <row r="36092" ht="14.4" x14ac:dyDescent="0.3"/>
    <row r="36093" ht="14.4" x14ac:dyDescent="0.3"/>
    <row r="36094" ht="14.4" x14ac:dyDescent="0.3"/>
    <row r="36095" ht="14.4" x14ac:dyDescent="0.3"/>
    <row r="36096" ht="14.4" x14ac:dyDescent="0.3"/>
    <row r="36097" ht="14.4" x14ac:dyDescent="0.3"/>
    <row r="36098" ht="14.4" x14ac:dyDescent="0.3"/>
    <row r="36099" ht="14.4" x14ac:dyDescent="0.3"/>
    <row r="36100" ht="14.4" x14ac:dyDescent="0.3"/>
    <row r="36101" ht="14.4" x14ac:dyDescent="0.3"/>
    <row r="36102" ht="14.4" x14ac:dyDescent="0.3"/>
    <row r="36103" ht="14.4" x14ac:dyDescent="0.3"/>
    <row r="36104" ht="14.4" x14ac:dyDescent="0.3"/>
    <row r="36105" ht="14.4" x14ac:dyDescent="0.3"/>
    <row r="36106" ht="14.4" x14ac:dyDescent="0.3"/>
    <row r="36107" ht="14.4" x14ac:dyDescent="0.3"/>
    <row r="36108" ht="14.4" x14ac:dyDescent="0.3"/>
    <row r="36109" ht="14.4" x14ac:dyDescent="0.3"/>
    <row r="36110" ht="14.4" x14ac:dyDescent="0.3"/>
    <row r="36111" ht="14.4" x14ac:dyDescent="0.3"/>
    <row r="36112" ht="14.4" x14ac:dyDescent="0.3"/>
    <row r="36113" ht="14.4" x14ac:dyDescent="0.3"/>
    <row r="36114" ht="14.4" x14ac:dyDescent="0.3"/>
    <row r="36115" ht="14.4" x14ac:dyDescent="0.3"/>
    <row r="36116" ht="14.4" x14ac:dyDescent="0.3"/>
    <row r="36117" ht="14.4" x14ac:dyDescent="0.3"/>
    <row r="36118" ht="14.4" x14ac:dyDescent="0.3"/>
    <row r="36119" ht="14.4" x14ac:dyDescent="0.3"/>
    <row r="36120" ht="14.4" x14ac:dyDescent="0.3"/>
    <row r="36121" ht="14.4" x14ac:dyDescent="0.3"/>
    <row r="36122" ht="14.4" x14ac:dyDescent="0.3"/>
    <row r="36123" ht="14.4" x14ac:dyDescent="0.3"/>
    <row r="36124" ht="14.4" x14ac:dyDescent="0.3"/>
    <row r="36125" ht="14.4" x14ac:dyDescent="0.3"/>
    <row r="36126" ht="14.4" x14ac:dyDescent="0.3"/>
    <row r="36127" ht="14.4" x14ac:dyDescent="0.3"/>
    <row r="36128" ht="14.4" x14ac:dyDescent="0.3"/>
    <row r="36129" spans="1:43" ht="14.4" x14ac:dyDescent="0.3"/>
    <row r="36130" spans="1:43" ht="14.4" x14ac:dyDescent="0.3"/>
    <row r="36131" spans="1:43" ht="14.4" x14ac:dyDescent="0.3"/>
    <row r="36132" spans="1:43" ht="14.4" x14ac:dyDescent="0.3"/>
    <row r="36133" spans="1:43" ht="14.4" x14ac:dyDescent="0.3"/>
    <row r="36134" spans="1:43" ht="14.4" x14ac:dyDescent="0.3"/>
    <row r="36135" spans="1:43" ht="14.4" x14ac:dyDescent="0.3"/>
    <row r="36136" spans="1:43" ht="14.4" x14ac:dyDescent="0.3"/>
    <row r="36137" spans="1:43" ht="14.4" x14ac:dyDescent="0.3"/>
    <row r="36138" spans="1:43" ht="14.4" x14ac:dyDescent="0.3"/>
    <row r="36139" spans="1:43" ht="14.4" x14ac:dyDescent="0.3"/>
    <row r="36140" spans="1:43" ht="14.4" x14ac:dyDescent="0.3"/>
    <row r="36141" spans="1:43" ht="14.4" x14ac:dyDescent="0.3"/>
    <row r="36142" spans="1:43" ht="14.4" x14ac:dyDescent="0.3"/>
    <row r="36143" spans="1:43" ht="14.4" hidden="1" x14ac:dyDescent="0.3">
      <c r="A36143" t="s">
        <v>5076</v>
      </c>
      <c r="B36143">
        <v>4914126</v>
      </c>
      <c r="C36143" t="s">
        <v>538</v>
      </c>
      <c r="D36143" t="s">
        <v>564</v>
      </c>
      <c r="E36143" t="s">
        <v>565</v>
      </c>
      <c r="F36143" t="s">
        <v>3174</v>
      </c>
      <c r="H36143" t="s">
        <v>5077</v>
      </c>
      <c r="J36143" t="s">
        <v>140</v>
      </c>
      <c r="K36143">
        <v>162022.1</v>
      </c>
      <c r="L36143">
        <v>383253.72</v>
      </c>
      <c r="N36143" t="s">
        <v>146</v>
      </c>
      <c r="O36143" t="s">
        <v>410</v>
      </c>
      <c r="P36143" t="s">
        <v>410</v>
      </c>
      <c r="Q36143" t="s">
        <v>144</v>
      </c>
      <c r="R36143" t="s">
        <v>145</v>
      </c>
      <c r="S36143">
        <v>0</v>
      </c>
      <c r="T36143">
        <v>0</v>
      </c>
      <c r="U36143">
        <v>0</v>
      </c>
      <c r="V36143" t="s">
        <v>146</v>
      </c>
      <c r="W36143" t="s">
        <v>184</v>
      </c>
      <c r="X36143" t="s">
        <v>7</v>
      </c>
      <c r="Y36143" t="s">
        <v>3176</v>
      </c>
      <c r="Z36143" t="s">
        <v>410</v>
      </c>
      <c r="AA36143" t="s">
        <v>509</v>
      </c>
      <c r="AB36143">
        <v>0</v>
      </c>
      <c r="AE36143" t="s">
        <v>3177</v>
      </c>
      <c r="AF36143" t="s">
        <v>410</v>
      </c>
      <c r="AG36143" t="s">
        <v>1539</v>
      </c>
      <c r="AL36143" t="s">
        <v>5078</v>
      </c>
      <c r="AM36143" t="s">
        <v>5079</v>
      </c>
      <c r="AN36143" t="s">
        <v>5080</v>
      </c>
      <c r="AO36143" t="s">
        <v>146</v>
      </c>
      <c r="AQ36143" t="str">
        <f>IF(ISBLANK(AP36143), IFERROR(IF(VLOOKUP(AO36143, Ellens_additions!$A$2:$B$252, 2, FALSE) = "", "", VLOOKUP(AO36143, Ellens_additions!$A$2:$B$252, 2, FALSE)), 0), AP36143)</f>
        <v/>
      </c>
    </row>
    <row r="36144" spans="1:43" ht="14.4" hidden="1" x14ac:dyDescent="0.3">
      <c r="A36144" t="s">
        <v>5081</v>
      </c>
      <c r="B36144">
        <v>4914127</v>
      </c>
      <c r="C36144" t="s">
        <v>538</v>
      </c>
      <c r="D36144" t="s">
        <v>564</v>
      </c>
      <c r="E36144" t="s">
        <v>565</v>
      </c>
      <c r="F36144" t="s">
        <v>3174</v>
      </c>
      <c r="H36144" t="s">
        <v>5082</v>
      </c>
      <c r="J36144" t="s">
        <v>140</v>
      </c>
      <c r="K36144">
        <v>162021.98000000001</v>
      </c>
      <c r="L36144">
        <v>383339.88</v>
      </c>
      <c r="N36144" t="s">
        <v>146</v>
      </c>
      <c r="O36144" t="s">
        <v>410</v>
      </c>
      <c r="P36144" t="s">
        <v>410</v>
      </c>
      <c r="Q36144" t="s">
        <v>144</v>
      </c>
      <c r="R36144" t="s">
        <v>145</v>
      </c>
      <c r="S36144">
        <v>0</v>
      </c>
      <c r="T36144">
        <v>0</v>
      </c>
      <c r="U36144">
        <v>0</v>
      </c>
      <c r="V36144" t="s">
        <v>146</v>
      </c>
      <c r="W36144" t="s">
        <v>184</v>
      </c>
      <c r="X36144" t="s">
        <v>7</v>
      </c>
      <c r="Y36144" t="s">
        <v>3176</v>
      </c>
      <c r="Z36144" t="s">
        <v>410</v>
      </c>
      <c r="AA36144" t="s">
        <v>509</v>
      </c>
      <c r="AB36144">
        <v>0</v>
      </c>
      <c r="AE36144" t="s">
        <v>3177</v>
      </c>
      <c r="AF36144" t="s">
        <v>410</v>
      </c>
      <c r="AG36144" t="s">
        <v>1539</v>
      </c>
      <c r="AL36144" t="s">
        <v>5083</v>
      </c>
      <c r="AM36144" t="s">
        <v>5084</v>
      </c>
      <c r="AN36144" t="s">
        <v>5085</v>
      </c>
      <c r="AO36144" t="s">
        <v>146</v>
      </c>
      <c r="AQ36144" t="str">
        <f>IF(ISBLANK(AP36144), IFERROR(IF(VLOOKUP(AO36144, Ellens_additions!$A$2:$B$252, 2, FALSE) = "", "", VLOOKUP(AO36144, Ellens_additions!$A$2:$B$252, 2, FALSE)), 0), AP36144)</f>
        <v/>
      </c>
    </row>
    <row r="36145" spans="1:43" ht="14.4" hidden="1" x14ac:dyDescent="0.3">
      <c r="A36145" t="s">
        <v>5086</v>
      </c>
      <c r="B36145">
        <v>4914129</v>
      </c>
      <c r="C36145" t="s">
        <v>538</v>
      </c>
      <c r="D36145" t="s">
        <v>564</v>
      </c>
      <c r="E36145" t="s">
        <v>565</v>
      </c>
      <c r="F36145" t="s">
        <v>3174</v>
      </c>
      <c r="H36145" t="s">
        <v>5087</v>
      </c>
      <c r="J36145" t="s">
        <v>140</v>
      </c>
      <c r="K36145">
        <v>162047.9</v>
      </c>
      <c r="L36145">
        <v>383289.31</v>
      </c>
      <c r="N36145" t="s">
        <v>146</v>
      </c>
      <c r="O36145" t="s">
        <v>410</v>
      </c>
      <c r="P36145" t="s">
        <v>410</v>
      </c>
      <c r="Q36145" t="s">
        <v>144</v>
      </c>
      <c r="R36145" t="s">
        <v>145</v>
      </c>
      <c r="S36145">
        <v>0</v>
      </c>
      <c r="T36145">
        <v>0</v>
      </c>
      <c r="U36145">
        <v>0</v>
      </c>
      <c r="V36145" t="s">
        <v>146</v>
      </c>
      <c r="W36145" t="s">
        <v>184</v>
      </c>
      <c r="X36145" t="s">
        <v>7</v>
      </c>
      <c r="Y36145" t="s">
        <v>3176</v>
      </c>
      <c r="Z36145" t="s">
        <v>410</v>
      </c>
      <c r="AA36145" t="s">
        <v>509</v>
      </c>
      <c r="AB36145">
        <v>0</v>
      </c>
      <c r="AE36145" t="s">
        <v>3177</v>
      </c>
      <c r="AF36145" t="s">
        <v>410</v>
      </c>
      <c r="AG36145" t="s">
        <v>1539</v>
      </c>
      <c r="AL36145" t="s">
        <v>5088</v>
      </c>
      <c r="AM36145" t="s">
        <v>5089</v>
      </c>
      <c r="AN36145" t="s">
        <v>5090</v>
      </c>
      <c r="AO36145" t="s">
        <v>146</v>
      </c>
      <c r="AQ36145" t="str">
        <f>IF(ISBLANK(AP36145), IFERROR(IF(VLOOKUP(AO36145, Ellens_additions!$A$2:$B$252, 2, FALSE) = "", "", VLOOKUP(AO36145, Ellens_additions!$A$2:$B$252, 2, FALSE)), 0), AP36145)</f>
        <v/>
      </c>
    </row>
    <row r="36146" spans="1:43" ht="14.4" hidden="1" x14ac:dyDescent="0.3">
      <c r="A36146" t="s">
        <v>5091</v>
      </c>
      <c r="B36146">
        <v>4914130</v>
      </c>
      <c r="C36146" t="s">
        <v>538</v>
      </c>
      <c r="D36146" t="s">
        <v>564</v>
      </c>
      <c r="E36146" t="s">
        <v>565</v>
      </c>
      <c r="F36146" t="s">
        <v>3174</v>
      </c>
      <c r="H36146" t="s">
        <v>5092</v>
      </c>
      <c r="J36146" t="s">
        <v>140</v>
      </c>
      <c r="K36146">
        <v>162010.66</v>
      </c>
      <c r="L36146">
        <v>383288.87</v>
      </c>
      <c r="N36146" t="s">
        <v>146</v>
      </c>
      <c r="O36146" t="s">
        <v>410</v>
      </c>
      <c r="P36146" t="s">
        <v>410</v>
      </c>
      <c r="Q36146" t="s">
        <v>144</v>
      </c>
      <c r="R36146" t="s">
        <v>145</v>
      </c>
      <c r="S36146">
        <v>0</v>
      </c>
      <c r="T36146">
        <v>0</v>
      </c>
      <c r="U36146">
        <v>0</v>
      </c>
      <c r="V36146" t="s">
        <v>146</v>
      </c>
      <c r="W36146" t="s">
        <v>184</v>
      </c>
      <c r="X36146" t="s">
        <v>7</v>
      </c>
      <c r="Y36146" t="s">
        <v>3176</v>
      </c>
      <c r="Z36146" t="s">
        <v>410</v>
      </c>
      <c r="AA36146" t="s">
        <v>509</v>
      </c>
      <c r="AB36146">
        <v>0</v>
      </c>
      <c r="AE36146" t="s">
        <v>3177</v>
      </c>
      <c r="AF36146" t="s">
        <v>410</v>
      </c>
      <c r="AG36146" t="s">
        <v>1539</v>
      </c>
      <c r="AL36146" t="s">
        <v>5093</v>
      </c>
      <c r="AM36146" t="s">
        <v>5094</v>
      </c>
      <c r="AN36146" t="s">
        <v>5095</v>
      </c>
      <c r="AO36146" t="s">
        <v>146</v>
      </c>
      <c r="AQ36146" t="str">
        <f>IF(ISBLANK(AP36146), IFERROR(IF(VLOOKUP(AO36146, Ellens_additions!$A$2:$B$252, 2, FALSE) = "", "", VLOOKUP(AO36146, Ellens_additions!$A$2:$B$252, 2, FALSE)), 0), AP36146)</f>
        <v/>
      </c>
    </row>
    <row r="36147" spans="1:43" ht="14.4" x14ac:dyDescent="0.3"/>
    <row r="36148" spans="1:43" ht="14.4" x14ac:dyDescent="0.3"/>
    <row r="36149" spans="1:43" ht="14.4" x14ac:dyDescent="0.3"/>
    <row r="36150" spans="1:43" ht="14.4" x14ac:dyDescent="0.3"/>
    <row r="36151" spans="1:43" ht="14.4" x14ac:dyDescent="0.3"/>
    <row r="36152" spans="1:43" ht="14.4" x14ac:dyDescent="0.3"/>
    <row r="36153" spans="1:43" ht="14.4" x14ac:dyDescent="0.3"/>
    <row r="36154" spans="1:43" ht="14.4" x14ac:dyDescent="0.3"/>
    <row r="36155" spans="1:43" ht="14.4" x14ac:dyDescent="0.3"/>
    <row r="36156" spans="1:43" ht="14.4" x14ac:dyDescent="0.3"/>
    <row r="36157" spans="1:43" ht="14.4" x14ac:dyDescent="0.3"/>
    <row r="36158" spans="1:43" ht="14.4" x14ac:dyDescent="0.3"/>
    <row r="36159" spans="1:43" ht="14.4" x14ac:dyDescent="0.3"/>
    <row r="36160" spans="1:43" ht="14.4" x14ac:dyDescent="0.3"/>
    <row r="36161" ht="14.4" x14ac:dyDescent="0.3"/>
    <row r="36162" ht="14.4" x14ac:dyDescent="0.3"/>
    <row r="36163" ht="14.4" x14ac:dyDescent="0.3"/>
    <row r="36164" ht="14.4" x14ac:dyDescent="0.3"/>
    <row r="36165" ht="14.4" x14ac:dyDescent="0.3"/>
    <row r="36166" ht="14.4" x14ac:dyDescent="0.3"/>
    <row r="36167" ht="14.4" x14ac:dyDescent="0.3"/>
    <row r="36168" ht="14.4" x14ac:dyDescent="0.3"/>
    <row r="36169" ht="14.4" x14ac:dyDescent="0.3"/>
    <row r="36170" ht="14.4" x14ac:dyDescent="0.3"/>
    <row r="36171" ht="14.4" x14ac:dyDescent="0.3"/>
    <row r="36172" ht="14.4" x14ac:dyDescent="0.3"/>
    <row r="36173" ht="14.4" x14ac:dyDescent="0.3"/>
    <row r="36174" ht="14.4" x14ac:dyDescent="0.3"/>
    <row r="36175" ht="14.4" x14ac:dyDescent="0.3"/>
    <row r="36176" ht="14.4" x14ac:dyDescent="0.3"/>
    <row r="36177" spans="1:43" ht="14.4" x14ac:dyDescent="0.3"/>
    <row r="36178" spans="1:43" ht="14.4" x14ac:dyDescent="0.3"/>
    <row r="36179" spans="1:43" ht="14.4" x14ac:dyDescent="0.3"/>
    <row r="36180" spans="1:43" ht="14.4" x14ac:dyDescent="0.3"/>
    <row r="36181" spans="1:43" ht="14.4" x14ac:dyDescent="0.3"/>
    <row r="36182" spans="1:43" ht="14.4" x14ac:dyDescent="0.3"/>
    <row r="36183" spans="1:43" ht="14.4" hidden="1" x14ac:dyDescent="0.3">
      <c r="A36183" t="s">
        <v>5096</v>
      </c>
      <c r="B36183">
        <v>4914242</v>
      </c>
      <c r="C36183" t="s">
        <v>538</v>
      </c>
      <c r="D36183" t="s">
        <v>563</v>
      </c>
      <c r="E36183" t="s">
        <v>3188</v>
      </c>
      <c r="F36183" t="s">
        <v>3189</v>
      </c>
      <c r="H36183" t="s">
        <v>229</v>
      </c>
      <c r="J36183" t="s">
        <v>140</v>
      </c>
      <c r="K36183">
        <v>164255.07999999999</v>
      </c>
      <c r="L36183">
        <v>382854.8</v>
      </c>
      <c r="N36183" t="s">
        <v>3190</v>
      </c>
      <c r="O36183" t="s">
        <v>1028</v>
      </c>
      <c r="P36183" t="s">
        <v>1029</v>
      </c>
      <c r="Q36183" t="s">
        <v>144</v>
      </c>
      <c r="S36183">
        <v>18</v>
      </c>
      <c r="T36183">
        <v>2000</v>
      </c>
      <c r="U36183">
        <v>80</v>
      </c>
      <c r="V36183" t="s">
        <v>146</v>
      </c>
      <c r="W36183" t="s">
        <v>147</v>
      </c>
      <c r="X36183" t="s">
        <v>7</v>
      </c>
      <c r="Y36183" t="s">
        <v>1006</v>
      </c>
      <c r="Z36183" t="s">
        <v>1028</v>
      </c>
      <c r="AA36183" t="s">
        <v>1030</v>
      </c>
      <c r="AB36183">
        <v>0</v>
      </c>
      <c r="AE36183" t="s">
        <v>3191</v>
      </c>
      <c r="AF36183" t="s">
        <v>1028</v>
      </c>
      <c r="AG36183" t="s">
        <v>1821</v>
      </c>
      <c r="AL36183" t="s">
        <v>5097</v>
      </c>
      <c r="AM36183" t="s">
        <v>5098</v>
      </c>
      <c r="AN36183" t="s">
        <v>5099</v>
      </c>
      <c r="AO36183" t="s">
        <v>3190</v>
      </c>
      <c r="AP36183" t="s">
        <v>158</v>
      </c>
      <c r="AQ36183" t="str">
        <f>IF(ISBLANK(AP36183), IFERROR(IF(VLOOKUP(AO36183, Ellens_additions!$A$2:$B$252, 2, FALSE) = "", "", VLOOKUP(AO36183, Ellens_additions!$A$2:$B$252, 2, FALSE)), 0), AP36183)</f>
        <v>3000</v>
      </c>
    </row>
    <row r="36184" spans="1:43" ht="14.4" hidden="1" x14ac:dyDescent="0.3">
      <c r="A36184" t="s">
        <v>5100</v>
      </c>
      <c r="B36184">
        <v>4914244</v>
      </c>
      <c r="C36184" t="s">
        <v>538</v>
      </c>
      <c r="D36184" t="s">
        <v>563</v>
      </c>
      <c r="E36184" t="s">
        <v>3188</v>
      </c>
      <c r="F36184" t="s">
        <v>3189</v>
      </c>
      <c r="H36184" t="s">
        <v>274</v>
      </c>
      <c r="J36184" t="s">
        <v>140</v>
      </c>
      <c r="K36184">
        <v>164249.21</v>
      </c>
      <c r="L36184">
        <v>382812.65</v>
      </c>
      <c r="N36184" t="s">
        <v>3190</v>
      </c>
      <c r="O36184" t="s">
        <v>1028</v>
      </c>
      <c r="P36184" t="s">
        <v>1029</v>
      </c>
      <c r="Q36184" t="s">
        <v>144</v>
      </c>
      <c r="S36184">
        <v>18</v>
      </c>
      <c r="T36184">
        <v>2000</v>
      </c>
      <c r="U36184">
        <v>80</v>
      </c>
      <c r="V36184" t="s">
        <v>146</v>
      </c>
      <c r="W36184" t="s">
        <v>147</v>
      </c>
      <c r="X36184" t="s">
        <v>7</v>
      </c>
      <c r="Y36184" t="s">
        <v>1006</v>
      </c>
      <c r="Z36184" t="s">
        <v>1028</v>
      </c>
      <c r="AA36184" t="s">
        <v>1030</v>
      </c>
      <c r="AB36184">
        <v>0</v>
      </c>
      <c r="AE36184" t="s">
        <v>3191</v>
      </c>
      <c r="AF36184" t="s">
        <v>1028</v>
      </c>
      <c r="AG36184" t="s">
        <v>1821</v>
      </c>
      <c r="AL36184" t="s">
        <v>5101</v>
      </c>
      <c r="AM36184" t="s">
        <v>5102</v>
      </c>
      <c r="AN36184" t="s">
        <v>5103</v>
      </c>
      <c r="AO36184" t="s">
        <v>3190</v>
      </c>
      <c r="AP36184" t="s">
        <v>158</v>
      </c>
      <c r="AQ36184" t="str">
        <f>IF(ISBLANK(AP36184), IFERROR(IF(VLOOKUP(AO36184, Ellens_additions!$A$2:$B$252, 2, FALSE) = "", "", VLOOKUP(AO36184, Ellens_additions!$A$2:$B$252, 2, FALSE)), 0), AP36184)</f>
        <v>3000</v>
      </c>
    </row>
    <row r="36185" spans="1:43" ht="14.4" hidden="1" x14ac:dyDescent="0.3">
      <c r="A36185" t="s">
        <v>5104</v>
      </c>
      <c r="B36185">
        <v>4914246</v>
      </c>
      <c r="C36185" t="s">
        <v>538</v>
      </c>
      <c r="D36185" t="s">
        <v>563</v>
      </c>
      <c r="E36185" t="s">
        <v>3188</v>
      </c>
      <c r="F36185" t="s">
        <v>3189</v>
      </c>
      <c r="H36185" t="s">
        <v>275</v>
      </c>
      <c r="J36185" t="s">
        <v>140</v>
      </c>
      <c r="K36185">
        <v>164241.39000000001</v>
      </c>
      <c r="L36185">
        <v>382770.92</v>
      </c>
      <c r="N36185" t="s">
        <v>3190</v>
      </c>
      <c r="O36185" t="s">
        <v>1028</v>
      </c>
      <c r="P36185" t="s">
        <v>1029</v>
      </c>
      <c r="Q36185" t="s">
        <v>144</v>
      </c>
      <c r="S36185">
        <v>18</v>
      </c>
      <c r="T36185">
        <v>2000</v>
      </c>
      <c r="U36185">
        <v>80</v>
      </c>
      <c r="V36185" t="s">
        <v>146</v>
      </c>
      <c r="W36185" t="s">
        <v>147</v>
      </c>
      <c r="X36185" t="s">
        <v>7</v>
      </c>
      <c r="Y36185" t="s">
        <v>1006</v>
      </c>
      <c r="Z36185" t="s">
        <v>1028</v>
      </c>
      <c r="AA36185" t="s">
        <v>1030</v>
      </c>
      <c r="AB36185">
        <v>0</v>
      </c>
      <c r="AE36185" t="s">
        <v>3191</v>
      </c>
      <c r="AF36185" t="s">
        <v>1028</v>
      </c>
      <c r="AG36185" t="s">
        <v>1821</v>
      </c>
      <c r="AL36185" t="s">
        <v>5105</v>
      </c>
      <c r="AM36185" t="s">
        <v>5106</v>
      </c>
      <c r="AN36185" t="s">
        <v>5107</v>
      </c>
      <c r="AO36185" t="s">
        <v>3190</v>
      </c>
      <c r="AP36185" t="s">
        <v>158</v>
      </c>
      <c r="AQ36185" t="str">
        <f>IF(ISBLANK(AP36185), IFERROR(IF(VLOOKUP(AO36185, Ellens_additions!$A$2:$B$252, 2, FALSE) = "", "", VLOOKUP(AO36185, Ellens_additions!$A$2:$B$252, 2, FALSE)), 0), AP36185)</f>
        <v>3000</v>
      </c>
    </row>
    <row r="36186" spans="1:43" ht="14.4" hidden="1" x14ac:dyDescent="0.3">
      <c r="A36186" t="s">
        <v>5108</v>
      </c>
      <c r="B36186">
        <v>4914248</v>
      </c>
      <c r="C36186" t="s">
        <v>538</v>
      </c>
      <c r="D36186" t="s">
        <v>563</v>
      </c>
      <c r="E36186" t="s">
        <v>3188</v>
      </c>
      <c r="F36186" t="s">
        <v>3189</v>
      </c>
      <c r="H36186" t="s">
        <v>303</v>
      </c>
      <c r="J36186" t="s">
        <v>140</v>
      </c>
      <c r="K36186">
        <v>164282.26</v>
      </c>
      <c r="L36186">
        <v>382759.14</v>
      </c>
      <c r="N36186" t="s">
        <v>3190</v>
      </c>
      <c r="O36186" t="s">
        <v>1028</v>
      </c>
      <c r="P36186" t="s">
        <v>1029</v>
      </c>
      <c r="Q36186" t="s">
        <v>144</v>
      </c>
      <c r="S36186">
        <v>18</v>
      </c>
      <c r="T36186">
        <v>2000</v>
      </c>
      <c r="U36186">
        <v>80</v>
      </c>
      <c r="V36186" t="s">
        <v>146</v>
      </c>
      <c r="W36186" t="s">
        <v>147</v>
      </c>
      <c r="X36186" t="s">
        <v>7</v>
      </c>
      <c r="Y36186" t="s">
        <v>1006</v>
      </c>
      <c r="Z36186" t="s">
        <v>1028</v>
      </c>
      <c r="AA36186" t="s">
        <v>1030</v>
      </c>
      <c r="AB36186">
        <v>0</v>
      </c>
      <c r="AE36186" t="s">
        <v>3191</v>
      </c>
      <c r="AF36186" t="s">
        <v>1028</v>
      </c>
      <c r="AG36186" t="s">
        <v>1821</v>
      </c>
      <c r="AL36186" t="s">
        <v>5109</v>
      </c>
      <c r="AM36186" t="s">
        <v>5110</v>
      </c>
      <c r="AN36186" t="s">
        <v>5111</v>
      </c>
      <c r="AO36186" t="s">
        <v>3190</v>
      </c>
      <c r="AP36186" t="s">
        <v>158</v>
      </c>
      <c r="AQ36186" t="str">
        <f>IF(ISBLANK(AP36186), IFERROR(IF(VLOOKUP(AO36186, Ellens_additions!$A$2:$B$252, 2, FALSE) = "", "", VLOOKUP(AO36186, Ellens_additions!$A$2:$B$252, 2, FALSE)), 0), AP36186)</f>
        <v>3000</v>
      </c>
    </row>
    <row r="36187" spans="1:43" ht="14.4" hidden="1" x14ac:dyDescent="0.3">
      <c r="A36187" t="s">
        <v>5112</v>
      </c>
      <c r="B36187">
        <v>4914251</v>
      </c>
      <c r="C36187" t="s">
        <v>538</v>
      </c>
      <c r="D36187" t="s">
        <v>563</v>
      </c>
      <c r="E36187" t="s">
        <v>3188</v>
      </c>
      <c r="F36187" t="s">
        <v>3204</v>
      </c>
      <c r="H36187" t="s">
        <v>377</v>
      </c>
      <c r="J36187" t="s">
        <v>140</v>
      </c>
      <c r="K36187">
        <v>164316.93</v>
      </c>
      <c r="L36187">
        <v>382868.37</v>
      </c>
      <c r="N36187" t="s">
        <v>3190</v>
      </c>
      <c r="O36187" t="s">
        <v>1028</v>
      </c>
      <c r="P36187" t="s">
        <v>1029</v>
      </c>
      <c r="Q36187" t="s">
        <v>144</v>
      </c>
      <c r="S36187">
        <v>18</v>
      </c>
      <c r="T36187">
        <v>2000</v>
      </c>
      <c r="U36187">
        <v>80</v>
      </c>
      <c r="V36187" t="s">
        <v>146</v>
      </c>
      <c r="W36187" t="s">
        <v>147</v>
      </c>
      <c r="X36187" t="s">
        <v>7</v>
      </c>
      <c r="Y36187" t="s">
        <v>1006</v>
      </c>
      <c r="Z36187" t="s">
        <v>1028</v>
      </c>
      <c r="AA36187" t="s">
        <v>1030</v>
      </c>
      <c r="AB36187">
        <v>0</v>
      </c>
      <c r="AE36187" t="s">
        <v>3191</v>
      </c>
      <c r="AF36187" t="s">
        <v>1028</v>
      </c>
      <c r="AG36187" t="s">
        <v>1821</v>
      </c>
      <c r="AL36187" t="s">
        <v>5113</v>
      </c>
      <c r="AM36187" t="s">
        <v>5114</v>
      </c>
      <c r="AN36187" t="s">
        <v>5115</v>
      </c>
      <c r="AO36187" t="s">
        <v>3190</v>
      </c>
      <c r="AP36187" t="s">
        <v>158</v>
      </c>
      <c r="AQ36187" t="str">
        <f>IF(ISBLANK(AP36187), IFERROR(IF(VLOOKUP(AO36187, Ellens_additions!$A$2:$B$252, 2, FALSE) = "", "", VLOOKUP(AO36187, Ellens_additions!$A$2:$B$252, 2, FALSE)), 0), AP36187)</f>
        <v>3000</v>
      </c>
    </row>
    <row r="36188" spans="1:43" ht="14.4" hidden="1" x14ac:dyDescent="0.3">
      <c r="A36188" t="s">
        <v>5116</v>
      </c>
      <c r="B36188">
        <v>4914254</v>
      </c>
      <c r="C36188" t="s">
        <v>538</v>
      </c>
      <c r="D36188" t="s">
        <v>563</v>
      </c>
      <c r="E36188" t="s">
        <v>3188</v>
      </c>
      <c r="F36188" t="s">
        <v>3204</v>
      </c>
      <c r="H36188" t="s">
        <v>274</v>
      </c>
      <c r="J36188" t="s">
        <v>140</v>
      </c>
      <c r="K36188">
        <v>164307.65</v>
      </c>
      <c r="L36188">
        <v>382802.63</v>
      </c>
      <c r="N36188" t="s">
        <v>3190</v>
      </c>
      <c r="O36188" t="s">
        <v>1028</v>
      </c>
      <c r="P36188" t="s">
        <v>1029</v>
      </c>
      <c r="Q36188" t="s">
        <v>144</v>
      </c>
      <c r="S36188">
        <v>18</v>
      </c>
      <c r="T36188">
        <v>2000</v>
      </c>
      <c r="U36188">
        <v>80</v>
      </c>
      <c r="V36188" t="s">
        <v>146</v>
      </c>
      <c r="W36188" t="s">
        <v>147</v>
      </c>
      <c r="X36188" t="s">
        <v>7</v>
      </c>
      <c r="Y36188" t="s">
        <v>1006</v>
      </c>
      <c r="Z36188" t="s">
        <v>1028</v>
      </c>
      <c r="AA36188" t="s">
        <v>1030</v>
      </c>
      <c r="AB36188">
        <v>0</v>
      </c>
      <c r="AE36188" t="s">
        <v>3191</v>
      </c>
      <c r="AF36188" t="s">
        <v>1028</v>
      </c>
      <c r="AG36188" t="s">
        <v>1821</v>
      </c>
      <c r="AL36188" t="s">
        <v>5117</v>
      </c>
      <c r="AM36188" t="s">
        <v>5118</v>
      </c>
      <c r="AN36188" t="s">
        <v>5119</v>
      </c>
      <c r="AO36188" t="s">
        <v>3190</v>
      </c>
      <c r="AP36188" t="s">
        <v>158</v>
      </c>
      <c r="AQ36188" t="str">
        <f>IF(ISBLANK(AP36188), IFERROR(IF(VLOOKUP(AO36188, Ellens_additions!$A$2:$B$252, 2, FALSE) = "", "", VLOOKUP(AO36188, Ellens_additions!$A$2:$B$252, 2, FALSE)), 0), AP36188)</f>
        <v>3000</v>
      </c>
    </row>
    <row r="36189" spans="1:43" ht="14.4" hidden="1" x14ac:dyDescent="0.3">
      <c r="A36189" t="s">
        <v>5120</v>
      </c>
      <c r="B36189">
        <v>4914261</v>
      </c>
      <c r="C36189" t="s">
        <v>538</v>
      </c>
      <c r="D36189" t="s">
        <v>563</v>
      </c>
      <c r="E36189" t="s">
        <v>3188</v>
      </c>
      <c r="F36189" t="s">
        <v>5121</v>
      </c>
      <c r="H36189" t="s">
        <v>244</v>
      </c>
      <c r="J36189" t="s">
        <v>140</v>
      </c>
      <c r="K36189">
        <v>164369.76</v>
      </c>
      <c r="L36189">
        <v>382772.72</v>
      </c>
      <c r="N36189" t="s">
        <v>3190</v>
      </c>
      <c r="O36189" t="s">
        <v>1028</v>
      </c>
      <c r="P36189" t="s">
        <v>1029</v>
      </c>
      <c r="Q36189" t="s">
        <v>144</v>
      </c>
      <c r="S36189">
        <v>18</v>
      </c>
      <c r="T36189">
        <v>2000</v>
      </c>
      <c r="U36189">
        <v>80</v>
      </c>
      <c r="V36189" t="s">
        <v>146</v>
      </c>
      <c r="W36189" t="s">
        <v>147</v>
      </c>
      <c r="X36189" t="s">
        <v>7</v>
      </c>
      <c r="Y36189" t="s">
        <v>1006</v>
      </c>
      <c r="Z36189" t="s">
        <v>1028</v>
      </c>
      <c r="AA36189" t="s">
        <v>1030</v>
      </c>
      <c r="AB36189">
        <v>0</v>
      </c>
      <c r="AE36189" t="s">
        <v>3191</v>
      </c>
      <c r="AF36189" t="s">
        <v>1028</v>
      </c>
      <c r="AG36189" t="s">
        <v>1821</v>
      </c>
      <c r="AL36189" t="s">
        <v>5122</v>
      </c>
      <c r="AM36189" t="s">
        <v>5123</v>
      </c>
      <c r="AN36189" t="s">
        <v>5124</v>
      </c>
      <c r="AO36189" t="s">
        <v>3190</v>
      </c>
      <c r="AP36189" t="s">
        <v>158</v>
      </c>
      <c r="AQ36189" t="str">
        <f>IF(ISBLANK(AP36189), IFERROR(IF(VLOOKUP(AO36189, Ellens_additions!$A$2:$B$252, 2, FALSE) = "", "", VLOOKUP(AO36189, Ellens_additions!$A$2:$B$252, 2, FALSE)), 0), AP36189)</f>
        <v>3000</v>
      </c>
    </row>
    <row r="36190" spans="1:43" ht="14.4" hidden="1" x14ac:dyDescent="0.3">
      <c r="A36190" t="s">
        <v>5125</v>
      </c>
      <c r="B36190">
        <v>4914263</v>
      </c>
      <c r="C36190" t="s">
        <v>538</v>
      </c>
      <c r="D36190" t="s">
        <v>563</v>
      </c>
      <c r="E36190" t="s">
        <v>3188</v>
      </c>
      <c r="F36190" t="s">
        <v>3221</v>
      </c>
      <c r="H36190" t="s">
        <v>160</v>
      </c>
      <c r="J36190" t="s">
        <v>140</v>
      </c>
      <c r="K36190">
        <v>164543.24</v>
      </c>
      <c r="L36190">
        <v>383194.93</v>
      </c>
      <c r="M36190">
        <v>1</v>
      </c>
      <c r="N36190" t="s">
        <v>739</v>
      </c>
      <c r="O36190" t="s">
        <v>1958</v>
      </c>
      <c r="P36190" t="s">
        <v>1545</v>
      </c>
      <c r="Q36190" t="s">
        <v>264</v>
      </c>
      <c r="R36190" t="s">
        <v>145</v>
      </c>
      <c r="S36190">
        <v>32</v>
      </c>
      <c r="T36190">
        <v>2400</v>
      </c>
      <c r="U36190">
        <v>82</v>
      </c>
      <c r="V36190" t="s">
        <v>740</v>
      </c>
      <c r="W36190" t="s">
        <v>184</v>
      </c>
      <c r="X36190" t="s">
        <v>7</v>
      </c>
      <c r="Y36190" t="s">
        <v>1869</v>
      </c>
      <c r="Z36190" t="s">
        <v>1958</v>
      </c>
      <c r="AA36190" t="s">
        <v>1027</v>
      </c>
      <c r="AB36190">
        <v>0</v>
      </c>
      <c r="AE36190" t="s">
        <v>1870</v>
      </c>
      <c r="AF36190" t="s">
        <v>1958</v>
      </c>
      <c r="AG36190" t="s">
        <v>1027</v>
      </c>
      <c r="AL36190" t="s">
        <v>5126</v>
      </c>
      <c r="AM36190" t="s">
        <v>5127</v>
      </c>
      <c r="AN36190" t="s">
        <v>5128</v>
      </c>
      <c r="AO36190" t="s">
        <v>739</v>
      </c>
      <c r="AQ36190">
        <f>IF(ISBLANK(AP36190), IFERROR(IF(VLOOKUP(AO36190, Ellens_additions!$A$2:$B$252, 2, FALSE) = "", "", VLOOKUP(AO36190, Ellens_additions!$A$2:$B$252, 2, FALSE)), 0), AP36190)</f>
        <v>3000</v>
      </c>
    </row>
    <row r="36191" spans="1:43" ht="14.4" x14ac:dyDescent="0.3"/>
    <row r="36192" spans="1:43" ht="14.4" x14ac:dyDescent="0.3"/>
    <row r="36193" ht="14.4" x14ac:dyDescent="0.3"/>
    <row r="36194" ht="14.4" x14ac:dyDescent="0.3"/>
    <row r="36195" ht="14.4" x14ac:dyDescent="0.3"/>
    <row r="36196" ht="14.4" x14ac:dyDescent="0.3"/>
    <row r="36197" ht="14.4" x14ac:dyDescent="0.3"/>
    <row r="36198" ht="14.4" x14ac:dyDescent="0.3"/>
    <row r="36199" ht="14.4" x14ac:dyDescent="0.3"/>
    <row r="36200" ht="14.4" x14ac:dyDescent="0.3"/>
    <row r="36201" ht="14.4" x14ac:dyDescent="0.3"/>
    <row r="36202" ht="14.4" x14ac:dyDescent="0.3"/>
    <row r="36203" ht="14.4" x14ac:dyDescent="0.3"/>
    <row r="36204" ht="14.4" x14ac:dyDescent="0.3"/>
    <row r="36205" ht="14.4" x14ac:dyDescent="0.3"/>
    <row r="36206" ht="14.4" x14ac:dyDescent="0.3"/>
    <row r="36207" ht="14.4" x14ac:dyDescent="0.3"/>
    <row r="36208" ht="14.4" x14ac:dyDescent="0.3"/>
    <row r="36209" spans="1:43" ht="14.4" x14ac:dyDescent="0.3"/>
    <row r="36210" spans="1:43" ht="14.4" x14ac:dyDescent="0.3"/>
    <row r="36211" spans="1:43" ht="14.4" x14ac:dyDescent="0.3"/>
    <row r="36212" spans="1:43" ht="14.4" x14ac:dyDescent="0.3"/>
    <row r="36213" spans="1:43" ht="14.4" hidden="1" x14ac:dyDescent="0.3">
      <c r="A36213" t="s">
        <v>5129</v>
      </c>
      <c r="B36213">
        <v>4891402</v>
      </c>
      <c r="C36213" t="s">
        <v>842</v>
      </c>
      <c r="D36213" t="s">
        <v>843</v>
      </c>
      <c r="E36213" t="s">
        <v>846</v>
      </c>
      <c r="F36213" t="s">
        <v>2021</v>
      </c>
      <c r="H36213" t="s">
        <v>277</v>
      </c>
      <c r="J36213" t="s">
        <v>140</v>
      </c>
      <c r="K36213">
        <v>161084.43700000001</v>
      </c>
      <c r="L36213">
        <v>383791.13900000002</v>
      </c>
      <c r="M36213">
        <v>1</v>
      </c>
      <c r="N36213" t="s">
        <v>871</v>
      </c>
      <c r="O36213" t="s">
        <v>1023</v>
      </c>
      <c r="P36213" t="s">
        <v>789</v>
      </c>
      <c r="Q36213" t="s">
        <v>761</v>
      </c>
      <c r="R36213" t="s">
        <v>145</v>
      </c>
      <c r="S36213">
        <v>36</v>
      </c>
      <c r="T36213">
        <v>3350</v>
      </c>
      <c r="V36213" t="s">
        <v>848</v>
      </c>
      <c r="W36213" t="s">
        <v>390</v>
      </c>
      <c r="X36213" t="s">
        <v>7</v>
      </c>
      <c r="Y36213" t="s">
        <v>1948</v>
      </c>
      <c r="Z36213" t="s">
        <v>1992</v>
      </c>
      <c r="AA36213" t="s">
        <v>1552</v>
      </c>
      <c r="AB36213">
        <v>100</v>
      </c>
      <c r="AC36213" t="s">
        <v>150</v>
      </c>
      <c r="AE36213" t="s">
        <v>1960</v>
      </c>
      <c r="AF36213" t="s">
        <v>391</v>
      </c>
      <c r="AG36213" t="s">
        <v>392</v>
      </c>
      <c r="AL36213" t="s">
        <v>5130</v>
      </c>
      <c r="AM36213" t="s">
        <v>5131</v>
      </c>
      <c r="AN36213" t="s">
        <v>5132</v>
      </c>
      <c r="AO36213" t="s">
        <v>871</v>
      </c>
      <c r="AQ36213" t="str">
        <f>IF(ISBLANK(AP36213), IFERROR(IF(VLOOKUP(AO36213, Ellens_additions!$A$2:$B$252, 2, FALSE) = "", "", VLOOKUP(AO36213, Ellens_additions!$A$2:$B$252, 2, FALSE)), 0), AP36213)</f>
        <v/>
      </c>
    </row>
    <row r="36214" spans="1:43" ht="14.4" hidden="1" x14ac:dyDescent="0.3">
      <c r="A36214" t="s">
        <v>5133</v>
      </c>
      <c r="B36214">
        <v>4891404</v>
      </c>
      <c r="C36214" t="s">
        <v>842</v>
      </c>
      <c r="D36214" t="s">
        <v>843</v>
      </c>
      <c r="E36214" t="s">
        <v>846</v>
      </c>
      <c r="F36214" t="s">
        <v>2021</v>
      </c>
      <c r="H36214" t="s">
        <v>279</v>
      </c>
      <c r="J36214" t="s">
        <v>140</v>
      </c>
      <c r="K36214">
        <v>161077.72899999999</v>
      </c>
      <c r="L36214">
        <v>383789.103</v>
      </c>
      <c r="M36214">
        <v>1</v>
      </c>
      <c r="N36214" t="s">
        <v>871</v>
      </c>
      <c r="O36214" t="s">
        <v>832</v>
      </c>
      <c r="P36214" t="s">
        <v>567</v>
      </c>
      <c r="Q36214" t="s">
        <v>761</v>
      </c>
      <c r="R36214" t="s">
        <v>145</v>
      </c>
      <c r="S36214">
        <v>36</v>
      </c>
      <c r="T36214">
        <v>3350</v>
      </c>
      <c r="V36214" t="s">
        <v>848</v>
      </c>
      <c r="W36214" t="s">
        <v>390</v>
      </c>
      <c r="X36214" t="s">
        <v>7</v>
      </c>
      <c r="Y36214" t="s">
        <v>1948</v>
      </c>
      <c r="Z36214" t="s">
        <v>1992</v>
      </c>
      <c r="AA36214" t="s">
        <v>1552</v>
      </c>
      <c r="AB36214">
        <v>100</v>
      </c>
      <c r="AC36214" t="s">
        <v>150</v>
      </c>
      <c r="AE36214" t="s">
        <v>1960</v>
      </c>
      <c r="AF36214" t="s">
        <v>391</v>
      </c>
      <c r="AG36214" t="s">
        <v>392</v>
      </c>
      <c r="AL36214" t="s">
        <v>5134</v>
      </c>
      <c r="AM36214" t="s">
        <v>5135</v>
      </c>
      <c r="AN36214" t="s">
        <v>5136</v>
      </c>
      <c r="AO36214" t="s">
        <v>871</v>
      </c>
      <c r="AQ36214" t="str">
        <f>IF(ISBLANK(AP36214), IFERROR(IF(VLOOKUP(AO36214, Ellens_additions!$A$2:$B$252, 2, FALSE) = "", "", VLOOKUP(AO36214, Ellens_additions!$A$2:$B$252, 2, FALSE)), 0), AP36214)</f>
        <v/>
      </c>
    </row>
    <row r="36215" spans="1:43" ht="14.4" x14ac:dyDescent="0.3"/>
    <row r="36216" spans="1:43" ht="14.4" x14ac:dyDescent="0.3"/>
    <row r="36217" spans="1:43" ht="14.4" x14ac:dyDescent="0.3"/>
    <row r="36218" spans="1:43" ht="14.4" x14ac:dyDescent="0.3"/>
    <row r="36219" spans="1:43" ht="14.4" x14ac:dyDescent="0.3"/>
    <row r="36220" spans="1:43" ht="14.4" x14ac:dyDescent="0.3"/>
    <row r="36221" spans="1:43" ht="14.4" x14ac:dyDescent="0.3"/>
    <row r="36222" spans="1:43" ht="14.4" x14ac:dyDescent="0.3"/>
    <row r="36223" spans="1:43" ht="14.4" x14ac:dyDescent="0.3"/>
    <row r="36224" spans="1:43" ht="14.4" x14ac:dyDescent="0.3"/>
    <row r="36225" ht="14.4" x14ac:dyDescent="0.3"/>
    <row r="36226" ht="14.4" x14ac:dyDescent="0.3"/>
    <row r="36227" ht="14.4" x14ac:dyDescent="0.3"/>
    <row r="36228" ht="14.4" x14ac:dyDescent="0.3"/>
    <row r="36229" ht="14.4" x14ac:dyDescent="0.3"/>
    <row r="36230" ht="14.4" x14ac:dyDescent="0.3"/>
    <row r="36231" ht="14.4" x14ac:dyDescent="0.3"/>
    <row r="36232" ht="14.4" x14ac:dyDescent="0.3"/>
    <row r="36233" ht="14.4" x14ac:dyDescent="0.3"/>
    <row r="36234" ht="14.4" x14ac:dyDescent="0.3"/>
    <row r="36235" ht="14.4" x14ac:dyDescent="0.3"/>
    <row r="36236" ht="14.4" x14ac:dyDescent="0.3"/>
    <row r="36237" ht="14.4" x14ac:dyDescent="0.3"/>
    <row r="36238" ht="14.4" x14ac:dyDescent="0.3"/>
    <row r="36239" ht="14.4" x14ac:dyDescent="0.3"/>
    <row r="36240" ht="14.4" x14ac:dyDescent="0.3"/>
    <row r="36241" ht="14.4" x14ac:dyDescent="0.3"/>
    <row r="36242" ht="14.4" x14ac:dyDescent="0.3"/>
    <row r="36243" ht="14.4" x14ac:dyDescent="0.3"/>
    <row r="36244" ht="14.4" x14ac:dyDescent="0.3"/>
    <row r="36245" ht="14.4" x14ac:dyDescent="0.3"/>
    <row r="36246" ht="14.4" x14ac:dyDescent="0.3"/>
    <row r="36247" ht="14.4" x14ac:dyDescent="0.3"/>
    <row r="36248" ht="14.4" x14ac:dyDescent="0.3"/>
    <row r="36249" ht="14.4" x14ac:dyDescent="0.3"/>
    <row r="36250" ht="14.4" x14ac:dyDescent="0.3"/>
    <row r="36251" ht="14.4" x14ac:dyDescent="0.3"/>
    <row r="36252" ht="14.4" x14ac:dyDescent="0.3"/>
    <row r="36253" ht="14.4" x14ac:dyDescent="0.3"/>
    <row r="36254" ht="14.4" x14ac:dyDescent="0.3"/>
    <row r="36255" ht="14.4" x14ac:dyDescent="0.3"/>
    <row r="36256" ht="14.4" x14ac:dyDescent="0.3"/>
    <row r="36257" ht="14.4" x14ac:dyDescent="0.3"/>
    <row r="36258" ht="14.4" x14ac:dyDescent="0.3"/>
    <row r="36259" ht="14.4" x14ac:dyDescent="0.3"/>
    <row r="36260" ht="14.4" x14ac:dyDescent="0.3"/>
    <row r="36261" ht="14.4" x14ac:dyDescent="0.3"/>
    <row r="36262" ht="14.4" x14ac:dyDescent="0.3"/>
    <row r="36263" ht="14.4" x14ac:dyDescent="0.3"/>
    <row r="36264" ht="14.4" x14ac:dyDescent="0.3"/>
    <row r="36265" ht="14.4" x14ac:dyDescent="0.3"/>
    <row r="36266" ht="14.4" x14ac:dyDescent="0.3"/>
    <row r="36267" ht="14.4" x14ac:dyDescent="0.3"/>
    <row r="36268" ht="14.4" x14ac:dyDescent="0.3"/>
    <row r="36269" ht="14.4" x14ac:dyDescent="0.3"/>
    <row r="36270" ht="14.4" x14ac:dyDescent="0.3"/>
    <row r="36271" ht="14.4" x14ac:dyDescent="0.3"/>
    <row r="36272" ht="14.4" x14ac:dyDescent="0.3"/>
    <row r="36273" ht="14.4" x14ac:dyDescent="0.3"/>
    <row r="36274" ht="14.4" x14ac:dyDescent="0.3"/>
    <row r="36275" ht="14.4" x14ac:dyDescent="0.3"/>
    <row r="36276" ht="14.4" x14ac:dyDescent="0.3"/>
    <row r="36277" ht="14.4" x14ac:dyDescent="0.3"/>
    <row r="36278" ht="14.4" x14ac:dyDescent="0.3"/>
    <row r="36279" ht="14.4" x14ac:dyDescent="0.3"/>
    <row r="36280" ht="14.4" x14ac:dyDescent="0.3"/>
    <row r="36281" ht="14.4" x14ac:dyDescent="0.3"/>
    <row r="36282" ht="14.4" x14ac:dyDescent="0.3"/>
    <row r="36283" ht="14.4" x14ac:dyDescent="0.3"/>
    <row r="36284" ht="14.4" x14ac:dyDescent="0.3"/>
    <row r="36285" ht="14.4" x14ac:dyDescent="0.3"/>
    <row r="36286" ht="14.4" x14ac:dyDescent="0.3"/>
    <row r="36287" ht="14.4" x14ac:dyDescent="0.3"/>
    <row r="36288" ht="14.4" x14ac:dyDescent="0.3"/>
    <row r="36289" ht="14.4" x14ac:dyDescent="0.3"/>
    <row r="36290" ht="14.4" x14ac:dyDescent="0.3"/>
    <row r="36291" ht="14.4" x14ac:dyDescent="0.3"/>
    <row r="36292" ht="14.4" x14ac:dyDescent="0.3"/>
    <row r="36293" ht="14.4" x14ac:dyDescent="0.3"/>
    <row r="36294" ht="14.4" x14ac:dyDescent="0.3"/>
    <row r="36295" ht="14.4" x14ac:dyDescent="0.3"/>
    <row r="36296" ht="14.4" x14ac:dyDescent="0.3"/>
    <row r="36297" ht="14.4" x14ac:dyDescent="0.3"/>
    <row r="36298" ht="14.4" x14ac:dyDescent="0.3"/>
    <row r="36299" ht="14.4" x14ac:dyDescent="0.3"/>
    <row r="36300" ht="14.4" x14ac:dyDescent="0.3"/>
    <row r="36301" ht="14.4" x14ac:dyDescent="0.3"/>
    <row r="36302" ht="14.4" x14ac:dyDescent="0.3"/>
    <row r="36303" ht="14.4" x14ac:dyDescent="0.3"/>
    <row r="36304" ht="14.4" x14ac:dyDescent="0.3"/>
    <row r="36305" ht="14.4" x14ac:dyDescent="0.3"/>
    <row r="36306" ht="14.4" x14ac:dyDescent="0.3"/>
    <row r="36307" ht="14.4" x14ac:dyDescent="0.3"/>
    <row r="36308" ht="14.4" x14ac:dyDescent="0.3"/>
    <row r="36309" ht="14.4" x14ac:dyDescent="0.3"/>
    <row r="36310" ht="14.4" x14ac:dyDescent="0.3"/>
    <row r="36311" ht="14.4" x14ac:dyDescent="0.3"/>
    <row r="36312" ht="14.4" x14ac:dyDescent="0.3"/>
    <row r="36313" ht="14.4" x14ac:dyDescent="0.3"/>
    <row r="36314" ht="14.4" x14ac:dyDescent="0.3"/>
    <row r="36315" ht="14.4" x14ac:dyDescent="0.3"/>
    <row r="36316" ht="14.4" x14ac:dyDescent="0.3"/>
    <row r="36317" ht="14.4" x14ac:dyDescent="0.3"/>
    <row r="36318" ht="14.4" x14ac:dyDescent="0.3"/>
    <row r="36319" ht="14.4" x14ac:dyDescent="0.3"/>
    <row r="36320" ht="14.4" x14ac:dyDescent="0.3"/>
    <row r="36321" ht="14.4" x14ac:dyDescent="0.3"/>
    <row r="36322" ht="14.4" x14ac:dyDescent="0.3"/>
    <row r="36323" ht="14.4" x14ac:dyDescent="0.3"/>
    <row r="36324" ht="14.4" x14ac:dyDescent="0.3"/>
    <row r="36325" ht="14.4" x14ac:dyDescent="0.3"/>
    <row r="36326" ht="14.4" x14ac:dyDescent="0.3"/>
    <row r="36327" ht="14.4" x14ac:dyDescent="0.3"/>
    <row r="36328" ht="14.4" x14ac:dyDescent="0.3"/>
    <row r="36329" ht="14.4" x14ac:dyDescent="0.3"/>
    <row r="36330" ht="14.4" x14ac:dyDescent="0.3"/>
    <row r="36331" ht="14.4" x14ac:dyDescent="0.3"/>
    <row r="36332" ht="14.4" x14ac:dyDescent="0.3"/>
    <row r="36333" ht="14.4" x14ac:dyDescent="0.3"/>
    <row r="36334" ht="14.4" x14ac:dyDescent="0.3"/>
    <row r="36335" ht="14.4" x14ac:dyDescent="0.3"/>
    <row r="36336" ht="14.4" x14ac:dyDescent="0.3"/>
    <row r="36337" spans="1:43" ht="14.4" x14ac:dyDescent="0.3"/>
    <row r="36338" spans="1:43" ht="14.4" x14ac:dyDescent="0.3"/>
    <row r="36339" spans="1:43" ht="14.4" x14ac:dyDescent="0.3"/>
    <row r="36340" spans="1:43" ht="14.4" x14ac:dyDescent="0.3"/>
    <row r="36341" spans="1:43" ht="14.4" x14ac:dyDescent="0.3"/>
    <row r="36342" spans="1:43" ht="14.4" x14ac:dyDescent="0.3"/>
    <row r="36343" spans="1:43" ht="14.4" x14ac:dyDescent="0.3"/>
    <row r="36344" spans="1:43" ht="14.4" x14ac:dyDescent="0.3"/>
    <row r="36345" spans="1:43" ht="14.4" x14ac:dyDescent="0.3"/>
    <row r="36346" spans="1:43" ht="14.4" x14ac:dyDescent="0.3"/>
    <row r="36347" spans="1:43" ht="14.4" x14ac:dyDescent="0.3"/>
    <row r="36348" spans="1:43" ht="14.4" x14ac:dyDescent="0.3"/>
    <row r="36349" spans="1:43" ht="14.4" x14ac:dyDescent="0.3"/>
    <row r="36350" spans="1:43" ht="14.4" hidden="1" x14ac:dyDescent="0.3">
      <c r="A36350" t="s">
        <v>5137</v>
      </c>
      <c r="B36350">
        <v>4891762</v>
      </c>
      <c r="C36350" t="s">
        <v>842</v>
      </c>
      <c r="D36350" t="s">
        <v>843</v>
      </c>
      <c r="E36350" t="s">
        <v>844</v>
      </c>
      <c r="F36350" t="s">
        <v>1962</v>
      </c>
      <c r="H36350" t="s">
        <v>381</v>
      </c>
      <c r="J36350" t="s">
        <v>140</v>
      </c>
      <c r="K36350">
        <v>161474.83600000001</v>
      </c>
      <c r="L36350">
        <v>382966.636</v>
      </c>
      <c r="M36350">
        <v>1</v>
      </c>
      <c r="N36350" t="s">
        <v>2049</v>
      </c>
      <c r="O36350" t="s">
        <v>1802</v>
      </c>
      <c r="P36350" t="s">
        <v>3062</v>
      </c>
      <c r="Q36350" t="s">
        <v>761</v>
      </c>
      <c r="R36350" t="s">
        <v>145</v>
      </c>
      <c r="S36350">
        <v>36</v>
      </c>
      <c r="T36350">
        <v>0</v>
      </c>
      <c r="V36350" t="s">
        <v>848</v>
      </c>
      <c r="W36350" t="s">
        <v>415</v>
      </c>
      <c r="X36350" t="s">
        <v>7</v>
      </c>
      <c r="Y36350" t="s">
        <v>3250</v>
      </c>
      <c r="Z36350" t="s">
        <v>3251</v>
      </c>
      <c r="AA36350" t="s">
        <v>2973</v>
      </c>
      <c r="AB36350">
        <v>30</v>
      </c>
      <c r="AC36350" t="s">
        <v>150</v>
      </c>
      <c r="AE36350" t="s">
        <v>3252</v>
      </c>
      <c r="AF36350" t="s">
        <v>3251</v>
      </c>
      <c r="AG36350" t="s">
        <v>3253</v>
      </c>
      <c r="AL36350" t="s">
        <v>5138</v>
      </c>
      <c r="AM36350" t="s">
        <v>5139</v>
      </c>
      <c r="AN36350" t="s">
        <v>5140</v>
      </c>
      <c r="AO36350" t="s">
        <v>2049</v>
      </c>
      <c r="AQ36350" t="str">
        <f>IF(ISBLANK(AP36350), IFERROR(IF(VLOOKUP(AO36350, Ellens_additions!$A$2:$B$252, 2, FALSE) = "", "", VLOOKUP(AO36350, Ellens_additions!$A$2:$B$252, 2, FALSE)), 0), AP36350)</f>
        <v/>
      </c>
    </row>
    <row r="36351" spans="1:43" ht="14.4" hidden="1" x14ac:dyDescent="0.3">
      <c r="A36351" t="s">
        <v>5141</v>
      </c>
      <c r="B36351">
        <v>4891769</v>
      </c>
      <c r="C36351" t="s">
        <v>842</v>
      </c>
      <c r="D36351" t="s">
        <v>843</v>
      </c>
      <c r="E36351" t="s">
        <v>844</v>
      </c>
      <c r="F36351" t="s">
        <v>1962</v>
      </c>
      <c r="H36351" t="s">
        <v>346</v>
      </c>
      <c r="J36351" t="s">
        <v>140</v>
      </c>
      <c r="K36351">
        <v>161440.91699999999</v>
      </c>
      <c r="L36351">
        <v>382944.81800000003</v>
      </c>
      <c r="M36351">
        <v>1</v>
      </c>
      <c r="N36351" t="s">
        <v>2049</v>
      </c>
      <c r="O36351" t="s">
        <v>1802</v>
      </c>
      <c r="P36351" t="s">
        <v>3062</v>
      </c>
      <c r="Q36351" t="s">
        <v>761</v>
      </c>
      <c r="R36351" t="s">
        <v>145</v>
      </c>
      <c r="S36351">
        <v>36</v>
      </c>
      <c r="T36351">
        <v>0</v>
      </c>
      <c r="V36351" t="s">
        <v>848</v>
      </c>
      <c r="W36351" t="s">
        <v>415</v>
      </c>
      <c r="X36351" t="s">
        <v>7</v>
      </c>
      <c r="Y36351" t="s">
        <v>3250</v>
      </c>
      <c r="Z36351" t="s">
        <v>3251</v>
      </c>
      <c r="AA36351" t="s">
        <v>2973</v>
      </c>
      <c r="AB36351">
        <v>30</v>
      </c>
      <c r="AC36351" t="s">
        <v>150</v>
      </c>
      <c r="AE36351" t="s">
        <v>3252</v>
      </c>
      <c r="AF36351" t="s">
        <v>3251</v>
      </c>
      <c r="AG36351" t="s">
        <v>3253</v>
      </c>
      <c r="AL36351" t="s">
        <v>5142</v>
      </c>
      <c r="AM36351" t="s">
        <v>5143</v>
      </c>
      <c r="AN36351" t="s">
        <v>5144</v>
      </c>
      <c r="AO36351" t="s">
        <v>2049</v>
      </c>
      <c r="AQ36351" t="str">
        <f>IF(ISBLANK(AP36351), IFERROR(IF(VLOOKUP(AO36351, Ellens_additions!$A$2:$B$252, 2, FALSE) = "", "", VLOOKUP(AO36351, Ellens_additions!$A$2:$B$252, 2, FALSE)), 0), AP36351)</f>
        <v/>
      </c>
    </row>
    <row r="36352" spans="1:43" ht="14.4" hidden="1" x14ac:dyDescent="0.3">
      <c r="A36352" t="s">
        <v>5145</v>
      </c>
      <c r="B36352">
        <v>4891770</v>
      </c>
      <c r="C36352" t="s">
        <v>842</v>
      </c>
      <c r="D36352" t="s">
        <v>843</v>
      </c>
      <c r="E36352" t="s">
        <v>844</v>
      </c>
      <c r="F36352" t="s">
        <v>1962</v>
      </c>
      <c r="H36352" t="s">
        <v>268</v>
      </c>
      <c r="J36352" t="s">
        <v>140</v>
      </c>
      <c r="K36352">
        <v>161425.84099999999</v>
      </c>
      <c r="L36352">
        <v>382933.505</v>
      </c>
      <c r="M36352">
        <v>1</v>
      </c>
      <c r="N36352" t="s">
        <v>871</v>
      </c>
      <c r="O36352" t="s">
        <v>1074</v>
      </c>
      <c r="P36352" t="s">
        <v>180</v>
      </c>
      <c r="Q36352" t="s">
        <v>761</v>
      </c>
      <c r="R36352" t="s">
        <v>145</v>
      </c>
      <c r="S36352">
        <v>36</v>
      </c>
      <c r="T36352">
        <v>3350</v>
      </c>
      <c r="V36352" t="s">
        <v>848</v>
      </c>
      <c r="W36352" t="s">
        <v>415</v>
      </c>
      <c r="X36352" t="s">
        <v>7</v>
      </c>
      <c r="Y36352" t="s">
        <v>3250</v>
      </c>
      <c r="Z36352" t="s">
        <v>3251</v>
      </c>
      <c r="AA36352" t="s">
        <v>2973</v>
      </c>
      <c r="AB36352">
        <v>30</v>
      </c>
      <c r="AC36352" t="s">
        <v>150</v>
      </c>
      <c r="AE36352" t="s">
        <v>3252</v>
      </c>
      <c r="AF36352" t="s">
        <v>3251</v>
      </c>
      <c r="AG36352" t="s">
        <v>3253</v>
      </c>
      <c r="AL36352" t="s">
        <v>5146</v>
      </c>
      <c r="AM36352" t="s">
        <v>5147</v>
      </c>
      <c r="AN36352" t="s">
        <v>5148</v>
      </c>
      <c r="AO36352" t="s">
        <v>871</v>
      </c>
      <c r="AQ36352" t="str">
        <f>IF(ISBLANK(AP36352), IFERROR(IF(VLOOKUP(AO36352, Ellens_additions!$A$2:$B$252, 2, FALSE) = "", "", VLOOKUP(AO36352, Ellens_additions!$A$2:$B$252, 2, FALSE)), 0), AP36352)</f>
        <v/>
      </c>
    </row>
    <row r="36353" spans="1:43" ht="14.4" hidden="1" x14ac:dyDescent="0.3">
      <c r="A36353" t="s">
        <v>5149</v>
      </c>
      <c r="B36353">
        <v>4891776</v>
      </c>
      <c r="C36353" t="s">
        <v>842</v>
      </c>
      <c r="D36353" t="s">
        <v>843</v>
      </c>
      <c r="E36353" t="s">
        <v>844</v>
      </c>
      <c r="F36353" t="s">
        <v>1962</v>
      </c>
      <c r="H36353" t="s">
        <v>454</v>
      </c>
      <c r="J36353" t="s">
        <v>140</v>
      </c>
      <c r="K36353">
        <v>161493.01999999999</v>
      </c>
      <c r="L36353">
        <v>382963.35200000001</v>
      </c>
      <c r="M36353">
        <v>1</v>
      </c>
      <c r="N36353" t="s">
        <v>2026</v>
      </c>
      <c r="O36353" t="s">
        <v>1802</v>
      </c>
      <c r="P36353" t="s">
        <v>3062</v>
      </c>
      <c r="Q36353" t="s">
        <v>761</v>
      </c>
      <c r="R36353" t="s">
        <v>145</v>
      </c>
      <c r="S36353">
        <v>58</v>
      </c>
      <c r="T36353">
        <v>0</v>
      </c>
      <c r="V36353" t="s">
        <v>848</v>
      </c>
      <c r="W36353" t="s">
        <v>415</v>
      </c>
      <c r="X36353" t="s">
        <v>7</v>
      </c>
      <c r="Y36353" t="s">
        <v>3266</v>
      </c>
      <c r="Z36353" t="s">
        <v>3267</v>
      </c>
      <c r="AA36353" t="s">
        <v>1535</v>
      </c>
      <c r="AB36353">
        <v>30</v>
      </c>
      <c r="AC36353" t="s">
        <v>150</v>
      </c>
      <c r="AE36353" t="s">
        <v>550</v>
      </c>
      <c r="AF36353" t="s">
        <v>3267</v>
      </c>
      <c r="AG36353" t="s">
        <v>488</v>
      </c>
      <c r="AL36353" t="s">
        <v>5150</v>
      </c>
      <c r="AM36353" t="s">
        <v>5151</v>
      </c>
      <c r="AN36353" t="s">
        <v>5152</v>
      </c>
      <c r="AO36353" t="s">
        <v>2026</v>
      </c>
      <c r="AQ36353" t="str">
        <f>IF(ISBLANK(AP36353), IFERROR(IF(VLOOKUP(AO36353, Ellens_additions!$A$2:$B$252, 2, FALSE) = "", "", VLOOKUP(AO36353, Ellens_additions!$A$2:$B$252, 2, FALSE)), 0), AP36353)</f>
        <v/>
      </c>
    </row>
    <row r="36354" spans="1:43" ht="14.4" hidden="1" x14ac:dyDescent="0.3">
      <c r="A36354" t="s">
        <v>5153</v>
      </c>
      <c r="B36354">
        <v>4891781</v>
      </c>
      <c r="C36354" t="s">
        <v>842</v>
      </c>
      <c r="D36354" t="s">
        <v>843</v>
      </c>
      <c r="E36354" t="s">
        <v>844</v>
      </c>
      <c r="F36354" t="s">
        <v>1962</v>
      </c>
      <c r="H36354" t="s">
        <v>271</v>
      </c>
      <c r="J36354" t="s">
        <v>140</v>
      </c>
      <c r="K36354">
        <v>161497.44099999999</v>
      </c>
      <c r="L36354">
        <v>382957.00199999998</v>
      </c>
      <c r="M36354">
        <v>1</v>
      </c>
      <c r="N36354" t="s">
        <v>2026</v>
      </c>
      <c r="O36354" t="s">
        <v>1802</v>
      </c>
      <c r="P36354" t="s">
        <v>3062</v>
      </c>
      <c r="Q36354" t="s">
        <v>761</v>
      </c>
      <c r="R36354" t="s">
        <v>145</v>
      </c>
      <c r="S36354">
        <v>58</v>
      </c>
      <c r="T36354">
        <v>0</v>
      </c>
      <c r="V36354" t="s">
        <v>848</v>
      </c>
      <c r="W36354" t="s">
        <v>415</v>
      </c>
      <c r="X36354" t="s">
        <v>7</v>
      </c>
      <c r="Y36354" t="s">
        <v>3266</v>
      </c>
      <c r="Z36354" t="s">
        <v>3267</v>
      </c>
      <c r="AA36354" t="s">
        <v>1535</v>
      </c>
      <c r="AB36354">
        <v>30</v>
      </c>
      <c r="AC36354" t="s">
        <v>150</v>
      </c>
      <c r="AE36354" t="s">
        <v>550</v>
      </c>
      <c r="AF36354" t="s">
        <v>3267</v>
      </c>
      <c r="AG36354" t="s">
        <v>488</v>
      </c>
      <c r="AL36354" t="s">
        <v>5154</v>
      </c>
      <c r="AM36354" t="s">
        <v>5155</v>
      </c>
      <c r="AN36354" t="s">
        <v>5156</v>
      </c>
      <c r="AO36354" t="s">
        <v>2026</v>
      </c>
      <c r="AQ36354" t="str">
        <f>IF(ISBLANK(AP36354), IFERROR(IF(VLOOKUP(AO36354, Ellens_additions!$A$2:$B$252, 2, FALSE) = "", "", VLOOKUP(AO36354, Ellens_additions!$A$2:$B$252, 2, FALSE)), 0), AP36354)</f>
        <v/>
      </c>
    </row>
    <row r="36355" spans="1:43" ht="14.4" x14ac:dyDescent="0.3"/>
    <row r="36356" spans="1:43" ht="14.4" x14ac:dyDescent="0.3"/>
    <row r="36357" spans="1:43" ht="14.4" x14ac:dyDescent="0.3"/>
    <row r="36358" spans="1:43" ht="14.4" x14ac:dyDescent="0.3"/>
    <row r="36359" spans="1:43" ht="14.4" x14ac:dyDescent="0.3"/>
    <row r="36360" spans="1:43" ht="14.4" x14ac:dyDescent="0.3"/>
    <row r="36361" spans="1:43" ht="14.4" hidden="1" x14ac:dyDescent="0.3">
      <c r="A36361" t="s">
        <v>5157</v>
      </c>
      <c r="B36361">
        <v>4891811</v>
      </c>
      <c r="C36361" t="s">
        <v>842</v>
      </c>
      <c r="D36361" t="s">
        <v>843</v>
      </c>
      <c r="E36361" t="s">
        <v>844</v>
      </c>
      <c r="F36361" t="s">
        <v>1962</v>
      </c>
      <c r="H36361" t="s">
        <v>483</v>
      </c>
      <c r="J36361" t="s">
        <v>140</v>
      </c>
      <c r="K36361">
        <v>161484.25899999999</v>
      </c>
      <c r="L36361">
        <v>382972.29300000001</v>
      </c>
      <c r="M36361">
        <v>1</v>
      </c>
      <c r="N36361" t="s">
        <v>2049</v>
      </c>
      <c r="O36361" t="s">
        <v>1802</v>
      </c>
      <c r="P36361" t="s">
        <v>3062</v>
      </c>
      <c r="Q36361" t="s">
        <v>761</v>
      </c>
      <c r="R36361" t="s">
        <v>145</v>
      </c>
      <c r="S36361">
        <v>36</v>
      </c>
      <c r="T36361">
        <v>0</v>
      </c>
      <c r="V36361" t="s">
        <v>848</v>
      </c>
      <c r="W36361" t="s">
        <v>415</v>
      </c>
      <c r="X36361" t="s">
        <v>7</v>
      </c>
      <c r="Y36361" t="s">
        <v>3250</v>
      </c>
      <c r="Z36361" t="s">
        <v>1080</v>
      </c>
      <c r="AA36361" t="s">
        <v>1938</v>
      </c>
      <c r="AB36361">
        <v>30</v>
      </c>
      <c r="AC36361" t="s">
        <v>150</v>
      </c>
      <c r="AE36361" t="s">
        <v>3252</v>
      </c>
      <c r="AF36361" t="s">
        <v>1080</v>
      </c>
      <c r="AG36361" t="s">
        <v>1081</v>
      </c>
      <c r="AL36361" t="s">
        <v>5158</v>
      </c>
      <c r="AM36361" t="s">
        <v>5159</v>
      </c>
      <c r="AN36361" t="s">
        <v>5160</v>
      </c>
      <c r="AO36361" t="s">
        <v>2049</v>
      </c>
      <c r="AQ36361" t="str">
        <f>IF(ISBLANK(AP36361), IFERROR(IF(VLOOKUP(AO36361, Ellens_additions!$A$2:$B$252, 2, FALSE) = "", "", VLOOKUP(AO36361, Ellens_additions!$A$2:$B$252, 2, FALSE)), 0), AP36361)</f>
        <v/>
      </c>
    </row>
    <row r="36362" spans="1:43" ht="14.4" x14ac:dyDescent="0.3"/>
    <row r="36363" spans="1:43" ht="14.4" x14ac:dyDescent="0.3"/>
    <row r="36364" spans="1:43" ht="14.4" x14ac:dyDescent="0.3"/>
    <row r="36365" spans="1:43" ht="14.4" x14ac:dyDescent="0.3"/>
    <row r="36366" spans="1:43" ht="14.4" x14ac:dyDescent="0.3"/>
    <row r="36367" spans="1:43" ht="14.4" x14ac:dyDescent="0.3"/>
    <row r="36368" spans="1:43" ht="14.4" x14ac:dyDescent="0.3"/>
    <row r="36369" ht="14.4" x14ac:dyDescent="0.3"/>
    <row r="36370" ht="14.4" x14ac:dyDescent="0.3"/>
    <row r="36371" ht="14.4" x14ac:dyDescent="0.3"/>
    <row r="36372" ht="14.4" x14ac:dyDescent="0.3"/>
    <row r="36373" ht="14.4" x14ac:dyDescent="0.3"/>
    <row r="36374" ht="14.4" x14ac:dyDescent="0.3"/>
    <row r="36375" ht="14.4" x14ac:dyDescent="0.3"/>
    <row r="36376" ht="14.4" x14ac:dyDescent="0.3"/>
    <row r="36377" ht="14.4" x14ac:dyDescent="0.3"/>
    <row r="36378" ht="14.4" x14ac:dyDescent="0.3"/>
    <row r="36379" ht="14.4" x14ac:dyDescent="0.3"/>
    <row r="36380" ht="14.4" x14ac:dyDescent="0.3"/>
    <row r="36381" ht="14.4" x14ac:dyDescent="0.3"/>
    <row r="36382" ht="14.4" x14ac:dyDescent="0.3"/>
    <row r="36383" ht="14.4" x14ac:dyDescent="0.3"/>
    <row r="36384" ht="14.4" x14ac:dyDescent="0.3"/>
    <row r="36385" ht="14.4" x14ac:dyDescent="0.3"/>
    <row r="36386" ht="14.4" x14ac:dyDescent="0.3"/>
    <row r="36387" ht="14.4" x14ac:dyDescent="0.3"/>
    <row r="36388" ht="14.4" x14ac:dyDescent="0.3"/>
    <row r="36389" ht="14.4" x14ac:dyDescent="0.3"/>
    <row r="36390" ht="14.4" x14ac:dyDescent="0.3"/>
    <row r="36391" ht="14.4" x14ac:dyDescent="0.3"/>
    <row r="36392" ht="14.4" x14ac:dyDescent="0.3"/>
    <row r="36393" ht="14.4" x14ac:dyDescent="0.3"/>
    <row r="36394" ht="14.4" x14ac:dyDescent="0.3"/>
    <row r="36395" ht="14.4" x14ac:dyDescent="0.3"/>
    <row r="36396" ht="14.4" x14ac:dyDescent="0.3"/>
    <row r="36397" ht="14.4" x14ac:dyDescent="0.3"/>
    <row r="36398" ht="14.4" x14ac:dyDescent="0.3"/>
    <row r="36399" ht="14.4" x14ac:dyDescent="0.3"/>
    <row r="36400" ht="14.4" x14ac:dyDescent="0.3"/>
    <row r="36401" ht="14.4" x14ac:dyDescent="0.3"/>
    <row r="36402" ht="14.4" x14ac:dyDescent="0.3"/>
    <row r="36403" ht="14.4" x14ac:dyDescent="0.3"/>
    <row r="36404" ht="14.4" x14ac:dyDescent="0.3"/>
    <row r="36405" ht="14.4" x14ac:dyDescent="0.3"/>
    <row r="36406" ht="14.4" x14ac:dyDescent="0.3"/>
    <row r="36407" ht="14.4" x14ac:dyDescent="0.3"/>
    <row r="36408" ht="14.4" x14ac:dyDescent="0.3"/>
    <row r="36409" ht="14.4" x14ac:dyDescent="0.3"/>
    <row r="36410" ht="14.4" x14ac:dyDescent="0.3"/>
    <row r="36411" ht="14.4" x14ac:dyDescent="0.3"/>
    <row r="36412" ht="14.4" x14ac:dyDescent="0.3"/>
    <row r="36413" ht="14.4" x14ac:dyDescent="0.3"/>
    <row r="36414" ht="14.4" x14ac:dyDescent="0.3"/>
    <row r="36415" ht="14.4" x14ac:dyDescent="0.3"/>
    <row r="36416" ht="14.4" x14ac:dyDescent="0.3"/>
    <row r="36417" ht="14.4" x14ac:dyDescent="0.3"/>
    <row r="36418" ht="14.4" x14ac:dyDescent="0.3"/>
    <row r="36419" ht="14.4" x14ac:dyDescent="0.3"/>
    <row r="36420" ht="14.4" x14ac:dyDescent="0.3"/>
    <row r="36421" ht="14.4" x14ac:dyDescent="0.3"/>
    <row r="36422" ht="14.4" x14ac:dyDescent="0.3"/>
    <row r="36423" ht="14.4" x14ac:dyDescent="0.3"/>
    <row r="36424" ht="14.4" x14ac:dyDescent="0.3"/>
    <row r="36425" ht="14.4" x14ac:dyDescent="0.3"/>
    <row r="36426" ht="14.4" x14ac:dyDescent="0.3"/>
    <row r="36427" ht="14.4" x14ac:dyDescent="0.3"/>
    <row r="36428" ht="14.4" x14ac:dyDescent="0.3"/>
    <row r="36429" ht="14.4" x14ac:dyDescent="0.3"/>
    <row r="36430" ht="14.4" x14ac:dyDescent="0.3"/>
    <row r="36431" ht="14.4" x14ac:dyDescent="0.3"/>
    <row r="36432" ht="14.4" x14ac:dyDescent="0.3"/>
    <row r="36433" ht="14.4" x14ac:dyDescent="0.3"/>
    <row r="36434" ht="14.4" x14ac:dyDescent="0.3"/>
    <row r="36435" ht="14.4" x14ac:dyDescent="0.3"/>
    <row r="36436" ht="14.4" x14ac:dyDescent="0.3"/>
    <row r="36437" ht="14.4" x14ac:dyDescent="0.3"/>
    <row r="36438" ht="14.4" x14ac:dyDescent="0.3"/>
    <row r="36439" ht="14.4" x14ac:dyDescent="0.3"/>
    <row r="36440" ht="14.4" x14ac:dyDescent="0.3"/>
    <row r="36441" ht="14.4" x14ac:dyDescent="0.3"/>
    <row r="36442" ht="14.4" x14ac:dyDescent="0.3"/>
    <row r="36443" ht="14.4" x14ac:dyDescent="0.3"/>
    <row r="36444" ht="14.4" x14ac:dyDescent="0.3"/>
    <row r="36445" ht="14.4" x14ac:dyDescent="0.3"/>
    <row r="36446" ht="14.4" x14ac:dyDescent="0.3"/>
    <row r="36447" ht="14.4" x14ac:dyDescent="0.3"/>
    <row r="36448" ht="14.4" x14ac:dyDescent="0.3"/>
    <row r="36449" ht="14.4" x14ac:dyDescent="0.3"/>
    <row r="36450" ht="14.4" x14ac:dyDescent="0.3"/>
    <row r="36451" ht="14.4" x14ac:dyDescent="0.3"/>
    <row r="36452" ht="14.4" x14ac:dyDescent="0.3"/>
    <row r="36453" ht="14.4" x14ac:dyDescent="0.3"/>
    <row r="36454" ht="14.4" x14ac:dyDescent="0.3"/>
    <row r="36455" ht="14.4" x14ac:dyDescent="0.3"/>
    <row r="36456" ht="14.4" x14ac:dyDescent="0.3"/>
    <row r="36457" ht="14.4" x14ac:dyDescent="0.3"/>
    <row r="36458" ht="14.4" x14ac:dyDescent="0.3"/>
    <row r="36459" ht="14.4" x14ac:dyDescent="0.3"/>
    <row r="36460" ht="14.4" x14ac:dyDescent="0.3"/>
    <row r="36461" ht="14.4" x14ac:dyDescent="0.3"/>
    <row r="36462" ht="14.4" x14ac:dyDescent="0.3"/>
    <row r="36463" ht="14.4" x14ac:dyDescent="0.3"/>
    <row r="36464" ht="14.4" x14ac:dyDescent="0.3"/>
    <row r="36465" ht="14.4" x14ac:dyDescent="0.3"/>
    <row r="36466" ht="14.4" x14ac:dyDescent="0.3"/>
    <row r="36467" ht="14.4" x14ac:dyDescent="0.3"/>
    <row r="36468" ht="14.4" x14ac:dyDescent="0.3"/>
    <row r="36469" ht="14.4" x14ac:dyDescent="0.3"/>
    <row r="36470" ht="14.4" x14ac:dyDescent="0.3"/>
    <row r="36471" ht="14.4" x14ac:dyDescent="0.3"/>
    <row r="36472" ht="14.4" x14ac:dyDescent="0.3"/>
    <row r="36473" ht="14.4" x14ac:dyDescent="0.3"/>
    <row r="36474" ht="14.4" x14ac:dyDescent="0.3"/>
    <row r="36475" ht="14.4" x14ac:dyDescent="0.3"/>
    <row r="36476" ht="14.4" x14ac:dyDescent="0.3"/>
    <row r="36477" ht="14.4" x14ac:dyDescent="0.3"/>
    <row r="36478" ht="14.4" x14ac:dyDescent="0.3"/>
    <row r="36479" ht="14.4" x14ac:dyDescent="0.3"/>
    <row r="36480" ht="14.4" x14ac:dyDescent="0.3"/>
    <row r="36481" ht="14.4" x14ac:dyDescent="0.3"/>
    <row r="36482" ht="14.4" x14ac:dyDescent="0.3"/>
    <row r="36483" ht="14.4" x14ac:dyDescent="0.3"/>
    <row r="36484" ht="14.4" x14ac:dyDescent="0.3"/>
    <row r="36485" ht="14.4" x14ac:dyDescent="0.3"/>
    <row r="36486" ht="14.4" x14ac:dyDescent="0.3"/>
    <row r="36487" ht="14.4" x14ac:dyDescent="0.3"/>
    <row r="36488" ht="14.4" x14ac:dyDescent="0.3"/>
    <row r="36489" ht="14.4" x14ac:dyDescent="0.3"/>
    <row r="36490" ht="14.4" x14ac:dyDescent="0.3"/>
    <row r="36491" ht="14.4" x14ac:dyDescent="0.3"/>
    <row r="36492" ht="14.4" x14ac:dyDescent="0.3"/>
    <row r="36493" ht="14.4" x14ac:dyDescent="0.3"/>
    <row r="36494" ht="14.4" x14ac:dyDescent="0.3"/>
    <row r="36495" ht="14.4" x14ac:dyDescent="0.3"/>
    <row r="36496" ht="14.4" x14ac:dyDescent="0.3"/>
    <row r="36497" ht="14.4" x14ac:dyDescent="0.3"/>
    <row r="36498" ht="14.4" x14ac:dyDescent="0.3"/>
    <row r="36499" ht="14.4" x14ac:dyDescent="0.3"/>
    <row r="36500" ht="14.4" x14ac:dyDescent="0.3"/>
    <row r="36501" ht="14.4" x14ac:dyDescent="0.3"/>
    <row r="36502" ht="14.4" x14ac:dyDescent="0.3"/>
    <row r="36503" ht="14.4" x14ac:dyDescent="0.3"/>
    <row r="36504" ht="14.4" x14ac:dyDescent="0.3"/>
    <row r="36505" ht="14.4" x14ac:dyDescent="0.3"/>
    <row r="36506" ht="14.4" x14ac:dyDescent="0.3"/>
    <row r="36507" ht="14.4" x14ac:dyDescent="0.3"/>
    <row r="36508" ht="14.4" x14ac:dyDescent="0.3"/>
    <row r="36509" ht="14.4" x14ac:dyDescent="0.3"/>
    <row r="36510" ht="14.4" x14ac:dyDescent="0.3"/>
    <row r="36511" ht="14.4" x14ac:dyDescent="0.3"/>
    <row r="36512" ht="14.4" x14ac:dyDescent="0.3"/>
    <row r="36513" ht="14.4" x14ac:dyDescent="0.3"/>
    <row r="36514" ht="14.4" x14ac:dyDescent="0.3"/>
    <row r="36515" ht="14.4" x14ac:dyDescent="0.3"/>
    <row r="36516" ht="14.4" x14ac:dyDescent="0.3"/>
    <row r="36517" ht="14.4" x14ac:dyDescent="0.3"/>
    <row r="36518" ht="14.4" x14ac:dyDescent="0.3"/>
    <row r="36519" ht="14.4" x14ac:dyDescent="0.3"/>
    <row r="36520" ht="14.4" x14ac:dyDescent="0.3"/>
    <row r="36521" ht="14.4" x14ac:dyDescent="0.3"/>
    <row r="36522" ht="14.4" x14ac:dyDescent="0.3"/>
    <row r="36523" ht="14.4" x14ac:dyDescent="0.3"/>
    <row r="36524" ht="14.4" x14ac:dyDescent="0.3"/>
    <row r="36525" ht="14.4" x14ac:dyDescent="0.3"/>
    <row r="36526" ht="14.4" x14ac:dyDescent="0.3"/>
    <row r="36527" ht="14.4" x14ac:dyDescent="0.3"/>
    <row r="36528" ht="14.4" x14ac:dyDescent="0.3"/>
    <row r="36529" ht="14.4" x14ac:dyDescent="0.3"/>
    <row r="36530" ht="14.4" x14ac:dyDescent="0.3"/>
    <row r="36531" ht="14.4" x14ac:dyDescent="0.3"/>
    <row r="36532" ht="14.4" x14ac:dyDescent="0.3"/>
    <row r="36533" ht="14.4" x14ac:dyDescent="0.3"/>
    <row r="36534" ht="14.4" x14ac:dyDescent="0.3"/>
    <row r="36535" ht="14.4" x14ac:dyDescent="0.3"/>
    <row r="36536" ht="14.4" x14ac:dyDescent="0.3"/>
    <row r="36537" ht="14.4" x14ac:dyDescent="0.3"/>
    <row r="36538" ht="14.4" x14ac:dyDescent="0.3"/>
    <row r="36539" ht="14.4" x14ac:dyDescent="0.3"/>
    <row r="36540" ht="14.4" x14ac:dyDescent="0.3"/>
    <row r="36541" ht="14.4" x14ac:dyDescent="0.3"/>
    <row r="36542" ht="14.4" x14ac:dyDescent="0.3"/>
    <row r="36543" ht="14.4" x14ac:dyDescent="0.3"/>
    <row r="36544" ht="14.4" x14ac:dyDescent="0.3"/>
    <row r="36545" ht="14.4" x14ac:dyDescent="0.3"/>
    <row r="36546" ht="14.4" x14ac:dyDescent="0.3"/>
    <row r="36547" ht="14.4" x14ac:dyDescent="0.3"/>
    <row r="36548" ht="14.4" x14ac:dyDescent="0.3"/>
    <row r="36549" ht="14.4" x14ac:dyDescent="0.3"/>
    <row r="36550" ht="14.4" x14ac:dyDescent="0.3"/>
    <row r="36551" ht="14.4" x14ac:dyDescent="0.3"/>
    <row r="36552" ht="14.4" x14ac:dyDescent="0.3"/>
    <row r="36553" ht="14.4" x14ac:dyDescent="0.3"/>
    <row r="36554" ht="14.4" x14ac:dyDescent="0.3"/>
    <row r="36555" ht="14.4" x14ac:dyDescent="0.3"/>
    <row r="36556" ht="14.4" x14ac:dyDescent="0.3"/>
    <row r="36557" ht="14.4" x14ac:dyDescent="0.3"/>
    <row r="36558" ht="14.4" x14ac:dyDescent="0.3"/>
    <row r="36559" ht="14.4" x14ac:dyDescent="0.3"/>
    <row r="36560" ht="14.4" x14ac:dyDescent="0.3"/>
    <row r="36561" ht="14.4" x14ac:dyDescent="0.3"/>
    <row r="36562" ht="14.4" x14ac:dyDescent="0.3"/>
    <row r="36563" ht="14.4" x14ac:dyDescent="0.3"/>
    <row r="36564" ht="14.4" x14ac:dyDescent="0.3"/>
    <row r="36565" ht="14.4" x14ac:dyDescent="0.3"/>
    <row r="36566" ht="14.4" x14ac:dyDescent="0.3"/>
    <row r="36567" ht="14.4" x14ac:dyDescent="0.3"/>
    <row r="36568" ht="14.4" x14ac:dyDescent="0.3"/>
    <row r="36569" ht="14.4" x14ac:dyDescent="0.3"/>
    <row r="36570" ht="14.4" x14ac:dyDescent="0.3"/>
    <row r="36571" ht="14.4" x14ac:dyDescent="0.3"/>
    <row r="36572" ht="14.4" x14ac:dyDescent="0.3"/>
    <row r="36573" ht="14.4" x14ac:dyDescent="0.3"/>
    <row r="36574" ht="14.4" x14ac:dyDescent="0.3"/>
    <row r="36575" ht="14.4" x14ac:dyDescent="0.3"/>
    <row r="36576" ht="14.4" x14ac:dyDescent="0.3"/>
    <row r="36577" ht="14.4" x14ac:dyDescent="0.3"/>
    <row r="36578" ht="14.4" x14ac:dyDescent="0.3"/>
    <row r="36579" ht="14.4" x14ac:dyDescent="0.3"/>
    <row r="36580" ht="14.4" x14ac:dyDescent="0.3"/>
    <row r="36581" ht="14.4" x14ac:dyDescent="0.3"/>
    <row r="36582" ht="14.4" x14ac:dyDescent="0.3"/>
    <row r="36583" ht="14.4" x14ac:dyDescent="0.3"/>
    <row r="36584" ht="14.4" x14ac:dyDescent="0.3"/>
    <row r="36585" ht="14.4" x14ac:dyDescent="0.3"/>
    <row r="36586" ht="14.4" x14ac:dyDescent="0.3"/>
    <row r="36587" ht="14.4" x14ac:dyDescent="0.3"/>
    <row r="36588" ht="14.4" x14ac:dyDescent="0.3"/>
    <row r="36589" ht="14.4" x14ac:dyDescent="0.3"/>
    <row r="36590" ht="14.4" x14ac:dyDescent="0.3"/>
    <row r="36591" ht="14.4" x14ac:dyDescent="0.3"/>
    <row r="36592" ht="14.4" x14ac:dyDescent="0.3"/>
    <row r="36593" ht="14.4" x14ac:dyDescent="0.3"/>
    <row r="36594" ht="14.4" x14ac:dyDescent="0.3"/>
    <row r="36595" ht="14.4" x14ac:dyDescent="0.3"/>
    <row r="36596" ht="14.4" x14ac:dyDescent="0.3"/>
    <row r="36597" ht="14.4" x14ac:dyDescent="0.3"/>
    <row r="36598" ht="14.4" x14ac:dyDescent="0.3"/>
    <row r="36599" ht="14.4" x14ac:dyDescent="0.3"/>
    <row r="36600" ht="14.4" x14ac:dyDescent="0.3"/>
    <row r="36601" ht="14.4" x14ac:dyDescent="0.3"/>
    <row r="36602" ht="14.4" x14ac:dyDescent="0.3"/>
    <row r="36603" ht="14.4" x14ac:dyDescent="0.3"/>
    <row r="36604" ht="14.4" x14ac:dyDescent="0.3"/>
    <row r="36605" ht="14.4" x14ac:dyDescent="0.3"/>
    <row r="36606" ht="14.4" x14ac:dyDescent="0.3"/>
    <row r="36607" ht="14.4" x14ac:dyDescent="0.3"/>
    <row r="36608" ht="14.4" x14ac:dyDescent="0.3"/>
    <row r="36609" ht="14.4" x14ac:dyDescent="0.3"/>
    <row r="36610" ht="14.4" x14ac:dyDescent="0.3"/>
    <row r="36611" ht="14.4" x14ac:dyDescent="0.3"/>
    <row r="36612" ht="14.4" x14ac:dyDescent="0.3"/>
    <row r="36613" ht="14.4" x14ac:dyDescent="0.3"/>
    <row r="36614" ht="14.4" x14ac:dyDescent="0.3"/>
    <row r="36615" ht="14.4" x14ac:dyDescent="0.3"/>
    <row r="36616" ht="14.4" x14ac:dyDescent="0.3"/>
    <row r="36617" ht="14.4" x14ac:dyDescent="0.3"/>
    <row r="36618" ht="14.4" x14ac:dyDescent="0.3"/>
    <row r="36619" ht="14.4" x14ac:dyDescent="0.3"/>
    <row r="36620" ht="14.4" x14ac:dyDescent="0.3"/>
    <row r="36621" ht="14.4" x14ac:dyDescent="0.3"/>
    <row r="36622" ht="14.4" x14ac:dyDescent="0.3"/>
    <row r="36623" ht="14.4" x14ac:dyDescent="0.3"/>
    <row r="36624" ht="14.4" x14ac:dyDescent="0.3"/>
    <row r="36625" ht="14.4" x14ac:dyDescent="0.3"/>
    <row r="36626" ht="14.4" x14ac:dyDescent="0.3"/>
    <row r="36627" ht="14.4" x14ac:dyDescent="0.3"/>
    <row r="36628" ht="14.4" x14ac:dyDescent="0.3"/>
    <row r="36629" ht="14.4" x14ac:dyDescent="0.3"/>
    <row r="36630" ht="14.4" x14ac:dyDescent="0.3"/>
    <row r="36631" ht="14.4" x14ac:dyDescent="0.3"/>
    <row r="36632" ht="14.4" x14ac:dyDescent="0.3"/>
    <row r="36633" ht="14.4" x14ac:dyDescent="0.3"/>
    <row r="36634" ht="14.4" x14ac:dyDescent="0.3"/>
    <row r="36635" ht="14.4" x14ac:dyDescent="0.3"/>
    <row r="36636" ht="14.4" x14ac:dyDescent="0.3"/>
    <row r="36637" ht="14.4" x14ac:dyDescent="0.3"/>
    <row r="36638" ht="14.4" x14ac:dyDescent="0.3"/>
    <row r="36639" ht="14.4" x14ac:dyDescent="0.3"/>
    <row r="36640" ht="14.4" x14ac:dyDescent="0.3"/>
    <row r="36641" ht="14.4" x14ac:dyDescent="0.3"/>
    <row r="36642" ht="14.4" x14ac:dyDescent="0.3"/>
    <row r="36643" ht="14.4" x14ac:dyDescent="0.3"/>
    <row r="36644" ht="14.4" x14ac:dyDescent="0.3"/>
    <row r="36645" ht="14.4" x14ac:dyDescent="0.3"/>
    <row r="36646" ht="14.4" x14ac:dyDescent="0.3"/>
    <row r="36647" ht="14.4" x14ac:dyDescent="0.3"/>
    <row r="36648" ht="14.4" x14ac:dyDescent="0.3"/>
    <row r="36649" ht="14.4" x14ac:dyDescent="0.3"/>
    <row r="36650" ht="14.4" x14ac:dyDescent="0.3"/>
    <row r="36651" ht="14.4" x14ac:dyDescent="0.3"/>
    <row r="36652" ht="14.4" x14ac:dyDescent="0.3"/>
    <row r="36653" ht="14.4" x14ac:dyDescent="0.3"/>
    <row r="36654" ht="14.4" x14ac:dyDescent="0.3"/>
    <row r="36655" ht="14.4" x14ac:dyDescent="0.3"/>
    <row r="36656" ht="14.4" x14ac:dyDescent="0.3"/>
    <row r="36657" ht="14.4" x14ac:dyDescent="0.3"/>
    <row r="36658" ht="14.4" x14ac:dyDescent="0.3"/>
    <row r="36659" ht="14.4" x14ac:dyDescent="0.3"/>
    <row r="36660" ht="14.4" x14ac:dyDescent="0.3"/>
    <row r="36661" ht="14.4" x14ac:dyDescent="0.3"/>
    <row r="36662" ht="14.4" x14ac:dyDescent="0.3"/>
    <row r="36663" ht="14.4" x14ac:dyDescent="0.3"/>
    <row r="36664" ht="14.4" x14ac:dyDescent="0.3"/>
    <row r="36665" ht="14.4" x14ac:dyDescent="0.3"/>
    <row r="36666" ht="14.4" x14ac:dyDescent="0.3"/>
    <row r="36667" ht="14.4" x14ac:dyDescent="0.3"/>
    <row r="36668" ht="14.4" x14ac:dyDescent="0.3"/>
    <row r="36669" ht="14.4" x14ac:dyDescent="0.3"/>
    <row r="36670" ht="14.4" x14ac:dyDescent="0.3"/>
    <row r="36671" ht="14.4" x14ac:dyDescent="0.3"/>
    <row r="36672" ht="14.4" x14ac:dyDescent="0.3"/>
    <row r="36673" ht="14.4" x14ac:dyDescent="0.3"/>
    <row r="36674" ht="14.4" x14ac:dyDescent="0.3"/>
    <row r="36675" ht="14.4" x14ac:dyDescent="0.3"/>
    <row r="36676" ht="14.4" x14ac:dyDescent="0.3"/>
    <row r="36677" ht="14.4" x14ac:dyDescent="0.3"/>
    <row r="36678" ht="14.4" x14ac:dyDescent="0.3"/>
    <row r="36679" ht="14.4" x14ac:dyDescent="0.3"/>
    <row r="36680" ht="14.4" x14ac:dyDescent="0.3"/>
    <row r="36681" ht="14.4" x14ac:dyDescent="0.3"/>
    <row r="36682" ht="14.4" x14ac:dyDescent="0.3"/>
    <row r="36683" ht="14.4" x14ac:dyDescent="0.3"/>
    <row r="36684" ht="14.4" x14ac:dyDescent="0.3"/>
    <row r="36685" ht="14.4" x14ac:dyDescent="0.3"/>
    <row r="36686" ht="14.4" x14ac:dyDescent="0.3"/>
    <row r="36687" ht="14.4" x14ac:dyDescent="0.3"/>
    <row r="36688" ht="14.4" x14ac:dyDescent="0.3"/>
    <row r="36689" ht="14.4" x14ac:dyDescent="0.3"/>
    <row r="36690" ht="14.4" x14ac:dyDescent="0.3"/>
    <row r="36691" ht="14.4" x14ac:dyDescent="0.3"/>
    <row r="36692" ht="14.4" x14ac:dyDescent="0.3"/>
    <row r="36693" ht="14.4" x14ac:dyDescent="0.3"/>
    <row r="36694" ht="14.4" x14ac:dyDescent="0.3"/>
    <row r="36695" ht="14.4" x14ac:dyDescent="0.3"/>
    <row r="36696" ht="14.4" x14ac:dyDescent="0.3"/>
    <row r="36697" ht="14.4" x14ac:dyDescent="0.3"/>
    <row r="36698" ht="14.4" x14ac:dyDescent="0.3"/>
    <row r="36699" ht="14.4" x14ac:dyDescent="0.3"/>
    <row r="36700" ht="14.4" x14ac:dyDescent="0.3"/>
    <row r="36701" ht="14.4" x14ac:dyDescent="0.3"/>
    <row r="36702" ht="14.4" x14ac:dyDescent="0.3"/>
    <row r="36703" ht="14.4" x14ac:dyDescent="0.3"/>
    <row r="36704" ht="14.4" x14ac:dyDescent="0.3"/>
    <row r="36705" ht="14.4" x14ac:dyDescent="0.3"/>
    <row r="36706" ht="14.4" x14ac:dyDescent="0.3"/>
    <row r="36707" ht="14.4" x14ac:dyDescent="0.3"/>
    <row r="36708" ht="14.4" x14ac:dyDescent="0.3"/>
    <row r="36709" ht="14.4" x14ac:dyDescent="0.3"/>
    <row r="36710" ht="14.4" x14ac:dyDescent="0.3"/>
    <row r="36711" ht="14.4" x14ac:dyDescent="0.3"/>
    <row r="36712" ht="14.4" x14ac:dyDescent="0.3"/>
    <row r="36713" ht="14.4" x14ac:dyDescent="0.3"/>
    <row r="36714" ht="14.4" x14ac:dyDescent="0.3"/>
    <row r="36715" ht="14.4" x14ac:dyDescent="0.3"/>
    <row r="36716" ht="14.4" x14ac:dyDescent="0.3"/>
    <row r="36717" ht="14.4" x14ac:dyDescent="0.3"/>
    <row r="36718" ht="14.4" x14ac:dyDescent="0.3"/>
    <row r="36719" ht="14.4" x14ac:dyDescent="0.3"/>
    <row r="36720" ht="14.4" x14ac:dyDescent="0.3"/>
    <row r="36721" ht="14.4" x14ac:dyDescent="0.3"/>
    <row r="36722" ht="14.4" x14ac:dyDescent="0.3"/>
    <row r="36723" ht="14.4" x14ac:dyDescent="0.3"/>
    <row r="36724" ht="14.4" x14ac:dyDescent="0.3"/>
    <row r="36725" ht="14.4" x14ac:dyDescent="0.3"/>
    <row r="36726" ht="14.4" x14ac:dyDescent="0.3"/>
    <row r="36727" ht="14.4" x14ac:dyDescent="0.3"/>
    <row r="36728" ht="14.4" x14ac:dyDescent="0.3"/>
    <row r="36729" ht="14.4" x14ac:dyDescent="0.3"/>
    <row r="36730" ht="14.4" x14ac:dyDescent="0.3"/>
    <row r="36731" ht="14.4" x14ac:dyDescent="0.3"/>
    <row r="36732" ht="14.4" x14ac:dyDescent="0.3"/>
    <row r="36733" ht="14.4" x14ac:dyDescent="0.3"/>
    <row r="36734" ht="14.4" x14ac:dyDescent="0.3"/>
    <row r="36735" ht="14.4" x14ac:dyDescent="0.3"/>
    <row r="36736" ht="14.4" x14ac:dyDescent="0.3"/>
    <row r="36737" ht="14.4" x14ac:dyDescent="0.3"/>
    <row r="36738" ht="14.4" x14ac:dyDescent="0.3"/>
    <row r="36739" ht="14.4" x14ac:dyDescent="0.3"/>
    <row r="36740" ht="14.4" x14ac:dyDescent="0.3"/>
    <row r="36741" ht="14.4" x14ac:dyDescent="0.3"/>
    <row r="36742" ht="14.4" x14ac:dyDescent="0.3"/>
    <row r="36743" ht="14.4" x14ac:dyDescent="0.3"/>
    <row r="36744" ht="14.4" x14ac:dyDescent="0.3"/>
    <row r="36745" ht="14.4" x14ac:dyDescent="0.3"/>
    <row r="36746" ht="14.4" x14ac:dyDescent="0.3"/>
    <row r="36747" ht="14.4" x14ac:dyDescent="0.3"/>
    <row r="36748" ht="14.4" x14ac:dyDescent="0.3"/>
    <row r="36749" ht="14.4" x14ac:dyDescent="0.3"/>
    <row r="36750" ht="14.4" x14ac:dyDescent="0.3"/>
    <row r="36751" ht="14.4" x14ac:dyDescent="0.3"/>
    <row r="36752" ht="14.4" x14ac:dyDescent="0.3"/>
    <row r="36753" ht="14.4" x14ac:dyDescent="0.3"/>
    <row r="36754" ht="14.4" x14ac:dyDescent="0.3"/>
    <row r="36755" ht="14.4" x14ac:dyDescent="0.3"/>
    <row r="36756" ht="14.4" x14ac:dyDescent="0.3"/>
    <row r="36757" ht="14.4" x14ac:dyDescent="0.3"/>
    <row r="36758" ht="14.4" x14ac:dyDescent="0.3"/>
    <row r="36759" ht="14.4" x14ac:dyDescent="0.3"/>
    <row r="36760" ht="14.4" x14ac:dyDescent="0.3"/>
    <row r="36761" ht="14.4" x14ac:dyDescent="0.3"/>
    <row r="36762" ht="14.4" x14ac:dyDescent="0.3"/>
    <row r="36763" ht="14.4" x14ac:dyDescent="0.3"/>
    <row r="36764" ht="14.4" x14ac:dyDescent="0.3"/>
    <row r="36765" ht="14.4" x14ac:dyDescent="0.3"/>
    <row r="36766" ht="14.4" x14ac:dyDescent="0.3"/>
    <row r="36767" ht="14.4" x14ac:dyDescent="0.3"/>
    <row r="36768" ht="14.4" x14ac:dyDescent="0.3"/>
    <row r="36769" ht="14.4" x14ac:dyDescent="0.3"/>
    <row r="36770" ht="14.4" x14ac:dyDescent="0.3"/>
    <row r="36771" ht="14.4" x14ac:dyDescent="0.3"/>
    <row r="36772" ht="14.4" x14ac:dyDescent="0.3"/>
    <row r="36773" ht="14.4" x14ac:dyDescent="0.3"/>
    <row r="36774" ht="14.4" x14ac:dyDescent="0.3"/>
    <row r="36775" ht="14.4" x14ac:dyDescent="0.3"/>
    <row r="36776" ht="14.4" x14ac:dyDescent="0.3"/>
    <row r="36777" ht="14.4" x14ac:dyDescent="0.3"/>
    <row r="36778" ht="14.4" x14ac:dyDescent="0.3"/>
    <row r="36779" ht="14.4" x14ac:dyDescent="0.3"/>
    <row r="36780" ht="14.4" x14ac:dyDescent="0.3"/>
    <row r="36781" ht="14.4" x14ac:dyDescent="0.3"/>
    <row r="36782" ht="14.4" x14ac:dyDescent="0.3"/>
    <row r="36783" ht="14.4" x14ac:dyDescent="0.3"/>
    <row r="36784" ht="14.4" x14ac:dyDescent="0.3"/>
    <row r="36785" ht="14.4" x14ac:dyDescent="0.3"/>
    <row r="36786" ht="14.4" x14ac:dyDescent="0.3"/>
    <row r="36787" ht="14.4" x14ac:dyDescent="0.3"/>
    <row r="36788" ht="14.4" x14ac:dyDescent="0.3"/>
    <row r="36789" ht="14.4" x14ac:dyDescent="0.3"/>
    <row r="36790" ht="14.4" x14ac:dyDescent="0.3"/>
    <row r="36791" ht="14.4" x14ac:dyDescent="0.3"/>
    <row r="36792" ht="14.4" x14ac:dyDescent="0.3"/>
    <row r="36793" ht="14.4" x14ac:dyDescent="0.3"/>
    <row r="36794" ht="14.4" x14ac:dyDescent="0.3"/>
    <row r="36795" ht="14.4" x14ac:dyDescent="0.3"/>
    <row r="36796" ht="14.4" x14ac:dyDescent="0.3"/>
    <row r="36797" ht="14.4" x14ac:dyDescent="0.3"/>
    <row r="36798" ht="14.4" x14ac:dyDescent="0.3"/>
    <row r="36799" ht="14.4" x14ac:dyDescent="0.3"/>
    <row r="36800" ht="14.4" x14ac:dyDescent="0.3"/>
    <row r="36801" ht="14.4" x14ac:dyDescent="0.3"/>
    <row r="36802" ht="14.4" x14ac:dyDescent="0.3"/>
    <row r="36803" ht="14.4" x14ac:dyDescent="0.3"/>
    <row r="36804" ht="14.4" x14ac:dyDescent="0.3"/>
    <row r="36805" ht="14.4" x14ac:dyDescent="0.3"/>
    <row r="36806" ht="14.4" x14ac:dyDescent="0.3"/>
    <row r="36807" ht="14.4" x14ac:dyDescent="0.3"/>
    <row r="36808" ht="14.4" x14ac:dyDescent="0.3"/>
    <row r="36809" ht="14.4" x14ac:dyDescent="0.3"/>
    <row r="36810" ht="14.4" x14ac:dyDescent="0.3"/>
    <row r="36811" ht="14.4" x14ac:dyDescent="0.3"/>
    <row r="36812" ht="14.4" x14ac:dyDescent="0.3"/>
    <row r="36813" ht="14.4" x14ac:dyDescent="0.3"/>
    <row r="36814" ht="14.4" x14ac:dyDescent="0.3"/>
    <row r="36815" ht="14.4" x14ac:dyDescent="0.3"/>
    <row r="36816" ht="14.4" x14ac:dyDescent="0.3"/>
    <row r="36817" ht="14.4" x14ac:dyDescent="0.3"/>
    <row r="36818" ht="14.4" x14ac:dyDescent="0.3"/>
    <row r="36819" ht="14.4" x14ac:dyDescent="0.3"/>
    <row r="36820" ht="14.4" x14ac:dyDescent="0.3"/>
    <row r="36821" ht="14.4" x14ac:dyDescent="0.3"/>
    <row r="36822" ht="14.4" x14ac:dyDescent="0.3"/>
    <row r="36823" ht="14.4" x14ac:dyDescent="0.3"/>
    <row r="36824" ht="14.4" x14ac:dyDescent="0.3"/>
    <row r="36825" ht="14.4" x14ac:dyDescent="0.3"/>
    <row r="36826" ht="14.4" x14ac:dyDescent="0.3"/>
    <row r="36827" ht="14.4" x14ac:dyDescent="0.3"/>
    <row r="36828" ht="14.4" x14ac:dyDescent="0.3"/>
    <row r="36829" ht="14.4" x14ac:dyDescent="0.3"/>
    <row r="36830" ht="14.4" x14ac:dyDescent="0.3"/>
    <row r="36831" ht="14.4" x14ac:dyDescent="0.3"/>
    <row r="36832" ht="14.4" x14ac:dyDescent="0.3"/>
    <row r="36833" ht="14.4" x14ac:dyDescent="0.3"/>
    <row r="36834" ht="14.4" x14ac:dyDescent="0.3"/>
    <row r="36835" ht="14.4" x14ac:dyDescent="0.3"/>
    <row r="36836" ht="14.4" x14ac:dyDescent="0.3"/>
    <row r="36837" ht="14.4" x14ac:dyDescent="0.3"/>
    <row r="36838" ht="14.4" x14ac:dyDescent="0.3"/>
    <row r="36839" ht="14.4" x14ac:dyDescent="0.3"/>
    <row r="36840" ht="14.4" x14ac:dyDescent="0.3"/>
    <row r="36841" ht="14.4" x14ac:dyDescent="0.3"/>
    <row r="36842" ht="14.4" x14ac:dyDescent="0.3"/>
    <row r="36843" ht="14.4" x14ac:dyDescent="0.3"/>
    <row r="36844" ht="14.4" x14ac:dyDescent="0.3"/>
    <row r="36845" ht="14.4" x14ac:dyDescent="0.3"/>
    <row r="36846" ht="14.4" x14ac:dyDescent="0.3"/>
    <row r="36847" ht="14.4" x14ac:dyDescent="0.3"/>
    <row r="36848" ht="14.4" x14ac:dyDescent="0.3"/>
    <row r="36849" ht="14.4" x14ac:dyDescent="0.3"/>
    <row r="36850" ht="14.4" x14ac:dyDescent="0.3"/>
    <row r="36851" ht="14.4" x14ac:dyDescent="0.3"/>
    <row r="36852" ht="14.4" x14ac:dyDescent="0.3"/>
    <row r="36853" ht="14.4" x14ac:dyDescent="0.3"/>
    <row r="36854" ht="14.4" x14ac:dyDescent="0.3"/>
    <row r="36855" ht="14.4" x14ac:dyDescent="0.3"/>
    <row r="36856" ht="14.4" x14ac:dyDescent="0.3"/>
    <row r="36857" ht="14.4" x14ac:dyDescent="0.3"/>
    <row r="36858" ht="14.4" x14ac:dyDescent="0.3"/>
    <row r="36859" ht="14.4" x14ac:dyDescent="0.3"/>
    <row r="36860" ht="14.4" x14ac:dyDescent="0.3"/>
    <row r="36861" ht="14.4" x14ac:dyDescent="0.3"/>
    <row r="36862" ht="14.4" x14ac:dyDescent="0.3"/>
    <row r="36863" ht="14.4" x14ac:dyDescent="0.3"/>
    <row r="36864" ht="14.4" x14ac:dyDescent="0.3"/>
    <row r="36865" ht="14.4" x14ac:dyDescent="0.3"/>
    <row r="36866" ht="14.4" x14ac:dyDescent="0.3"/>
    <row r="36867" ht="14.4" x14ac:dyDescent="0.3"/>
    <row r="36868" ht="14.4" x14ac:dyDescent="0.3"/>
    <row r="36869" ht="14.4" x14ac:dyDescent="0.3"/>
    <row r="36870" ht="14.4" x14ac:dyDescent="0.3"/>
    <row r="36871" ht="14.4" x14ac:dyDescent="0.3"/>
    <row r="36872" ht="14.4" x14ac:dyDescent="0.3"/>
    <row r="36873" ht="14.4" x14ac:dyDescent="0.3"/>
    <row r="36874" ht="14.4" x14ac:dyDescent="0.3"/>
    <row r="36875" ht="14.4" x14ac:dyDescent="0.3"/>
    <row r="36876" ht="14.4" x14ac:dyDescent="0.3"/>
    <row r="36877" ht="14.4" x14ac:dyDescent="0.3"/>
    <row r="36878" ht="14.4" x14ac:dyDescent="0.3"/>
    <row r="36879" ht="14.4" x14ac:dyDescent="0.3"/>
    <row r="36880" ht="14.4" x14ac:dyDescent="0.3"/>
    <row r="36881" ht="14.4" x14ac:dyDescent="0.3"/>
    <row r="36882" ht="14.4" x14ac:dyDescent="0.3"/>
    <row r="36883" ht="14.4" x14ac:dyDescent="0.3"/>
    <row r="36884" ht="14.4" x14ac:dyDescent="0.3"/>
    <row r="36885" ht="14.4" x14ac:dyDescent="0.3"/>
    <row r="36886" ht="14.4" x14ac:dyDescent="0.3"/>
    <row r="36887" ht="14.4" x14ac:dyDescent="0.3"/>
    <row r="36888" ht="14.4" x14ac:dyDescent="0.3"/>
    <row r="36889" ht="14.4" x14ac:dyDescent="0.3"/>
    <row r="36890" ht="14.4" x14ac:dyDescent="0.3"/>
    <row r="36891" ht="14.4" x14ac:dyDescent="0.3"/>
    <row r="36892" ht="14.4" x14ac:dyDescent="0.3"/>
    <row r="36893" ht="14.4" x14ac:dyDescent="0.3"/>
    <row r="36894" ht="14.4" x14ac:dyDescent="0.3"/>
    <row r="36895" ht="14.4" x14ac:dyDescent="0.3"/>
    <row r="36896" ht="14.4" x14ac:dyDescent="0.3"/>
    <row r="36897" ht="14.4" x14ac:dyDescent="0.3"/>
    <row r="36898" ht="14.4" x14ac:dyDescent="0.3"/>
    <row r="36899" ht="14.4" x14ac:dyDescent="0.3"/>
    <row r="36900" ht="14.4" x14ac:dyDescent="0.3"/>
    <row r="36901" ht="14.4" x14ac:dyDescent="0.3"/>
    <row r="36902" ht="14.4" x14ac:dyDescent="0.3"/>
    <row r="36903" ht="14.4" x14ac:dyDescent="0.3"/>
    <row r="36904" ht="14.4" x14ac:dyDescent="0.3"/>
    <row r="36905" ht="14.4" x14ac:dyDescent="0.3"/>
    <row r="36906" ht="14.4" x14ac:dyDescent="0.3"/>
    <row r="36907" ht="14.4" x14ac:dyDescent="0.3"/>
    <row r="36908" ht="14.4" x14ac:dyDescent="0.3"/>
    <row r="36909" ht="14.4" x14ac:dyDescent="0.3"/>
    <row r="36910" ht="14.4" x14ac:dyDescent="0.3"/>
    <row r="36911" ht="14.4" x14ac:dyDescent="0.3"/>
    <row r="36912" ht="14.4" x14ac:dyDescent="0.3"/>
    <row r="36913" ht="14.4" x14ac:dyDescent="0.3"/>
    <row r="36914" ht="14.4" x14ac:dyDescent="0.3"/>
    <row r="36915" ht="14.4" x14ac:dyDescent="0.3"/>
    <row r="36916" ht="14.4" x14ac:dyDescent="0.3"/>
    <row r="36917" ht="14.4" x14ac:dyDescent="0.3"/>
    <row r="36918" ht="14.4" x14ac:dyDescent="0.3"/>
    <row r="36919" ht="14.4" x14ac:dyDescent="0.3"/>
    <row r="36920" ht="14.4" x14ac:dyDescent="0.3"/>
    <row r="36921" ht="14.4" x14ac:dyDescent="0.3"/>
    <row r="36922" ht="14.4" x14ac:dyDescent="0.3"/>
    <row r="36923" ht="14.4" x14ac:dyDescent="0.3"/>
    <row r="36924" ht="14.4" x14ac:dyDescent="0.3"/>
    <row r="36925" ht="14.4" x14ac:dyDescent="0.3"/>
    <row r="36926" ht="14.4" x14ac:dyDescent="0.3"/>
    <row r="36927" ht="14.4" x14ac:dyDescent="0.3"/>
    <row r="36928" ht="14.4" x14ac:dyDescent="0.3"/>
    <row r="36929" ht="14.4" x14ac:dyDescent="0.3"/>
    <row r="36930" ht="14.4" x14ac:dyDescent="0.3"/>
    <row r="36931" ht="14.4" x14ac:dyDescent="0.3"/>
    <row r="36932" ht="14.4" x14ac:dyDescent="0.3"/>
    <row r="36933" ht="14.4" x14ac:dyDescent="0.3"/>
    <row r="36934" ht="14.4" x14ac:dyDescent="0.3"/>
    <row r="36935" ht="14.4" x14ac:dyDescent="0.3"/>
    <row r="36936" ht="14.4" x14ac:dyDescent="0.3"/>
    <row r="36937" ht="14.4" x14ac:dyDescent="0.3"/>
    <row r="36938" ht="14.4" x14ac:dyDescent="0.3"/>
    <row r="36939" ht="14.4" x14ac:dyDescent="0.3"/>
    <row r="36940" ht="14.4" x14ac:dyDescent="0.3"/>
    <row r="36941" ht="14.4" x14ac:dyDescent="0.3"/>
    <row r="36942" ht="14.4" x14ac:dyDescent="0.3"/>
    <row r="36943" ht="14.4" x14ac:dyDescent="0.3"/>
    <row r="36944" ht="14.4" x14ac:dyDescent="0.3"/>
    <row r="36945" ht="14.4" x14ac:dyDescent="0.3"/>
    <row r="36946" ht="14.4" x14ac:dyDescent="0.3"/>
    <row r="36947" ht="14.4" x14ac:dyDescent="0.3"/>
    <row r="36948" ht="14.4" x14ac:dyDescent="0.3"/>
    <row r="36949" ht="14.4" x14ac:dyDescent="0.3"/>
    <row r="36950" ht="14.4" x14ac:dyDescent="0.3"/>
    <row r="36951" ht="14.4" x14ac:dyDescent="0.3"/>
    <row r="36952" ht="14.4" x14ac:dyDescent="0.3"/>
    <row r="36953" ht="14.4" x14ac:dyDescent="0.3"/>
    <row r="36954" ht="14.4" x14ac:dyDescent="0.3"/>
    <row r="36955" ht="14.4" x14ac:dyDescent="0.3"/>
    <row r="36956" ht="14.4" x14ac:dyDescent="0.3"/>
    <row r="36957" ht="14.4" x14ac:dyDescent="0.3"/>
    <row r="36958" ht="14.4" x14ac:dyDescent="0.3"/>
    <row r="36959" ht="14.4" x14ac:dyDescent="0.3"/>
    <row r="36960" ht="14.4" x14ac:dyDescent="0.3"/>
    <row r="36961" ht="14.4" x14ac:dyDescent="0.3"/>
    <row r="36962" ht="14.4" x14ac:dyDescent="0.3"/>
    <row r="36963" ht="14.4" x14ac:dyDescent="0.3"/>
    <row r="36964" ht="14.4" x14ac:dyDescent="0.3"/>
    <row r="36965" ht="14.4" x14ac:dyDescent="0.3"/>
    <row r="36966" ht="14.4" x14ac:dyDescent="0.3"/>
    <row r="36967" ht="14.4" x14ac:dyDescent="0.3"/>
    <row r="36968" ht="14.4" x14ac:dyDescent="0.3"/>
    <row r="36969" ht="14.4" x14ac:dyDescent="0.3"/>
    <row r="36970" ht="14.4" x14ac:dyDescent="0.3"/>
    <row r="36971" ht="14.4" x14ac:dyDescent="0.3"/>
    <row r="36972" ht="14.4" x14ac:dyDescent="0.3"/>
    <row r="36973" ht="14.4" x14ac:dyDescent="0.3"/>
    <row r="36974" ht="14.4" x14ac:dyDescent="0.3"/>
    <row r="36975" ht="14.4" x14ac:dyDescent="0.3"/>
    <row r="36976" ht="14.4" x14ac:dyDescent="0.3"/>
    <row r="36977" spans="1:43" ht="14.4" x14ac:dyDescent="0.3"/>
    <row r="36978" spans="1:43" ht="14.4" x14ac:dyDescent="0.3"/>
    <row r="36979" spans="1:43" ht="14.4" x14ac:dyDescent="0.3"/>
    <row r="36980" spans="1:43" ht="14.4" x14ac:dyDescent="0.3"/>
    <row r="36981" spans="1:43" ht="14.4" x14ac:dyDescent="0.3"/>
    <row r="36982" spans="1:43" ht="14.4" x14ac:dyDescent="0.3"/>
    <row r="36983" spans="1:43" ht="14.4" x14ac:dyDescent="0.3"/>
    <row r="36984" spans="1:43" ht="14.4" x14ac:dyDescent="0.3"/>
    <row r="36985" spans="1:43" ht="14.4" x14ac:dyDescent="0.3"/>
    <row r="36986" spans="1:43" ht="14.4" x14ac:dyDescent="0.3"/>
    <row r="36987" spans="1:43" ht="14.4" x14ac:dyDescent="0.3"/>
    <row r="36988" spans="1:43" ht="14.4" x14ac:dyDescent="0.3"/>
    <row r="36989" spans="1:43" ht="14.4" hidden="1" x14ac:dyDescent="0.3">
      <c r="A36989" t="s">
        <v>5161</v>
      </c>
      <c r="B36989">
        <v>4892148</v>
      </c>
      <c r="C36989" t="s">
        <v>842</v>
      </c>
      <c r="D36989" t="s">
        <v>843</v>
      </c>
      <c r="E36989" t="s">
        <v>864</v>
      </c>
      <c r="F36989" t="s">
        <v>959</v>
      </c>
      <c r="H36989" t="s">
        <v>244</v>
      </c>
      <c r="J36989" t="s">
        <v>140</v>
      </c>
      <c r="K36989">
        <v>161070.66</v>
      </c>
      <c r="L36989">
        <v>383284.3</v>
      </c>
      <c r="M36989">
        <v>1</v>
      </c>
      <c r="N36989" t="s">
        <v>3289</v>
      </c>
      <c r="O36989" t="s">
        <v>1544</v>
      </c>
      <c r="P36989" t="s">
        <v>1986</v>
      </c>
      <c r="Q36989" t="s">
        <v>144</v>
      </c>
      <c r="S36989">
        <v>27</v>
      </c>
      <c r="T36989">
        <v>0</v>
      </c>
      <c r="V36989" t="s">
        <v>146</v>
      </c>
      <c r="W36989" t="s">
        <v>415</v>
      </c>
      <c r="X36989" t="s">
        <v>7</v>
      </c>
      <c r="Y36989" t="s">
        <v>3290</v>
      </c>
      <c r="Z36989" t="s">
        <v>1544</v>
      </c>
      <c r="AA36989" t="s">
        <v>752</v>
      </c>
      <c r="AB36989">
        <v>0</v>
      </c>
      <c r="AE36989" t="s">
        <v>1460</v>
      </c>
      <c r="AF36989" t="s">
        <v>1544</v>
      </c>
      <c r="AG36989" t="s">
        <v>1090</v>
      </c>
      <c r="AL36989" t="s">
        <v>5162</v>
      </c>
      <c r="AM36989" t="s">
        <v>5163</v>
      </c>
      <c r="AN36989" t="s">
        <v>5164</v>
      </c>
      <c r="AO36989" t="s">
        <v>3289</v>
      </c>
      <c r="AQ36989">
        <f>IF(ISBLANK(AP36989), IFERROR(IF(VLOOKUP(AO36989, Ellens_additions!$A$2:$B$252, 2, FALSE) = "", "", VLOOKUP(AO36989, Ellens_additions!$A$2:$B$252, 2, FALSE)), 0), AP36989)</f>
        <v>0</v>
      </c>
    </row>
    <row r="36990" spans="1:43" ht="14.4" x14ac:dyDescent="0.3"/>
    <row r="36991" spans="1:43" ht="14.4" x14ac:dyDescent="0.3"/>
    <row r="36992" spans="1:43" ht="14.4" x14ac:dyDescent="0.3"/>
    <row r="36993" ht="14.4" x14ac:dyDescent="0.3"/>
    <row r="36994" ht="14.4" x14ac:dyDescent="0.3"/>
    <row r="36995" ht="14.4" x14ac:dyDescent="0.3"/>
    <row r="36996" ht="14.4" x14ac:dyDescent="0.3"/>
    <row r="36997" ht="14.4" x14ac:dyDescent="0.3"/>
    <row r="36998" ht="14.4" x14ac:dyDescent="0.3"/>
    <row r="36999" ht="14.4" x14ac:dyDescent="0.3"/>
    <row r="37000" ht="14.4" x14ac:dyDescent="0.3"/>
    <row r="37001" ht="14.4" x14ac:dyDescent="0.3"/>
    <row r="37002" ht="14.4" x14ac:dyDescent="0.3"/>
    <row r="37003" ht="14.4" x14ac:dyDescent="0.3"/>
    <row r="37004" ht="14.4" x14ac:dyDescent="0.3"/>
    <row r="37005" ht="14.4" x14ac:dyDescent="0.3"/>
    <row r="37006" ht="14.4" x14ac:dyDescent="0.3"/>
    <row r="37007" ht="14.4" x14ac:dyDescent="0.3"/>
    <row r="37008" ht="14.4" x14ac:dyDescent="0.3"/>
    <row r="37009" ht="14.4" x14ac:dyDescent="0.3"/>
    <row r="37010" ht="14.4" x14ac:dyDescent="0.3"/>
    <row r="37011" ht="14.4" x14ac:dyDescent="0.3"/>
    <row r="37012" ht="14.4" x14ac:dyDescent="0.3"/>
    <row r="37013" ht="14.4" x14ac:dyDescent="0.3"/>
    <row r="37014" ht="14.4" x14ac:dyDescent="0.3"/>
    <row r="37015" ht="14.4" x14ac:dyDescent="0.3"/>
    <row r="37016" ht="14.4" x14ac:dyDescent="0.3"/>
    <row r="37017" ht="14.4" x14ac:dyDescent="0.3"/>
    <row r="37018" ht="14.4" x14ac:dyDescent="0.3"/>
    <row r="37019" ht="14.4" x14ac:dyDescent="0.3"/>
    <row r="37020" ht="14.4" x14ac:dyDescent="0.3"/>
    <row r="37021" ht="14.4" x14ac:dyDescent="0.3"/>
    <row r="37022" ht="14.4" x14ac:dyDescent="0.3"/>
    <row r="37023" ht="14.4" x14ac:dyDescent="0.3"/>
    <row r="37024" ht="14.4" x14ac:dyDescent="0.3"/>
    <row r="37025" spans="1:43" ht="14.4" x14ac:dyDescent="0.3"/>
    <row r="37026" spans="1:43" ht="14.4" x14ac:dyDescent="0.3"/>
    <row r="37027" spans="1:43" ht="14.4" x14ac:dyDescent="0.3"/>
    <row r="37028" spans="1:43" ht="14.4" x14ac:dyDescent="0.3"/>
    <row r="37029" spans="1:43" ht="14.4" x14ac:dyDescent="0.3"/>
    <row r="37030" spans="1:43" ht="14.4" hidden="1" x14ac:dyDescent="0.3">
      <c r="A37030" t="s">
        <v>5165</v>
      </c>
      <c r="B37030">
        <v>4892269</v>
      </c>
      <c r="C37030" t="s">
        <v>842</v>
      </c>
      <c r="D37030" t="s">
        <v>843</v>
      </c>
      <c r="E37030" t="s">
        <v>864</v>
      </c>
      <c r="F37030" t="s">
        <v>1084</v>
      </c>
      <c r="H37030" t="s">
        <v>408</v>
      </c>
      <c r="J37030" t="s">
        <v>140</v>
      </c>
      <c r="K37030">
        <v>161061.65100000001</v>
      </c>
      <c r="L37030">
        <v>383434.67200000002</v>
      </c>
      <c r="M37030">
        <v>1</v>
      </c>
      <c r="N37030" t="s">
        <v>1261</v>
      </c>
      <c r="O37030" t="s">
        <v>1548</v>
      </c>
      <c r="P37030" t="s">
        <v>3301</v>
      </c>
      <c r="Q37030" t="s">
        <v>761</v>
      </c>
      <c r="R37030" t="s">
        <v>145</v>
      </c>
      <c r="S37030">
        <v>58</v>
      </c>
      <c r="T37030">
        <v>5150</v>
      </c>
      <c r="V37030" t="s">
        <v>848</v>
      </c>
      <c r="W37030" t="s">
        <v>415</v>
      </c>
      <c r="X37030" t="s">
        <v>7</v>
      </c>
      <c r="Y37030" t="s">
        <v>3296</v>
      </c>
      <c r="Z37030" t="s">
        <v>736</v>
      </c>
      <c r="AA37030" t="s">
        <v>519</v>
      </c>
      <c r="AB37030">
        <v>0</v>
      </c>
      <c r="AC37030" t="s">
        <v>3297</v>
      </c>
      <c r="AE37030" t="s">
        <v>1496</v>
      </c>
      <c r="AF37030" t="s">
        <v>736</v>
      </c>
      <c r="AG37030" t="s">
        <v>519</v>
      </c>
      <c r="AL37030" t="s">
        <v>5166</v>
      </c>
      <c r="AM37030" t="s">
        <v>5167</v>
      </c>
      <c r="AN37030" t="s">
        <v>5168</v>
      </c>
      <c r="AO37030" t="s">
        <v>1261</v>
      </c>
      <c r="AP37030" t="s">
        <v>158</v>
      </c>
      <c r="AQ37030" t="str">
        <f>IF(ISBLANK(AP37030), IFERROR(IF(VLOOKUP(AO37030, Ellens_additions!$A$2:$B$252, 2, FALSE) = "", "", VLOOKUP(AO37030, Ellens_additions!$A$2:$B$252, 2, FALSE)), 0), AP37030)</f>
        <v>3000</v>
      </c>
    </row>
    <row r="37031" spans="1:43" ht="14.4" hidden="1" x14ac:dyDescent="0.3">
      <c r="A37031" t="s">
        <v>5169</v>
      </c>
      <c r="B37031">
        <v>4892277</v>
      </c>
      <c r="C37031" t="s">
        <v>842</v>
      </c>
      <c r="D37031" t="s">
        <v>843</v>
      </c>
      <c r="E37031" t="s">
        <v>864</v>
      </c>
      <c r="F37031" t="s">
        <v>1084</v>
      </c>
      <c r="H37031" t="s">
        <v>482</v>
      </c>
      <c r="J37031" t="s">
        <v>140</v>
      </c>
      <c r="K37031">
        <v>161074.47700000001</v>
      </c>
      <c r="L37031">
        <v>383442.505</v>
      </c>
      <c r="M37031">
        <v>1</v>
      </c>
      <c r="N37031" t="s">
        <v>1856</v>
      </c>
      <c r="O37031" t="s">
        <v>216</v>
      </c>
      <c r="P37031" t="s">
        <v>3303</v>
      </c>
      <c r="Q37031" t="s">
        <v>761</v>
      </c>
      <c r="R37031" t="s">
        <v>145</v>
      </c>
      <c r="S37031">
        <v>58</v>
      </c>
      <c r="T37031">
        <v>0</v>
      </c>
      <c r="V37031" t="s">
        <v>848</v>
      </c>
      <c r="W37031" t="s">
        <v>415</v>
      </c>
      <c r="X37031" t="s">
        <v>7</v>
      </c>
      <c r="Y37031" t="s">
        <v>3296</v>
      </c>
      <c r="Z37031" t="s">
        <v>736</v>
      </c>
      <c r="AA37031" t="s">
        <v>519</v>
      </c>
      <c r="AB37031">
        <v>0</v>
      </c>
      <c r="AC37031" t="s">
        <v>3297</v>
      </c>
      <c r="AE37031" t="s">
        <v>1496</v>
      </c>
      <c r="AF37031" t="s">
        <v>736</v>
      </c>
      <c r="AG37031" t="s">
        <v>519</v>
      </c>
      <c r="AL37031" t="s">
        <v>5170</v>
      </c>
      <c r="AM37031" t="s">
        <v>5171</v>
      </c>
      <c r="AN37031" t="s">
        <v>5172</v>
      </c>
      <c r="AO37031" t="s">
        <v>1856</v>
      </c>
      <c r="AQ37031" t="str">
        <f>IF(ISBLANK(AP37031), IFERROR(IF(VLOOKUP(AO37031, Ellens_additions!$A$2:$B$252, 2, FALSE) = "", "", VLOOKUP(AO37031, Ellens_additions!$A$2:$B$252, 2, FALSE)), 0), AP37031)</f>
        <v/>
      </c>
    </row>
    <row r="37032" spans="1:43" ht="14.4" hidden="1" x14ac:dyDescent="0.3">
      <c r="A37032" t="s">
        <v>5169</v>
      </c>
      <c r="B37032">
        <v>4892278</v>
      </c>
      <c r="C37032" t="s">
        <v>842</v>
      </c>
      <c r="D37032" t="s">
        <v>843</v>
      </c>
      <c r="E37032" t="s">
        <v>864</v>
      </c>
      <c r="F37032" t="s">
        <v>1084</v>
      </c>
      <c r="H37032" t="s">
        <v>482</v>
      </c>
      <c r="J37032" t="s">
        <v>140</v>
      </c>
      <c r="K37032">
        <v>161074.47700000001</v>
      </c>
      <c r="L37032">
        <v>383442.505</v>
      </c>
      <c r="M37032">
        <v>2</v>
      </c>
      <c r="N37032" t="s">
        <v>1856</v>
      </c>
      <c r="O37032" t="s">
        <v>216</v>
      </c>
      <c r="P37032" t="s">
        <v>3303</v>
      </c>
      <c r="Q37032" t="s">
        <v>761</v>
      </c>
      <c r="R37032" t="s">
        <v>145</v>
      </c>
      <c r="S37032">
        <v>58</v>
      </c>
      <c r="T37032">
        <v>0</v>
      </c>
      <c r="V37032" t="s">
        <v>848</v>
      </c>
      <c r="W37032" t="s">
        <v>415</v>
      </c>
      <c r="X37032" t="s">
        <v>7</v>
      </c>
      <c r="Y37032" t="s">
        <v>3296</v>
      </c>
      <c r="Z37032" t="s">
        <v>736</v>
      </c>
      <c r="AA37032" t="s">
        <v>519</v>
      </c>
      <c r="AB37032">
        <v>0</v>
      </c>
      <c r="AC37032" t="s">
        <v>3297</v>
      </c>
      <c r="AE37032" t="s">
        <v>1496</v>
      </c>
      <c r="AF37032" t="s">
        <v>736</v>
      </c>
      <c r="AG37032" t="s">
        <v>519</v>
      </c>
      <c r="AL37032" t="s">
        <v>5170</v>
      </c>
      <c r="AM37032" t="s">
        <v>5171</v>
      </c>
      <c r="AN37032" t="s">
        <v>5172</v>
      </c>
      <c r="AO37032" t="s">
        <v>1856</v>
      </c>
      <c r="AQ37032" t="str">
        <f>IF(ISBLANK(AP37032), IFERROR(IF(VLOOKUP(AO37032, Ellens_additions!$A$2:$B$252, 2, FALSE) = "", "", VLOOKUP(AO37032, Ellens_additions!$A$2:$B$252, 2, FALSE)), 0), AP37032)</f>
        <v/>
      </c>
    </row>
    <row r="37033" spans="1:43" ht="14.4" hidden="1" x14ac:dyDescent="0.3">
      <c r="A37033" t="s">
        <v>5169</v>
      </c>
      <c r="B37033">
        <v>4892279</v>
      </c>
      <c r="C37033" t="s">
        <v>842</v>
      </c>
      <c r="D37033" t="s">
        <v>843</v>
      </c>
      <c r="E37033" t="s">
        <v>864</v>
      </c>
      <c r="F37033" t="s">
        <v>1084</v>
      </c>
      <c r="H37033" t="s">
        <v>482</v>
      </c>
      <c r="J37033" t="s">
        <v>140</v>
      </c>
      <c r="K37033">
        <v>161074.47700000001</v>
      </c>
      <c r="L37033">
        <v>383442.505</v>
      </c>
      <c r="M37033">
        <v>3</v>
      </c>
      <c r="N37033" t="s">
        <v>871</v>
      </c>
      <c r="O37033" t="s">
        <v>216</v>
      </c>
      <c r="P37033" t="s">
        <v>3303</v>
      </c>
      <c r="Q37033" t="s">
        <v>761</v>
      </c>
      <c r="R37033" t="s">
        <v>145</v>
      </c>
      <c r="S37033">
        <v>36</v>
      </c>
      <c r="T37033">
        <v>3350</v>
      </c>
      <c r="V37033" t="s">
        <v>848</v>
      </c>
      <c r="W37033" t="s">
        <v>415</v>
      </c>
      <c r="X37033" t="s">
        <v>7</v>
      </c>
      <c r="Y37033" t="s">
        <v>3296</v>
      </c>
      <c r="Z37033" t="s">
        <v>736</v>
      </c>
      <c r="AA37033" t="s">
        <v>519</v>
      </c>
      <c r="AB37033">
        <v>0</v>
      </c>
      <c r="AC37033" t="s">
        <v>3297</v>
      </c>
      <c r="AE37033" t="s">
        <v>1496</v>
      </c>
      <c r="AF37033" t="s">
        <v>736</v>
      </c>
      <c r="AG37033" t="s">
        <v>519</v>
      </c>
      <c r="AL37033" t="s">
        <v>5170</v>
      </c>
      <c r="AM37033" t="s">
        <v>5171</v>
      </c>
      <c r="AN37033" t="s">
        <v>5172</v>
      </c>
      <c r="AO37033" t="s">
        <v>871</v>
      </c>
      <c r="AQ37033" t="str">
        <f>IF(ISBLANK(AP37033), IFERROR(IF(VLOOKUP(AO37033, Ellens_additions!$A$2:$B$252, 2, FALSE) = "", "", VLOOKUP(AO37033, Ellens_additions!$A$2:$B$252, 2, FALSE)), 0), AP37033)</f>
        <v/>
      </c>
    </row>
    <row r="37034" spans="1:43" ht="14.4" hidden="1" x14ac:dyDescent="0.3">
      <c r="A37034" t="s">
        <v>3307</v>
      </c>
      <c r="B37034">
        <v>4892280</v>
      </c>
      <c r="C37034" t="s">
        <v>842</v>
      </c>
      <c r="D37034" t="s">
        <v>843</v>
      </c>
      <c r="E37034" t="s">
        <v>864</v>
      </c>
      <c r="F37034" t="s">
        <v>1084</v>
      </c>
      <c r="H37034" t="s">
        <v>300</v>
      </c>
      <c r="J37034" t="s">
        <v>140</v>
      </c>
      <c r="K37034">
        <v>161065.02600000001</v>
      </c>
      <c r="L37034">
        <v>383448.44799999997</v>
      </c>
      <c r="M37034">
        <v>1</v>
      </c>
      <c r="N37034" t="s">
        <v>1856</v>
      </c>
      <c r="O37034" t="s">
        <v>216</v>
      </c>
      <c r="P37034" t="s">
        <v>3303</v>
      </c>
      <c r="Q37034" t="s">
        <v>761</v>
      </c>
      <c r="R37034" t="s">
        <v>145</v>
      </c>
      <c r="S37034">
        <v>58</v>
      </c>
      <c r="T37034">
        <v>0</v>
      </c>
      <c r="V37034" t="s">
        <v>848</v>
      </c>
      <c r="W37034" t="s">
        <v>415</v>
      </c>
      <c r="X37034" t="s">
        <v>7</v>
      </c>
      <c r="Y37034" t="s">
        <v>3296</v>
      </c>
      <c r="Z37034" t="s">
        <v>736</v>
      </c>
      <c r="AA37034" t="s">
        <v>519</v>
      </c>
      <c r="AB37034">
        <v>0</v>
      </c>
      <c r="AC37034" t="s">
        <v>3297</v>
      </c>
      <c r="AE37034" t="s">
        <v>1496</v>
      </c>
      <c r="AF37034" t="s">
        <v>736</v>
      </c>
      <c r="AG37034" t="s">
        <v>519</v>
      </c>
      <c r="AL37034" t="s">
        <v>3308</v>
      </c>
      <c r="AM37034" t="s">
        <v>3309</v>
      </c>
      <c r="AN37034" t="s">
        <v>3310</v>
      </c>
      <c r="AO37034" t="s">
        <v>1856</v>
      </c>
      <c r="AQ37034" t="str">
        <f>IF(ISBLANK(AP37034), IFERROR(IF(VLOOKUP(AO37034, Ellens_additions!$A$2:$B$252, 2, FALSE) = "", "", VLOOKUP(AO37034, Ellens_additions!$A$2:$B$252, 2, FALSE)), 0), AP37034)</f>
        <v/>
      </c>
    </row>
    <row r="37035" spans="1:43" ht="14.4" hidden="1" x14ac:dyDescent="0.3">
      <c r="A37035" t="s">
        <v>3319</v>
      </c>
      <c r="B37035">
        <v>4892293</v>
      </c>
      <c r="C37035" t="s">
        <v>842</v>
      </c>
      <c r="D37035" t="s">
        <v>843</v>
      </c>
      <c r="E37035" t="s">
        <v>864</v>
      </c>
      <c r="F37035" t="s">
        <v>1084</v>
      </c>
      <c r="H37035" t="s">
        <v>483</v>
      </c>
      <c r="J37035" t="s">
        <v>140</v>
      </c>
      <c r="K37035">
        <v>161080.35</v>
      </c>
      <c r="L37035">
        <v>383458.17200000002</v>
      </c>
      <c r="M37035">
        <v>2</v>
      </c>
      <c r="N37035" t="s">
        <v>1856</v>
      </c>
      <c r="O37035" t="s">
        <v>216</v>
      </c>
      <c r="P37035" t="s">
        <v>3303</v>
      </c>
      <c r="Q37035" t="s">
        <v>761</v>
      </c>
      <c r="R37035" t="s">
        <v>145</v>
      </c>
      <c r="S37035">
        <v>58</v>
      </c>
      <c r="T37035">
        <v>0</v>
      </c>
      <c r="V37035" t="s">
        <v>848</v>
      </c>
      <c r="W37035" t="s">
        <v>415</v>
      </c>
      <c r="X37035" t="s">
        <v>7</v>
      </c>
      <c r="Y37035" t="s">
        <v>3296</v>
      </c>
      <c r="Z37035" t="s">
        <v>736</v>
      </c>
      <c r="AA37035" t="s">
        <v>519</v>
      </c>
      <c r="AB37035">
        <v>0</v>
      </c>
      <c r="AC37035" t="s">
        <v>3297</v>
      </c>
      <c r="AE37035" t="s">
        <v>1496</v>
      </c>
      <c r="AF37035" t="s">
        <v>736</v>
      </c>
      <c r="AG37035" t="s">
        <v>519</v>
      </c>
      <c r="AL37035" t="s">
        <v>3320</v>
      </c>
      <c r="AM37035" t="s">
        <v>3321</v>
      </c>
      <c r="AN37035" t="s">
        <v>3322</v>
      </c>
      <c r="AO37035" t="s">
        <v>1856</v>
      </c>
      <c r="AQ37035" t="str">
        <f>IF(ISBLANK(AP37035), IFERROR(IF(VLOOKUP(AO37035, Ellens_additions!$A$2:$B$252, 2, FALSE) = "", "", VLOOKUP(AO37035, Ellens_additions!$A$2:$B$252, 2, FALSE)), 0), AP37035)</f>
        <v/>
      </c>
    </row>
    <row r="37036" spans="1:43" ht="14.4" hidden="1" x14ac:dyDescent="0.3">
      <c r="A37036" t="s">
        <v>3319</v>
      </c>
      <c r="B37036">
        <v>4892294</v>
      </c>
      <c r="C37036" t="s">
        <v>842</v>
      </c>
      <c r="D37036" t="s">
        <v>843</v>
      </c>
      <c r="E37036" t="s">
        <v>864</v>
      </c>
      <c r="F37036" t="s">
        <v>1084</v>
      </c>
      <c r="H37036" t="s">
        <v>483</v>
      </c>
      <c r="J37036" t="s">
        <v>140</v>
      </c>
      <c r="K37036">
        <v>161080.35</v>
      </c>
      <c r="L37036">
        <v>383458.17200000002</v>
      </c>
      <c r="M37036">
        <v>3</v>
      </c>
      <c r="N37036" t="s">
        <v>871</v>
      </c>
      <c r="O37036" t="s">
        <v>216</v>
      </c>
      <c r="P37036" t="s">
        <v>3303</v>
      </c>
      <c r="Q37036" t="s">
        <v>761</v>
      </c>
      <c r="R37036" t="s">
        <v>145</v>
      </c>
      <c r="S37036">
        <v>36</v>
      </c>
      <c r="T37036">
        <v>3350</v>
      </c>
      <c r="V37036" t="s">
        <v>848</v>
      </c>
      <c r="W37036" t="s">
        <v>415</v>
      </c>
      <c r="X37036" t="s">
        <v>7</v>
      </c>
      <c r="Y37036" t="s">
        <v>3296</v>
      </c>
      <c r="Z37036" t="s">
        <v>736</v>
      </c>
      <c r="AA37036" t="s">
        <v>519</v>
      </c>
      <c r="AB37036">
        <v>0</v>
      </c>
      <c r="AC37036" t="s">
        <v>3297</v>
      </c>
      <c r="AE37036" t="s">
        <v>1496</v>
      </c>
      <c r="AF37036" t="s">
        <v>736</v>
      </c>
      <c r="AG37036" t="s">
        <v>519</v>
      </c>
      <c r="AL37036" t="s">
        <v>3320</v>
      </c>
      <c r="AM37036" t="s">
        <v>3321</v>
      </c>
      <c r="AN37036" t="s">
        <v>3322</v>
      </c>
      <c r="AO37036" t="s">
        <v>871</v>
      </c>
      <c r="AQ37036" t="str">
        <f>IF(ISBLANK(AP37036), IFERROR(IF(VLOOKUP(AO37036, Ellens_additions!$A$2:$B$252, 2, FALSE) = "", "", VLOOKUP(AO37036, Ellens_additions!$A$2:$B$252, 2, FALSE)), 0), AP37036)</f>
        <v/>
      </c>
    </row>
    <row r="37037" spans="1:43" ht="14.4" hidden="1" x14ac:dyDescent="0.3">
      <c r="A37037" t="s">
        <v>5173</v>
      </c>
      <c r="B37037">
        <v>4892296</v>
      </c>
      <c r="C37037" t="s">
        <v>842</v>
      </c>
      <c r="D37037" t="s">
        <v>843</v>
      </c>
      <c r="E37037" t="s">
        <v>864</v>
      </c>
      <c r="F37037" t="s">
        <v>1084</v>
      </c>
      <c r="H37037" t="s">
        <v>139</v>
      </c>
      <c r="J37037" t="s">
        <v>140</v>
      </c>
      <c r="K37037">
        <v>161070.967</v>
      </c>
      <c r="L37037">
        <v>383466.68099999998</v>
      </c>
      <c r="M37037">
        <v>2</v>
      </c>
      <c r="N37037" t="s">
        <v>1856</v>
      </c>
      <c r="O37037" t="s">
        <v>216</v>
      </c>
      <c r="P37037" t="s">
        <v>3303</v>
      </c>
      <c r="Q37037" t="s">
        <v>761</v>
      </c>
      <c r="R37037" t="s">
        <v>145</v>
      </c>
      <c r="S37037">
        <v>58</v>
      </c>
      <c r="T37037">
        <v>0</v>
      </c>
      <c r="V37037" t="s">
        <v>848</v>
      </c>
      <c r="W37037" t="s">
        <v>415</v>
      </c>
      <c r="X37037" t="s">
        <v>7</v>
      </c>
      <c r="Y37037" t="s">
        <v>3296</v>
      </c>
      <c r="Z37037" t="s">
        <v>736</v>
      </c>
      <c r="AA37037" t="s">
        <v>519</v>
      </c>
      <c r="AB37037">
        <v>0</v>
      </c>
      <c r="AC37037" t="s">
        <v>3297</v>
      </c>
      <c r="AE37037" t="s">
        <v>1496</v>
      </c>
      <c r="AF37037" t="s">
        <v>736</v>
      </c>
      <c r="AG37037" t="s">
        <v>519</v>
      </c>
      <c r="AL37037" t="s">
        <v>5174</v>
      </c>
      <c r="AM37037" t="s">
        <v>5175</v>
      </c>
      <c r="AN37037" t="s">
        <v>5176</v>
      </c>
      <c r="AO37037" t="s">
        <v>1856</v>
      </c>
      <c r="AQ37037" t="str">
        <f>IF(ISBLANK(AP37037), IFERROR(IF(VLOOKUP(AO37037, Ellens_additions!$A$2:$B$252, 2, FALSE) = "", "", VLOOKUP(AO37037, Ellens_additions!$A$2:$B$252, 2, FALSE)), 0), AP37037)</f>
        <v/>
      </c>
    </row>
    <row r="37038" spans="1:43" ht="14.4" x14ac:dyDescent="0.3"/>
    <row r="37039" spans="1:43" ht="14.4" x14ac:dyDescent="0.3"/>
    <row r="37040" spans="1:43" ht="14.4" x14ac:dyDescent="0.3"/>
    <row r="37041" ht="14.4" x14ac:dyDescent="0.3"/>
    <row r="37042" ht="14.4" x14ac:dyDescent="0.3"/>
    <row r="37043" ht="14.4" x14ac:dyDescent="0.3"/>
    <row r="37044" ht="14.4" x14ac:dyDescent="0.3"/>
    <row r="37045" ht="14.4" x14ac:dyDescent="0.3"/>
    <row r="37046" ht="14.4" x14ac:dyDescent="0.3"/>
    <row r="37047" ht="14.4" x14ac:dyDescent="0.3"/>
    <row r="37048" ht="14.4" x14ac:dyDescent="0.3"/>
    <row r="37049" ht="14.4" x14ac:dyDescent="0.3"/>
    <row r="37050" ht="14.4" x14ac:dyDescent="0.3"/>
    <row r="37051" ht="14.4" x14ac:dyDescent="0.3"/>
    <row r="37052" ht="14.4" x14ac:dyDescent="0.3"/>
    <row r="37053" ht="14.4" x14ac:dyDescent="0.3"/>
    <row r="37054" ht="14.4" x14ac:dyDescent="0.3"/>
    <row r="37055" ht="14.4" x14ac:dyDescent="0.3"/>
    <row r="37056" ht="14.4" x14ac:dyDescent="0.3"/>
    <row r="37057" ht="14.4" x14ac:dyDescent="0.3"/>
    <row r="37058" ht="14.4" x14ac:dyDescent="0.3"/>
    <row r="37059" ht="14.4" x14ac:dyDescent="0.3"/>
    <row r="37060" ht="14.4" x14ac:dyDescent="0.3"/>
    <row r="37061" ht="14.4" x14ac:dyDescent="0.3"/>
    <row r="37062" ht="14.4" x14ac:dyDescent="0.3"/>
    <row r="37063" ht="14.4" x14ac:dyDescent="0.3"/>
    <row r="37064" ht="14.4" x14ac:dyDescent="0.3"/>
    <row r="37065" ht="14.4" x14ac:dyDescent="0.3"/>
    <row r="37066" ht="14.4" x14ac:dyDescent="0.3"/>
    <row r="37067" ht="14.4" x14ac:dyDescent="0.3"/>
    <row r="37068" ht="14.4" x14ac:dyDescent="0.3"/>
    <row r="37069" ht="14.4" x14ac:dyDescent="0.3"/>
    <row r="37070" ht="14.4" x14ac:dyDescent="0.3"/>
    <row r="37071" ht="14.4" x14ac:dyDescent="0.3"/>
    <row r="37072" ht="14.4" x14ac:dyDescent="0.3"/>
    <row r="37073" ht="14.4" x14ac:dyDescent="0.3"/>
    <row r="37074" ht="14.4" x14ac:dyDescent="0.3"/>
    <row r="37075" ht="14.4" x14ac:dyDescent="0.3"/>
    <row r="37076" ht="14.4" x14ac:dyDescent="0.3"/>
    <row r="37077" ht="14.4" x14ac:dyDescent="0.3"/>
    <row r="37078" ht="14.4" x14ac:dyDescent="0.3"/>
    <row r="37079" ht="14.4" x14ac:dyDescent="0.3"/>
    <row r="37080" ht="14.4" x14ac:dyDescent="0.3"/>
    <row r="37081" ht="14.4" x14ac:dyDescent="0.3"/>
    <row r="37082" ht="14.4" x14ac:dyDescent="0.3"/>
    <row r="37083" ht="14.4" x14ac:dyDescent="0.3"/>
    <row r="37084" ht="14.4" x14ac:dyDescent="0.3"/>
    <row r="37085" ht="14.4" x14ac:dyDescent="0.3"/>
    <row r="37086" ht="14.4" x14ac:dyDescent="0.3"/>
    <row r="37087" ht="14.4" x14ac:dyDescent="0.3"/>
    <row r="37088" ht="14.4" x14ac:dyDescent="0.3"/>
    <row r="37089" ht="14.4" x14ac:dyDescent="0.3"/>
    <row r="37090" ht="14.4" x14ac:dyDescent="0.3"/>
    <row r="37091" ht="14.4" x14ac:dyDescent="0.3"/>
    <row r="37092" ht="14.4" x14ac:dyDescent="0.3"/>
    <row r="37093" ht="14.4" x14ac:dyDescent="0.3"/>
    <row r="37094" ht="14.4" x14ac:dyDescent="0.3"/>
    <row r="37095" ht="14.4" x14ac:dyDescent="0.3"/>
    <row r="37096" ht="14.4" x14ac:dyDescent="0.3"/>
    <row r="37097" ht="14.4" x14ac:dyDescent="0.3"/>
    <row r="37098" ht="14.4" x14ac:dyDescent="0.3"/>
    <row r="37099" ht="14.4" x14ac:dyDescent="0.3"/>
    <row r="37100" ht="14.4" x14ac:dyDescent="0.3"/>
    <row r="37101" ht="14.4" x14ac:dyDescent="0.3"/>
    <row r="37102" ht="14.4" x14ac:dyDescent="0.3"/>
    <row r="37103" ht="14.4" x14ac:dyDescent="0.3"/>
    <row r="37104" ht="14.4" x14ac:dyDescent="0.3"/>
    <row r="37105" ht="14.4" x14ac:dyDescent="0.3"/>
    <row r="37106" ht="14.4" x14ac:dyDescent="0.3"/>
    <row r="37107" ht="14.4" x14ac:dyDescent="0.3"/>
    <row r="37108" ht="14.4" x14ac:dyDescent="0.3"/>
    <row r="37109" ht="14.4" x14ac:dyDescent="0.3"/>
    <row r="37110" ht="14.4" x14ac:dyDescent="0.3"/>
    <row r="37111" ht="14.4" x14ac:dyDescent="0.3"/>
    <row r="37112" ht="14.4" x14ac:dyDescent="0.3"/>
    <row r="37113" ht="14.4" x14ac:dyDescent="0.3"/>
    <row r="37114" ht="14.4" x14ac:dyDescent="0.3"/>
    <row r="37115" ht="14.4" x14ac:dyDescent="0.3"/>
    <row r="37116" ht="14.4" x14ac:dyDescent="0.3"/>
    <row r="37117" ht="14.4" x14ac:dyDescent="0.3"/>
    <row r="37118" ht="14.4" x14ac:dyDescent="0.3"/>
    <row r="37119" ht="14.4" x14ac:dyDescent="0.3"/>
    <row r="37120" ht="14.4" x14ac:dyDescent="0.3"/>
    <row r="37121" ht="14.4" x14ac:dyDescent="0.3"/>
    <row r="37122" ht="14.4" x14ac:dyDescent="0.3"/>
    <row r="37123" ht="14.4" x14ac:dyDescent="0.3"/>
    <row r="37124" ht="14.4" x14ac:dyDescent="0.3"/>
    <row r="37125" ht="14.4" x14ac:dyDescent="0.3"/>
    <row r="37126" ht="14.4" x14ac:dyDescent="0.3"/>
    <row r="37127" ht="14.4" x14ac:dyDescent="0.3"/>
    <row r="37128" ht="14.4" x14ac:dyDescent="0.3"/>
    <row r="37129" ht="14.4" x14ac:dyDescent="0.3"/>
    <row r="37130" ht="14.4" x14ac:dyDescent="0.3"/>
    <row r="37131" ht="14.4" x14ac:dyDescent="0.3"/>
    <row r="37132" ht="14.4" x14ac:dyDescent="0.3"/>
    <row r="37133" ht="14.4" x14ac:dyDescent="0.3"/>
    <row r="37134" ht="14.4" x14ac:dyDescent="0.3"/>
    <row r="37135" ht="14.4" x14ac:dyDescent="0.3"/>
    <row r="37136" ht="14.4" x14ac:dyDescent="0.3"/>
    <row r="37137" ht="14.4" x14ac:dyDescent="0.3"/>
    <row r="37138" ht="14.4" x14ac:dyDescent="0.3"/>
    <row r="37139" ht="14.4" x14ac:dyDescent="0.3"/>
    <row r="37140" ht="14.4" x14ac:dyDescent="0.3"/>
    <row r="37141" ht="14.4" x14ac:dyDescent="0.3"/>
    <row r="37142" ht="14.4" x14ac:dyDescent="0.3"/>
    <row r="37143" ht="14.4" x14ac:dyDescent="0.3"/>
    <row r="37144" ht="14.4" x14ac:dyDescent="0.3"/>
    <row r="37145" ht="14.4" x14ac:dyDescent="0.3"/>
    <row r="37146" ht="14.4" x14ac:dyDescent="0.3"/>
    <row r="37147" ht="14.4" x14ac:dyDescent="0.3"/>
    <row r="37148" ht="14.4" x14ac:dyDescent="0.3"/>
    <row r="37149" ht="14.4" x14ac:dyDescent="0.3"/>
    <row r="37150" ht="14.4" x14ac:dyDescent="0.3"/>
    <row r="37151" ht="14.4" x14ac:dyDescent="0.3"/>
    <row r="37152" ht="14.4" x14ac:dyDescent="0.3"/>
    <row r="37153" ht="14.4" x14ac:dyDescent="0.3"/>
    <row r="37154" ht="14.4" x14ac:dyDescent="0.3"/>
    <row r="37155" ht="14.4" x14ac:dyDescent="0.3"/>
    <row r="37156" ht="14.4" x14ac:dyDescent="0.3"/>
    <row r="37157" ht="14.4" x14ac:dyDescent="0.3"/>
    <row r="37158" ht="14.4" x14ac:dyDescent="0.3"/>
    <row r="37159" ht="14.4" x14ac:dyDescent="0.3"/>
    <row r="37160" ht="14.4" x14ac:dyDescent="0.3"/>
    <row r="37161" ht="14.4" x14ac:dyDescent="0.3"/>
    <row r="37162" ht="14.4" x14ac:dyDescent="0.3"/>
    <row r="37163" ht="14.4" x14ac:dyDescent="0.3"/>
    <row r="37164" ht="14.4" x14ac:dyDescent="0.3"/>
    <row r="37165" ht="14.4" x14ac:dyDescent="0.3"/>
    <row r="37166" ht="14.4" x14ac:dyDescent="0.3"/>
    <row r="37167" ht="14.4" x14ac:dyDescent="0.3"/>
    <row r="37168" ht="14.4" x14ac:dyDescent="0.3"/>
    <row r="37169" ht="14.4" x14ac:dyDescent="0.3"/>
    <row r="37170" ht="14.4" x14ac:dyDescent="0.3"/>
    <row r="37171" ht="14.4" x14ac:dyDescent="0.3"/>
    <row r="37172" ht="14.4" x14ac:dyDescent="0.3"/>
    <row r="37173" ht="14.4" x14ac:dyDescent="0.3"/>
    <row r="37174" ht="14.4" x14ac:dyDescent="0.3"/>
    <row r="37175" ht="14.4" x14ac:dyDescent="0.3"/>
    <row r="37176" ht="14.4" x14ac:dyDescent="0.3"/>
    <row r="37177" ht="14.4" x14ac:dyDescent="0.3"/>
    <row r="37178" ht="14.4" x14ac:dyDescent="0.3"/>
    <row r="37179" ht="14.4" x14ac:dyDescent="0.3"/>
    <row r="37180" ht="14.4" x14ac:dyDescent="0.3"/>
    <row r="37181" ht="14.4" x14ac:dyDescent="0.3"/>
    <row r="37182" ht="14.4" x14ac:dyDescent="0.3"/>
    <row r="37183" ht="14.4" x14ac:dyDescent="0.3"/>
    <row r="37184" ht="14.4" x14ac:dyDescent="0.3"/>
    <row r="37185" ht="14.4" x14ac:dyDescent="0.3"/>
    <row r="37186" ht="14.4" x14ac:dyDescent="0.3"/>
    <row r="37187" ht="14.4" x14ac:dyDescent="0.3"/>
    <row r="37188" ht="14.4" x14ac:dyDescent="0.3"/>
    <row r="37189" ht="14.4" x14ac:dyDescent="0.3"/>
    <row r="37190" ht="14.4" x14ac:dyDescent="0.3"/>
    <row r="37191" ht="14.4" x14ac:dyDescent="0.3"/>
    <row r="37192" ht="14.4" x14ac:dyDescent="0.3"/>
    <row r="37193" ht="14.4" x14ac:dyDescent="0.3"/>
    <row r="37194" ht="14.4" x14ac:dyDescent="0.3"/>
    <row r="37195" ht="14.4" x14ac:dyDescent="0.3"/>
    <row r="37196" ht="14.4" x14ac:dyDescent="0.3"/>
    <row r="37197" ht="14.4" x14ac:dyDescent="0.3"/>
    <row r="37198" ht="14.4" x14ac:dyDescent="0.3"/>
    <row r="37199" ht="14.4" x14ac:dyDescent="0.3"/>
    <row r="37200" ht="14.4" x14ac:dyDescent="0.3"/>
    <row r="37201" ht="14.4" x14ac:dyDescent="0.3"/>
    <row r="37202" ht="14.4" x14ac:dyDescent="0.3"/>
    <row r="37203" ht="14.4" x14ac:dyDescent="0.3"/>
    <row r="37204" ht="14.4" x14ac:dyDescent="0.3"/>
    <row r="37205" ht="14.4" x14ac:dyDescent="0.3"/>
    <row r="37206" ht="14.4" x14ac:dyDescent="0.3"/>
    <row r="37207" ht="14.4" x14ac:dyDescent="0.3"/>
    <row r="37208" ht="14.4" x14ac:dyDescent="0.3"/>
    <row r="37209" ht="14.4" x14ac:dyDescent="0.3"/>
    <row r="37210" ht="14.4" x14ac:dyDescent="0.3"/>
    <row r="37211" ht="14.4" x14ac:dyDescent="0.3"/>
    <row r="37212" ht="14.4" x14ac:dyDescent="0.3"/>
    <row r="37213" ht="14.4" x14ac:dyDescent="0.3"/>
    <row r="37214" ht="14.4" x14ac:dyDescent="0.3"/>
    <row r="37215" ht="14.4" x14ac:dyDescent="0.3"/>
    <row r="37216" ht="14.4" x14ac:dyDescent="0.3"/>
    <row r="37217" ht="14.4" x14ac:dyDescent="0.3"/>
    <row r="37218" ht="14.4" x14ac:dyDescent="0.3"/>
    <row r="37219" ht="14.4" x14ac:dyDescent="0.3"/>
    <row r="37220" ht="14.4" x14ac:dyDescent="0.3"/>
    <row r="37221" ht="14.4" x14ac:dyDescent="0.3"/>
    <row r="37222" ht="14.4" x14ac:dyDescent="0.3"/>
    <row r="37223" ht="14.4" x14ac:dyDescent="0.3"/>
    <row r="37224" ht="14.4" x14ac:dyDescent="0.3"/>
    <row r="37225" ht="14.4" x14ac:dyDescent="0.3"/>
    <row r="37226" ht="14.4" x14ac:dyDescent="0.3"/>
    <row r="37227" ht="14.4" x14ac:dyDescent="0.3"/>
    <row r="37228" ht="14.4" x14ac:dyDescent="0.3"/>
    <row r="37229" ht="14.4" x14ac:dyDescent="0.3"/>
    <row r="37230" ht="14.4" x14ac:dyDescent="0.3"/>
    <row r="37231" ht="14.4" x14ac:dyDescent="0.3"/>
    <row r="37232" ht="14.4" x14ac:dyDescent="0.3"/>
    <row r="37233" ht="14.4" x14ac:dyDescent="0.3"/>
    <row r="37234" ht="14.4" x14ac:dyDescent="0.3"/>
    <row r="37235" ht="14.4" x14ac:dyDescent="0.3"/>
    <row r="37236" ht="14.4" x14ac:dyDescent="0.3"/>
    <row r="37237" ht="14.4" x14ac:dyDescent="0.3"/>
    <row r="37238" ht="14.4" x14ac:dyDescent="0.3"/>
    <row r="37239" ht="14.4" x14ac:dyDescent="0.3"/>
    <row r="37240" ht="14.4" x14ac:dyDescent="0.3"/>
    <row r="37241" ht="14.4" x14ac:dyDescent="0.3"/>
    <row r="37242" ht="14.4" x14ac:dyDescent="0.3"/>
    <row r="37243" ht="14.4" x14ac:dyDescent="0.3"/>
    <row r="37244" ht="14.4" x14ac:dyDescent="0.3"/>
    <row r="37245" ht="14.4" x14ac:dyDescent="0.3"/>
    <row r="37246" ht="14.4" x14ac:dyDescent="0.3"/>
    <row r="37247" ht="14.4" x14ac:dyDescent="0.3"/>
    <row r="37248" ht="14.4" x14ac:dyDescent="0.3"/>
    <row r="37249" ht="14.4" x14ac:dyDescent="0.3"/>
    <row r="37250" ht="14.4" x14ac:dyDescent="0.3"/>
    <row r="37251" ht="14.4" x14ac:dyDescent="0.3"/>
    <row r="37252" ht="14.4" x14ac:dyDescent="0.3"/>
    <row r="37253" ht="14.4" x14ac:dyDescent="0.3"/>
    <row r="37254" ht="14.4" x14ac:dyDescent="0.3"/>
    <row r="37255" ht="14.4" x14ac:dyDescent="0.3"/>
    <row r="37256" ht="14.4" x14ac:dyDescent="0.3"/>
    <row r="37257" ht="14.4" x14ac:dyDescent="0.3"/>
    <row r="37258" ht="14.4" x14ac:dyDescent="0.3"/>
    <row r="37259" ht="14.4" x14ac:dyDescent="0.3"/>
    <row r="37260" ht="14.4" x14ac:dyDescent="0.3"/>
    <row r="37261" ht="14.4" x14ac:dyDescent="0.3"/>
    <row r="37262" ht="14.4" x14ac:dyDescent="0.3"/>
    <row r="37263" ht="14.4" x14ac:dyDescent="0.3"/>
    <row r="37264" ht="14.4" x14ac:dyDescent="0.3"/>
    <row r="37265" ht="14.4" x14ac:dyDescent="0.3"/>
    <row r="37266" ht="14.4" x14ac:dyDescent="0.3"/>
    <row r="37267" ht="14.4" x14ac:dyDescent="0.3"/>
    <row r="37268" ht="14.4" x14ac:dyDescent="0.3"/>
    <row r="37269" ht="14.4" x14ac:dyDescent="0.3"/>
    <row r="37270" ht="14.4" x14ac:dyDescent="0.3"/>
    <row r="37271" ht="14.4" x14ac:dyDescent="0.3"/>
    <row r="37272" ht="14.4" x14ac:dyDescent="0.3"/>
    <row r="37273" ht="14.4" x14ac:dyDescent="0.3"/>
    <row r="37274" ht="14.4" x14ac:dyDescent="0.3"/>
    <row r="37275" ht="14.4" x14ac:dyDescent="0.3"/>
    <row r="37276" ht="14.4" x14ac:dyDescent="0.3"/>
    <row r="37277" ht="14.4" x14ac:dyDescent="0.3"/>
    <row r="37278" ht="14.4" x14ac:dyDescent="0.3"/>
    <row r="37279" ht="14.4" x14ac:dyDescent="0.3"/>
    <row r="37280" ht="14.4" x14ac:dyDescent="0.3"/>
    <row r="37281" ht="14.4" x14ac:dyDescent="0.3"/>
    <row r="37282" ht="14.4" x14ac:dyDescent="0.3"/>
    <row r="37283" ht="14.4" x14ac:dyDescent="0.3"/>
    <row r="37284" ht="14.4" x14ac:dyDescent="0.3"/>
    <row r="37285" ht="14.4" x14ac:dyDescent="0.3"/>
    <row r="37286" ht="14.4" x14ac:dyDescent="0.3"/>
    <row r="37287" ht="14.4" x14ac:dyDescent="0.3"/>
    <row r="37288" ht="14.4" x14ac:dyDescent="0.3"/>
    <row r="37289" ht="14.4" x14ac:dyDescent="0.3"/>
    <row r="37290" ht="14.4" x14ac:dyDescent="0.3"/>
    <row r="37291" ht="14.4" x14ac:dyDescent="0.3"/>
    <row r="37292" ht="14.4" x14ac:dyDescent="0.3"/>
    <row r="37293" ht="14.4" x14ac:dyDescent="0.3"/>
    <row r="37294" ht="14.4" x14ac:dyDescent="0.3"/>
    <row r="37295" ht="14.4" x14ac:dyDescent="0.3"/>
    <row r="37296" ht="14.4" x14ac:dyDescent="0.3"/>
    <row r="37297" ht="14.4" x14ac:dyDescent="0.3"/>
    <row r="37298" ht="14.4" x14ac:dyDescent="0.3"/>
    <row r="37299" ht="14.4" x14ac:dyDescent="0.3"/>
    <row r="37300" ht="14.4" x14ac:dyDescent="0.3"/>
    <row r="37301" ht="14.4" x14ac:dyDescent="0.3"/>
    <row r="37302" ht="14.4" x14ac:dyDescent="0.3"/>
    <row r="37303" ht="14.4" x14ac:dyDescent="0.3"/>
    <row r="37304" ht="14.4" x14ac:dyDescent="0.3"/>
    <row r="37305" ht="14.4" x14ac:dyDescent="0.3"/>
    <row r="37306" ht="14.4" x14ac:dyDescent="0.3"/>
    <row r="37307" ht="14.4" x14ac:dyDescent="0.3"/>
    <row r="37308" ht="14.4" x14ac:dyDescent="0.3"/>
    <row r="37309" ht="14.4" x14ac:dyDescent="0.3"/>
    <row r="37310" ht="14.4" x14ac:dyDescent="0.3"/>
    <row r="37311" ht="14.4" x14ac:dyDescent="0.3"/>
    <row r="37312" ht="14.4" x14ac:dyDescent="0.3"/>
    <row r="37313" spans="1:43" ht="14.4" hidden="1" x14ac:dyDescent="0.3">
      <c r="A37313" t="s">
        <v>5178</v>
      </c>
      <c r="B37313">
        <v>4907660</v>
      </c>
      <c r="C37313" t="s">
        <v>135</v>
      </c>
      <c r="D37313" t="s">
        <v>136</v>
      </c>
      <c r="E37313" t="s">
        <v>369</v>
      </c>
      <c r="F37313" t="s">
        <v>3336</v>
      </c>
      <c r="H37313" t="s">
        <v>177</v>
      </c>
      <c r="J37313" t="s">
        <v>140</v>
      </c>
      <c r="K37313">
        <v>157193.79</v>
      </c>
      <c r="L37313">
        <v>382695.44</v>
      </c>
      <c r="M37313">
        <v>1</v>
      </c>
      <c r="N37313" t="s">
        <v>3337</v>
      </c>
      <c r="O37313" t="s">
        <v>1244</v>
      </c>
      <c r="P37313" t="s">
        <v>1555</v>
      </c>
      <c r="Q37313" t="s">
        <v>144</v>
      </c>
      <c r="R37313" t="s">
        <v>145</v>
      </c>
      <c r="S37313">
        <v>291</v>
      </c>
      <c r="T37313">
        <v>8488</v>
      </c>
      <c r="V37313" t="s">
        <v>146</v>
      </c>
      <c r="W37313" t="s">
        <v>184</v>
      </c>
      <c r="X37313" t="s">
        <v>7</v>
      </c>
      <c r="Y37313" t="s">
        <v>3338</v>
      </c>
      <c r="Z37313" t="s">
        <v>1244</v>
      </c>
      <c r="AA37313" t="s">
        <v>3339</v>
      </c>
      <c r="AB37313">
        <v>60</v>
      </c>
      <c r="AE37313" t="s">
        <v>1960</v>
      </c>
      <c r="AF37313" t="s">
        <v>1244</v>
      </c>
      <c r="AG37313" t="s">
        <v>3340</v>
      </c>
      <c r="AL37313" t="s">
        <v>5179</v>
      </c>
      <c r="AM37313" t="s">
        <v>5180</v>
      </c>
      <c r="AN37313" t="s">
        <v>5181</v>
      </c>
      <c r="AO37313" t="s">
        <v>3337</v>
      </c>
      <c r="AQ37313" t="str">
        <f>IF(ISBLANK(AP37313), IFERROR(IF(VLOOKUP(AO37313, Ellens_additions!$A$2:$B$252, 2, FALSE) = "", "", VLOOKUP(AO37313, Ellens_additions!$A$2:$B$252, 2, FALSE)), 0), AP37313)</f>
        <v/>
      </c>
    </row>
    <row r="37314" spans="1:43" ht="14.4" x14ac:dyDescent="0.3"/>
    <row r="37315" spans="1:43" ht="14.4" x14ac:dyDescent="0.3"/>
    <row r="37316" spans="1:43" ht="14.4" x14ac:dyDescent="0.3"/>
    <row r="37317" spans="1:43" ht="14.4" x14ac:dyDescent="0.3"/>
    <row r="37318" spans="1:43" ht="14.4" x14ac:dyDescent="0.3"/>
    <row r="37319" spans="1:43" ht="14.4" x14ac:dyDescent="0.3"/>
    <row r="37320" spans="1:43" ht="14.4" x14ac:dyDescent="0.3"/>
    <row r="37321" spans="1:43" ht="14.4" x14ac:dyDescent="0.3"/>
    <row r="37322" spans="1:43" ht="14.4" x14ac:dyDescent="0.3"/>
    <row r="37323" spans="1:43" ht="14.4" x14ac:dyDescent="0.3"/>
    <row r="37324" spans="1:43" ht="14.4" x14ac:dyDescent="0.3"/>
    <row r="37325" spans="1:43" ht="14.4" x14ac:dyDescent="0.3"/>
    <row r="37326" spans="1:43" ht="14.4" x14ac:dyDescent="0.3"/>
    <row r="37327" spans="1:43" ht="14.4" x14ac:dyDescent="0.3"/>
    <row r="37328" spans="1:43" ht="14.4" x14ac:dyDescent="0.3"/>
    <row r="37329" ht="14.4" x14ac:dyDescent="0.3"/>
    <row r="37330" ht="14.4" x14ac:dyDescent="0.3"/>
    <row r="37331" ht="14.4" x14ac:dyDescent="0.3"/>
    <row r="37332" ht="14.4" x14ac:dyDescent="0.3"/>
    <row r="37333" ht="14.4" x14ac:dyDescent="0.3"/>
    <row r="37334" ht="14.4" x14ac:dyDescent="0.3"/>
    <row r="37335" ht="14.4" x14ac:dyDescent="0.3"/>
    <row r="37336" ht="14.4" x14ac:dyDescent="0.3"/>
    <row r="37337" ht="14.4" x14ac:dyDescent="0.3"/>
    <row r="37338" ht="14.4" x14ac:dyDescent="0.3"/>
    <row r="37339" ht="14.4" x14ac:dyDescent="0.3"/>
    <row r="37340" ht="14.4" x14ac:dyDescent="0.3"/>
    <row r="37341" ht="14.4" x14ac:dyDescent="0.3"/>
    <row r="37342" ht="14.4" x14ac:dyDescent="0.3"/>
    <row r="37343" ht="14.4" x14ac:dyDescent="0.3"/>
    <row r="37344" ht="14.4" x14ac:dyDescent="0.3"/>
    <row r="37345" ht="14.4" x14ac:dyDescent="0.3"/>
    <row r="37346" ht="14.4" x14ac:dyDescent="0.3"/>
    <row r="37347" ht="14.4" x14ac:dyDescent="0.3"/>
    <row r="37348" ht="14.4" x14ac:dyDescent="0.3"/>
    <row r="37349" ht="14.4" x14ac:dyDescent="0.3"/>
    <row r="37350" ht="14.4" x14ac:dyDescent="0.3"/>
    <row r="37351" ht="14.4" x14ac:dyDescent="0.3"/>
    <row r="37352" ht="14.4" x14ac:dyDescent="0.3"/>
    <row r="37353" ht="14.4" x14ac:dyDescent="0.3"/>
    <row r="37354" ht="14.4" x14ac:dyDescent="0.3"/>
    <row r="37355" ht="14.4" x14ac:dyDescent="0.3"/>
    <row r="37356" ht="14.4" x14ac:dyDescent="0.3"/>
    <row r="37357" ht="14.4" x14ac:dyDescent="0.3"/>
    <row r="37358" ht="14.4" x14ac:dyDescent="0.3"/>
    <row r="37359" ht="14.4" x14ac:dyDescent="0.3"/>
    <row r="37360" ht="14.4" x14ac:dyDescent="0.3"/>
    <row r="37361" ht="14.4" x14ac:dyDescent="0.3"/>
    <row r="37362" ht="14.4" x14ac:dyDescent="0.3"/>
    <row r="37363" ht="14.4" x14ac:dyDescent="0.3"/>
    <row r="37364" ht="14.4" x14ac:dyDescent="0.3"/>
    <row r="37365" ht="14.4" x14ac:dyDescent="0.3"/>
    <row r="37366" ht="14.4" x14ac:dyDescent="0.3"/>
    <row r="37367" ht="14.4" x14ac:dyDescent="0.3"/>
    <row r="37368" ht="14.4" x14ac:dyDescent="0.3"/>
    <row r="37369" ht="14.4" x14ac:dyDescent="0.3"/>
    <row r="37370" ht="14.4" x14ac:dyDescent="0.3"/>
    <row r="37371" ht="14.4" x14ac:dyDescent="0.3"/>
    <row r="37372" ht="14.4" x14ac:dyDescent="0.3"/>
    <row r="37373" ht="14.4" x14ac:dyDescent="0.3"/>
    <row r="37374" ht="14.4" x14ac:dyDescent="0.3"/>
    <row r="37375" ht="14.4" x14ac:dyDescent="0.3"/>
    <row r="37376" ht="14.4" x14ac:dyDescent="0.3"/>
    <row r="37377" ht="14.4" x14ac:dyDescent="0.3"/>
    <row r="37378" ht="14.4" x14ac:dyDescent="0.3"/>
    <row r="37379" ht="14.4" x14ac:dyDescent="0.3"/>
    <row r="37380" ht="14.4" x14ac:dyDescent="0.3"/>
    <row r="37381" ht="14.4" x14ac:dyDescent="0.3"/>
    <row r="37382" ht="14.4" x14ac:dyDescent="0.3"/>
    <row r="37383" ht="14.4" x14ac:dyDescent="0.3"/>
    <row r="37384" ht="14.4" x14ac:dyDescent="0.3"/>
    <row r="37385" ht="14.4" x14ac:dyDescent="0.3"/>
    <row r="37386" ht="14.4" x14ac:dyDescent="0.3"/>
    <row r="37387" ht="14.4" x14ac:dyDescent="0.3"/>
    <row r="37388" ht="14.4" x14ac:dyDescent="0.3"/>
    <row r="37389" ht="14.4" x14ac:dyDescent="0.3"/>
    <row r="37390" ht="14.4" x14ac:dyDescent="0.3"/>
    <row r="37391" ht="14.4" x14ac:dyDescent="0.3"/>
    <row r="37392" ht="14.4" x14ac:dyDescent="0.3"/>
    <row r="37393" ht="14.4" x14ac:dyDescent="0.3"/>
    <row r="37394" ht="14.4" x14ac:dyDescent="0.3"/>
    <row r="37395" ht="14.4" x14ac:dyDescent="0.3"/>
    <row r="37396" ht="14.4" x14ac:dyDescent="0.3"/>
    <row r="37397" ht="14.4" x14ac:dyDescent="0.3"/>
    <row r="37398" ht="14.4" x14ac:dyDescent="0.3"/>
    <row r="37399" ht="14.4" x14ac:dyDescent="0.3"/>
    <row r="37400" ht="14.4" x14ac:dyDescent="0.3"/>
    <row r="37401" ht="14.4" x14ac:dyDescent="0.3"/>
    <row r="37402" ht="14.4" x14ac:dyDescent="0.3"/>
    <row r="37403" ht="14.4" x14ac:dyDescent="0.3"/>
    <row r="37404" ht="14.4" x14ac:dyDescent="0.3"/>
    <row r="37405" ht="14.4" x14ac:dyDescent="0.3"/>
    <row r="37406" ht="14.4" x14ac:dyDescent="0.3"/>
    <row r="37407" ht="14.4" x14ac:dyDescent="0.3"/>
    <row r="37408" ht="14.4" x14ac:dyDescent="0.3"/>
    <row r="37409" ht="14.4" x14ac:dyDescent="0.3"/>
    <row r="37410" ht="14.4" x14ac:dyDescent="0.3"/>
    <row r="37411" ht="14.4" x14ac:dyDescent="0.3"/>
    <row r="37412" ht="14.4" x14ac:dyDescent="0.3"/>
    <row r="37413" ht="14.4" x14ac:dyDescent="0.3"/>
    <row r="37414" ht="14.4" x14ac:dyDescent="0.3"/>
    <row r="37415" ht="14.4" x14ac:dyDescent="0.3"/>
    <row r="37416" ht="14.4" x14ac:dyDescent="0.3"/>
    <row r="37417" ht="14.4" x14ac:dyDescent="0.3"/>
    <row r="37418" ht="14.4" x14ac:dyDescent="0.3"/>
    <row r="37419" ht="14.4" x14ac:dyDescent="0.3"/>
    <row r="37420" ht="14.4" x14ac:dyDescent="0.3"/>
    <row r="37421" ht="14.4" x14ac:dyDescent="0.3"/>
    <row r="37422" ht="14.4" x14ac:dyDescent="0.3"/>
    <row r="37423" ht="14.4" x14ac:dyDescent="0.3"/>
    <row r="37424" ht="14.4" x14ac:dyDescent="0.3"/>
    <row r="37425" ht="14.4" x14ac:dyDescent="0.3"/>
    <row r="37426" ht="14.4" x14ac:dyDescent="0.3"/>
    <row r="37427" ht="14.4" x14ac:dyDescent="0.3"/>
    <row r="37428" ht="14.4" x14ac:dyDescent="0.3"/>
    <row r="37429" ht="14.4" x14ac:dyDescent="0.3"/>
    <row r="37430" ht="14.4" x14ac:dyDescent="0.3"/>
    <row r="37431" ht="14.4" x14ac:dyDescent="0.3"/>
    <row r="37432" ht="14.4" x14ac:dyDescent="0.3"/>
    <row r="37433" ht="14.4" x14ac:dyDescent="0.3"/>
    <row r="37434" ht="14.4" x14ac:dyDescent="0.3"/>
    <row r="37435" ht="14.4" x14ac:dyDescent="0.3"/>
    <row r="37436" ht="14.4" x14ac:dyDescent="0.3"/>
    <row r="37437" ht="14.4" x14ac:dyDescent="0.3"/>
    <row r="37438" ht="14.4" x14ac:dyDescent="0.3"/>
    <row r="37439" ht="14.4" x14ac:dyDescent="0.3"/>
    <row r="37440" ht="14.4" x14ac:dyDescent="0.3"/>
    <row r="37441" ht="14.4" x14ac:dyDescent="0.3"/>
    <row r="37442" ht="14.4" x14ac:dyDescent="0.3"/>
    <row r="37443" ht="14.4" x14ac:dyDescent="0.3"/>
    <row r="37444" ht="14.4" x14ac:dyDescent="0.3"/>
    <row r="37445" ht="14.4" x14ac:dyDescent="0.3"/>
    <row r="37446" ht="14.4" x14ac:dyDescent="0.3"/>
    <row r="37447" ht="14.4" x14ac:dyDescent="0.3"/>
    <row r="37448" ht="14.4" x14ac:dyDescent="0.3"/>
    <row r="37449" ht="14.4" x14ac:dyDescent="0.3"/>
    <row r="37450" ht="14.4" x14ac:dyDescent="0.3"/>
    <row r="37451" ht="14.4" x14ac:dyDescent="0.3"/>
    <row r="37452" ht="14.4" x14ac:dyDescent="0.3"/>
    <row r="37453" ht="14.4" x14ac:dyDescent="0.3"/>
    <row r="37454" ht="14.4" x14ac:dyDescent="0.3"/>
    <row r="37455" ht="14.4" x14ac:dyDescent="0.3"/>
    <row r="37456" ht="14.4" x14ac:dyDescent="0.3"/>
    <row r="37457" ht="14.4" x14ac:dyDescent="0.3"/>
    <row r="37458" ht="14.4" x14ac:dyDescent="0.3"/>
    <row r="37459" ht="14.4" x14ac:dyDescent="0.3"/>
    <row r="37460" ht="14.4" x14ac:dyDescent="0.3"/>
    <row r="37461" ht="14.4" x14ac:dyDescent="0.3"/>
    <row r="37462" ht="14.4" x14ac:dyDescent="0.3"/>
    <row r="37463" ht="14.4" x14ac:dyDescent="0.3"/>
    <row r="37464" ht="14.4" x14ac:dyDescent="0.3"/>
    <row r="37465" ht="14.4" x14ac:dyDescent="0.3"/>
    <row r="37466" ht="14.4" x14ac:dyDescent="0.3"/>
    <row r="37467" ht="14.4" x14ac:dyDescent="0.3"/>
    <row r="37468" ht="14.4" x14ac:dyDescent="0.3"/>
    <row r="37469" ht="14.4" x14ac:dyDescent="0.3"/>
    <row r="37470" ht="14.4" x14ac:dyDescent="0.3"/>
    <row r="37471" ht="14.4" x14ac:dyDescent="0.3"/>
    <row r="37472" ht="14.4" x14ac:dyDescent="0.3"/>
    <row r="37473" ht="14.4" x14ac:dyDescent="0.3"/>
    <row r="37474" ht="14.4" x14ac:dyDescent="0.3"/>
    <row r="37475" ht="14.4" x14ac:dyDescent="0.3"/>
    <row r="37476" ht="14.4" x14ac:dyDescent="0.3"/>
    <row r="37477" ht="14.4" x14ac:dyDescent="0.3"/>
    <row r="37478" ht="14.4" x14ac:dyDescent="0.3"/>
    <row r="37479" ht="14.4" x14ac:dyDescent="0.3"/>
    <row r="37480" ht="14.4" x14ac:dyDescent="0.3"/>
    <row r="37481" ht="14.4" x14ac:dyDescent="0.3"/>
    <row r="37482" ht="14.4" x14ac:dyDescent="0.3"/>
    <row r="37483" ht="14.4" x14ac:dyDescent="0.3"/>
    <row r="37484" ht="14.4" x14ac:dyDescent="0.3"/>
    <row r="37485" ht="14.4" x14ac:dyDescent="0.3"/>
    <row r="37486" ht="14.4" x14ac:dyDescent="0.3"/>
    <row r="37487" ht="14.4" x14ac:dyDescent="0.3"/>
    <row r="37488" ht="14.4" x14ac:dyDescent="0.3"/>
    <row r="37489" ht="14.4" x14ac:dyDescent="0.3"/>
    <row r="37490" ht="14.4" x14ac:dyDescent="0.3"/>
    <row r="37491" ht="14.4" x14ac:dyDescent="0.3"/>
    <row r="37492" ht="14.4" x14ac:dyDescent="0.3"/>
    <row r="37493" ht="14.4" x14ac:dyDescent="0.3"/>
    <row r="37494" ht="14.4" x14ac:dyDescent="0.3"/>
    <row r="37495" ht="14.4" x14ac:dyDescent="0.3"/>
    <row r="37496" ht="14.4" x14ac:dyDescent="0.3"/>
    <row r="37497" ht="14.4" x14ac:dyDescent="0.3"/>
    <row r="37498" ht="14.4" x14ac:dyDescent="0.3"/>
    <row r="37499" ht="14.4" x14ac:dyDescent="0.3"/>
    <row r="37500" ht="14.4" x14ac:dyDescent="0.3"/>
    <row r="37501" ht="14.4" x14ac:dyDescent="0.3"/>
    <row r="37502" ht="14.4" x14ac:dyDescent="0.3"/>
    <row r="37503" ht="14.4" x14ac:dyDescent="0.3"/>
    <row r="37504" ht="14.4" x14ac:dyDescent="0.3"/>
    <row r="37505" ht="14.4" x14ac:dyDescent="0.3"/>
    <row r="37506" ht="14.4" x14ac:dyDescent="0.3"/>
    <row r="37507" ht="14.4" x14ac:dyDescent="0.3"/>
    <row r="37508" ht="14.4" x14ac:dyDescent="0.3"/>
    <row r="37509" ht="14.4" x14ac:dyDescent="0.3"/>
    <row r="37510" ht="14.4" x14ac:dyDescent="0.3"/>
    <row r="37511" ht="14.4" x14ac:dyDescent="0.3"/>
    <row r="37512" ht="14.4" x14ac:dyDescent="0.3"/>
    <row r="37513" ht="14.4" x14ac:dyDescent="0.3"/>
    <row r="37514" ht="14.4" x14ac:dyDescent="0.3"/>
    <row r="37515" ht="14.4" x14ac:dyDescent="0.3"/>
    <row r="37516" ht="14.4" x14ac:dyDescent="0.3"/>
    <row r="37517" ht="14.4" x14ac:dyDescent="0.3"/>
    <row r="37518" ht="14.4" x14ac:dyDescent="0.3"/>
    <row r="37519" ht="14.4" x14ac:dyDescent="0.3"/>
    <row r="37520" ht="14.4" x14ac:dyDescent="0.3"/>
    <row r="37521" ht="14.4" x14ac:dyDescent="0.3"/>
    <row r="37522" ht="14.4" x14ac:dyDescent="0.3"/>
    <row r="37523" ht="14.4" x14ac:dyDescent="0.3"/>
    <row r="37524" ht="14.4" x14ac:dyDescent="0.3"/>
    <row r="37525" ht="14.4" x14ac:dyDescent="0.3"/>
    <row r="37526" ht="14.4" x14ac:dyDescent="0.3"/>
    <row r="37527" ht="14.4" x14ac:dyDescent="0.3"/>
    <row r="37528" ht="14.4" x14ac:dyDescent="0.3"/>
    <row r="37529" ht="14.4" x14ac:dyDescent="0.3"/>
    <row r="37530" ht="14.4" x14ac:dyDescent="0.3"/>
    <row r="37531" ht="14.4" x14ac:dyDescent="0.3"/>
    <row r="37532" ht="14.4" x14ac:dyDescent="0.3"/>
    <row r="37533" ht="14.4" x14ac:dyDescent="0.3"/>
    <row r="37534" ht="14.4" x14ac:dyDescent="0.3"/>
    <row r="37535" ht="14.4" x14ac:dyDescent="0.3"/>
    <row r="37536" ht="14.4" x14ac:dyDescent="0.3"/>
    <row r="37537" ht="14.4" x14ac:dyDescent="0.3"/>
    <row r="37538" ht="14.4" x14ac:dyDescent="0.3"/>
    <row r="37539" ht="14.4" x14ac:dyDescent="0.3"/>
    <row r="37540" ht="14.4" x14ac:dyDescent="0.3"/>
    <row r="37541" ht="14.4" x14ac:dyDescent="0.3"/>
    <row r="37542" ht="14.4" x14ac:dyDescent="0.3"/>
    <row r="37543" ht="14.4" x14ac:dyDescent="0.3"/>
    <row r="37544" ht="14.4" x14ac:dyDescent="0.3"/>
    <row r="37545" ht="14.4" x14ac:dyDescent="0.3"/>
    <row r="37546" ht="14.4" x14ac:dyDescent="0.3"/>
    <row r="37547" ht="14.4" x14ac:dyDescent="0.3"/>
    <row r="37548" ht="14.4" x14ac:dyDescent="0.3"/>
    <row r="37549" ht="14.4" x14ac:dyDescent="0.3"/>
    <row r="37550" ht="14.4" x14ac:dyDescent="0.3"/>
    <row r="37551" ht="14.4" x14ac:dyDescent="0.3"/>
    <row r="37552" ht="14.4" x14ac:dyDescent="0.3"/>
    <row r="37553" ht="14.4" x14ac:dyDescent="0.3"/>
    <row r="37554" ht="14.4" x14ac:dyDescent="0.3"/>
    <row r="37555" ht="14.4" x14ac:dyDescent="0.3"/>
    <row r="37556" ht="14.4" x14ac:dyDescent="0.3"/>
    <row r="37557" ht="14.4" x14ac:dyDescent="0.3"/>
    <row r="37558" ht="14.4" x14ac:dyDescent="0.3"/>
    <row r="37559" ht="14.4" x14ac:dyDescent="0.3"/>
    <row r="37560" ht="14.4" x14ac:dyDescent="0.3"/>
    <row r="37561" ht="14.4" x14ac:dyDescent="0.3"/>
    <row r="37562" ht="14.4" x14ac:dyDescent="0.3"/>
    <row r="37563" ht="14.4" x14ac:dyDescent="0.3"/>
    <row r="37564" ht="14.4" x14ac:dyDescent="0.3"/>
    <row r="37565" ht="14.4" x14ac:dyDescent="0.3"/>
    <row r="37566" ht="14.4" x14ac:dyDescent="0.3"/>
    <row r="37567" ht="14.4" x14ac:dyDescent="0.3"/>
    <row r="37568" ht="14.4" x14ac:dyDescent="0.3"/>
    <row r="37569" spans="1:43" ht="14.4" x14ac:dyDescent="0.3"/>
    <row r="37570" spans="1:43" ht="14.4" x14ac:dyDescent="0.3"/>
    <row r="37571" spans="1:43" ht="14.4" x14ac:dyDescent="0.3"/>
    <row r="37572" spans="1:43" ht="14.4" x14ac:dyDescent="0.3"/>
    <row r="37573" spans="1:43" ht="14.4" x14ac:dyDescent="0.3"/>
    <row r="37574" spans="1:43" ht="14.4" x14ac:dyDescent="0.3"/>
    <row r="37575" spans="1:43" ht="14.4" x14ac:dyDescent="0.3"/>
    <row r="37576" spans="1:43" ht="14.4" x14ac:dyDescent="0.3"/>
    <row r="37577" spans="1:43" ht="14.4" x14ac:dyDescent="0.3"/>
    <row r="37578" spans="1:43" ht="14.4" x14ac:dyDescent="0.3"/>
    <row r="37579" spans="1:43" ht="14.4" x14ac:dyDescent="0.3"/>
    <row r="37580" spans="1:43" ht="14.4" hidden="1" x14ac:dyDescent="0.3">
      <c r="A37580" t="s">
        <v>5182</v>
      </c>
      <c r="B37580">
        <v>4892430</v>
      </c>
      <c r="C37580" t="s">
        <v>842</v>
      </c>
      <c r="D37580" t="s">
        <v>843</v>
      </c>
      <c r="E37580" t="s">
        <v>864</v>
      </c>
      <c r="F37580" t="s">
        <v>1084</v>
      </c>
      <c r="H37580" t="s">
        <v>558</v>
      </c>
      <c r="J37580" t="s">
        <v>140</v>
      </c>
      <c r="K37580">
        <v>161056.06299999999</v>
      </c>
      <c r="L37580">
        <v>383340.11700000003</v>
      </c>
      <c r="M37580">
        <v>1</v>
      </c>
      <c r="N37580" t="s">
        <v>3346</v>
      </c>
      <c r="O37580" t="s">
        <v>542</v>
      </c>
      <c r="P37580" t="s">
        <v>801</v>
      </c>
      <c r="Q37580" t="s">
        <v>3347</v>
      </c>
      <c r="R37580" t="s">
        <v>145</v>
      </c>
      <c r="S37580">
        <v>35</v>
      </c>
      <c r="T37580">
        <v>2200</v>
      </c>
      <c r="V37580" t="s">
        <v>183</v>
      </c>
      <c r="W37580" t="s">
        <v>415</v>
      </c>
      <c r="X37580" t="s">
        <v>7</v>
      </c>
      <c r="Y37580" t="s">
        <v>3348</v>
      </c>
      <c r="Z37580" t="s">
        <v>736</v>
      </c>
      <c r="AA37580" t="s">
        <v>519</v>
      </c>
      <c r="AB37580">
        <v>50</v>
      </c>
      <c r="AC37580" t="s">
        <v>150</v>
      </c>
      <c r="AE37580" t="s">
        <v>1249</v>
      </c>
      <c r="AF37580" t="s">
        <v>736</v>
      </c>
      <c r="AG37580" t="s">
        <v>1523</v>
      </c>
      <c r="AL37580" t="s">
        <v>5183</v>
      </c>
      <c r="AM37580" t="s">
        <v>5184</v>
      </c>
      <c r="AN37580" t="s">
        <v>5185</v>
      </c>
      <c r="AO37580" t="s">
        <v>3346</v>
      </c>
      <c r="AQ37580">
        <f>IF(ISBLANK(AP37580), IFERROR(IF(VLOOKUP(AO37580, Ellens_additions!$A$2:$B$252, 2, FALSE) = "", "", VLOOKUP(AO37580, Ellens_additions!$A$2:$B$252, 2, FALSE)), 0), AP37580)</f>
        <v>0</v>
      </c>
    </row>
    <row r="37581" spans="1:43" ht="14.4" hidden="1" x14ac:dyDescent="0.3">
      <c r="A37581" t="s">
        <v>5186</v>
      </c>
      <c r="B37581">
        <v>4892431</v>
      </c>
      <c r="C37581" t="s">
        <v>842</v>
      </c>
      <c r="D37581" t="s">
        <v>843</v>
      </c>
      <c r="E37581" t="s">
        <v>864</v>
      </c>
      <c r="F37581" t="s">
        <v>1084</v>
      </c>
      <c r="H37581" t="s">
        <v>577</v>
      </c>
      <c r="J37581" t="s">
        <v>140</v>
      </c>
      <c r="K37581">
        <v>161056.603</v>
      </c>
      <c r="L37581">
        <v>383342.14299999998</v>
      </c>
      <c r="M37581">
        <v>1</v>
      </c>
      <c r="N37581" t="s">
        <v>3346</v>
      </c>
      <c r="O37581" t="s">
        <v>542</v>
      </c>
      <c r="P37581" t="s">
        <v>801</v>
      </c>
      <c r="Q37581" t="s">
        <v>3347</v>
      </c>
      <c r="R37581" t="s">
        <v>145</v>
      </c>
      <c r="S37581">
        <v>35</v>
      </c>
      <c r="T37581">
        <v>2200</v>
      </c>
      <c r="V37581" t="s">
        <v>183</v>
      </c>
      <c r="W37581" t="s">
        <v>415</v>
      </c>
      <c r="X37581" t="s">
        <v>7</v>
      </c>
      <c r="Y37581" t="s">
        <v>3348</v>
      </c>
      <c r="Z37581" t="s">
        <v>736</v>
      </c>
      <c r="AA37581" t="s">
        <v>519</v>
      </c>
      <c r="AB37581">
        <v>50</v>
      </c>
      <c r="AC37581" t="s">
        <v>150</v>
      </c>
      <c r="AE37581" t="s">
        <v>1249</v>
      </c>
      <c r="AF37581" t="s">
        <v>736</v>
      </c>
      <c r="AG37581" t="s">
        <v>1523</v>
      </c>
      <c r="AL37581" t="s">
        <v>5187</v>
      </c>
      <c r="AM37581" t="s">
        <v>5188</v>
      </c>
      <c r="AN37581" t="s">
        <v>5189</v>
      </c>
      <c r="AO37581" t="s">
        <v>3346</v>
      </c>
      <c r="AQ37581">
        <f>IF(ISBLANK(AP37581), IFERROR(IF(VLOOKUP(AO37581, Ellens_additions!$A$2:$B$252, 2, FALSE) = "", "", VLOOKUP(AO37581, Ellens_additions!$A$2:$B$252, 2, FALSE)), 0), AP37581)</f>
        <v>0</v>
      </c>
    </row>
    <row r="37582" spans="1:43" ht="14.4" hidden="1" x14ac:dyDescent="0.3">
      <c r="A37582" t="s">
        <v>5190</v>
      </c>
      <c r="B37582">
        <v>4892435</v>
      </c>
      <c r="C37582" t="s">
        <v>842</v>
      </c>
      <c r="D37582" t="s">
        <v>843</v>
      </c>
      <c r="E37582" t="s">
        <v>864</v>
      </c>
      <c r="F37582" t="s">
        <v>1084</v>
      </c>
      <c r="H37582" t="s">
        <v>515</v>
      </c>
      <c r="J37582" t="s">
        <v>140</v>
      </c>
      <c r="K37582">
        <v>161059.43900000001</v>
      </c>
      <c r="L37582">
        <v>383350.92200000002</v>
      </c>
      <c r="M37582">
        <v>1</v>
      </c>
      <c r="N37582" t="s">
        <v>3346</v>
      </c>
      <c r="O37582" t="s">
        <v>542</v>
      </c>
      <c r="P37582" t="s">
        <v>801</v>
      </c>
      <c r="Q37582" t="s">
        <v>3347</v>
      </c>
      <c r="R37582" t="s">
        <v>145</v>
      </c>
      <c r="S37582">
        <v>35</v>
      </c>
      <c r="T37582">
        <v>2200</v>
      </c>
      <c r="V37582" t="s">
        <v>183</v>
      </c>
      <c r="W37582" t="s">
        <v>415</v>
      </c>
      <c r="X37582" t="s">
        <v>7</v>
      </c>
      <c r="Y37582" t="s">
        <v>3348</v>
      </c>
      <c r="Z37582" t="s">
        <v>736</v>
      </c>
      <c r="AA37582" t="s">
        <v>519</v>
      </c>
      <c r="AB37582">
        <v>50</v>
      </c>
      <c r="AC37582" t="s">
        <v>150</v>
      </c>
      <c r="AE37582" t="s">
        <v>1249</v>
      </c>
      <c r="AF37582" t="s">
        <v>736</v>
      </c>
      <c r="AG37582" t="s">
        <v>1523</v>
      </c>
      <c r="AL37582" t="s">
        <v>5191</v>
      </c>
      <c r="AM37582" t="s">
        <v>5192</v>
      </c>
      <c r="AN37582" t="s">
        <v>5193</v>
      </c>
      <c r="AO37582" t="s">
        <v>3346</v>
      </c>
      <c r="AQ37582">
        <f>IF(ISBLANK(AP37582), IFERROR(IF(VLOOKUP(AO37582, Ellens_additions!$A$2:$B$252, 2, FALSE) = "", "", VLOOKUP(AO37582, Ellens_additions!$A$2:$B$252, 2, FALSE)), 0), AP37582)</f>
        <v>0</v>
      </c>
    </row>
    <row r="37583" spans="1:43" ht="14.4" hidden="1" x14ac:dyDescent="0.3">
      <c r="A37583" t="s">
        <v>5194</v>
      </c>
      <c r="B37583">
        <v>4892439</v>
      </c>
      <c r="C37583" t="s">
        <v>842</v>
      </c>
      <c r="D37583" t="s">
        <v>843</v>
      </c>
      <c r="E37583" t="s">
        <v>864</v>
      </c>
      <c r="F37583" t="s">
        <v>1084</v>
      </c>
      <c r="H37583" t="s">
        <v>417</v>
      </c>
      <c r="J37583" t="s">
        <v>140</v>
      </c>
      <c r="K37583">
        <v>161062.34099999999</v>
      </c>
      <c r="L37583">
        <v>383359.83600000001</v>
      </c>
      <c r="M37583">
        <v>1</v>
      </c>
      <c r="N37583" t="s">
        <v>3346</v>
      </c>
      <c r="O37583" t="s">
        <v>542</v>
      </c>
      <c r="P37583" t="s">
        <v>801</v>
      </c>
      <c r="Q37583" t="s">
        <v>3347</v>
      </c>
      <c r="R37583" t="s">
        <v>145</v>
      </c>
      <c r="S37583">
        <v>35</v>
      </c>
      <c r="T37583">
        <v>2200</v>
      </c>
      <c r="V37583" t="s">
        <v>183</v>
      </c>
      <c r="W37583" t="s">
        <v>415</v>
      </c>
      <c r="X37583" t="s">
        <v>7</v>
      </c>
      <c r="Y37583" t="s">
        <v>3348</v>
      </c>
      <c r="Z37583" t="s">
        <v>736</v>
      </c>
      <c r="AA37583" t="s">
        <v>519</v>
      </c>
      <c r="AB37583">
        <v>50</v>
      </c>
      <c r="AC37583" t="s">
        <v>150</v>
      </c>
      <c r="AE37583" t="s">
        <v>1249</v>
      </c>
      <c r="AF37583" t="s">
        <v>736</v>
      </c>
      <c r="AG37583" t="s">
        <v>1523</v>
      </c>
      <c r="AL37583" t="s">
        <v>5195</v>
      </c>
      <c r="AM37583" t="s">
        <v>5196</v>
      </c>
      <c r="AN37583" t="s">
        <v>5197</v>
      </c>
      <c r="AO37583" t="s">
        <v>3346</v>
      </c>
      <c r="AQ37583">
        <f>IF(ISBLANK(AP37583), IFERROR(IF(VLOOKUP(AO37583, Ellens_additions!$A$2:$B$252, 2, FALSE) = "", "", VLOOKUP(AO37583, Ellens_additions!$A$2:$B$252, 2, FALSE)), 0), AP37583)</f>
        <v>0</v>
      </c>
    </row>
    <row r="37584" spans="1:43" ht="14.4" hidden="1" x14ac:dyDescent="0.3">
      <c r="A37584" t="s">
        <v>5198</v>
      </c>
      <c r="B37584">
        <v>4892440</v>
      </c>
      <c r="C37584" t="s">
        <v>842</v>
      </c>
      <c r="D37584" t="s">
        <v>843</v>
      </c>
      <c r="E37584" t="s">
        <v>864</v>
      </c>
      <c r="F37584" t="s">
        <v>1084</v>
      </c>
      <c r="H37584" t="s">
        <v>418</v>
      </c>
      <c r="J37584" t="s">
        <v>140</v>
      </c>
      <c r="K37584">
        <v>161062.94899999999</v>
      </c>
      <c r="L37584">
        <v>383361.79399999999</v>
      </c>
      <c r="M37584">
        <v>1</v>
      </c>
      <c r="N37584" t="s">
        <v>3346</v>
      </c>
      <c r="O37584" t="s">
        <v>542</v>
      </c>
      <c r="P37584" t="s">
        <v>801</v>
      </c>
      <c r="Q37584" t="s">
        <v>3347</v>
      </c>
      <c r="R37584" t="s">
        <v>145</v>
      </c>
      <c r="S37584">
        <v>35</v>
      </c>
      <c r="T37584">
        <v>2200</v>
      </c>
      <c r="V37584" t="s">
        <v>183</v>
      </c>
      <c r="W37584" t="s">
        <v>415</v>
      </c>
      <c r="X37584" t="s">
        <v>7</v>
      </c>
      <c r="Y37584" t="s">
        <v>3348</v>
      </c>
      <c r="Z37584" t="s">
        <v>736</v>
      </c>
      <c r="AA37584" t="s">
        <v>519</v>
      </c>
      <c r="AB37584">
        <v>50</v>
      </c>
      <c r="AC37584" t="s">
        <v>150</v>
      </c>
      <c r="AE37584" t="s">
        <v>1249</v>
      </c>
      <c r="AF37584" t="s">
        <v>736</v>
      </c>
      <c r="AG37584" t="s">
        <v>1523</v>
      </c>
      <c r="AL37584" t="s">
        <v>5199</v>
      </c>
      <c r="AM37584" t="s">
        <v>5200</v>
      </c>
      <c r="AN37584" t="s">
        <v>5201</v>
      </c>
      <c r="AO37584" t="s">
        <v>3346</v>
      </c>
      <c r="AQ37584">
        <f>IF(ISBLANK(AP37584), IFERROR(IF(VLOOKUP(AO37584, Ellens_additions!$A$2:$B$252, 2, FALSE) = "", "", VLOOKUP(AO37584, Ellens_additions!$A$2:$B$252, 2, FALSE)), 0), AP37584)</f>
        <v>0</v>
      </c>
    </row>
    <row r="37585" spans="1:43" ht="14.4" hidden="1" x14ac:dyDescent="0.3">
      <c r="A37585" t="s">
        <v>5202</v>
      </c>
      <c r="B37585">
        <v>4892441</v>
      </c>
      <c r="C37585" t="s">
        <v>842</v>
      </c>
      <c r="D37585" t="s">
        <v>843</v>
      </c>
      <c r="E37585" t="s">
        <v>864</v>
      </c>
      <c r="F37585" t="s">
        <v>1084</v>
      </c>
      <c r="H37585" t="s">
        <v>516</v>
      </c>
      <c r="J37585" t="s">
        <v>140</v>
      </c>
      <c r="K37585">
        <v>161063.42199999999</v>
      </c>
      <c r="L37585">
        <v>383363.34700000001</v>
      </c>
      <c r="M37585">
        <v>1</v>
      </c>
      <c r="N37585" t="s">
        <v>3346</v>
      </c>
      <c r="O37585" t="s">
        <v>542</v>
      </c>
      <c r="P37585" t="s">
        <v>801</v>
      </c>
      <c r="Q37585" t="s">
        <v>3347</v>
      </c>
      <c r="R37585" t="s">
        <v>145</v>
      </c>
      <c r="S37585">
        <v>35</v>
      </c>
      <c r="T37585">
        <v>2200</v>
      </c>
      <c r="V37585" t="s">
        <v>183</v>
      </c>
      <c r="W37585" t="s">
        <v>415</v>
      </c>
      <c r="X37585" t="s">
        <v>7</v>
      </c>
      <c r="Y37585" t="s">
        <v>3348</v>
      </c>
      <c r="Z37585" t="s">
        <v>736</v>
      </c>
      <c r="AA37585" t="s">
        <v>519</v>
      </c>
      <c r="AB37585">
        <v>50</v>
      </c>
      <c r="AC37585" t="s">
        <v>150</v>
      </c>
      <c r="AE37585" t="s">
        <v>1249</v>
      </c>
      <c r="AF37585" t="s">
        <v>736</v>
      </c>
      <c r="AG37585" t="s">
        <v>1523</v>
      </c>
      <c r="AL37585" t="s">
        <v>5203</v>
      </c>
      <c r="AM37585" t="s">
        <v>5204</v>
      </c>
      <c r="AN37585" t="s">
        <v>5205</v>
      </c>
      <c r="AO37585" t="s">
        <v>3346</v>
      </c>
      <c r="AQ37585">
        <f>IF(ISBLANK(AP37585), IFERROR(IF(VLOOKUP(AO37585, Ellens_additions!$A$2:$B$252, 2, FALSE) = "", "", VLOOKUP(AO37585, Ellens_additions!$A$2:$B$252, 2, FALSE)), 0), AP37585)</f>
        <v>0</v>
      </c>
    </row>
    <row r="37586" spans="1:43" ht="14.4" x14ac:dyDescent="0.3"/>
    <row r="37587" spans="1:43" ht="14.4" x14ac:dyDescent="0.3"/>
    <row r="37588" spans="1:43" ht="14.4" x14ac:dyDescent="0.3"/>
    <row r="37589" spans="1:43" ht="14.4" x14ac:dyDescent="0.3"/>
    <row r="37590" spans="1:43" ht="14.4" x14ac:dyDescent="0.3"/>
    <row r="37591" spans="1:43" ht="14.4" x14ac:dyDescent="0.3"/>
    <row r="37592" spans="1:43" ht="14.4" x14ac:dyDescent="0.3"/>
    <row r="37593" spans="1:43" ht="14.4" x14ac:dyDescent="0.3"/>
    <row r="37594" spans="1:43" ht="14.4" x14ac:dyDescent="0.3"/>
    <row r="37595" spans="1:43" ht="14.4" x14ac:dyDescent="0.3"/>
    <row r="37596" spans="1:43" ht="14.4" hidden="1" x14ac:dyDescent="0.3">
      <c r="A37596" t="s">
        <v>5206</v>
      </c>
      <c r="B37596">
        <v>4892483</v>
      </c>
      <c r="C37596" t="s">
        <v>842</v>
      </c>
      <c r="D37596" t="s">
        <v>843</v>
      </c>
      <c r="E37596" t="s">
        <v>844</v>
      </c>
      <c r="F37596" t="s">
        <v>2027</v>
      </c>
      <c r="H37596" t="s">
        <v>300</v>
      </c>
      <c r="J37596" t="s">
        <v>140</v>
      </c>
      <c r="K37596">
        <v>161564.47</v>
      </c>
      <c r="L37596">
        <v>383145.07799999998</v>
      </c>
      <c r="M37596">
        <v>1</v>
      </c>
      <c r="N37596" t="s">
        <v>382</v>
      </c>
      <c r="O37596" t="s">
        <v>664</v>
      </c>
      <c r="P37596" t="s">
        <v>397</v>
      </c>
      <c r="Q37596" t="s">
        <v>358</v>
      </c>
      <c r="R37596" t="s">
        <v>145</v>
      </c>
      <c r="S37596">
        <v>35</v>
      </c>
      <c r="T37596">
        <v>3300</v>
      </c>
      <c r="V37596" t="s">
        <v>359</v>
      </c>
      <c r="W37596" t="s">
        <v>415</v>
      </c>
      <c r="X37596" t="s">
        <v>7</v>
      </c>
      <c r="Y37596" t="s">
        <v>3365</v>
      </c>
      <c r="Z37596" t="s">
        <v>575</v>
      </c>
      <c r="AA37596" t="s">
        <v>1939</v>
      </c>
      <c r="AB37596">
        <v>90</v>
      </c>
      <c r="AC37596" t="s">
        <v>150</v>
      </c>
      <c r="AE37596" t="s">
        <v>3366</v>
      </c>
      <c r="AF37596" t="s">
        <v>575</v>
      </c>
      <c r="AG37596" t="s">
        <v>1939</v>
      </c>
      <c r="AL37596" t="s">
        <v>5207</v>
      </c>
      <c r="AM37596" t="s">
        <v>5208</v>
      </c>
      <c r="AN37596" t="s">
        <v>5209</v>
      </c>
      <c r="AO37596" t="s">
        <v>382</v>
      </c>
      <c r="AQ37596" t="str">
        <f>IF(ISBLANK(AP37596), IFERROR(IF(VLOOKUP(AO37596, Ellens_additions!$A$2:$B$252, 2, FALSE) = "", "", VLOOKUP(AO37596, Ellens_additions!$A$2:$B$252, 2, FALSE)), 0), AP37596)</f>
        <v/>
      </c>
    </row>
    <row r="37597" spans="1:43" ht="14.4" hidden="1" x14ac:dyDescent="0.3">
      <c r="A37597" t="s">
        <v>5210</v>
      </c>
      <c r="B37597">
        <v>4892488</v>
      </c>
      <c r="C37597" t="s">
        <v>842</v>
      </c>
      <c r="D37597" t="s">
        <v>843</v>
      </c>
      <c r="E37597" t="s">
        <v>844</v>
      </c>
      <c r="F37597" t="s">
        <v>2027</v>
      </c>
      <c r="H37597" t="s">
        <v>139</v>
      </c>
      <c r="J37597" t="s">
        <v>140</v>
      </c>
      <c r="K37597">
        <v>161569.04</v>
      </c>
      <c r="L37597">
        <v>383178.61</v>
      </c>
      <c r="M37597">
        <v>1</v>
      </c>
      <c r="N37597" t="s">
        <v>382</v>
      </c>
      <c r="O37597" t="s">
        <v>1518</v>
      </c>
      <c r="P37597" t="s">
        <v>526</v>
      </c>
      <c r="Q37597" t="s">
        <v>358</v>
      </c>
      <c r="R37597" t="s">
        <v>145</v>
      </c>
      <c r="S37597">
        <v>35</v>
      </c>
      <c r="T37597">
        <v>3300</v>
      </c>
      <c r="V37597" t="s">
        <v>359</v>
      </c>
      <c r="W37597" t="s">
        <v>415</v>
      </c>
      <c r="X37597" t="s">
        <v>7</v>
      </c>
      <c r="Y37597" t="s">
        <v>3365</v>
      </c>
      <c r="Z37597" t="s">
        <v>575</v>
      </c>
      <c r="AA37597" t="s">
        <v>1939</v>
      </c>
      <c r="AB37597">
        <v>90</v>
      </c>
      <c r="AC37597" t="s">
        <v>150</v>
      </c>
      <c r="AE37597" t="s">
        <v>3366</v>
      </c>
      <c r="AF37597" t="s">
        <v>575</v>
      </c>
      <c r="AG37597" t="s">
        <v>1939</v>
      </c>
      <c r="AL37597" t="s">
        <v>5211</v>
      </c>
      <c r="AM37597" t="s">
        <v>5212</v>
      </c>
      <c r="AN37597" t="s">
        <v>5213</v>
      </c>
      <c r="AO37597" t="s">
        <v>382</v>
      </c>
      <c r="AQ37597" t="str">
        <f>IF(ISBLANK(AP37597), IFERROR(IF(VLOOKUP(AO37597, Ellens_additions!$A$2:$B$252, 2, FALSE) = "", "", VLOOKUP(AO37597, Ellens_additions!$A$2:$B$252, 2, FALSE)), 0), AP37597)</f>
        <v/>
      </c>
    </row>
    <row r="37598" spans="1:43" ht="14.4" hidden="1" x14ac:dyDescent="0.3">
      <c r="A37598" t="s">
        <v>3370</v>
      </c>
      <c r="B37598">
        <v>4892489</v>
      </c>
      <c r="C37598" t="s">
        <v>842</v>
      </c>
      <c r="D37598" t="s">
        <v>843</v>
      </c>
      <c r="E37598" t="s">
        <v>844</v>
      </c>
      <c r="F37598" t="s">
        <v>1959</v>
      </c>
      <c r="H37598" t="s">
        <v>817</v>
      </c>
      <c r="J37598" t="s">
        <v>140</v>
      </c>
      <c r="K37598">
        <v>161597.97899999999</v>
      </c>
      <c r="L37598">
        <v>383173.12900000002</v>
      </c>
      <c r="M37598">
        <v>1</v>
      </c>
      <c r="N37598" t="s">
        <v>1246</v>
      </c>
      <c r="O37598" t="s">
        <v>1038</v>
      </c>
      <c r="P37598" t="s">
        <v>4979</v>
      </c>
      <c r="Q37598" t="s">
        <v>761</v>
      </c>
      <c r="R37598" t="s">
        <v>145</v>
      </c>
      <c r="S37598">
        <v>18</v>
      </c>
      <c r="T37598">
        <v>0</v>
      </c>
      <c r="V37598" t="s">
        <v>848</v>
      </c>
      <c r="W37598" t="s">
        <v>415</v>
      </c>
      <c r="X37598" t="s">
        <v>9</v>
      </c>
      <c r="Y37598" t="s">
        <v>3371</v>
      </c>
      <c r="Z37598" t="s">
        <v>1549</v>
      </c>
      <c r="AA37598" t="s">
        <v>1857</v>
      </c>
      <c r="AB37598">
        <v>30</v>
      </c>
      <c r="AC37598" t="s">
        <v>150</v>
      </c>
      <c r="AE37598" t="s">
        <v>3252</v>
      </c>
      <c r="AF37598" t="s">
        <v>1549</v>
      </c>
      <c r="AG37598" t="s">
        <v>1851</v>
      </c>
      <c r="AL37598" t="s">
        <v>3372</v>
      </c>
      <c r="AM37598" t="s">
        <v>3373</v>
      </c>
      <c r="AN37598" t="s">
        <v>3374</v>
      </c>
      <c r="AO37598" t="s">
        <v>1246</v>
      </c>
      <c r="AQ37598" t="str">
        <f>IF(ISBLANK(AP37598), IFERROR(IF(VLOOKUP(AO37598, Ellens_additions!$A$2:$B$252, 2, FALSE) = "", "", VLOOKUP(AO37598, Ellens_additions!$A$2:$B$252, 2, FALSE)), 0), AP37598)</f>
        <v/>
      </c>
    </row>
    <row r="37599" spans="1:43" ht="14.4" hidden="1" x14ac:dyDescent="0.3">
      <c r="A37599" t="s">
        <v>3370</v>
      </c>
      <c r="B37599">
        <v>4892494</v>
      </c>
      <c r="C37599" t="s">
        <v>842</v>
      </c>
      <c r="D37599" t="s">
        <v>843</v>
      </c>
      <c r="E37599" t="s">
        <v>844</v>
      </c>
      <c r="F37599" t="s">
        <v>1959</v>
      </c>
      <c r="H37599" t="s">
        <v>817</v>
      </c>
      <c r="J37599" t="s">
        <v>140</v>
      </c>
      <c r="K37599">
        <v>161597.97899999999</v>
      </c>
      <c r="L37599">
        <v>383173.12900000002</v>
      </c>
      <c r="M37599">
        <v>1</v>
      </c>
      <c r="N37599" t="s">
        <v>1246</v>
      </c>
      <c r="O37599" t="s">
        <v>845</v>
      </c>
      <c r="P37599" t="s">
        <v>1378</v>
      </c>
      <c r="Q37599" t="s">
        <v>761</v>
      </c>
      <c r="R37599" t="s">
        <v>145</v>
      </c>
      <c r="S37599">
        <v>18</v>
      </c>
      <c r="T37599">
        <v>0</v>
      </c>
      <c r="V37599" t="s">
        <v>848</v>
      </c>
      <c r="W37599" t="s">
        <v>415</v>
      </c>
      <c r="X37599" t="s">
        <v>21</v>
      </c>
      <c r="Y37599" t="s">
        <v>3371</v>
      </c>
      <c r="Z37599" t="s">
        <v>1549</v>
      </c>
      <c r="AA37599" t="s">
        <v>1857</v>
      </c>
      <c r="AB37599">
        <v>30</v>
      </c>
      <c r="AC37599" t="s">
        <v>150</v>
      </c>
      <c r="AE37599" t="s">
        <v>3252</v>
      </c>
      <c r="AF37599" t="s">
        <v>1549</v>
      </c>
      <c r="AG37599" t="s">
        <v>1851</v>
      </c>
      <c r="AL37599" t="s">
        <v>3372</v>
      </c>
      <c r="AM37599" t="s">
        <v>3373</v>
      </c>
      <c r="AN37599" t="s">
        <v>3374</v>
      </c>
      <c r="AO37599" t="s">
        <v>1246</v>
      </c>
      <c r="AQ37599" t="str">
        <f>IF(ISBLANK(AP37599), IFERROR(IF(VLOOKUP(AO37599, Ellens_additions!$A$2:$B$252, 2, FALSE) = "", "", VLOOKUP(AO37599, Ellens_additions!$A$2:$B$252, 2, FALSE)), 0), AP37599)</f>
        <v/>
      </c>
    </row>
    <row r="37600" spans="1:43" ht="14.4" hidden="1" x14ac:dyDescent="0.3">
      <c r="A37600" t="s">
        <v>3370</v>
      </c>
      <c r="B37600">
        <v>4892496</v>
      </c>
      <c r="C37600" t="s">
        <v>842</v>
      </c>
      <c r="D37600" t="s">
        <v>843</v>
      </c>
      <c r="E37600" t="s">
        <v>844</v>
      </c>
      <c r="F37600" t="s">
        <v>1959</v>
      </c>
      <c r="H37600" t="s">
        <v>817</v>
      </c>
      <c r="J37600" t="s">
        <v>140</v>
      </c>
      <c r="K37600">
        <v>161597.97899999999</v>
      </c>
      <c r="L37600">
        <v>383173.12900000002</v>
      </c>
      <c r="M37600">
        <v>1</v>
      </c>
      <c r="N37600" t="s">
        <v>1246</v>
      </c>
      <c r="O37600" t="s">
        <v>845</v>
      </c>
      <c r="P37600" t="s">
        <v>1378</v>
      </c>
      <c r="Q37600" t="s">
        <v>761</v>
      </c>
      <c r="R37600" t="s">
        <v>145</v>
      </c>
      <c r="S37600">
        <v>18</v>
      </c>
      <c r="T37600">
        <v>0</v>
      </c>
      <c r="V37600" t="s">
        <v>848</v>
      </c>
      <c r="W37600" t="s">
        <v>415</v>
      </c>
      <c r="X37600" t="s">
        <v>17</v>
      </c>
      <c r="Y37600" t="s">
        <v>3371</v>
      </c>
      <c r="Z37600" t="s">
        <v>1549</v>
      </c>
      <c r="AA37600" t="s">
        <v>1857</v>
      </c>
      <c r="AB37600">
        <v>30</v>
      </c>
      <c r="AC37600" t="s">
        <v>150</v>
      </c>
      <c r="AE37600" t="s">
        <v>3252</v>
      </c>
      <c r="AF37600" t="s">
        <v>1549</v>
      </c>
      <c r="AG37600" t="s">
        <v>1851</v>
      </c>
      <c r="AL37600" t="s">
        <v>3372</v>
      </c>
      <c r="AM37600" t="s">
        <v>3373</v>
      </c>
      <c r="AN37600" t="s">
        <v>3374</v>
      </c>
      <c r="AO37600" t="s">
        <v>1246</v>
      </c>
      <c r="AQ37600" t="str">
        <f>IF(ISBLANK(AP37600), IFERROR(IF(VLOOKUP(AO37600, Ellens_additions!$A$2:$B$252, 2, FALSE) = "", "", VLOOKUP(AO37600, Ellens_additions!$A$2:$B$252, 2, FALSE)), 0), AP37600)</f>
        <v/>
      </c>
    </row>
    <row r="37601" spans="1:43" ht="14.4" hidden="1" x14ac:dyDescent="0.3">
      <c r="A37601" t="s">
        <v>3370</v>
      </c>
      <c r="B37601">
        <v>4892497</v>
      </c>
      <c r="C37601" t="s">
        <v>842</v>
      </c>
      <c r="D37601" t="s">
        <v>843</v>
      </c>
      <c r="E37601" t="s">
        <v>844</v>
      </c>
      <c r="F37601" t="s">
        <v>1959</v>
      </c>
      <c r="H37601" t="s">
        <v>817</v>
      </c>
      <c r="J37601" t="s">
        <v>140</v>
      </c>
      <c r="K37601">
        <v>161597.97899999999</v>
      </c>
      <c r="L37601">
        <v>383173.12900000002</v>
      </c>
      <c r="M37601">
        <v>1</v>
      </c>
      <c r="N37601" t="s">
        <v>1246</v>
      </c>
      <c r="O37601" t="s">
        <v>845</v>
      </c>
      <c r="P37601" t="s">
        <v>1378</v>
      </c>
      <c r="Q37601" t="s">
        <v>761</v>
      </c>
      <c r="R37601" t="s">
        <v>145</v>
      </c>
      <c r="S37601">
        <v>18</v>
      </c>
      <c r="T37601">
        <v>0</v>
      </c>
      <c r="V37601" t="s">
        <v>848</v>
      </c>
      <c r="W37601" t="s">
        <v>415</v>
      </c>
      <c r="X37601" t="s">
        <v>15</v>
      </c>
      <c r="Y37601" t="s">
        <v>3371</v>
      </c>
      <c r="Z37601" t="s">
        <v>1549</v>
      </c>
      <c r="AA37601" t="s">
        <v>1857</v>
      </c>
      <c r="AB37601">
        <v>30</v>
      </c>
      <c r="AC37601" t="s">
        <v>150</v>
      </c>
      <c r="AE37601" t="s">
        <v>3252</v>
      </c>
      <c r="AF37601" t="s">
        <v>1549</v>
      </c>
      <c r="AG37601" t="s">
        <v>1851</v>
      </c>
      <c r="AL37601" t="s">
        <v>3372</v>
      </c>
      <c r="AM37601" t="s">
        <v>3373</v>
      </c>
      <c r="AN37601" t="s">
        <v>3374</v>
      </c>
      <c r="AO37601" t="s">
        <v>1246</v>
      </c>
      <c r="AQ37601" t="str">
        <f>IF(ISBLANK(AP37601), IFERROR(IF(VLOOKUP(AO37601, Ellens_additions!$A$2:$B$252, 2, FALSE) = "", "", VLOOKUP(AO37601, Ellens_additions!$A$2:$B$252, 2, FALSE)), 0), AP37601)</f>
        <v/>
      </c>
    </row>
    <row r="37602" spans="1:43" ht="14.4" hidden="1" x14ac:dyDescent="0.3">
      <c r="A37602" t="s">
        <v>3370</v>
      </c>
      <c r="B37602">
        <v>4892498</v>
      </c>
      <c r="C37602" t="s">
        <v>842</v>
      </c>
      <c r="D37602" t="s">
        <v>843</v>
      </c>
      <c r="E37602" t="s">
        <v>844</v>
      </c>
      <c r="F37602" t="s">
        <v>1959</v>
      </c>
      <c r="H37602" t="s">
        <v>817</v>
      </c>
      <c r="J37602" t="s">
        <v>140</v>
      </c>
      <c r="K37602">
        <v>161597.97899999999</v>
      </c>
      <c r="L37602">
        <v>383173.12900000002</v>
      </c>
      <c r="M37602">
        <v>1</v>
      </c>
      <c r="N37602" t="s">
        <v>1246</v>
      </c>
      <c r="O37602" t="s">
        <v>845</v>
      </c>
      <c r="P37602" t="s">
        <v>1378</v>
      </c>
      <c r="Q37602" t="s">
        <v>761</v>
      </c>
      <c r="R37602" t="s">
        <v>145</v>
      </c>
      <c r="S37602">
        <v>18</v>
      </c>
      <c r="T37602">
        <v>0</v>
      </c>
      <c r="V37602" t="s">
        <v>848</v>
      </c>
      <c r="W37602" t="s">
        <v>415</v>
      </c>
      <c r="X37602" t="s">
        <v>13</v>
      </c>
      <c r="Y37602" t="s">
        <v>3371</v>
      </c>
      <c r="Z37602" t="s">
        <v>1549</v>
      </c>
      <c r="AA37602" t="s">
        <v>1857</v>
      </c>
      <c r="AB37602">
        <v>30</v>
      </c>
      <c r="AC37602" t="s">
        <v>150</v>
      </c>
      <c r="AE37602" t="s">
        <v>3252</v>
      </c>
      <c r="AF37602" t="s">
        <v>1549</v>
      </c>
      <c r="AG37602" t="s">
        <v>1851</v>
      </c>
      <c r="AL37602" t="s">
        <v>3372</v>
      </c>
      <c r="AM37602" t="s">
        <v>3373</v>
      </c>
      <c r="AN37602" t="s">
        <v>3374</v>
      </c>
      <c r="AO37602" t="s">
        <v>1246</v>
      </c>
      <c r="AQ37602" t="str">
        <f>IF(ISBLANK(AP37602), IFERROR(IF(VLOOKUP(AO37602, Ellens_additions!$A$2:$B$252, 2, FALSE) = "", "", VLOOKUP(AO37602, Ellens_additions!$A$2:$B$252, 2, FALSE)), 0), AP37602)</f>
        <v/>
      </c>
    </row>
    <row r="37603" spans="1:43" ht="14.4" x14ac:dyDescent="0.3"/>
    <row r="37604" spans="1:43" ht="14.4" x14ac:dyDescent="0.3"/>
    <row r="37605" spans="1:43" ht="14.4" x14ac:dyDescent="0.3"/>
    <row r="37606" spans="1:43" ht="14.4" x14ac:dyDescent="0.3"/>
    <row r="37607" spans="1:43" ht="14.4" x14ac:dyDescent="0.3"/>
    <row r="37608" spans="1:43" ht="14.4" x14ac:dyDescent="0.3"/>
    <row r="37609" spans="1:43" ht="14.4" x14ac:dyDescent="0.3"/>
    <row r="37610" spans="1:43" ht="14.4" x14ac:dyDescent="0.3"/>
    <row r="37611" spans="1:43" ht="14.4" x14ac:dyDescent="0.3"/>
    <row r="37612" spans="1:43" ht="14.4" x14ac:dyDescent="0.3"/>
    <row r="37613" spans="1:43" ht="14.4" x14ac:dyDescent="0.3"/>
    <row r="37614" spans="1:43" ht="14.4" x14ac:dyDescent="0.3"/>
    <row r="37615" spans="1:43" ht="14.4" x14ac:dyDescent="0.3"/>
    <row r="37616" spans="1:43" ht="14.4" x14ac:dyDescent="0.3"/>
    <row r="37617" ht="14.4" x14ac:dyDescent="0.3"/>
    <row r="37618" ht="14.4" x14ac:dyDescent="0.3"/>
    <row r="37619" ht="14.4" x14ac:dyDescent="0.3"/>
    <row r="37620" ht="14.4" x14ac:dyDescent="0.3"/>
    <row r="37621" ht="14.4" x14ac:dyDescent="0.3"/>
    <row r="37622" ht="14.4" x14ac:dyDescent="0.3"/>
    <row r="37623" ht="14.4" x14ac:dyDescent="0.3"/>
    <row r="37624" ht="14.4" x14ac:dyDescent="0.3"/>
    <row r="37625" ht="14.4" x14ac:dyDescent="0.3"/>
    <row r="37626" ht="14.4" x14ac:dyDescent="0.3"/>
    <row r="37627" ht="14.4" x14ac:dyDescent="0.3"/>
    <row r="37628" ht="14.4" x14ac:dyDescent="0.3"/>
    <row r="37629" ht="14.4" x14ac:dyDescent="0.3"/>
    <row r="37630" ht="14.4" x14ac:dyDescent="0.3"/>
    <row r="37631" ht="14.4" x14ac:dyDescent="0.3"/>
    <row r="37632" ht="14.4" x14ac:dyDescent="0.3"/>
    <row r="37633" spans="1:43" ht="14.4" x14ac:dyDescent="0.3"/>
    <row r="37634" spans="1:43" ht="14.4" x14ac:dyDescent="0.3"/>
    <row r="37635" spans="1:43" ht="14.4" x14ac:dyDescent="0.3"/>
    <row r="37636" spans="1:43" ht="14.4" x14ac:dyDescent="0.3"/>
    <row r="37637" spans="1:43" ht="14.4" x14ac:dyDescent="0.3"/>
    <row r="37638" spans="1:43" ht="14.4" x14ac:dyDescent="0.3"/>
    <row r="37639" spans="1:43" ht="14.4" x14ac:dyDescent="0.3"/>
    <row r="37640" spans="1:43" ht="14.4" x14ac:dyDescent="0.3"/>
    <row r="37641" spans="1:43" ht="14.4" x14ac:dyDescent="0.3"/>
    <row r="37642" spans="1:43" ht="14.4" x14ac:dyDescent="0.3"/>
    <row r="37643" spans="1:43" ht="14.4" hidden="1" x14ac:dyDescent="0.3">
      <c r="A37643" t="s">
        <v>5214</v>
      </c>
      <c r="B37643">
        <v>4892629</v>
      </c>
      <c r="C37643" t="s">
        <v>842</v>
      </c>
      <c r="D37643" t="s">
        <v>843</v>
      </c>
      <c r="E37643" t="s">
        <v>844</v>
      </c>
      <c r="F37643" t="s">
        <v>1962</v>
      </c>
      <c r="H37643" t="s">
        <v>1005</v>
      </c>
      <c r="I37643" t="s">
        <v>2029</v>
      </c>
      <c r="J37643" t="s">
        <v>140</v>
      </c>
      <c r="K37643">
        <v>161572.74600000001</v>
      </c>
      <c r="L37643">
        <v>382935.38699999999</v>
      </c>
      <c r="M37643">
        <v>1</v>
      </c>
      <c r="N37643" t="s">
        <v>5215</v>
      </c>
      <c r="O37643" t="s">
        <v>364</v>
      </c>
      <c r="P37643" t="s">
        <v>525</v>
      </c>
      <c r="Q37643" t="s">
        <v>264</v>
      </c>
      <c r="R37643" t="s">
        <v>145</v>
      </c>
      <c r="S37643">
        <v>5</v>
      </c>
      <c r="T37643">
        <v>250</v>
      </c>
      <c r="V37643" t="s">
        <v>5216</v>
      </c>
      <c r="W37643" t="s">
        <v>415</v>
      </c>
      <c r="X37643" t="s">
        <v>7</v>
      </c>
      <c r="Y37643" t="s">
        <v>3378</v>
      </c>
      <c r="Z37643" t="s">
        <v>742</v>
      </c>
      <c r="AA37643" t="s">
        <v>691</v>
      </c>
      <c r="AB37643">
        <v>100</v>
      </c>
      <c r="AC37643" t="s">
        <v>150</v>
      </c>
      <c r="AE37643" t="s">
        <v>3381</v>
      </c>
      <c r="AF37643" t="s">
        <v>742</v>
      </c>
      <c r="AG37643" t="s">
        <v>691</v>
      </c>
      <c r="AL37643" t="s">
        <v>5217</v>
      </c>
      <c r="AM37643" t="s">
        <v>5218</v>
      </c>
      <c r="AN37643" t="s">
        <v>5219</v>
      </c>
      <c r="AO37643" t="s">
        <v>5215</v>
      </c>
      <c r="AQ37643">
        <f>IF(ISBLANK(AP37643), IFERROR(IF(VLOOKUP(AO37643, Ellens_additions!$A$2:$B$252, 2, FALSE) = "", "", VLOOKUP(AO37643, Ellens_additions!$A$2:$B$252, 2, FALSE)), 0), AP37643)</f>
        <v>0</v>
      </c>
    </row>
    <row r="37644" spans="1:43" ht="14.4" hidden="1" x14ac:dyDescent="0.3">
      <c r="A37644" t="s">
        <v>5220</v>
      </c>
      <c r="B37644">
        <v>4892631</v>
      </c>
      <c r="C37644" t="s">
        <v>842</v>
      </c>
      <c r="D37644" t="s">
        <v>843</v>
      </c>
      <c r="E37644" t="s">
        <v>844</v>
      </c>
      <c r="F37644" t="s">
        <v>1962</v>
      </c>
      <c r="H37644" t="s">
        <v>817</v>
      </c>
      <c r="I37644" t="s">
        <v>2029</v>
      </c>
      <c r="J37644" t="s">
        <v>140</v>
      </c>
      <c r="K37644">
        <v>161559.58199999999</v>
      </c>
      <c r="L37644">
        <v>382933.359</v>
      </c>
      <c r="M37644">
        <v>1</v>
      </c>
      <c r="N37644" t="s">
        <v>297</v>
      </c>
      <c r="O37644" t="s">
        <v>1073</v>
      </c>
      <c r="P37644" t="s">
        <v>491</v>
      </c>
      <c r="Q37644" t="s">
        <v>181</v>
      </c>
      <c r="R37644" t="s">
        <v>182</v>
      </c>
      <c r="S37644">
        <v>70</v>
      </c>
      <c r="T37644">
        <v>6600</v>
      </c>
      <c r="V37644" t="s">
        <v>183</v>
      </c>
      <c r="W37644" t="s">
        <v>415</v>
      </c>
      <c r="X37644" t="s">
        <v>7</v>
      </c>
      <c r="Y37644" t="s">
        <v>5221</v>
      </c>
      <c r="Z37644" t="s">
        <v>2024</v>
      </c>
      <c r="AA37644" t="s">
        <v>2025</v>
      </c>
      <c r="AB37644">
        <v>0</v>
      </c>
      <c r="AC37644" t="s">
        <v>150</v>
      </c>
      <c r="AE37644" t="s">
        <v>1496</v>
      </c>
      <c r="AF37644" t="s">
        <v>2024</v>
      </c>
      <c r="AG37644" t="s">
        <v>2025</v>
      </c>
      <c r="AL37644" t="s">
        <v>5222</v>
      </c>
      <c r="AM37644" t="s">
        <v>5223</v>
      </c>
      <c r="AN37644" t="s">
        <v>5224</v>
      </c>
      <c r="AO37644" t="s">
        <v>297</v>
      </c>
      <c r="AQ37644">
        <f>IF(ISBLANK(AP37644), IFERROR(IF(VLOOKUP(AO37644, Ellens_additions!$A$2:$B$252, 2, FALSE) = "", "", VLOOKUP(AO37644, Ellens_additions!$A$2:$B$252, 2, FALSE)), 0), AP37644)</f>
        <v>2000</v>
      </c>
    </row>
    <row r="37645" spans="1:43" ht="14.4" x14ac:dyDescent="0.3"/>
    <row r="37646" spans="1:43" ht="14.4" x14ac:dyDescent="0.3"/>
    <row r="37647" spans="1:43" ht="14.4" x14ac:dyDescent="0.3"/>
    <row r="37648" spans="1:43" ht="14.4" x14ac:dyDescent="0.3"/>
    <row r="37649" ht="14.4" x14ac:dyDescent="0.3"/>
    <row r="37650" ht="14.4" x14ac:dyDescent="0.3"/>
    <row r="37651" ht="14.4" x14ac:dyDescent="0.3"/>
    <row r="37652" ht="14.4" x14ac:dyDescent="0.3"/>
    <row r="37653" ht="14.4" x14ac:dyDescent="0.3"/>
    <row r="37654" ht="14.4" x14ac:dyDescent="0.3"/>
    <row r="37655" ht="14.4" x14ac:dyDescent="0.3"/>
    <row r="37656" ht="14.4" x14ac:dyDescent="0.3"/>
    <row r="37657" ht="14.4" x14ac:dyDescent="0.3"/>
    <row r="37658" ht="14.4" x14ac:dyDescent="0.3"/>
    <row r="37659" ht="14.4" x14ac:dyDescent="0.3"/>
    <row r="37660" ht="14.4" x14ac:dyDescent="0.3"/>
    <row r="37661" ht="14.4" x14ac:dyDescent="0.3"/>
    <row r="37662" ht="14.4" x14ac:dyDescent="0.3"/>
    <row r="37663" ht="14.4" x14ac:dyDescent="0.3"/>
    <row r="37664" ht="14.4" x14ac:dyDescent="0.3"/>
    <row r="37665" ht="14.4" x14ac:dyDescent="0.3"/>
    <row r="37666" ht="14.4" x14ac:dyDescent="0.3"/>
    <row r="37667" ht="14.4" x14ac:dyDescent="0.3"/>
    <row r="37668" ht="14.4" x14ac:dyDescent="0.3"/>
    <row r="37669" ht="14.4" x14ac:dyDescent="0.3"/>
    <row r="37670" ht="14.4" x14ac:dyDescent="0.3"/>
    <row r="37671" ht="14.4" x14ac:dyDescent="0.3"/>
    <row r="37672" ht="14.4" x14ac:dyDescent="0.3"/>
    <row r="37673" ht="14.4" x14ac:dyDescent="0.3"/>
    <row r="37674" ht="14.4" x14ac:dyDescent="0.3"/>
    <row r="37675" ht="14.4" x14ac:dyDescent="0.3"/>
    <row r="37676" ht="14.4" x14ac:dyDescent="0.3"/>
    <row r="37677" ht="14.4" x14ac:dyDescent="0.3"/>
    <row r="37678" ht="14.4" x14ac:dyDescent="0.3"/>
    <row r="37679" ht="14.4" x14ac:dyDescent="0.3"/>
    <row r="37680" ht="14.4" x14ac:dyDescent="0.3"/>
    <row r="37681" ht="14.4" x14ac:dyDescent="0.3"/>
    <row r="37682" ht="14.4" x14ac:dyDescent="0.3"/>
    <row r="37683" ht="14.4" x14ac:dyDescent="0.3"/>
    <row r="37684" ht="14.4" x14ac:dyDescent="0.3"/>
    <row r="37685" ht="14.4" x14ac:dyDescent="0.3"/>
    <row r="37686" ht="14.4" x14ac:dyDescent="0.3"/>
    <row r="37687" ht="14.4" x14ac:dyDescent="0.3"/>
    <row r="37688" ht="14.4" x14ac:dyDescent="0.3"/>
    <row r="37689" ht="14.4" x14ac:dyDescent="0.3"/>
    <row r="37690" ht="14.4" x14ac:dyDescent="0.3"/>
    <row r="37691" ht="14.4" x14ac:dyDescent="0.3"/>
    <row r="37692" ht="14.4" x14ac:dyDescent="0.3"/>
    <row r="37693" ht="14.4" x14ac:dyDescent="0.3"/>
    <row r="37694" ht="14.4" x14ac:dyDescent="0.3"/>
    <row r="37695" ht="14.4" x14ac:dyDescent="0.3"/>
    <row r="37696" ht="14.4" x14ac:dyDescent="0.3"/>
    <row r="37697" ht="14.4" x14ac:dyDescent="0.3"/>
    <row r="37698" ht="14.4" x14ac:dyDescent="0.3"/>
    <row r="37699" ht="14.4" x14ac:dyDescent="0.3"/>
    <row r="37700" ht="14.4" x14ac:dyDescent="0.3"/>
    <row r="37701" ht="14.4" x14ac:dyDescent="0.3"/>
    <row r="37702" ht="14.4" x14ac:dyDescent="0.3"/>
    <row r="37703" ht="14.4" x14ac:dyDescent="0.3"/>
    <row r="37704" ht="14.4" x14ac:dyDescent="0.3"/>
    <row r="37705" ht="14.4" x14ac:dyDescent="0.3"/>
    <row r="37706" ht="14.4" x14ac:dyDescent="0.3"/>
    <row r="37707" ht="14.4" x14ac:dyDescent="0.3"/>
    <row r="37708" ht="14.4" x14ac:dyDescent="0.3"/>
    <row r="37709" ht="14.4" x14ac:dyDescent="0.3"/>
    <row r="37710" ht="14.4" x14ac:dyDescent="0.3"/>
    <row r="37711" ht="14.4" x14ac:dyDescent="0.3"/>
    <row r="37712" ht="14.4" x14ac:dyDescent="0.3"/>
    <row r="37713" ht="14.4" x14ac:dyDescent="0.3"/>
    <row r="37714" ht="14.4" x14ac:dyDescent="0.3"/>
    <row r="37715" ht="14.4" x14ac:dyDescent="0.3"/>
    <row r="37716" ht="14.4" x14ac:dyDescent="0.3"/>
    <row r="37717" ht="14.4" x14ac:dyDescent="0.3"/>
    <row r="37718" ht="14.4" x14ac:dyDescent="0.3"/>
    <row r="37719" ht="14.4" x14ac:dyDescent="0.3"/>
    <row r="37720" ht="14.4" x14ac:dyDescent="0.3"/>
    <row r="37721" ht="14.4" x14ac:dyDescent="0.3"/>
    <row r="37722" ht="14.4" x14ac:dyDescent="0.3"/>
    <row r="37723" ht="14.4" x14ac:dyDescent="0.3"/>
    <row r="37724" ht="14.4" x14ac:dyDescent="0.3"/>
    <row r="37725" ht="14.4" x14ac:dyDescent="0.3"/>
    <row r="37726" ht="14.4" x14ac:dyDescent="0.3"/>
    <row r="37727" ht="14.4" x14ac:dyDescent="0.3"/>
    <row r="37728" ht="14.4" x14ac:dyDescent="0.3"/>
    <row r="37729" ht="14.4" x14ac:dyDescent="0.3"/>
    <row r="37730" ht="14.4" x14ac:dyDescent="0.3"/>
    <row r="37731" ht="14.4" x14ac:dyDescent="0.3"/>
    <row r="37732" ht="14.4" x14ac:dyDescent="0.3"/>
    <row r="37733" ht="14.4" x14ac:dyDescent="0.3"/>
    <row r="37734" ht="14.4" x14ac:dyDescent="0.3"/>
    <row r="37735" ht="14.4" x14ac:dyDescent="0.3"/>
    <row r="37736" ht="14.4" x14ac:dyDescent="0.3"/>
    <row r="37737" ht="14.4" x14ac:dyDescent="0.3"/>
    <row r="37738" ht="14.4" x14ac:dyDescent="0.3"/>
    <row r="37739" ht="14.4" x14ac:dyDescent="0.3"/>
    <row r="37740" ht="14.4" x14ac:dyDescent="0.3"/>
    <row r="37741" ht="14.4" x14ac:dyDescent="0.3"/>
    <row r="37742" ht="14.4" x14ac:dyDescent="0.3"/>
    <row r="37743" ht="14.4" x14ac:dyDescent="0.3"/>
    <row r="37744" ht="14.4" x14ac:dyDescent="0.3"/>
    <row r="37745" ht="14.4" x14ac:dyDescent="0.3"/>
    <row r="37746" ht="14.4" x14ac:dyDescent="0.3"/>
    <row r="37747" ht="14.4" x14ac:dyDescent="0.3"/>
    <row r="37748" ht="14.4" x14ac:dyDescent="0.3"/>
    <row r="37749" ht="14.4" x14ac:dyDescent="0.3"/>
    <row r="37750" ht="14.4" x14ac:dyDescent="0.3"/>
    <row r="37751" ht="14.4" x14ac:dyDescent="0.3"/>
    <row r="37752" ht="14.4" x14ac:dyDescent="0.3"/>
    <row r="37753" ht="14.4" x14ac:dyDescent="0.3"/>
    <row r="37754" ht="14.4" x14ac:dyDescent="0.3"/>
    <row r="37755" ht="14.4" x14ac:dyDescent="0.3"/>
    <row r="37756" ht="14.4" x14ac:dyDescent="0.3"/>
    <row r="37757" ht="14.4" x14ac:dyDescent="0.3"/>
    <row r="37758" ht="14.4" x14ac:dyDescent="0.3"/>
    <row r="37759" ht="14.4" x14ac:dyDescent="0.3"/>
    <row r="37760" ht="14.4" x14ac:dyDescent="0.3"/>
    <row r="37761" ht="14.4" x14ac:dyDescent="0.3"/>
    <row r="37762" ht="14.4" x14ac:dyDescent="0.3"/>
    <row r="37763" ht="14.4" x14ac:dyDescent="0.3"/>
    <row r="37764" ht="14.4" x14ac:dyDescent="0.3"/>
    <row r="37765" ht="14.4" x14ac:dyDescent="0.3"/>
    <row r="37766" ht="14.4" x14ac:dyDescent="0.3"/>
    <row r="37767" ht="14.4" x14ac:dyDescent="0.3"/>
    <row r="37768" ht="14.4" x14ac:dyDescent="0.3"/>
    <row r="37769" ht="14.4" x14ac:dyDescent="0.3"/>
    <row r="37770" ht="14.4" x14ac:dyDescent="0.3"/>
    <row r="37771" ht="14.4" x14ac:dyDescent="0.3"/>
    <row r="37772" ht="14.4" x14ac:dyDescent="0.3"/>
    <row r="37773" ht="14.4" x14ac:dyDescent="0.3"/>
    <row r="37774" ht="14.4" x14ac:dyDescent="0.3"/>
    <row r="37775" ht="14.4" x14ac:dyDescent="0.3"/>
    <row r="37776" ht="14.4" x14ac:dyDescent="0.3"/>
    <row r="37777" ht="14.4" x14ac:dyDescent="0.3"/>
    <row r="37778" ht="14.4" x14ac:dyDescent="0.3"/>
    <row r="37779" ht="14.4" x14ac:dyDescent="0.3"/>
    <row r="37780" ht="14.4" x14ac:dyDescent="0.3"/>
    <row r="37781" ht="14.4" x14ac:dyDescent="0.3"/>
    <row r="37782" ht="14.4" x14ac:dyDescent="0.3"/>
    <row r="37783" ht="14.4" x14ac:dyDescent="0.3"/>
    <row r="37784" ht="14.4" x14ac:dyDescent="0.3"/>
    <row r="37785" ht="14.4" x14ac:dyDescent="0.3"/>
    <row r="37786" ht="14.4" x14ac:dyDescent="0.3"/>
    <row r="37787" ht="14.4" x14ac:dyDescent="0.3"/>
    <row r="37788" ht="14.4" x14ac:dyDescent="0.3"/>
    <row r="37789" ht="14.4" x14ac:dyDescent="0.3"/>
    <row r="37790" ht="14.4" x14ac:dyDescent="0.3"/>
    <row r="37791" ht="14.4" x14ac:dyDescent="0.3"/>
    <row r="37792" ht="14.4" x14ac:dyDescent="0.3"/>
    <row r="37793" ht="14.4" x14ac:dyDescent="0.3"/>
    <row r="37794" ht="14.4" x14ac:dyDescent="0.3"/>
    <row r="37795" ht="14.4" x14ac:dyDescent="0.3"/>
    <row r="37796" ht="14.4" x14ac:dyDescent="0.3"/>
    <row r="37797" ht="14.4" x14ac:dyDescent="0.3"/>
    <row r="37798" ht="14.4" x14ac:dyDescent="0.3"/>
    <row r="37799" ht="14.4" x14ac:dyDescent="0.3"/>
    <row r="37800" ht="14.4" x14ac:dyDescent="0.3"/>
    <row r="37801" ht="14.4" x14ac:dyDescent="0.3"/>
    <row r="37802" ht="14.4" x14ac:dyDescent="0.3"/>
    <row r="37803" ht="14.4" x14ac:dyDescent="0.3"/>
    <row r="37804" ht="14.4" x14ac:dyDescent="0.3"/>
    <row r="37805" ht="14.4" x14ac:dyDescent="0.3"/>
    <row r="37806" ht="14.4" x14ac:dyDescent="0.3"/>
    <row r="37807" ht="14.4" x14ac:dyDescent="0.3"/>
    <row r="37808" ht="14.4" x14ac:dyDescent="0.3"/>
    <row r="37809" ht="14.4" x14ac:dyDescent="0.3"/>
    <row r="37810" ht="14.4" x14ac:dyDescent="0.3"/>
    <row r="37811" ht="14.4" x14ac:dyDescent="0.3"/>
    <row r="37812" ht="14.4" x14ac:dyDescent="0.3"/>
    <row r="37813" ht="14.4" x14ac:dyDescent="0.3"/>
    <row r="37814" ht="14.4" x14ac:dyDescent="0.3"/>
    <row r="37815" ht="14.4" x14ac:dyDescent="0.3"/>
    <row r="37816" ht="14.4" x14ac:dyDescent="0.3"/>
    <row r="37817" ht="14.4" x14ac:dyDescent="0.3"/>
    <row r="37818" ht="14.4" x14ac:dyDescent="0.3"/>
    <row r="37819" ht="14.4" x14ac:dyDescent="0.3"/>
    <row r="37820" ht="14.4" x14ac:dyDescent="0.3"/>
    <row r="37821" ht="14.4" x14ac:dyDescent="0.3"/>
    <row r="37822" ht="14.4" x14ac:dyDescent="0.3"/>
    <row r="37823" ht="14.4" x14ac:dyDescent="0.3"/>
    <row r="37824" ht="14.4" x14ac:dyDescent="0.3"/>
    <row r="37825" ht="14.4" x14ac:dyDescent="0.3"/>
    <row r="37826" ht="14.4" x14ac:dyDescent="0.3"/>
    <row r="37827" ht="14.4" x14ac:dyDescent="0.3"/>
    <row r="37828" ht="14.4" x14ac:dyDescent="0.3"/>
    <row r="37829" ht="14.4" x14ac:dyDescent="0.3"/>
    <row r="37830" ht="14.4" x14ac:dyDescent="0.3"/>
    <row r="37831" ht="14.4" x14ac:dyDescent="0.3"/>
    <row r="37832" ht="14.4" x14ac:dyDescent="0.3"/>
    <row r="37833" ht="14.4" x14ac:dyDescent="0.3"/>
    <row r="37834" ht="14.4" x14ac:dyDescent="0.3"/>
    <row r="37835" ht="14.4" x14ac:dyDescent="0.3"/>
    <row r="37836" ht="14.4" x14ac:dyDescent="0.3"/>
    <row r="37837" ht="14.4" x14ac:dyDescent="0.3"/>
    <row r="37838" ht="14.4" x14ac:dyDescent="0.3"/>
    <row r="37839" ht="14.4" x14ac:dyDescent="0.3"/>
    <row r="37840" ht="14.4" x14ac:dyDescent="0.3"/>
    <row r="37841" ht="14.4" x14ac:dyDescent="0.3"/>
    <row r="37842" ht="14.4" x14ac:dyDescent="0.3"/>
    <row r="37843" ht="14.4" x14ac:dyDescent="0.3"/>
    <row r="37844" ht="14.4" x14ac:dyDescent="0.3"/>
    <row r="37845" ht="14.4" x14ac:dyDescent="0.3"/>
    <row r="37846" ht="14.4" x14ac:dyDescent="0.3"/>
    <row r="37847" ht="14.4" x14ac:dyDescent="0.3"/>
    <row r="37848" ht="14.4" x14ac:dyDescent="0.3"/>
    <row r="37849" ht="14.4" x14ac:dyDescent="0.3"/>
    <row r="37850" ht="14.4" x14ac:dyDescent="0.3"/>
    <row r="37851" ht="14.4" x14ac:dyDescent="0.3"/>
    <row r="37852" ht="14.4" x14ac:dyDescent="0.3"/>
    <row r="37853" ht="14.4" x14ac:dyDescent="0.3"/>
    <row r="37854" ht="14.4" x14ac:dyDescent="0.3"/>
    <row r="37855" ht="14.4" x14ac:dyDescent="0.3"/>
    <row r="37856" ht="14.4" x14ac:dyDescent="0.3"/>
    <row r="37857" ht="14.4" x14ac:dyDescent="0.3"/>
    <row r="37858" ht="14.4" x14ac:dyDescent="0.3"/>
    <row r="37859" ht="14.4" x14ac:dyDescent="0.3"/>
    <row r="37860" ht="14.4" x14ac:dyDescent="0.3"/>
    <row r="37861" ht="14.4" x14ac:dyDescent="0.3"/>
    <row r="37862" ht="14.4" x14ac:dyDescent="0.3"/>
    <row r="37863" ht="14.4" x14ac:dyDescent="0.3"/>
    <row r="37864" ht="14.4" x14ac:dyDescent="0.3"/>
    <row r="37865" ht="14.4" x14ac:dyDescent="0.3"/>
    <row r="37866" ht="14.4" x14ac:dyDescent="0.3"/>
    <row r="37867" ht="14.4" x14ac:dyDescent="0.3"/>
    <row r="37868" ht="14.4" x14ac:dyDescent="0.3"/>
    <row r="37869" ht="14.4" x14ac:dyDescent="0.3"/>
    <row r="37870" ht="14.4" x14ac:dyDescent="0.3"/>
    <row r="37871" ht="14.4" x14ac:dyDescent="0.3"/>
    <row r="37872" ht="14.4" x14ac:dyDescent="0.3"/>
    <row r="37873" ht="14.4" x14ac:dyDescent="0.3"/>
    <row r="37874" ht="14.4" x14ac:dyDescent="0.3"/>
    <row r="37875" ht="14.4" x14ac:dyDescent="0.3"/>
    <row r="37876" ht="14.4" x14ac:dyDescent="0.3"/>
    <row r="37877" ht="14.4" x14ac:dyDescent="0.3"/>
    <row r="37878" ht="14.4" x14ac:dyDescent="0.3"/>
    <row r="37879" ht="14.4" x14ac:dyDescent="0.3"/>
    <row r="37880" ht="14.4" x14ac:dyDescent="0.3"/>
    <row r="37881" ht="14.4" x14ac:dyDescent="0.3"/>
    <row r="37882" ht="14.4" x14ac:dyDescent="0.3"/>
    <row r="37883" ht="14.4" x14ac:dyDescent="0.3"/>
    <row r="37884" ht="14.4" x14ac:dyDescent="0.3"/>
    <row r="37885" ht="14.4" x14ac:dyDescent="0.3"/>
    <row r="37886" ht="14.4" x14ac:dyDescent="0.3"/>
    <row r="37887" ht="14.4" x14ac:dyDescent="0.3"/>
    <row r="37888" ht="14.4" x14ac:dyDescent="0.3"/>
    <row r="37889" spans="1:43" ht="14.4" x14ac:dyDescent="0.3"/>
    <row r="37890" spans="1:43" ht="14.4" x14ac:dyDescent="0.3"/>
    <row r="37891" spans="1:43" ht="14.4" x14ac:dyDescent="0.3"/>
    <row r="37892" spans="1:43" ht="14.4" x14ac:dyDescent="0.3"/>
    <row r="37893" spans="1:43" ht="14.4" x14ac:dyDescent="0.3"/>
    <row r="37894" spans="1:43" ht="14.4" x14ac:dyDescent="0.3"/>
    <row r="37895" spans="1:43" ht="14.4" x14ac:dyDescent="0.3"/>
    <row r="37896" spans="1:43" ht="14.4" x14ac:dyDescent="0.3"/>
    <row r="37897" spans="1:43" ht="14.4" x14ac:dyDescent="0.3"/>
    <row r="37898" spans="1:43" ht="14.4" x14ac:dyDescent="0.3"/>
    <row r="37899" spans="1:43" ht="14.4" x14ac:dyDescent="0.3"/>
    <row r="37900" spans="1:43" ht="14.4" x14ac:dyDescent="0.3"/>
    <row r="37901" spans="1:43" ht="14.4" x14ac:dyDescent="0.3"/>
    <row r="37902" spans="1:43" ht="14.4" x14ac:dyDescent="0.3"/>
    <row r="37903" spans="1:43" ht="14.4" hidden="1" x14ac:dyDescent="0.3">
      <c r="A37903" t="s">
        <v>5225</v>
      </c>
      <c r="B37903">
        <v>4944949</v>
      </c>
      <c r="C37903" t="s">
        <v>424</v>
      </c>
      <c r="D37903" t="s">
        <v>425</v>
      </c>
      <c r="E37903" t="s">
        <v>436</v>
      </c>
      <c r="F37903" t="s">
        <v>437</v>
      </c>
      <c r="H37903" t="s">
        <v>177</v>
      </c>
      <c r="J37903" t="s">
        <v>140</v>
      </c>
      <c r="K37903">
        <v>159167.64799999999</v>
      </c>
      <c r="L37903">
        <v>387397.56900000002</v>
      </c>
      <c r="N37903" t="s">
        <v>5226</v>
      </c>
      <c r="O37903" t="s">
        <v>588</v>
      </c>
      <c r="P37903" t="s">
        <v>589</v>
      </c>
      <c r="Q37903" t="s">
        <v>144</v>
      </c>
      <c r="R37903" t="s">
        <v>145</v>
      </c>
      <c r="S37903">
        <v>74</v>
      </c>
      <c r="T37903">
        <v>10000</v>
      </c>
      <c r="V37903" t="s">
        <v>146</v>
      </c>
      <c r="W37903" t="s">
        <v>147</v>
      </c>
      <c r="Y37903" t="s">
        <v>398</v>
      </c>
      <c r="Z37903" t="s">
        <v>588</v>
      </c>
      <c r="AA37903" t="s">
        <v>590</v>
      </c>
      <c r="AB37903">
        <v>0</v>
      </c>
      <c r="AE37903" t="s">
        <v>333</v>
      </c>
      <c r="AF37903" t="s">
        <v>588</v>
      </c>
      <c r="AG37903" t="s">
        <v>591</v>
      </c>
      <c r="AI37903" t="s">
        <v>304</v>
      </c>
      <c r="AJ37903" t="s">
        <v>588</v>
      </c>
      <c r="AK37903" t="s">
        <v>592</v>
      </c>
      <c r="AL37903" t="s">
        <v>5227</v>
      </c>
      <c r="AM37903" t="s">
        <v>5228</v>
      </c>
      <c r="AN37903" t="s">
        <v>5229</v>
      </c>
      <c r="AO37903" t="s">
        <v>5226</v>
      </c>
      <c r="AP37903" t="s">
        <v>158</v>
      </c>
      <c r="AQ37903" t="str">
        <f>IF(ISBLANK(AP37903), IFERROR(IF(VLOOKUP(AO37903, Ellens_additions!$A$2:$B$252, 2, FALSE) = "", "", VLOOKUP(AO37903, Ellens_additions!$A$2:$B$252, 2, FALSE)), 0), AP37903)</f>
        <v>3000</v>
      </c>
    </row>
    <row r="37904" spans="1:43" ht="14.4" hidden="1" x14ac:dyDescent="0.3">
      <c r="A37904" t="s">
        <v>5230</v>
      </c>
      <c r="B37904">
        <v>4944950</v>
      </c>
      <c r="C37904" t="s">
        <v>424</v>
      </c>
      <c r="D37904" t="s">
        <v>425</v>
      </c>
      <c r="E37904" t="s">
        <v>436</v>
      </c>
      <c r="F37904" t="s">
        <v>437</v>
      </c>
      <c r="H37904" t="s">
        <v>482</v>
      </c>
      <c r="J37904" t="s">
        <v>140</v>
      </c>
      <c r="K37904">
        <v>159196.91699999999</v>
      </c>
      <c r="L37904">
        <v>387414.48499999999</v>
      </c>
      <c r="N37904" t="s">
        <v>5226</v>
      </c>
      <c r="O37904" t="s">
        <v>588</v>
      </c>
      <c r="P37904" t="s">
        <v>589</v>
      </c>
      <c r="Q37904" t="s">
        <v>144</v>
      </c>
      <c r="R37904" t="s">
        <v>145</v>
      </c>
      <c r="S37904">
        <v>74</v>
      </c>
      <c r="T37904">
        <v>10000</v>
      </c>
      <c r="V37904" t="s">
        <v>146</v>
      </c>
      <c r="W37904" t="s">
        <v>147</v>
      </c>
      <c r="Y37904" t="s">
        <v>398</v>
      </c>
      <c r="Z37904" t="s">
        <v>588</v>
      </c>
      <c r="AA37904" t="s">
        <v>590</v>
      </c>
      <c r="AB37904">
        <v>0</v>
      </c>
      <c r="AE37904" t="s">
        <v>333</v>
      </c>
      <c r="AF37904" t="s">
        <v>588</v>
      </c>
      <c r="AG37904" t="s">
        <v>591</v>
      </c>
      <c r="AI37904" t="s">
        <v>304</v>
      </c>
      <c r="AJ37904" t="s">
        <v>588</v>
      </c>
      <c r="AK37904" t="s">
        <v>592</v>
      </c>
      <c r="AL37904" t="s">
        <v>5231</v>
      </c>
      <c r="AM37904" t="s">
        <v>5232</v>
      </c>
      <c r="AN37904" t="s">
        <v>5233</v>
      </c>
      <c r="AO37904" t="s">
        <v>5226</v>
      </c>
      <c r="AP37904" t="s">
        <v>158</v>
      </c>
      <c r="AQ37904" t="str">
        <f>IF(ISBLANK(AP37904), IFERROR(IF(VLOOKUP(AO37904, Ellens_additions!$A$2:$B$252, 2, FALSE) = "", "", VLOOKUP(AO37904, Ellens_additions!$A$2:$B$252, 2, FALSE)), 0), AP37904)</f>
        <v>3000</v>
      </c>
    </row>
    <row r="37905" spans="1:43" ht="14.4" x14ac:dyDescent="0.3"/>
    <row r="37906" spans="1:43" ht="14.4" hidden="1" x14ac:dyDescent="0.3">
      <c r="A37906" t="s">
        <v>5234</v>
      </c>
      <c r="B37906">
        <v>4944953</v>
      </c>
      <c r="C37906" t="s">
        <v>424</v>
      </c>
      <c r="D37906" t="s">
        <v>425</v>
      </c>
      <c r="E37906" t="s">
        <v>436</v>
      </c>
      <c r="F37906" t="s">
        <v>437</v>
      </c>
      <c r="H37906" t="s">
        <v>229</v>
      </c>
      <c r="J37906" t="s">
        <v>140</v>
      </c>
      <c r="K37906">
        <v>158873.46</v>
      </c>
      <c r="L37906">
        <v>387217.90399999998</v>
      </c>
      <c r="N37906" t="s">
        <v>5235</v>
      </c>
      <c r="O37906" t="s">
        <v>588</v>
      </c>
      <c r="P37906" t="s">
        <v>589</v>
      </c>
      <c r="S37906">
        <v>106</v>
      </c>
      <c r="T37906">
        <v>14000</v>
      </c>
      <c r="V37906" t="s">
        <v>146</v>
      </c>
      <c r="W37906" t="s">
        <v>147</v>
      </c>
      <c r="Y37906" t="s">
        <v>398</v>
      </c>
      <c r="Z37906" t="s">
        <v>588</v>
      </c>
      <c r="AA37906" t="s">
        <v>590</v>
      </c>
      <c r="AB37906">
        <v>0</v>
      </c>
      <c r="AE37906" t="s">
        <v>333</v>
      </c>
      <c r="AF37906" t="s">
        <v>588</v>
      </c>
      <c r="AG37906" t="s">
        <v>591</v>
      </c>
      <c r="AI37906" t="s">
        <v>304</v>
      </c>
      <c r="AJ37906" t="s">
        <v>588</v>
      </c>
      <c r="AK37906" t="s">
        <v>592</v>
      </c>
      <c r="AL37906" t="s">
        <v>5236</v>
      </c>
      <c r="AM37906" t="s">
        <v>5237</v>
      </c>
      <c r="AN37906" t="s">
        <v>5238</v>
      </c>
      <c r="AO37906" t="s">
        <v>5235</v>
      </c>
      <c r="AP37906" t="s">
        <v>158</v>
      </c>
      <c r="AQ37906" t="str">
        <f>IF(ISBLANK(AP37906), IFERROR(IF(VLOOKUP(AO37906, Ellens_additions!$A$2:$B$252, 2, FALSE) = "", "", VLOOKUP(AO37906, Ellens_additions!$A$2:$B$252, 2, FALSE)), 0), AP37906)</f>
        <v>3000</v>
      </c>
    </row>
    <row r="37907" spans="1:43" ht="14.4" hidden="1" x14ac:dyDescent="0.3">
      <c r="A37907" t="s">
        <v>5239</v>
      </c>
      <c r="B37907">
        <v>4944955</v>
      </c>
      <c r="C37907" t="s">
        <v>424</v>
      </c>
      <c r="D37907" t="s">
        <v>425</v>
      </c>
      <c r="E37907" t="s">
        <v>436</v>
      </c>
      <c r="F37907" t="s">
        <v>437</v>
      </c>
      <c r="H37907" t="s">
        <v>275</v>
      </c>
      <c r="J37907" t="s">
        <v>140</v>
      </c>
      <c r="K37907">
        <v>158924.73300000001</v>
      </c>
      <c r="L37907">
        <v>387249.28</v>
      </c>
      <c r="N37907" t="s">
        <v>587</v>
      </c>
      <c r="O37907" t="s">
        <v>588</v>
      </c>
      <c r="P37907" t="s">
        <v>589</v>
      </c>
      <c r="Q37907" t="s">
        <v>144</v>
      </c>
      <c r="S37907">
        <v>106</v>
      </c>
      <c r="T37907">
        <v>14000</v>
      </c>
      <c r="V37907" t="s">
        <v>146</v>
      </c>
      <c r="W37907" t="s">
        <v>147</v>
      </c>
      <c r="Y37907" t="s">
        <v>398</v>
      </c>
      <c r="Z37907" t="s">
        <v>588</v>
      </c>
      <c r="AA37907" t="s">
        <v>590</v>
      </c>
      <c r="AB37907">
        <v>0</v>
      </c>
      <c r="AE37907" t="s">
        <v>333</v>
      </c>
      <c r="AF37907" t="s">
        <v>588</v>
      </c>
      <c r="AG37907" t="s">
        <v>591</v>
      </c>
      <c r="AI37907" t="s">
        <v>304</v>
      </c>
      <c r="AJ37907" t="s">
        <v>588</v>
      </c>
      <c r="AK37907" t="s">
        <v>592</v>
      </c>
      <c r="AL37907" t="s">
        <v>5240</v>
      </c>
      <c r="AM37907" t="s">
        <v>5241</v>
      </c>
      <c r="AN37907" t="s">
        <v>5242</v>
      </c>
      <c r="AO37907" t="s">
        <v>587</v>
      </c>
      <c r="AP37907" t="s">
        <v>158</v>
      </c>
      <c r="AQ37907" t="str">
        <f>IF(ISBLANK(AP37907), IFERROR(IF(VLOOKUP(AO37907, Ellens_additions!$A$2:$B$252, 2, FALSE) = "", "", VLOOKUP(AO37907, Ellens_additions!$A$2:$B$252, 2, FALSE)), 0), AP37907)</f>
        <v>3000</v>
      </c>
    </row>
    <row r="37908" spans="1:43" ht="14.4" hidden="1" x14ac:dyDescent="0.3">
      <c r="A37908" t="s">
        <v>5243</v>
      </c>
      <c r="B37908">
        <v>4944956</v>
      </c>
      <c r="C37908" t="s">
        <v>424</v>
      </c>
      <c r="D37908" t="s">
        <v>425</v>
      </c>
      <c r="E37908" t="s">
        <v>436</v>
      </c>
      <c r="F37908" t="s">
        <v>437</v>
      </c>
      <c r="H37908" t="s">
        <v>303</v>
      </c>
      <c r="J37908" t="s">
        <v>140</v>
      </c>
      <c r="K37908">
        <v>158953.70199999999</v>
      </c>
      <c r="L37908">
        <v>387266.78700000001</v>
      </c>
      <c r="N37908" t="s">
        <v>587</v>
      </c>
      <c r="O37908" t="s">
        <v>588</v>
      </c>
      <c r="P37908" t="s">
        <v>589</v>
      </c>
      <c r="Q37908" t="s">
        <v>144</v>
      </c>
      <c r="S37908">
        <v>106</v>
      </c>
      <c r="T37908">
        <v>14000</v>
      </c>
      <c r="V37908" t="s">
        <v>146</v>
      </c>
      <c r="W37908" t="s">
        <v>147</v>
      </c>
      <c r="Y37908" t="s">
        <v>398</v>
      </c>
      <c r="Z37908" t="s">
        <v>588</v>
      </c>
      <c r="AA37908" t="s">
        <v>590</v>
      </c>
      <c r="AB37908">
        <v>0</v>
      </c>
      <c r="AE37908" t="s">
        <v>333</v>
      </c>
      <c r="AF37908" t="s">
        <v>588</v>
      </c>
      <c r="AG37908" t="s">
        <v>591</v>
      </c>
      <c r="AI37908" t="s">
        <v>304</v>
      </c>
      <c r="AJ37908" t="s">
        <v>588</v>
      </c>
      <c r="AK37908" t="s">
        <v>592</v>
      </c>
      <c r="AL37908" t="s">
        <v>5244</v>
      </c>
      <c r="AM37908" t="s">
        <v>5245</v>
      </c>
      <c r="AN37908" t="s">
        <v>5246</v>
      </c>
      <c r="AO37908" t="s">
        <v>587</v>
      </c>
      <c r="AP37908" t="s">
        <v>158</v>
      </c>
      <c r="AQ37908" t="str">
        <f>IF(ISBLANK(AP37908), IFERROR(IF(VLOOKUP(AO37908, Ellens_additions!$A$2:$B$252, 2, FALSE) = "", "", VLOOKUP(AO37908, Ellens_additions!$A$2:$B$252, 2, FALSE)), 0), AP37908)</f>
        <v>3000</v>
      </c>
    </row>
    <row r="37909" spans="1:43" ht="14.4" x14ac:dyDescent="0.3"/>
    <row r="37910" spans="1:43" ht="14.4" x14ac:dyDescent="0.3"/>
    <row r="37911" spans="1:43" ht="14.4" x14ac:dyDescent="0.3"/>
    <row r="37912" spans="1:43" ht="14.4" x14ac:dyDescent="0.3"/>
    <row r="37913" spans="1:43" ht="14.4" x14ac:dyDescent="0.3"/>
    <row r="37914" spans="1:43" ht="14.4" x14ac:dyDescent="0.3"/>
    <row r="37915" spans="1:43" ht="14.4" x14ac:dyDescent="0.3"/>
    <row r="37916" spans="1:43" ht="14.4" x14ac:dyDescent="0.3"/>
    <row r="37917" spans="1:43" ht="14.4" x14ac:dyDescent="0.3"/>
    <row r="37918" spans="1:43" ht="14.4" x14ac:dyDescent="0.3"/>
    <row r="37919" spans="1:43" ht="14.4" x14ac:dyDescent="0.3"/>
    <row r="37920" spans="1:43" ht="14.4" x14ac:dyDescent="0.3"/>
    <row r="37921" ht="14.4" x14ac:dyDescent="0.3"/>
    <row r="37922" ht="14.4" x14ac:dyDescent="0.3"/>
    <row r="37923" ht="14.4" x14ac:dyDescent="0.3"/>
    <row r="37924" ht="14.4" x14ac:dyDescent="0.3"/>
    <row r="37925" ht="14.4" x14ac:dyDescent="0.3"/>
    <row r="37926" ht="14.4" x14ac:dyDescent="0.3"/>
    <row r="37927" ht="14.4" x14ac:dyDescent="0.3"/>
    <row r="37928" ht="14.4" x14ac:dyDescent="0.3"/>
    <row r="37929" ht="14.4" x14ac:dyDescent="0.3"/>
    <row r="37930" ht="14.4" x14ac:dyDescent="0.3"/>
    <row r="37931" ht="14.4" x14ac:dyDescent="0.3"/>
    <row r="37932" ht="14.4" x14ac:dyDescent="0.3"/>
    <row r="37933" ht="14.4" x14ac:dyDescent="0.3"/>
    <row r="37934" ht="14.4" x14ac:dyDescent="0.3"/>
    <row r="37935" ht="14.4" x14ac:dyDescent="0.3"/>
    <row r="37936" ht="14.4" x14ac:dyDescent="0.3"/>
    <row r="37937" ht="14.4" x14ac:dyDescent="0.3"/>
    <row r="37938" ht="14.4" x14ac:dyDescent="0.3"/>
    <row r="37939" ht="14.4" x14ac:dyDescent="0.3"/>
    <row r="37940" ht="14.4" x14ac:dyDescent="0.3"/>
    <row r="37941" ht="14.4" x14ac:dyDescent="0.3"/>
    <row r="37942" ht="14.4" x14ac:dyDescent="0.3"/>
    <row r="37943" ht="14.4" x14ac:dyDescent="0.3"/>
    <row r="37944" ht="14.4" x14ac:dyDescent="0.3"/>
    <row r="37945" ht="14.4" x14ac:dyDescent="0.3"/>
    <row r="37946" ht="14.4" x14ac:dyDescent="0.3"/>
    <row r="37947" ht="14.4" x14ac:dyDescent="0.3"/>
    <row r="37948" ht="14.4" x14ac:dyDescent="0.3"/>
    <row r="37949" ht="14.4" x14ac:dyDescent="0.3"/>
    <row r="37950" ht="14.4" x14ac:dyDescent="0.3"/>
    <row r="37951" ht="14.4" x14ac:dyDescent="0.3"/>
    <row r="37952" ht="14.4" x14ac:dyDescent="0.3"/>
    <row r="37953" spans="1:43" ht="14.4" x14ac:dyDescent="0.3"/>
    <row r="37954" spans="1:43" ht="14.4" x14ac:dyDescent="0.3"/>
    <row r="37955" spans="1:43" ht="14.4" x14ac:dyDescent="0.3"/>
    <row r="37956" spans="1:43" ht="14.4" x14ac:dyDescent="0.3"/>
    <row r="37957" spans="1:43" ht="14.4" x14ac:dyDescent="0.3"/>
    <row r="37958" spans="1:43" ht="14.4" x14ac:dyDescent="0.3"/>
    <row r="37959" spans="1:43" ht="14.4" x14ac:dyDescent="0.3"/>
    <row r="37960" spans="1:43" ht="14.4" x14ac:dyDescent="0.3"/>
    <row r="37961" spans="1:43" ht="14.4" x14ac:dyDescent="0.3"/>
    <row r="37962" spans="1:43" ht="14.4" x14ac:dyDescent="0.3"/>
    <row r="37963" spans="1:43" ht="14.4" x14ac:dyDescent="0.3"/>
    <row r="37964" spans="1:43" ht="14.4" x14ac:dyDescent="0.3"/>
    <row r="37965" spans="1:43" ht="14.4" hidden="1" x14ac:dyDescent="0.3">
      <c r="A37965" t="s">
        <v>5247</v>
      </c>
      <c r="B37965">
        <v>4945147</v>
      </c>
      <c r="C37965" t="s">
        <v>445</v>
      </c>
      <c r="D37965" t="s">
        <v>451</v>
      </c>
      <c r="E37965" t="s">
        <v>452</v>
      </c>
      <c r="F37965" t="s">
        <v>635</v>
      </c>
      <c r="H37965" t="s">
        <v>277</v>
      </c>
      <c r="J37965" t="s">
        <v>140</v>
      </c>
      <c r="K37965">
        <v>162869.9</v>
      </c>
      <c r="L37965">
        <v>386214.43</v>
      </c>
      <c r="M37965">
        <v>1</v>
      </c>
      <c r="N37965" t="s">
        <v>636</v>
      </c>
      <c r="O37965" t="s">
        <v>179</v>
      </c>
      <c r="P37965" t="s">
        <v>637</v>
      </c>
      <c r="Q37965" t="s">
        <v>144</v>
      </c>
      <c r="S37965">
        <v>28</v>
      </c>
      <c r="T37965">
        <v>3400</v>
      </c>
      <c r="V37965" t="s">
        <v>146</v>
      </c>
      <c r="W37965" t="s">
        <v>147</v>
      </c>
      <c r="X37965" t="s">
        <v>7</v>
      </c>
      <c r="Y37965" t="s">
        <v>283</v>
      </c>
      <c r="Z37965" t="s">
        <v>179</v>
      </c>
      <c r="AA37965" t="s">
        <v>638</v>
      </c>
      <c r="AB37965">
        <v>0</v>
      </c>
      <c r="AE37965" t="s">
        <v>444</v>
      </c>
      <c r="AF37965" t="s">
        <v>179</v>
      </c>
      <c r="AG37965" t="s">
        <v>639</v>
      </c>
      <c r="AI37965" t="s">
        <v>626</v>
      </c>
      <c r="AJ37965" t="s">
        <v>179</v>
      </c>
      <c r="AK37965" t="s">
        <v>639</v>
      </c>
      <c r="AL37965" t="s">
        <v>5248</v>
      </c>
      <c r="AM37965" t="s">
        <v>5249</v>
      </c>
      <c r="AN37965" t="s">
        <v>5250</v>
      </c>
      <c r="AO37965" t="s">
        <v>636</v>
      </c>
      <c r="AP37965" t="s">
        <v>158</v>
      </c>
      <c r="AQ37965" t="str">
        <f>IF(ISBLANK(AP37965), IFERROR(IF(VLOOKUP(AO37965, Ellens_additions!$A$2:$B$252, 2, FALSE) = "", "", VLOOKUP(AO37965, Ellens_additions!$A$2:$B$252, 2, FALSE)), 0), AP37965)</f>
        <v>3000</v>
      </c>
    </row>
    <row r="37966" spans="1:43" ht="14.4" hidden="1" x14ac:dyDescent="0.3">
      <c r="A37966" t="s">
        <v>5251</v>
      </c>
      <c r="B37966">
        <v>4945148</v>
      </c>
      <c r="C37966" t="s">
        <v>445</v>
      </c>
      <c r="D37966" t="s">
        <v>451</v>
      </c>
      <c r="E37966" t="s">
        <v>452</v>
      </c>
      <c r="F37966" t="s">
        <v>635</v>
      </c>
      <c r="H37966" t="s">
        <v>278</v>
      </c>
      <c r="J37966" t="s">
        <v>140</v>
      </c>
      <c r="K37966">
        <v>162824.807</v>
      </c>
      <c r="L37966">
        <v>386207.85</v>
      </c>
      <c r="M37966">
        <v>1</v>
      </c>
      <c r="N37966" t="s">
        <v>636</v>
      </c>
      <c r="O37966" t="s">
        <v>179</v>
      </c>
      <c r="P37966" t="s">
        <v>637</v>
      </c>
      <c r="Q37966" t="s">
        <v>144</v>
      </c>
      <c r="S37966">
        <v>28</v>
      </c>
      <c r="T37966">
        <v>3400</v>
      </c>
      <c r="V37966" t="s">
        <v>146</v>
      </c>
      <c r="W37966" t="s">
        <v>147</v>
      </c>
      <c r="X37966" t="s">
        <v>7</v>
      </c>
      <c r="Y37966" t="s">
        <v>283</v>
      </c>
      <c r="Z37966" t="s">
        <v>179</v>
      </c>
      <c r="AA37966" t="s">
        <v>638</v>
      </c>
      <c r="AB37966">
        <v>0</v>
      </c>
      <c r="AE37966" t="s">
        <v>444</v>
      </c>
      <c r="AF37966" t="s">
        <v>179</v>
      </c>
      <c r="AG37966" t="s">
        <v>639</v>
      </c>
      <c r="AI37966" t="s">
        <v>626</v>
      </c>
      <c r="AJ37966" t="s">
        <v>179</v>
      </c>
      <c r="AK37966" t="s">
        <v>639</v>
      </c>
      <c r="AL37966" t="s">
        <v>5252</v>
      </c>
      <c r="AM37966" t="s">
        <v>5253</v>
      </c>
      <c r="AN37966" t="s">
        <v>5254</v>
      </c>
      <c r="AO37966" t="s">
        <v>636</v>
      </c>
      <c r="AP37966" t="s">
        <v>158</v>
      </c>
      <c r="AQ37966" t="str">
        <f>IF(ISBLANK(AP37966), IFERROR(IF(VLOOKUP(AO37966, Ellens_additions!$A$2:$B$252, 2, FALSE) = "", "", VLOOKUP(AO37966, Ellens_additions!$A$2:$B$252, 2, FALSE)), 0), AP37966)</f>
        <v>3000</v>
      </c>
    </row>
    <row r="37967" spans="1:43" ht="14.4" hidden="1" x14ac:dyDescent="0.3">
      <c r="A37967" t="s">
        <v>5255</v>
      </c>
      <c r="B37967">
        <v>4945149</v>
      </c>
      <c r="C37967" t="s">
        <v>445</v>
      </c>
      <c r="D37967" t="s">
        <v>451</v>
      </c>
      <c r="E37967" t="s">
        <v>452</v>
      </c>
      <c r="F37967" t="s">
        <v>635</v>
      </c>
      <c r="H37967" t="s">
        <v>276</v>
      </c>
      <c r="J37967" t="s">
        <v>140</v>
      </c>
      <c r="K37967">
        <v>162841.79999999999</v>
      </c>
      <c r="L37967">
        <v>386214.17</v>
      </c>
      <c r="M37967">
        <v>1</v>
      </c>
      <c r="N37967" t="s">
        <v>636</v>
      </c>
      <c r="O37967" t="s">
        <v>179</v>
      </c>
      <c r="P37967" t="s">
        <v>637</v>
      </c>
      <c r="Q37967" t="s">
        <v>144</v>
      </c>
      <c r="S37967">
        <v>28</v>
      </c>
      <c r="T37967">
        <v>3400</v>
      </c>
      <c r="V37967" t="s">
        <v>146</v>
      </c>
      <c r="W37967" t="s">
        <v>147</v>
      </c>
      <c r="X37967" t="s">
        <v>7</v>
      </c>
      <c r="Y37967" t="s">
        <v>283</v>
      </c>
      <c r="Z37967" t="s">
        <v>179</v>
      </c>
      <c r="AA37967" t="s">
        <v>638</v>
      </c>
      <c r="AB37967">
        <v>0</v>
      </c>
      <c r="AE37967" t="s">
        <v>444</v>
      </c>
      <c r="AF37967" t="s">
        <v>179</v>
      </c>
      <c r="AG37967" t="s">
        <v>639</v>
      </c>
      <c r="AI37967" t="s">
        <v>626</v>
      </c>
      <c r="AJ37967" t="s">
        <v>179</v>
      </c>
      <c r="AK37967" t="s">
        <v>639</v>
      </c>
      <c r="AL37967" t="s">
        <v>5256</v>
      </c>
      <c r="AM37967" t="s">
        <v>5257</v>
      </c>
      <c r="AN37967" t="s">
        <v>5258</v>
      </c>
      <c r="AO37967" t="s">
        <v>636</v>
      </c>
      <c r="AP37967" t="s">
        <v>158</v>
      </c>
      <c r="AQ37967" t="str">
        <f>IF(ISBLANK(AP37967), IFERROR(IF(VLOOKUP(AO37967, Ellens_additions!$A$2:$B$252, 2, FALSE) = "", "", VLOOKUP(AO37967, Ellens_additions!$A$2:$B$252, 2, FALSE)), 0), AP37967)</f>
        <v>3000</v>
      </c>
    </row>
    <row r="37968" spans="1:43" ht="14.4" x14ac:dyDescent="0.3"/>
    <row r="37969" ht="14.4" x14ac:dyDescent="0.3"/>
    <row r="37970" ht="14.4" x14ac:dyDescent="0.3"/>
    <row r="37971" ht="14.4" x14ac:dyDescent="0.3"/>
    <row r="37972" ht="14.4" x14ac:dyDescent="0.3"/>
    <row r="37973" ht="14.4" x14ac:dyDescent="0.3"/>
    <row r="37974" ht="14.4" x14ac:dyDescent="0.3"/>
    <row r="37975" ht="14.4" x14ac:dyDescent="0.3"/>
    <row r="37976" ht="14.4" x14ac:dyDescent="0.3"/>
    <row r="37977" ht="14.4" x14ac:dyDescent="0.3"/>
    <row r="37978" ht="14.4" x14ac:dyDescent="0.3"/>
    <row r="37979" ht="14.4" x14ac:dyDescent="0.3"/>
    <row r="37980" ht="14.4" x14ac:dyDescent="0.3"/>
    <row r="37981" ht="14.4" x14ac:dyDescent="0.3"/>
    <row r="37982" ht="14.4" x14ac:dyDescent="0.3"/>
    <row r="37983" ht="14.4" x14ac:dyDescent="0.3"/>
    <row r="37984" ht="14.4" x14ac:dyDescent="0.3"/>
    <row r="37985" ht="14.4" x14ac:dyDescent="0.3"/>
    <row r="37986" ht="14.4" x14ac:dyDescent="0.3"/>
    <row r="37987" ht="14.4" x14ac:dyDescent="0.3"/>
    <row r="37988" ht="14.4" x14ac:dyDescent="0.3"/>
    <row r="37989" ht="14.4" x14ac:dyDescent="0.3"/>
    <row r="37990" ht="14.4" x14ac:dyDescent="0.3"/>
    <row r="37991" ht="14.4" x14ac:dyDescent="0.3"/>
    <row r="37992" ht="14.4" x14ac:dyDescent="0.3"/>
    <row r="37993" ht="14.4" x14ac:dyDescent="0.3"/>
    <row r="37994" ht="14.4" x14ac:dyDescent="0.3"/>
    <row r="37995" ht="14.4" x14ac:dyDescent="0.3"/>
    <row r="37996" ht="14.4" x14ac:dyDescent="0.3"/>
    <row r="37997" ht="14.4" x14ac:dyDescent="0.3"/>
    <row r="37998" ht="14.4" x14ac:dyDescent="0.3"/>
    <row r="37999" ht="14.4" x14ac:dyDescent="0.3"/>
    <row r="38000" ht="14.4" x14ac:dyDescent="0.3"/>
    <row r="38001" ht="14.4" x14ac:dyDescent="0.3"/>
    <row r="38002" ht="14.4" x14ac:dyDescent="0.3"/>
    <row r="38003" ht="14.4" x14ac:dyDescent="0.3"/>
    <row r="38004" ht="14.4" x14ac:dyDescent="0.3"/>
    <row r="38005" ht="14.4" x14ac:dyDescent="0.3"/>
    <row r="38006" ht="14.4" x14ac:dyDescent="0.3"/>
    <row r="38007" ht="14.4" x14ac:dyDescent="0.3"/>
    <row r="38008" ht="14.4" x14ac:dyDescent="0.3"/>
    <row r="38009" ht="14.4" x14ac:dyDescent="0.3"/>
    <row r="38010" ht="14.4" x14ac:dyDescent="0.3"/>
    <row r="38011" ht="14.4" x14ac:dyDescent="0.3"/>
    <row r="38012" ht="14.4" x14ac:dyDescent="0.3"/>
    <row r="38013" ht="14.4" x14ac:dyDescent="0.3"/>
    <row r="38014" ht="14.4" x14ac:dyDescent="0.3"/>
    <row r="38015" ht="14.4" x14ac:dyDescent="0.3"/>
    <row r="38016" ht="14.4" x14ac:dyDescent="0.3"/>
    <row r="38017" ht="14.4" x14ac:dyDescent="0.3"/>
    <row r="38018" ht="14.4" x14ac:dyDescent="0.3"/>
    <row r="38019" ht="14.4" x14ac:dyDescent="0.3"/>
    <row r="38020" ht="14.4" x14ac:dyDescent="0.3"/>
    <row r="38021" ht="14.4" x14ac:dyDescent="0.3"/>
    <row r="38022" ht="14.4" x14ac:dyDescent="0.3"/>
    <row r="38023" ht="14.4" x14ac:dyDescent="0.3"/>
    <row r="38024" ht="14.4" x14ac:dyDescent="0.3"/>
    <row r="38025" ht="14.4" x14ac:dyDescent="0.3"/>
    <row r="38026" ht="14.4" x14ac:dyDescent="0.3"/>
    <row r="38027" ht="14.4" x14ac:dyDescent="0.3"/>
    <row r="38028" ht="14.4" x14ac:dyDescent="0.3"/>
    <row r="38029" ht="14.4" x14ac:dyDescent="0.3"/>
    <row r="38030" ht="14.4" x14ac:dyDescent="0.3"/>
    <row r="38031" ht="14.4" x14ac:dyDescent="0.3"/>
    <row r="38032" ht="14.4" x14ac:dyDescent="0.3"/>
    <row r="38033" ht="14.4" x14ac:dyDescent="0.3"/>
    <row r="38034" ht="14.4" x14ac:dyDescent="0.3"/>
    <row r="38035" ht="14.4" x14ac:dyDescent="0.3"/>
    <row r="38036" ht="14.4" x14ac:dyDescent="0.3"/>
    <row r="38037" ht="14.4" x14ac:dyDescent="0.3"/>
    <row r="38038" ht="14.4" x14ac:dyDescent="0.3"/>
    <row r="38039" ht="14.4" x14ac:dyDescent="0.3"/>
    <row r="38040" ht="14.4" x14ac:dyDescent="0.3"/>
    <row r="38041" ht="14.4" x14ac:dyDescent="0.3"/>
    <row r="38042" ht="14.4" x14ac:dyDescent="0.3"/>
    <row r="38043" ht="14.4" x14ac:dyDescent="0.3"/>
    <row r="38044" ht="14.4" x14ac:dyDescent="0.3"/>
    <row r="38045" ht="14.4" x14ac:dyDescent="0.3"/>
    <row r="38046" ht="14.4" x14ac:dyDescent="0.3"/>
    <row r="38047" ht="14.4" x14ac:dyDescent="0.3"/>
    <row r="38048" ht="14.4" x14ac:dyDescent="0.3"/>
    <row r="38049" ht="14.4" x14ac:dyDescent="0.3"/>
    <row r="38050" ht="14.4" x14ac:dyDescent="0.3"/>
    <row r="38051" ht="14.4" x14ac:dyDescent="0.3"/>
    <row r="38052" ht="14.4" x14ac:dyDescent="0.3"/>
    <row r="38053" ht="14.4" x14ac:dyDescent="0.3"/>
    <row r="38054" ht="14.4" x14ac:dyDescent="0.3"/>
    <row r="38055" ht="14.4" x14ac:dyDescent="0.3"/>
    <row r="38056" ht="14.4" x14ac:dyDescent="0.3"/>
    <row r="38057" ht="14.4" x14ac:dyDescent="0.3"/>
    <row r="38058" ht="14.4" x14ac:dyDescent="0.3"/>
    <row r="38059" ht="14.4" x14ac:dyDescent="0.3"/>
    <row r="38060" ht="14.4" x14ac:dyDescent="0.3"/>
    <row r="38061" ht="14.4" x14ac:dyDescent="0.3"/>
    <row r="38062" ht="14.4" x14ac:dyDescent="0.3"/>
    <row r="38063" ht="14.4" x14ac:dyDescent="0.3"/>
    <row r="38064" ht="14.4" x14ac:dyDescent="0.3"/>
    <row r="38065" ht="14.4" x14ac:dyDescent="0.3"/>
    <row r="38066" ht="14.4" x14ac:dyDescent="0.3"/>
    <row r="38067" ht="14.4" x14ac:dyDescent="0.3"/>
    <row r="38068" ht="14.4" x14ac:dyDescent="0.3"/>
    <row r="38069" ht="14.4" x14ac:dyDescent="0.3"/>
    <row r="38070" ht="14.4" x14ac:dyDescent="0.3"/>
    <row r="38071" ht="14.4" x14ac:dyDescent="0.3"/>
    <row r="38072" ht="14.4" x14ac:dyDescent="0.3"/>
    <row r="38073" ht="14.4" x14ac:dyDescent="0.3"/>
    <row r="38074" ht="14.4" x14ac:dyDescent="0.3"/>
    <row r="38075" ht="14.4" x14ac:dyDescent="0.3"/>
    <row r="38076" ht="14.4" x14ac:dyDescent="0.3"/>
    <row r="38077" ht="14.4" x14ac:dyDescent="0.3"/>
    <row r="38078" ht="14.4" x14ac:dyDescent="0.3"/>
    <row r="38079" ht="14.4" x14ac:dyDescent="0.3"/>
    <row r="38080" ht="14.4" x14ac:dyDescent="0.3"/>
    <row r="38081" ht="14.4" x14ac:dyDescent="0.3"/>
    <row r="38082" ht="14.4" x14ac:dyDescent="0.3"/>
    <row r="38083" ht="14.4" x14ac:dyDescent="0.3"/>
    <row r="38084" ht="14.4" x14ac:dyDescent="0.3"/>
    <row r="38085" ht="14.4" x14ac:dyDescent="0.3"/>
    <row r="38086" ht="14.4" x14ac:dyDescent="0.3"/>
    <row r="38087" ht="14.4" x14ac:dyDescent="0.3"/>
    <row r="38088" ht="14.4" x14ac:dyDescent="0.3"/>
    <row r="38089" ht="14.4" x14ac:dyDescent="0.3"/>
    <row r="38090" ht="14.4" x14ac:dyDescent="0.3"/>
    <row r="38091" ht="14.4" x14ac:dyDescent="0.3"/>
    <row r="38092" ht="14.4" x14ac:dyDescent="0.3"/>
    <row r="38093" ht="14.4" x14ac:dyDescent="0.3"/>
    <row r="38094" ht="14.4" x14ac:dyDescent="0.3"/>
    <row r="38095" ht="14.4" x14ac:dyDescent="0.3"/>
    <row r="38096" ht="14.4" x14ac:dyDescent="0.3"/>
    <row r="38097" ht="14.4" x14ac:dyDescent="0.3"/>
    <row r="38098" ht="14.4" x14ac:dyDescent="0.3"/>
    <row r="38099" ht="14.4" x14ac:dyDescent="0.3"/>
    <row r="38100" ht="14.4" x14ac:dyDescent="0.3"/>
    <row r="38101" ht="14.4" x14ac:dyDescent="0.3"/>
    <row r="38102" ht="14.4" x14ac:dyDescent="0.3"/>
    <row r="38103" ht="14.4" x14ac:dyDescent="0.3"/>
    <row r="38104" ht="14.4" x14ac:dyDescent="0.3"/>
    <row r="38105" ht="14.4" x14ac:dyDescent="0.3"/>
    <row r="38106" ht="14.4" x14ac:dyDescent="0.3"/>
    <row r="38107" ht="14.4" x14ac:dyDescent="0.3"/>
    <row r="38108" ht="14.4" x14ac:dyDescent="0.3"/>
    <row r="38109" ht="14.4" x14ac:dyDescent="0.3"/>
    <row r="38110" ht="14.4" x14ac:dyDescent="0.3"/>
    <row r="38111" ht="14.4" x14ac:dyDescent="0.3"/>
    <row r="38112" ht="14.4" x14ac:dyDescent="0.3"/>
    <row r="38113" ht="14.4" x14ac:dyDescent="0.3"/>
    <row r="38114" ht="14.4" x14ac:dyDescent="0.3"/>
    <row r="38115" ht="14.4" x14ac:dyDescent="0.3"/>
    <row r="38116" ht="14.4" x14ac:dyDescent="0.3"/>
    <row r="38117" ht="14.4" x14ac:dyDescent="0.3"/>
    <row r="38118" ht="14.4" x14ac:dyDescent="0.3"/>
    <row r="38119" ht="14.4" x14ac:dyDescent="0.3"/>
    <row r="38120" ht="14.4" x14ac:dyDescent="0.3"/>
    <row r="38121" ht="14.4" x14ac:dyDescent="0.3"/>
    <row r="38122" ht="14.4" x14ac:dyDescent="0.3"/>
    <row r="38123" ht="14.4" x14ac:dyDescent="0.3"/>
    <row r="38124" ht="14.4" x14ac:dyDescent="0.3"/>
    <row r="38125" ht="14.4" x14ac:dyDescent="0.3"/>
    <row r="38126" ht="14.4" x14ac:dyDescent="0.3"/>
    <row r="38127" ht="14.4" x14ac:dyDescent="0.3"/>
    <row r="38128" ht="14.4" x14ac:dyDescent="0.3"/>
    <row r="38129" ht="14.4" x14ac:dyDescent="0.3"/>
    <row r="38130" ht="14.4" x14ac:dyDescent="0.3"/>
    <row r="38131" ht="14.4" x14ac:dyDescent="0.3"/>
    <row r="38132" ht="14.4" x14ac:dyDescent="0.3"/>
    <row r="38133" ht="14.4" x14ac:dyDescent="0.3"/>
    <row r="38134" ht="14.4" x14ac:dyDescent="0.3"/>
    <row r="38135" ht="14.4" x14ac:dyDescent="0.3"/>
    <row r="38136" ht="14.4" x14ac:dyDescent="0.3"/>
    <row r="38137" ht="14.4" x14ac:dyDescent="0.3"/>
    <row r="38138" ht="14.4" x14ac:dyDescent="0.3"/>
    <row r="38139" ht="14.4" x14ac:dyDescent="0.3"/>
    <row r="38140" ht="14.4" x14ac:dyDescent="0.3"/>
    <row r="38141" ht="14.4" x14ac:dyDescent="0.3"/>
    <row r="38142" ht="14.4" x14ac:dyDescent="0.3"/>
    <row r="38143" ht="14.4" x14ac:dyDescent="0.3"/>
    <row r="38144" ht="14.4" x14ac:dyDescent="0.3"/>
    <row r="38145" ht="14.4" x14ac:dyDescent="0.3"/>
    <row r="38146" ht="14.4" x14ac:dyDescent="0.3"/>
    <row r="38147" ht="14.4" x14ac:dyDescent="0.3"/>
    <row r="38148" ht="14.4" x14ac:dyDescent="0.3"/>
    <row r="38149" ht="14.4" x14ac:dyDescent="0.3"/>
    <row r="38150" ht="14.4" x14ac:dyDescent="0.3"/>
    <row r="38151" ht="14.4" x14ac:dyDescent="0.3"/>
    <row r="38152" ht="14.4" x14ac:dyDescent="0.3"/>
    <row r="38153" ht="14.4" x14ac:dyDescent="0.3"/>
    <row r="38154" ht="14.4" x14ac:dyDescent="0.3"/>
    <row r="38155" ht="14.4" x14ac:dyDescent="0.3"/>
    <row r="38156" ht="14.4" x14ac:dyDescent="0.3"/>
    <row r="38157" ht="14.4" x14ac:dyDescent="0.3"/>
    <row r="38158" ht="14.4" x14ac:dyDescent="0.3"/>
    <row r="38159" ht="14.4" x14ac:dyDescent="0.3"/>
    <row r="38160" ht="14.4" x14ac:dyDescent="0.3"/>
    <row r="38161" ht="14.4" x14ac:dyDescent="0.3"/>
    <row r="38162" ht="14.4" x14ac:dyDescent="0.3"/>
    <row r="38163" ht="14.4" x14ac:dyDescent="0.3"/>
    <row r="38164" ht="14.4" x14ac:dyDescent="0.3"/>
    <row r="38165" ht="14.4" x14ac:dyDescent="0.3"/>
    <row r="38166" ht="14.4" x14ac:dyDescent="0.3"/>
    <row r="38167" ht="14.4" x14ac:dyDescent="0.3"/>
    <row r="38168" ht="14.4" x14ac:dyDescent="0.3"/>
    <row r="38169" ht="14.4" x14ac:dyDescent="0.3"/>
    <row r="38170" ht="14.4" x14ac:dyDescent="0.3"/>
    <row r="38171" ht="14.4" x14ac:dyDescent="0.3"/>
    <row r="38172" ht="14.4" x14ac:dyDescent="0.3"/>
    <row r="38173" ht="14.4" x14ac:dyDescent="0.3"/>
    <row r="38174" ht="14.4" x14ac:dyDescent="0.3"/>
    <row r="38175" ht="14.4" x14ac:dyDescent="0.3"/>
    <row r="38176" ht="14.4" x14ac:dyDescent="0.3"/>
    <row r="38177" ht="14.4" x14ac:dyDescent="0.3"/>
    <row r="38178" ht="14.4" x14ac:dyDescent="0.3"/>
    <row r="38179" ht="14.4" x14ac:dyDescent="0.3"/>
    <row r="38180" ht="14.4" x14ac:dyDescent="0.3"/>
    <row r="38181" ht="14.4" x14ac:dyDescent="0.3"/>
    <row r="38182" ht="14.4" x14ac:dyDescent="0.3"/>
    <row r="38183" ht="14.4" x14ac:dyDescent="0.3"/>
    <row r="38184" ht="14.4" x14ac:dyDescent="0.3"/>
    <row r="38185" ht="14.4" x14ac:dyDescent="0.3"/>
    <row r="38186" ht="14.4" x14ac:dyDescent="0.3"/>
    <row r="38187" ht="14.4" x14ac:dyDescent="0.3"/>
    <row r="38188" ht="14.4" x14ac:dyDescent="0.3"/>
    <row r="38189" ht="14.4" x14ac:dyDescent="0.3"/>
    <row r="38190" ht="14.4" x14ac:dyDescent="0.3"/>
    <row r="38191" ht="14.4" x14ac:dyDescent="0.3"/>
    <row r="38192" ht="14.4" x14ac:dyDescent="0.3"/>
    <row r="38193" ht="14.4" x14ac:dyDescent="0.3"/>
    <row r="38194" ht="14.4" x14ac:dyDescent="0.3"/>
    <row r="38195" ht="14.4" x14ac:dyDescent="0.3"/>
    <row r="38196" ht="14.4" x14ac:dyDescent="0.3"/>
    <row r="38197" ht="14.4" x14ac:dyDescent="0.3"/>
    <row r="38198" ht="14.4" x14ac:dyDescent="0.3"/>
    <row r="38199" ht="14.4" x14ac:dyDescent="0.3"/>
    <row r="38200" ht="14.4" x14ac:dyDescent="0.3"/>
    <row r="38201" ht="14.4" x14ac:dyDescent="0.3"/>
    <row r="38202" ht="14.4" x14ac:dyDescent="0.3"/>
    <row r="38203" ht="14.4" x14ac:dyDescent="0.3"/>
    <row r="38204" ht="14.4" x14ac:dyDescent="0.3"/>
    <row r="38205" ht="14.4" x14ac:dyDescent="0.3"/>
    <row r="38206" ht="14.4" x14ac:dyDescent="0.3"/>
    <row r="38207" ht="14.4" x14ac:dyDescent="0.3"/>
    <row r="38208" ht="14.4" x14ac:dyDescent="0.3"/>
    <row r="38209" ht="14.4" x14ac:dyDescent="0.3"/>
    <row r="38210" ht="14.4" x14ac:dyDescent="0.3"/>
    <row r="38211" ht="14.4" x14ac:dyDescent="0.3"/>
    <row r="38212" ht="14.4" x14ac:dyDescent="0.3"/>
    <row r="38213" ht="14.4" x14ac:dyDescent="0.3"/>
    <row r="38214" ht="14.4" x14ac:dyDescent="0.3"/>
    <row r="38215" ht="14.4" x14ac:dyDescent="0.3"/>
    <row r="38216" ht="14.4" x14ac:dyDescent="0.3"/>
    <row r="38217" ht="14.4" x14ac:dyDescent="0.3"/>
    <row r="38218" ht="14.4" x14ac:dyDescent="0.3"/>
    <row r="38219" ht="14.4" x14ac:dyDescent="0.3"/>
    <row r="38220" ht="14.4" x14ac:dyDescent="0.3"/>
    <row r="38221" ht="14.4" x14ac:dyDescent="0.3"/>
    <row r="38222" ht="14.4" x14ac:dyDescent="0.3"/>
    <row r="38223" ht="14.4" x14ac:dyDescent="0.3"/>
    <row r="38224" ht="14.4" x14ac:dyDescent="0.3"/>
    <row r="38225" ht="14.4" x14ac:dyDescent="0.3"/>
    <row r="38226" ht="14.4" x14ac:dyDescent="0.3"/>
    <row r="38227" ht="14.4" x14ac:dyDescent="0.3"/>
    <row r="38228" ht="14.4" x14ac:dyDescent="0.3"/>
    <row r="38229" ht="14.4" x14ac:dyDescent="0.3"/>
    <row r="38230" ht="14.4" x14ac:dyDescent="0.3"/>
    <row r="38231" ht="14.4" x14ac:dyDescent="0.3"/>
    <row r="38232" ht="14.4" x14ac:dyDescent="0.3"/>
    <row r="38233" ht="14.4" x14ac:dyDescent="0.3"/>
    <row r="38234" ht="14.4" x14ac:dyDescent="0.3"/>
    <row r="38235" ht="14.4" x14ac:dyDescent="0.3"/>
    <row r="38236" ht="14.4" x14ac:dyDescent="0.3"/>
    <row r="38237" ht="14.4" x14ac:dyDescent="0.3"/>
    <row r="38238" ht="14.4" x14ac:dyDescent="0.3"/>
    <row r="38239" ht="14.4" x14ac:dyDescent="0.3"/>
    <row r="38240" ht="14.4" x14ac:dyDescent="0.3"/>
    <row r="38241" ht="14.4" x14ac:dyDescent="0.3"/>
    <row r="38242" ht="14.4" x14ac:dyDescent="0.3"/>
    <row r="38243" ht="14.4" x14ac:dyDescent="0.3"/>
    <row r="38244" ht="14.4" x14ac:dyDescent="0.3"/>
    <row r="38245" ht="14.4" x14ac:dyDescent="0.3"/>
    <row r="38246" ht="14.4" x14ac:dyDescent="0.3"/>
    <row r="38247" ht="14.4" x14ac:dyDescent="0.3"/>
    <row r="38248" ht="14.4" x14ac:dyDescent="0.3"/>
    <row r="38249" ht="14.4" x14ac:dyDescent="0.3"/>
    <row r="38250" ht="14.4" x14ac:dyDescent="0.3"/>
    <row r="38251" ht="14.4" x14ac:dyDescent="0.3"/>
    <row r="38252" ht="14.4" x14ac:dyDescent="0.3"/>
    <row r="38253" ht="14.4" x14ac:dyDescent="0.3"/>
    <row r="38254" ht="14.4" x14ac:dyDescent="0.3"/>
    <row r="38255" ht="14.4" x14ac:dyDescent="0.3"/>
    <row r="38256" ht="14.4" x14ac:dyDescent="0.3"/>
    <row r="38257" ht="14.4" x14ac:dyDescent="0.3"/>
    <row r="38258" ht="14.4" x14ac:dyDescent="0.3"/>
    <row r="38259" ht="14.4" x14ac:dyDescent="0.3"/>
    <row r="38260" ht="14.4" x14ac:dyDescent="0.3"/>
    <row r="38261" ht="14.4" x14ac:dyDescent="0.3"/>
    <row r="38262" ht="14.4" x14ac:dyDescent="0.3"/>
    <row r="38263" ht="14.4" x14ac:dyDescent="0.3"/>
    <row r="38264" ht="14.4" x14ac:dyDescent="0.3"/>
    <row r="38265" ht="14.4" x14ac:dyDescent="0.3"/>
    <row r="38266" ht="14.4" x14ac:dyDescent="0.3"/>
    <row r="38267" ht="14.4" x14ac:dyDescent="0.3"/>
    <row r="38268" ht="14.4" x14ac:dyDescent="0.3"/>
    <row r="38269" ht="14.4" x14ac:dyDescent="0.3"/>
    <row r="38270" ht="14.4" x14ac:dyDescent="0.3"/>
    <row r="38271" ht="14.4" x14ac:dyDescent="0.3"/>
    <row r="38272" ht="14.4" x14ac:dyDescent="0.3"/>
    <row r="38273" ht="14.4" x14ac:dyDescent="0.3"/>
    <row r="38274" ht="14.4" x14ac:dyDescent="0.3"/>
    <row r="38275" ht="14.4" x14ac:dyDescent="0.3"/>
    <row r="38276" ht="14.4" x14ac:dyDescent="0.3"/>
    <row r="38277" ht="14.4" x14ac:dyDescent="0.3"/>
    <row r="38278" ht="14.4" x14ac:dyDescent="0.3"/>
    <row r="38279" ht="14.4" x14ac:dyDescent="0.3"/>
    <row r="38280" ht="14.4" x14ac:dyDescent="0.3"/>
    <row r="38281" ht="14.4" x14ac:dyDescent="0.3"/>
    <row r="38282" ht="14.4" x14ac:dyDescent="0.3"/>
    <row r="38283" ht="14.4" x14ac:dyDescent="0.3"/>
    <row r="38284" ht="14.4" x14ac:dyDescent="0.3"/>
    <row r="38285" ht="14.4" x14ac:dyDescent="0.3"/>
    <row r="38286" ht="14.4" x14ac:dyDescent="0.3"/>
    <row r="38287" ht="14.4" x14ac:dyDescent="0.3"/>
    <row r="38288" ht="14.4" x14ac:dyDescent="0.3"/>
    <row r="38289" ht="14.4" x14ac:dyDescent="0.3"/>
    <row r="38290" ht="14.4" x14ac:dyDescent="0.3"/>
    <row r="38291" ht="14.4" x14ac:dyDescent="0.3"/>
    <row r="38292" ht="14.4" x14ac:dyDescent="0.3"/>
    <row r="38293" ht="14.4" x14ac:dyDescent="0.3"/>
    <row r="38294" ht="14.4" x14ac:dyDescent="0.3"/>
    <row r="38295" ht="14.4" x14ac:dyDescent="0.3"/>
    <row r="38296" ht="14.4" x14ac:dyDescent="0.3"/>
    <row r="38297" ht="14.4" x14ac:dyDescent="0.3"/>
    <row r="38298" ht="14.4" x14ac:dyDescent="0.3"/>
    <row r="38299" ht="14.4" x14ac:dyDescent="0.3"/>
    <row r="38300" ht="14.4" x14ac:dyDescent="0.3"/>
    <row r="38301" ht="14.4" x14ac:dyDescent="0.3"/>
    <row r="38302" ht="14.4" x14ac:dyDescent="0.3"/>
    <row r="38303" ht="14.4" x14ac:dyDescent="0.3"/>
    <row r="38304" ht="14.4" x14ac:dyDescent="0.3"/>
    <row r="38305" ht="14.4" x14ac:dyDescent="0.3"/>
    <row r="38306" ht="14.4" x14ac:dyDescent="0.3"/>
    <row r="38307" ht="14.4" x14ac:dyDescent="0.3"/>
    <row r="38308" ht="14.4" x14ac:dyDescent="0.3"/>
    <row r="38309" ht="14.4" x14ac:dyDescent="0.3"/>
    <row r="38310" ht="14.4" x14ac:dyDescent="0.3"/>
    <row r="38311" ht="14.4" x14ac:dyDescent="0.3"/>
    <row r="38312" ht="14.4" x14ac:dyDescent="0.3"/>
    <row r="38313" ht="14.4" x14ac:dyDescent="0.3"/>
    <row r="38314" ht="14.4" x14ac:dyDescent="0.3"/>
    <row r="38315" ht="14.4" x14ac:dyDescent="0.3"/>
    <row r="38316" ht="14.4" x14ac:dyDescent="0.3"/>
    <row r="38317" ht="14.4" x14ac:dyDescent="0.3"/>
    <row r="38318" ht="14.4" x14ac:dyDescent="0.3"/>
    <row r="38319" ht="14.4" x14ac:dyDescent="0.3"/>
    <row r="38320" ht="14.4" x14ac:dyDescent="0.3"/>
    <row r="38321" ht="14.4" x14ac:dyDescent="0.3"/>
    <row r="38322" ht="14.4" x14ac:dyDescent="0.3"/>
    <row r="38323" ht="14.4" x14ac:dyDescent="0.3"/>
    <row r="38324" ht="14.4" x14ac:dyDescent="0.3"/>
    <row r="38325" ht="14.4" x14ac:dyDescent="0.3"/>
    <row r="38326" ht="14.4" x14ac:dyDescent="0.3"/>
    <row r="38327" ht="14.4" x14ac:dyDescent="0.3"/>
    <row r="38328" ht="14.4" x14ac:dyDescent="0.3"/>
    <row r="38329" ht="14.4" x14ac:dyDescent="0.3"/>
    <row r="38330" ht="14.4" x14ac:dyDescent="0.3"/>
    <row r="38331" ht="14.4" x14ac:dyDescent="0.3"/>
    <row r="38332" ht="14.4" x14ac:dyDescent="0.3"/>
    <row r="38333" ht="14.4" x14ac:dyDescent="0.3"/>
    <row r="38334" ht="14.4" x14ac:dyDescent="0.3"/>
    <row r="38335" ht="14.4" x14ac:dyDescent="0.3"/>
    <row r="38336" ht="14.4" x14ac:dyDescent="0.3"/>
    <row r="38337" ht="14.4" x14ac:dyDescent="0.3"/>
    <row r="38338" ht="14.4" x14ac:dyDescent="0.3"/>
    <row r="38339" ht="14.4" x14ac:dyDescent="0.3"/>
    <row r="38340" ht="14.4" x14ac:dyDescent="0.3"/>
    <row r="38341" ht="14.4" x14ac:dyDescent="0.3"/>
    <row r="38342" ht="14.4" x14ac:dyDescent="0.3"/>
    <row r="38343" ht="14.4" x14ac:dyDescent="0.3"/>
    <row r="38344" ht="14.4" x14ac:dyDescent="0.3"/>
    <row r="38345" ht="14.4" x14ac:dyDescent="0.3"/>
    <row r="38346" ht="14.4" x14ac:dyDescent="0.3"/>
    <row r="38347" ht="14.4" x14ac:dyDescent="0.3"/>
    <row r="38348" ht="14.4" x14ac:dyDescent="0.3"/>
    <row r="38349" ht="14.4" x14ac:dyDescent="0.3"/>
    <row r="38350" ht="14.4" x14ac:dyDescent="0.3"/>
    <row r="38351" ht="14.4" x14ac:dyDescent="0.3"/>
    <row r="38352" ht="14.4" x14ac:dyDescent="0.3"/>
    <row r="38353" ht="14.4" x14ac:dyDescent="0.3"/>
    <row r="38354" ht="14.4" x14ac:dyDescent="0.3"/>
    <row r="38355" ht="14.4" x14ac:dyDescent="0.3"/>
    <row r="38356" ht="14.4" x14ac:dyDescent="0.3"/>
    <row r="38357" ht="14.4" x14ac:dyDescent="0.3"/>
    <row r="38358" ht="14.4" x14ac:dyDescent="0.3"/>
    <row r="38359" ht="14.4" x14ac:dyDescent="0.3"/>
    <row r="38360" ht="14.4" x14ac:dyDescent="0.3"/>
    <row r="38361" ht="14.4" x14ac:dyDescent="0.3"/>
    <row r="38362" ht="14.4" x14ac:dyDescent="0.3"/>
    <row r="38363" ht="14.4" x14ac:dyDescent="0.3"/>
    <row r="38364" ht="14.4" x14ac:dyDescent="0.3"/>
    <row r="38365" ht="14.4" x14ac:dyDescent="0.3"/>
    <row r="38366" ht="14.4" x14ac:dyDescent="0.3"/>
    <row r="38367" ht="14.4" x14ac:dyDescent="0.3"/>
    <row r="38368" ht="14.4" x14ac:dyDescent="0.3"/>
    <row r="38369" ht="14.4" x14ac:dyDescent="0.3"/>
    <row r="38370" ht="14.4" x14ac:dyDescent="0.3"/>
    <row r="38371" ht="14.4" x14ac:dyDescent="0.3"/>
    <row r="38372" ht="14.4" x14ac:dyDescent="0.3"/>
    <row r="38373" ht="14.4" x14ac:dyDescent="0.3"/>
    <row r="38374" ht="14.4" x14ac:dyDescent="0.3"/>
    <row r="38375" ht="14.4" x14ac:dyDescent="0.3"/>
    <row r="38376" ht="14.4" x14ac:dyDescent="0.3"/>
    <row r="38377" ht="14.4" x14ac:dyDescent="0.3"/>
    <row r="38378" ht="14.4" x14ac:dyDescent="0.3"/>
    <row r="38379" ht="14.4" x14ac:dyDescent="0.3"/>
    <row r="38380" ht="14.4" x14ac:dyDescent="0.3"/>
    <row r="38381" ht="14.4" x14ac:dyDescent="0.3"/>
    <row r="38382" ht="14.4" x14ac:dyDescent="0.3"/>
    <row r="38383" ht="14.4" x14ac:dyDescent="0.3"/>
    <row r="38384" ht="14.4" x14ac:dyDescent="0.3"/>
    <row r="38385" ht="14.4" x14ac:dyDescent="0.3"/>
    <row r="38386" ht="14.4" x14ac:dyDescent="0.3"/>
    <row r="38387" ht="14.4" x14ac:dyDescent="0.3"/>
    <row r="38388" ht="14.4" x14ac:dyDescent="0.3"/>
    <row r="38389" ht="14.4" x14ac:dyDescent="0.3"/>
    <row r="38390" ht="14.4" x14ac:dyDescent="0.3"/>
    <row r="38391" ht="14.4" x14ac:dyDescent="0.3"/>
    <row r="38392" ht="14.4" x14ac:dyDescent="0.3"/>
    <row r="38393" ht="14.4" x14ac:dyDescent="0.3"/>
    <row r="38394" ht="14.4" x14ac:dyDescent="0.3"/>
    <row r="38395" ht="14.4" x14ac:dyDescent="0.3"/>
    <row r="38396" ht="14.4" x14ac:dyDescent="0.3"/>
    <row r="38397" ht="14.4" x14ac:dyDescent="0.3"/>
    <row r="38398" ht="14.4" x14ac:dyDescent="0.3"/>
    <row r="38399" ht="14.4" x14ac:dyDescent="0.3"/>
    <row r="38400" ht="14.4" x14ac:dyDescent="0.3"/>
    <row r="38401" ht="14.4" x14ac:dyDescent="0.3"/>
    <row r="38402" ht="14.4" x14ac:dyDescent="0.3"/>
    <row r="38403" ht="14.4" x14ac:dyDescent="0.3"/>
    <row r="38404" ht="14.4" x14ac:dyDescent="0.3"/>
    <row r="38405" ht="14.4" x14ac:dyDescent="0.3"/>
    <row r="38406" ht="14.4" x14ac:dyDescent="0.3"/>
    <row r="38407" ht="14.4" x14ac:dyDescent="0.3"/>
    <row r="38408" ht="14.4" x14ac:dyDescent="0.3"/>
    <row r="38409" ht="14.4" x14ac:dyDescent="0.3"/>
    <row r="38410" ht="14.4" x14ac:dyDescent="0.3"/>
    <row r="38411" ht="14.4" x14ac:dyDescent="0.3"/>
    <row r="38412" ht="14.4" x14ac:dyDescent="0.3"/>
    <row r="38413" ht="14.4" x14ac:dyDescent="0.3"/>
    <row r="38414" ht="14.4" x14ac:dyDescent="0.3"/>
    <row r="38415" ht="14.4" x14ac:dyDescent="0.3"/>
    <row r="38416" ht="14.4" x14ac:dyDescent="0.3"/>
    <row r="38417" ht="14.4" x14ac:dyDescent="0.3"/>
    <row r="38418" ht="14.4" x14ac:dyDescent="0.3"/>
    <row r="38419" ht="14.4" x14ac:dyDescent="0.3"/>
    <row r="38420" ht="14.4" x14ac:dyDescent="0.3"/>
    <row r="38421" ht="14.4" x14ac:dyDescent="0.3"/>
    <row r="38422" ht="14.4" x14ac:dyDescent="0.3"/>
    <row r="38423" ht="14.4" x14ac:dyDescent="0.3"/>
    <row r="38424" ht="14.4" x14ac:dyDescent="0.3"/>
    <row r="38425" ht="14.4" x14ac:dyDescent="0.3"/>
    <row r="38426" ht="14.4" x14ac:dyDescent="0.3"/>
    <row r="38427" ht="14.4" x14ac:dyDescent="0.3"/>
    <row r="38428" ht="14.4" x14ac:dyDescent="0.3"/>
    <row r="38429" ht="14.4" x14ac:dyDescent="0.3"/>
    <row r="38430" ht="14.4" x14ac:dyDescent="0.3"/>
    <row r="38431" ht="14.4" x14ac:dyDescent="0.3"/>
    <row r="38432" ht="14.4" x14ac:dyDescent="0.3"/>
    <row r="38433" ht="14.4" x14ac:dyDescent="0.3"/>
    <row r="38434" ht="14.4" x14ac:dyDescent="0.3"/>
    <row r="38435" ht="14.4" x14ac:dyDescent="0.3"/>
    <row r="38436" ht="14.4" x14ac:dyDescent="0.3"/>
    <row r="38437" ht="14.4" x14ac:dyDescent="0.3"/>
    <row r="38438" ht="14.4" x14ac:dyDescent="0.3"/>
    <row r="38439" ht="14.4" x14ac:dyDescent="0.3"/>
    <row r="38440" ht="14.4" x14ac:dyDescent="0.3"/>
    <row r="38441" ht="14.4" x14ac:dyDescent="0.3"/>
    <row r="38442" ht="14.4" x14ac:dyDescent="0.3"/>
    <row r="38443" ht="14.4" x14ac:dyDescent="0.3"/>
    <row r="38444" ht="14.4" x14ac:dyDescent="0.3"/>
    <row r="38445" ht="14.4" x14ac:dyDescent="0.3"/>
    <row r="38446" ht="14.4" x14ac:dyDescent="0.3"/>
    <row r="38447" ht="14.4" x14ac:dyDescent="0.3"/>
    <row r="38448" ht="14.4" x14ac:dyDescent="0.3"/>
    <row r="38449" ht="14.4" x14ac:dyDescent="0.3"/>
    <row r="38450" ht="14.4" x14ac:dyDescent="0.3"/>
    <row r="38451" ht="14.4" x14ac:dyDescent="0.3"/>
    <row r="38452" ht="14.4" x14ac:dyDescent="0.3"/>
    <row r="38453" ht="14.4" x14ac:dyDescent="0.3"/>
    <row r="38454" ht="14.4" x14ac:dyDescent="0.3"/>
    <row r="38455" ht="14.4" x14ac:dyDescent="0.3"/>
    <row r="38456" ht="14.4" x14ac:dyDescent="0.3"/>
    <row r="38457" ht="14.4" x14ac:dyDescent="0.3"/>
    <row r="38458" ht="14.4" x14ac:dyDescent="0.3"/>
    <row r="38459" ht="14.4" x14ac:dyDescent="0.3"/>
    <row r="38460" ht="14.4" x14ac:dyDescent="0.3"/>
    <row r="38461" ht="14.4" x14ac:dyDescent="0.3"/>
    <row r="38462" ht="14.4" x14ac:dyDescent="0.3"/>
    <row r="38463" ht="14.4" x14ac:dyDescent="0.3"/>
    <row r="38464" ht="14.4" x14ac:dyDescent="0.3"/>
    <row r="38465" ht="14.4" x14ac:dyDescent="0.3"/>
    <row r="38466" ht="14.4" x14ac:dyDescent="0.3"/>
    <row r="38467" ht="14.4" x14ac:dyDescent="0.3"/>
    <row r="38468" ht="14.4" x14ac:dyDescent="0.3"/>
    <row r="38469" ht="14.4" x14ac:dyDescent="0.3"/>
    <row r="38470" ht="14.4" x14ac:dyDescent="0.3"/>
    <row r="38471" ht="14.4" x14ac:dyDescent="0.3"/>
    <row r="38472" ht="14.4" x14ac:dyDescent="0.3"/>
    <row r="38473" ht="14.4" x14ac:dyDescent="0.3"/>
    <row r="38474" ht="14.4" x14ac:dyDescent="0.3"/>
    <row r="38475" ht="14.4" x14ac:dyDescent="0.3"/>
    <row r="38476" ht="14.4" x14ac:dyDescent="0.3"/>
    <row r="38477" ht="14.4" x14ac:dyDescent="0.3"/>
    <row r="38478" ht="14.4" x14ac:dyDescent="0.3"/>
    <row r="38479" ht="14.4" x14ac:dyDescent="0.3"/>
    <row r="38480" ht="14.4" x14ac:dyDescent="0.3"/>
    <row r="38481" ht="14.4" x14ac:dyDescent="0.3"/>
    <row r="38482" ht="14.4" x14ac:dyDescent="0.3"/>
    <row r="38483" ht="14.4" x14ac:dyDescent="0.3"/>
    <row r="38484" ht="14.4" x14ac:dyDescent="0.3"/>
    <row r="38485" ht="14.4" x14ac:dyDescent="0.3"/>
    <row r="38486" ht="14.4" x14ac:dyDescent="0.3"/>
    <row r="38487" ht="14.4" x14ac:dyDescent="0.3"/>
    <row r="38488" ht="14.4" x14ac:dyDescent="0.3"/>
    <row r="38489" ht="14.4" x14ac:dyDescent="0.3"/>
    <row r="38490" ht="14.4" x14ac:dyDescent="0.3"/>
    <row r="38491" ht="14.4" x14ac:dyDescent="0.3"/>
    <row r="38492" ht="14.4" x14ac:dyDescent="0.3"/>
    <row r="38493" ht="14.4" x14ac:dyDescent="0.3"/>
    <row r="38494" ht="14.4" x14ac:dyDescent="0.3"/>
    <row r="38495" ht="14.4" x14ac:dyDescent="0.3"/>
    <row r="38496" ht="14.4" x14ac:dyDescent="0.3"/>
    <row r="38497" ht="14.4" x14ac:dyDescent="0.3"/>
    <row r="38498" ht="14.4" x14ac:dyDescent="0.3"/>
    <row r="38499" ht="14.4" x14ac:dyDescent="0.3"/>
    <row r="38500" ht="14.4" x14ac:dyDescent="0.3"/>
    <row r="38501" ht="14.4" x14ac:dyDescent="0.3"/>
    <row r="38502" ht="14.4" x14ac:dyDescent="0.3"/>
    <row r="38503" ht="14.4" x14ac:dyDescent="0.3"/>
    <row r="38504" ht="14.4" x14ac:dyDescent="0.3"/>
    <row r="38505" ht="14.4" x14ac:dyDescent="0.3"/>
    <row r="38506" ht="14.4" x14ac:dyDescent="0.3"/>
    <row r="38507" ht="14.4" x14ac:dyDescent="0.3"/>
    <row r="38508" ht="14.4" x14ac:dyDescent="0.3"/>
    <row r="38509" ht="14.4" x14ac:dyDescent="0.3"/>
    <row r="38510" ht="14.4" x14ac:dyDescent="0.3"/>
    <row r="38511" ht="14.4" x14ac:dyDescent="0.3"/>
    <row r="38512" ht="14.4" x14ac:dyDescent="0.3"/>
    <row r="38513" ht="14.4" x14ac:dyDescent="0.3"/>
    <row r="38514" ht="14.4" x14ac:dyDescent="0.3"/>
    <row r="38515" ht="14.4" x14ac:dyDescent="0.3"/>
    <row r="38516" ht="14.4" x14ac:dyDescent="0.3"/>
    <row r="38517" ht="14.4" x14ac:dyDescent="0.3"/>
    <row r="38518" ht="14.4" x14ac:dyDescent="0.3"/>
    <row r="38519" ht="14.4" x14ac:dyDescent="0.3"/>
    <row r="38520" ht="14.4" x14ac:dyDescent="0.3"/>
    <row r="38521" ht="14.4" x14ac:dyDescent="0.3"/>
    <row r="38522" ht="14.4" x14ac:dyDescent="0.3"/>
    <row r="38523" ht="14.4" x14ac:dyDescent="0.3"/>
    <row r="38524" ht="14.4" x14ac:dyDescent="0.3"/>
    <row r="38525" ht="14.4" x14ac:dyDescent="0.3"/>
    <row r="38526" ht="14.4" x14ac:dyDescent="0.3"/>
    <row r="38527" ht="14.4" x14ac:dyDescent="0.3"/>
    <row r="38528" ht="14.4" x14ac:dyDescent="0.3"/>
    <row r="38529" ht="14.4" x14ac:dyDescent="0.3"/>
    <row r="38530" ht="14.4" x14ac:dyDescent="0.3"/>
    <row r="38531" ht="14.4" x14ac:dyDescent="0.3"/>
    <row r="38532" ht="14.4" x14ac:dyDescent="0.3"/>
    <row r="38533" ht="14.4" x14ac:dyDescent="0.3"/>
    <row r="38534" ht="14.4" x14ac:dyDescent="0.3"/>
    <row r="38535" ht="14.4" x14ac:dyDescent="0.3"/>
    <row r="38536" ht="14.4" x14ac:dyDescent="0.3"/>
    <row r="38537" ht="14.4" x14ac:dyDescent="0.3"/>
    <row r="38538" ht="14.4" x14ac:dyDescent="0.3"/>
    <row r="38539" ht="14.4" x14ac:dyDescent="0.3"/>
    <row r="38540" ht="14.4" x14ac:dyDescent="0.3"/>
    <row r="38541" ht="14.4" x14ac:dyDescent="0.3"/>
    <row r="38542" ht="14.4" x14ac:dyDescent="0.3"/>
    <row r="38543" ht="14.4" x14ac:dyDescent="0.3"/>
    <row r="38544" ht="14.4" x14ac:dyDescent="0.3"/>
    <row r="38545" ht="14.4" x14ac:dyDescent="0.3"/>
    <row r="38546" ht="14.4" x14ac:dyDescent="0.3"/>
    <row r="38547" ht="14.4" x14ac:dyDescent="0.3"/>
    <row r="38548" ht="14.4" x14ac:dyDescent="0.3"/>
    <row r="38549" ht="14.4" x14ac:dyDescent="0.3"/>
    <row r="38550" ht="14.4" x14ac:dyDescent="0.3"/>
    <row r="38551" ht="14.4" x14ac:dyDescent="0.3"/>
    <row r="38552" ht="14.4" x14ac:dyDescent="0.3"/>
    <row r="38553" ht="14.4" x14ac:dyDescent="0.3"/>
    <row r="38554" ht="14.4" x14ac:dyDescent="0.3"/>
    <row r="38555" ht="14.4" x14ac:dyDescent="0.3"/>
    <row r="38556" ht="14.4" x14ac:dyDescent="0.3"/>
    <row r="38557" ht="14.4" x14ac:dyDescent="0.3"/>
    <row r="38558" ht="14.4" x14ac:dyDescent="0.3"/>
    <row r="38559" ht="14.4" x14ac:dyDescent="0.3"/>
    <row r="38560" ht="14.4" x14ac:dyDescent="0.3"/>
    <row r="38561" ht="14.4" x14ac:dyDescent="0.3"/>
    <row r="38562" ht="14.4" x14ac:dyDescent="0.3"/>
    <row r="38563" ht="14.4" x14ac:dyDescent="0.3"/>
    <row r="38564" ht="14.4" x14ac:dyDescent="0.3"/>
    <row r="38565" ht="14.4" x14ac:dyDescent="0.3"/>
    <row r="38566" ht="14.4" x14ac:dyDescent="0.3"/>
    <row r="38567" ht="14.4" x14ac:dyDescent="0.3"/>
    <row r="38568" ht="14.4" x14ac:dyDescent="0.3"/>
    <row r="38569" ht="14.4" x14ac:dyDescent="0.3"/>
    <row r="38570" ht="14.4" x14ac:dyDescent="0.3"/>
    <row r="38571" ht="14.4" x14ac:dyDescent="0.3"/>
    <row r="38572" ht="14.4" x14ac:dyDescent="0.3"/>
    <row r="38573" ht="14.4" x14ac:dyDescent="0.3"/>
    <row r="38574" ht="14.4" x14ac:dyDescent="0.3"/>
    <row r="38575" ht="14.4" x14ac:dyDescent="0.3"/>
    <row r="38576" ht="14.4" x14ac:dyDescent="0.3"/>
    <row r="38577" ht="14.4" x14ac:dyDescent="0.3"/>
    <row r="38578" ht="14.4" x14ac:dyDescent="0.3"/>
    <row r="38579" ht="14.4" x14ac:dyDescent="0.3"/>
    <row r="38580" ht="14.4" x14ac:dyDescent="0.3"/>
    <row r="38581" ht="14.4" x14ac:dyDescent="0.3"/>
    <row r="38582" ht="14.4" x14ac:dyDescent="0.3"/>
    <row r="38583" ht="14.4" x14ac:dyDescent="0.3"/>
    <row r="38584" ht="14.4" x14ac:dyDescent="0.3"/>
    <row r="38585" ht="14.4" x14ac:dyDescent="0.3"/>
    <row r="38586" ht="14.4" x14ac:dyDescent="0.3"/>
    <row r="38587" ht="14.4" x14ac:dyDescent="0.3"/>
    <row r="38588" ht="14.4" x14ac:dyDescent="0.3"/>
    <row r="38589" ht="14.4" x14ac:dyDescent="0.3"/>
    <row r="38590" ht="14.4" x14ac:dyDescent="0.3"/>
    <row r="38591" ht="14.4" x14ac:dyDescent="0.3"/>
    <row r="38592" ht="14.4" x14ac:dyDescent="0.3"/>
    <row r="38593" ht="14.4" x14ac:dyDescent="0.3"/>
    <row r="38594" ht="14.4" x14ac:dyDescent="0.3"/>
    <row r="38595" ht="14.4" x14ac:dyDescent="0.3"/>
    <row r="38596" ht="14.4" x14ac:dyDescent="0.3"/>
    <row r="38597" ht="14.4" x14ac:dyDescent="0.3"/>
    <row r="38598" ht="14.4" x14ac:dyDescent="0.3"/>
    <row r="38599" ht="14.4" x14ac:dyDescent="0.3"/>
    <row r="38600" ht="14.4" x14ac:dyDescent="0.3"/>
    <row r="38601" ht="14.4" x14ac:dyDescent="0.3"/>
    <row r="38602" ht="14.4" x14ac:dyDescent="0.3"/>
    <row r="38603" ht="14.4" x14ac:dyDescent="0.3"/>
    <row r="38604" ht="14.4" x14ac:dyDescent="0.3"/>
    <row r="38605" ht="14.4" x14ac:dyDescent="0.3"/>
    <row r="38606" ht="14.4" x14ac:dyDescent="0.3"/>
    <row r="38607" ht="14.4" x14ac:dyDescent="0.3"/>
    <row r="38608" ht="14.4" x14ac:dyDescent="0.3"/>
    <row r="38609" ht="14.4" x14ac:dyDescent="0.3"/>
    <row r="38610" ht="14.4" x14ac:dyDescent="0.3"/>
    <row r="38611" ht="14.4" x14ac:dyDescent="0.3"/>
    <row r="38612" ht="14.4" x14ac:dyDescent="0.3"/>
    <row r="38613" ht="14.4" x14ac:dyDescent="0.3"/>
    <row r="38614" ht="14.4" x14ac:dyDescent="0.3"/>
    <row r="38615" ht="14.4" x14ac:dyDescent="0.3"/>
    <row r="38616" ht="14.4" x14ac:dyDescent="0.3"/>
    <row r="38617" ht="14.4" x14ac:dyDescent="0.3"/>
    <row r="38618" ht="14.4" x14ac:dyDescent="0.3"/>
    <row r="38619" ht="14.4" x14ac:dyDescent="0.3"/>
    <row r="38620" ht="14.4" x14ac:dyDescent="0.3"/>
    <row r="38621" ht="14.4" x14ac:dyDescent="0.3"/>
    <row r="38622" ht="14.4" x14ac:dyDescent="0.3"/>
    <row r="38623" ht="14.4" x14ac:dyDescent="0.3"/>
    <row r="38624" ht="14.4" x14ac:dyDescent="0.3"/>
    <row r="38625" ht="14.4" x14ac:dyDescent="0.3"/>
    <row r="38626" ht="14.4" x14ac:dyDescent="0.3"/>
    <row r="38627" ht="14.4" x14ac:dyDescent="0.3"/>
    <row r="38628" ht="14.4" x14ac:dyDescent="0.3"/>
    <row r="38629" ht="14.4" x14ac:dyDescent="0.3"/>
    <row r="38630" ht="14.4" x14ac:dyDescent="0.3"/>
    <row r="38631" ht="14.4" x14ac:dyDescent="0.3"/>
    <row r="38632" ht="14.4" x14ac:dyDescent="0.3"/>
    <row r="38633" ht="14.4" x14ac:dyDescent="0.3"/>
    <row r="38634" ht="14.4" x14ac:dyDescent="0.3"/>
    <row r="38635" ht="14.4" x14ac:dyDescent="0.3"/>
    <row r="38636" ht="14.4" x14ac:dyDescent="0.3"/>
    <row r="38637" ht="14.4" x14ac:dyDescent="0.3"/>
    <row r="38638" ht="14.4" x14ac:dyDescent="0.3"/>
    <row r="38639" ht="14.4" x14ac:dyDescent="0.3"/>
    <row r="38640" ht="14.4" x14ac:dyDescent="0.3"/>
    <row r="38641" ht="14.4" x14ac:dyDescent="0.3"/>
    <row r="38642" ht="14.4" x14ac:dyDescent="0.3"/>
    <row r="38643" ht="14.4" x14ac:dyDescent="0.3"/>
    <row r="38644" ht="14.4" x14ac:dyDescent="0.3"/>
    <row r="38645" ht="14.4" x14ac:dyDescent="0.3"/>
    <row r="38646" ht="14.4" x14ac:dyDescent="0.3"/>
    <row r="38647" ht="14.4" x14ac:dyDescent="0.3"/>
    <row r="38648" ht="14.4" x14ac:dyDescent="0.3"/>
    <row r="38649" ht="14.4" x14ac:dyDescent="0.3"/>
    <row r="38650" ht="14.4" x14ac:dyDescent="0.3"/>
    <row r="38651" ht="14.4" x14ac:dyDescent="0.3"/>
    <row r="38652" ht="14.4" x14ac:dyDescent="0.3"/>
    <row r="38653" ht="14.4" x14ac:dyDescent="0.3"/>
    <row r="38654" ht="14.4" x14ac:dyDescent="0.3"/>
    <row r="38655" ht="14.4" x14ac:dyDescent="0.3"/>
    <row r="38656" ht="14.4" x14ac:dyDescent="0.3"/>
    <row r="38657" ht="14.4" x14ac:dyDescent="0.3"/>
    <row r="38658" ht="14.4" x14ac:dyDescent="0.3"/>
    <row r="38659" ht="14.4" x14ac:dyDescent="0.3"/>
    <row r="38660" ht="14.4" x14ac:dyDescent="0.3"/>
    <row r="38661" ht="14.4" x14ac:dyDescent="0.3"/>
    <row r="38662" ht="14.4" x14ac:dyDescent="0.3"/>
    <row r="38663" ht="14.4" x14ac:dyDescent="0.3"/>
    <row r="38664" ht="14.4" x14ac:dyDescent="0.3"/>
    <row r="38665" ht="14.4" x14ac:dyDescent="0.3"/>
    <row r="38666" ht="14.4" x14ac:dyDescent="0.3"/>
    <row r="38667" ht="14.4" x14ac:dyDescent="0.3"/>
    <row r="38668" ht="14.4" x14ac:dyDescent="0.3"/>
    <row r="38669" ht="14.4" x14ac:dyDescent="0.3"/>
    <row r="38670" ht="14.4" x14ac:dyDescent="0.3"/>
    <row r="38671" ht="14.4" x14ac:dyDescent="0.3"/>
    <row r="38672" ht="14.4" x14ac:dyDescent="0.3"/>
    <row r="38673" ht="14.4" x14ac:dyDescent="0.3"/>
    <row r="38674" ht="14.4" x14ac:dyDescent="0.3"/>
    <row r="38675" ht="14.4" x14ac:dyDescent="0.3"/>
    <row r="38676" ht="14.4" x14ac:dyDescent="0.3"/>
    <row r="38677" ht="14.4" x14ac:dyDescent="0.3"/>
    <row r="38678" ht="14.4" x14ac:dyDescent="0.3"/>
    <row r="38679" ht="14.4" x14ac:dyDescent="0.3"/>
    <row r="38680" ht="14.4" x14ac:dyDescent="0.3"/>
    <row r="38681" ht="14.4" x14ac:dyDescent="0.3"/>
    <row r="38682" ht="14.4" x14ac:dyDescent="0.3"/>
    <row r="38683" ht="14.4" x14ac:dyDescent="0.3"/>
    <row r="38684" ht="14.4" x14ac:dyDescent="0.3"/>
    <row r="38685" ht="14.4" x14ac:dyDescent="0.3"/>
    <row r="38686" ht="14.4" x14ac:dyDescent="0.3"/>
    <row r="38687" ht="14.4" x14ac:dyDescent="0.3"/>
    <row r="38688" ht="14.4" x14ac:dyDescent="0.3"/>
    <row r="38689" ht="14.4" x14ac:dyDescent="0.3"/>
    <row r="38690" ht="14.4" x14ac:dyDescent="0.3"/>
    <row r="38691" ht="14.4" x14ac:dyDescent="0.3"/>
    <row r="38692" ht="14.4" x14ac:dyDescent="0.3"/>
    <row r="38693" ht="14.4" x14ac:dyDescent="0.3"/>
    <row r="38694" ht="14.4" x14ac:dyDescent="0.3"/>
    <row r="38695" ht="14.4" x14ac:dyDescent="0.3"/>
    <row r="38696" ht="14.4" x14ac:dyDescent="0.3"/>
    <row r="38697" ht="14.4" x14ac:dyDescent="0.3"/>
    <row r="38698" ht="14.4" x14ac:dyDescent="0.3"/>
    <row r="38699" ht="14.4" x14ac:dyDescent="0.3"/>
    <row r="38700" ht="14.4" x14ac:dyDescent="0.3"/>
    <row r="38701" ht="14.4" x14ac:dyDescent="0.3"/>
    <row r="38702" ht="14.4" x14ac:dyDescent="0.3"/>
    <row r="38703" ht="14.4" x14ac:dyDescent="0.3"/>
    <row r="38704" ht="14.4" x14ac:dyDescent="0.3"/>
    <row r="38705" ht="14.4" x14ac:dyDescent="0.3"/>
    <row r="38706" ht="14.4" x14ac:dyDescent="0.3"/>
    <row r="38707" ht="14.4" x14ac:dyDescent="0.3"/>
    <row r="38708" ht="14.4" x14ac:dyDescent="0.3"/>
    <row r="38709" ht="14.4" x14ac:dyDescent="0.3"/>
    <row r="38710" ht="14.4" x14ac:dyDescent="0.3"/>
    <row r="38711" ht="14.4" x14ac:dyDescent="0.3"/>
    <row r="38712" ht="14.4" x14ac:dyDescent="0.3"/>
    <row r="38713" ht="14.4" x14ac:dyDescent="0.3"/>
    <row r="38714" ht="14.4" x14ac:dyDescent="0.3"/>
    <row r="38715" ht="14.4" x14ac:dyDescent="0.3"/>
    <row r="38716" ht="14.4" x14ac:dyDescent="0.3"/>
    <row r="38717" ht="14.4" x14ac:dyDescent="0.3"/>
    <row r="38718" ht="14.4" x14ac:dyDescent="0.3"/>
    <row r="38719" ht="14.4" x14ac:dyDescent="0.3"/>
    <row r="38720" ht="14.4" x14ac:dyDescent="0.3"/>
    <row r="38721" ht="14.4" x14ac:dyDescent="0.3"/>
    <row r="38722" ht="14.4" x14ac:dyDescent="0.3"/>
    <row r="38723" ht="14.4" x14ac:dyDescent="0.3"/>
    <row r="38724" ht="14.4" x14ac:dyDescent="0.3"/>
    <row r="38725" ht="14.4" x14ac:dyDescent="0.3"/>
    <row r="38726" ht="14.4" x14ac:dyDescent="0.3"/>
    <row r="38727" ht="14.4" x14ac:dyDescent="0.3"/>
    <row r="38728" ht="14.4" x14ac:dyDescent="0.3"/>
    <row r="38729" ht="14.4" x14ac:dyDescent="0.3"/>
    <row r="38730" ht="14.4" x14ac:dyDescent="0.3"/>
    <row r="38731" ht="14.4" x14ac:dyDescent="0.3"/>
    <row r="38732" ht="14.4" x14ac:dyDescent="0.3"/>
    <row r="38733" ht="14.4" x14ac:dyDescent="0.3"/>
    <row r="38734" ht="14.4" x14ac:dyDescent="0.3"/>
    <row r="38735" ht="14.4" x14ac:dyDescent="0.3"/>
    <row r="38736" ht="14.4" x14ac:dyDescent="0.3"/>
    <row r="38737" ht="14.4" x14ac:dyDescent="0.3"/>
    <row r="38738" ht="14.4" x14ac:dyDescent="0.3"/>
    <row r="38739" ht="14.4" x14ac:dyDescent="0.3"/>
    <row r="38740" ht="14.4" x14ac:dyDescent="0.3"/>
    <row r="38741" ht="14.4" x14ac:dyDescent="0.3"/>
    <row r="38742" ht="14.4" x14ac:dyDescent="0.3"/>
    <row r="38743" ht="14.4" x14ac:dyDescent="0.3"/>
    <row r="38744" ht="14.4" x14ac:dyDescent="0.3"/>
    <row r="38745" ht="14.4" x14ac:dyDescent="0.3"/>
    <row r="38746" ht="14.4" x14ac:dyDescent="0.3"/>
    <row r="38747" ht="14.4" x14ac:dyDescent="0.3"/>
    <row r="38748" ht="14.4" x14ac:dyDescent="0.3"/>
    <row r="38749" ht="14.4" x14ac:dyDescent="0.3"/>
    <row r="38750" ht="14.4" x14ac:dyDescent="0.3"/>
    <row r="38751" ht="14.4" x14ac:dyDescent="0.3"/>
    <row r="38752" ht="14.4" x14ac:dyDescent="0.3"/>
    <row r="38753" ht="14.4" x14ac:dyDescent="0.3"/>
    <row r="38754" ht="14.4" x14ac:dyDescent="0.3"/>
    <row r="38755" ht="14.4" x14ac:dyDescent="0.3"/>
    <row r="38756" ht="14.4" x14ac:dyDescent="0.3"/>
    <row r="38757" ht="14.4" x14ac:dyDescent="0.3"/>
    <row r="38758" ht="14.4" x14ac:dyDescent="0.3"/>
    <row r="38759" ht="14.4" x14ac:dyDescent="0.3"/>
    <row r="38760" ht="14.4" x14ac:dyDescent="0.3"/>
    <row r="38761" ht="14.4" x14ac:dyDescent="0.3"/>
    <row r="38762" ht="14.4" x14ac:dyDescent="0.3"/>
    <row r="38763" ht="14.4" x14ac:dyDescent="0.3"/>
    <row r="38764" ht="14.4" x14ac:dyDescent="0.3"/>
    <row r="38765" ht="14.4" x14ac:dyDescent="0.3"/>
    <row r="38766" ht="14.4" x14ac:dyDescent="0.3"/>
    <row r="38767" ht="14.4" x14ac:dyDescent="0.3"/>
    <row r="38768" ht="14.4" x14ac:dyDescent="0.3"/>
    <row r="38769" ht="14.4" x14ac:dyDescent="0.3"/>
    <row r="38770" ht="14.4" x14ac:dyDescent="0.3"/>
    <row r="38771" ht="14.4" x14ac:dyDescent="0.3"/>
    <row r="38772" ht="14.4" x14ac:dyDescent="0.3"/>
    <row r="38773" ht="14.4" x14ac:dyDescent="0.3"/>
    <row r="38774" ht="14.4" x14ac:dyDescent="0.3"/>
    <row r="38775" ht="14.4" x14ac:dyDescent="0.3"/>
    <row r="38776" ht="14.4" x14ac:dyDescent="0.3"/>
    <row r="38777" ht="14.4" x14ac:dyDescent="0.3"/>
    <row r="38778" ht="14.4" x14ac:dyDescent="0.3"/>
    <row r="38779" ht="14.4" x14ac:dyDescent="0.3"/>
    <row r="38780" ht="14.4" x14ac:dyDescent="0.3"/>
    <row r="38781" ht="14.4" x14ac:dyDescent="0.3"/>
    <row r="38782" ht="14.4" x14ac:dyDescent="0.3"/>
    <row r="38783" ht="14.4" x14ac:dyDescent="0.3"/>
    <row r="38784" ht="14.4" x14ac:dyDescent="0.3"/>
    <row r="38785" ht="14.4" x14ac:dyDescent="0.3"/>
    <row r="38786" ht="14.4" x14ac:dyDescent="0.3"/>
    <row r="38787" ht="14.4" x14ac:dyDescent="0.3"/>
    <row r="38788" ht="14.4" x14ac:dyDescent="0.3"/>
    <row r="38789" ht="14.4" x14ac:dyDescent="0.3"/>
    <row r="38790" ht="14.4" x14ac:dyDescent="0.3"/>
    <row r="38791" ht="14.4" x14ac:dyDescent="0.3"/>
    <row r="38792" ht="14.4" x14ac:dyDescent="0.3"/>
    <row r="38793" ht="14.4" x14ac:dyDescent="0.3"/>
    <row r="38794" ht="14.4" x14ac:dyDescent="0.3"/>
    <row r="38795" ht="14.4" x14ac:dyDescent="0.3"/>
    <row r="38796" ht="14.4" x14ac:dyDescent="0.3"/>
    <row r="38797" ht="14.4" x14ac:dyDescent="0.3"/>
    <row r="38798" ht="14.4" x14ac:dyDescent="0.3"/>
    <row r="38799" ht="14.4" x14ac:dyDescent="0.3"/>
    <row r="38800" ht="14.4" x14ac:dyDescent="0.3"/>
    <row r="38801" ht="14.4" x14ac:dyDescent="0.3"/>
    <row r="38802" ht="14.4" x14ac:dyDescent="0.3"/>
    <row r="38803" ht="14.4" x14ac:dyDescent="0.3"/>
    <row r="38804" ht="14.4" x14ac:dyDescent="0.3"/>
    <row r="38805" ht="14.4" x14ac:dyDescent="0.3"/>
    <row r="38806" ht="14.4" x14ac:dyDescent="0.3"/>
    <row r="38807" ht="14.4" x14ac:dyDescent="0.3"/>
    <row r="38808" ht="14.4" x14ac:dyDescent="0.3"/>
    <row r="38809" ht="14.4" x14ac:dyDescent="0.3"/>
    <row r="38810" ht="14.4" x14ac:dyDescent="0.3"/>
    <row r="38811" ht="14.4" x14ac:dyDescent="0.3"/>
    <row r="38812" ht="14.4" x14ac:dyDescent="0.3"/>
    <row r="38813" ht="14.4" x14ac:dyDescent="0.3"/>
    <row r="38814" ht="14.4" x14ac:dyDescent="0.3"/>
    <row r="38815" ht="14.4" x14ac:dyDescent="0.3"/>
    <row r="38816" ht="14.4" x14ac:dyDescent="0.3"/>
    <row r="38817" ht="14.4" x14ac:dyDescent="0.3"/>
    <row r="38818" ht="14.4" x14ac:dyDescent="0.3"/>
    <row r="38819" ht="14.4" x14ac:dyDescent="0.3"/>
    <row r="38820" ht="14.4" x14ac:dyDescent="0.3"/>
    <row r="38821" ht="14.4" x14ac:dyDescent="0.3"/>
    <row r="38822" ht="14.4" x14ac:dyDescent="0.3"/>
    <row r="38823" ht="14.4" x14ac:dyDescent="0.3"/>
    <row r="38824" ht="14.4" x14ac:dyDescent="0.3"/>
    <row r="38825" ht="14.4" x14ac:dyDescent="0.3"/>
    <row r="38826" ht="14.4" x14ac:dyDescent="0.3"/>
    <row r="38827" ht="14.4" x14ac:dyDescent="0.3"/>
    <row r="38828" ht="14.4" x14ac:dyDescent="0.3"/>
    <row r="38829" ht="14.4" x14ac:dyDescent="0.3"/>
    <row r="38830" ht="14.4" x14ac:dyDescent="0.3"/>
    <row r="38831" ht="14.4" x14ac:dyDescent="0.3"/>
    <row r="38832" ht="14.4" x14ac:dyDescent="0.3"/>
    <row r="38833" ht="14.4" x14ac:dyDescent="0.3"/>
    <row r="38834" ht="14.4" x14ac:dyDescent="0.3"/>
    <row r="38835" ht="14.4" x14ac:dyDescent="0.3"/>
    <row r="38836" ht="14.4" x14ac:dyDescent="0.3"/>
    <row r="38837" ht="14.4" x14ac:dyDescent="0.3"/>
    <row r="38838" ht="14.4" x14ac:dyDescent="0.3"/>
    <row r="38839" ht="14.4" x14ac:dyDescent="0.3"/>
    <row r="38840" ht="14.4" x14ac:dyDescent="0.3"/>
    <row r="38841" ht="14.4" x14ac:dyDescent="0.3"/>
    <row r="38842" ht="14.4" x14ac:dyDescent="0.3"/>
    <row r="38843" ht="14.4" x14ac:dyDescent="0.3"/>
    <row r="38844" ht="14.4" x14ac:dyDescent="0.3"/>
    <row r="38845" ht="14.4" x14ac:dyDescent="0.3"/>
    <row r="38846" ht="14.4" x14ac:dyDescent="0.3"/>
    <row r="38847" ht="14.4" x14ac:dyDescent="0.3"/>
    <row r="38848" ht="14.4" x14ac:dyDescent="0.3"/>
    <row r="38849" ht="14.4" x14ac:dyDescent="0.3"/>
    <row r="38850" ht="14.4" x14ac:dyDescent="0.3"/>
    <row r="38851" ht="14.4" x14ac:dyDescent="0.3"/>
    <row r="38852" ht="14.4" x14ac:dyDescent="0.3"/>
    <row r="38853" ht="14.4" x14ac:dyDescent="0.3"/>
    <row r="38854" ht="14.4" x14ac:dyDescent="0.3"/>
    <row r="38855" ht="14.4" x14ac:dyDescent="0.3"/>
    <row r="38856" ht="14.4" x14ac:dyDescent="0.3"/>
    <row r="38857" ht="14.4" x14ac:dyDescent="0.3"/>
    <row r="38858" ht="14.4" x14ac:dyDescent="0.3"/>
    <row r="38859" ht="14.4" x14ac:dyDescent="0.3"/>
    <row r="38860" ht="14.4" x14ac:dyDescent="0.3"/>
    <row r="38861" ht="14.4" x14ac:dyDescent="0.3"/>
    <row r="38862" ht="14.4" x14ac:dyDescent="0.3"/>
    <row r="38863" ht="14.4" x14ac:dyDescent="0.3"/>
    <row r="38864" ht="14.4" x14ac:dyDescent="0.3"/>
    <row r="38865" ht="14.4" x14ac:dyDescent="0.3"/>
    <row r="38866" ht="14.4" x14ac:dyDescent="0.3"/>
    <row r="38867" ht="14.4" x14ac:dyDescent="0.3"/>
    <row r="38868" ht="14.4" x14ac:dyDescent="0.3"/>
    <row r="38869" ht="14.4" x14ac:dyDescent="0.3"/>
    <row r="38870" ht="14.4" x14ac:dyDescent="0.3"/>
    <row r="38871" ht="14.4" x14ac:dyDescent="0.3"/>
    <row r="38872" ht="14.4" x14ac:dyDescent="0.3"/>
    <row r="38873" ht="14.4" x14ac:dyDescent="0.3"/>
    <row r="38874" ht="14.4" x14ac:dyDescent="0.3"/>
    <row r="38875" ht="14.4" x14ac:dyDescent="0.3"/>
    <row r="38876" ht="14.4" x14ac:dyDescent="0.3"/>
    <row r="38877" ht="14.4" x14ac:dyDescent="0.3"/>
    <row r="38878" ht="14.4" x14ac:dyDescent="0.3"/>
    <row r="38879" ht="14.4" x14ac:dyDescent="0.3"/>
    <row r="38880" ht="14.4" x14ac:dyDescent="0.3"/>
    <row r="38881" ht="14.4" x14ac:dyDescent="0.3"/>
    <row r="38882" ht="14.4" x14ac:dyDescent="0.3"/>
    <row r="38883" ht="14.4" x14ac:dyDescent="0.3"/>
    <row r="38884" ht="14.4" x14ac:dyDescent="0.3"/>
    <row r="38885" ht="14.4" x14ac:dyDescent="0.3"/>
    <row r="38886" ht="14.4" x14ac:dyDescent="0.3"/>
    <row r="38887" ht="14.4" x14ac:dyDescent="0.3"/>
    <row r="38888" ht="14.4" x14ac:dyDescent="0.3"/>
    <row r="38889" ht="14.4" x14ac:dyDescent="0.3"/>
    <row r="38890" ht="14.4" x14ac:dyDescent="0.3"/>
    <row r="38891" ht="14.4" x14ac:dyDescent="0.3"/>
    <row r="38892" ht="14.4" x14ac:dyDescent="0.3"/>
    <row r="38893" ht="14.4" x14ac:dyDescent="0.3"/>
    <row r="38894" ht="14.4" x14ac:dyDescent="0.3"/>
    <row r="38895" ht="14.4" x14ac:dyDescent="0.3"/>
    <row r="38896" ht="14.4" x14ac:dyDescent="0.3"/>
    <row r="38897" ht="14.4" x14ac:dyDescent="0.3"/>
    <row r="38898" ht="14.4" x14ac:dyDescent="0.3"/>
    <row r="38899" ht="14.4" x14ac:dyDescent="0.3"/>
    <row r="38900" ht="14.4" x14ac:dyDescent="0.3"/>
    <row r="38901" ht="14.4" x14ac:dyDescent="0.3"/>
    <row r="38902" ht="14.4" x14ac:dyDescent="0.3"/>
    <row r="38903" ht="14.4" x14ac:dyDescent="0.3"/>
    <row r="38904" ht="14.4" x14ac:dyDescent="0.3"/>
    <row r="38905" ht="14.4" x14ac:dyDescent="0.3"/>
    <row r="38906" ht="14.4" x14ac:dyDescent="0.3"/>
    <row r="38907" ht="14.4" x14ac:dyDescent="0.3"/>
    <row r="38908" ht="14.4" x14ac:dyDescent="0.3"/>
    <row r="38909" ht="14.4" x14ac:dyDescent="0.3"/>
    <row r="38910" ht="14.4" x14ac:dyDescent="0.3"/>
    <row r="38911" ht="14.4" x14ac:dyDescent="0.3"/>
    <row r="38912" ht="14.4" x14ac:dyDescent="0.3"/>
    <row r="38913" ht="14.4" x14ac:dyDescent="0.3"/>
    <row r="38914" ht="14.4" x14ac:dyDescent="0.3"/>
    <row r="38915" ht="14.4" x14ac:dyDescent="0.3"/>
    <row r="38916" ht="14.4" x14ac:dyDescent="0.3"/>
    <row r="38917" ht="14.4" x14ac:dyDescent="0.3"/>
    <row r="38918" ht="14.4" x14ac:dyDescent="0.3"/>
    <row r="38919" ht="14.4" x14ac:dyDescent="0.3"/>
    <row r="38920" ht="14.4" x14ac:dyDescent="0.3"/>
    <row r="38921" ht="14.4" x14ac:dyDescent="0.3"/>
    <row r="38922" ht="14.4" x14ac:dyDescent="0.3"/>
    <row r="38923" ht="14.4" x14ac:dyDescent="0.3"/>
    <row r="38924" ht="14.4" x14ac:dyDescent="0.3"/>
    <row r="38925" ht="14.4" x14ac:dyDescent="0.3"/>
    <row r="38926" ht="14.4" x14ac:dyDescent="0.3"/>
    <row r="38927" ht="14.4" x14ac:dyDescent="0.3"/>
    <row r="38928" ht="14.4" x14ac:dyDescent="0.3"/>
    <row r="38929" ht="14.4" x14ac:dyDescent="0.3"/>
    <row r="38930" ht="14.4" x14ac:dyDescent="0.3"/>
    <row r="38931" ht="14.4" x14ac:dyDescent="0.3"/>
    <row r="38932" ht="14.4" x14ac:dyDescent="0.3"/>
    <row r="38933" ht="14.4" x14ac:dyDescent="0.3"/>
    <row r="38934" ht="14.4" x14ac:dyDescent="0.3"/>
    <row r="38935" ht="14.4" x14ac:dyDescent="0.3"/>
    <row r="38936" ht="14.4" x14ac:dyDescent="0.3"/>
    <row r="38937" ht="14.4" x14ac:dyDescent="0.3"/>
    <row r="38938" ht="14.4" x14ac:dyDescent="0.3"/>
    <row r="38939" ht="14.4" x14ac:dyDescent="0.3"/>
    <row r="38940" ht="14.4" x14ac:dyDescent="0.3"/>
    <row r="38941" ht="14.4" x14ac:dyDescent="0.3"/>
    <row r="38942" ht="14.4" x14ac:dyDescent="0.3"/>
    <row r="38943" ht="14.4" x14ac:dyDescent="0.3"/>
    <row r="38944" ht="14.4" x14ac:dyDescent="0.3"/>
    <row r="38945" ht="14.4" x14ac:dyDescent="0.3"/>
    <row r="38946" ht="14.4" x14ac:dyDescent="0.3"/>
    <row r="38947" ht="14.4" x14ac:dyDescent="0.3"/>
    <row r="38948" ht="14.4" x14ac:dyDescent="0.3"/>
    <row r="38949" ht="14.4" x14ac:dyDescent="0.3"/>
    <row r="38950" ht="14.4" x14ac:dyDescent="0.3"/>
    <row r="38951" ht="14.4" x14ac:dyDescent="0.3"/>
    <row r="38952" ht="14.4" x14ac:dyDescent="0.3"/>
    <row r="38953" ht="14.4" x14ac:dyDescent="0.3"/>
    <row r="38954" ht="14.4" x14ac:dyDescent="0.3"/>
    <row r="38955" ht="14.4" x14ac:dyDescent="0.3"/>
    <row r="38956" ht="14.4" x14ac:dyDescent="0.3"/>
    <row r="38957" ht="14.4" x14ac:dyDescent="0.3"/>
    <row r="38958" ht="14.4" x14ac:dyDescent="0.3"/>
    <row r="38959" ht="14.4" x14ac:dyDescent="0.3"/>
    <row r="38960" ht="14.4" x14ac:dyDescent="0.3"/>
    <row r="38961" ht="14.4" x14ac:dyDescent="0.3"/>
    <row r="38962" ht="14.4" x14ac:dyDescent="0.3"/>
    <row r="38963" ht="14.4" x14ac:dyDescent="0.3"/>
    <row r="38964" ht="14.4" x14ac:dyDescent="0.3"/>
    <row r="38965" ht="14.4" x14ac:dyDescent="0.3"/>
    <row r="38966" ht="14.4" x14ac:dyDescent="0.3"/>
    <row r="38967" ht="14.4" x14ac:dyDescent="0.3"/>
    <row r="38968" ht="14.4" x14ac:dyDescent="0.3"/>
    <row r="38969" ht="14.4" x14ac:dyDescent="0.3"/>
    <row r="38970" ht="14.4" x14ac:dyDescent="0.3"/>
    <row r="38971" ht="14.4" x14ac:dyDescent="0.3"/>
    <row r="38972" ht="14.4" x14ac:dyDescent="0.3"/>
    <row r="38973" ht="14.4" x14ac:dyDescent="0.3"/>
    <row r="38974" ht="14.4" x14ac:dyDescent="0.3"/>
    <row r="38975" ht="14.4" x14ac:dyDescent="0.3"/>
    <row r="38976" ht="14.4" x14ac:dyDescent="0.3"/>
    <row r="38977" ht="14.4" x14ac:dyDescent="0.3"/>
    <row r="38978" ht="14.4" x14ac:dyDescent="0.3"/>
    <row r="38979" ht="14.4" x14ac:dyDescent="0.3"/>
    <row r="38980" ht="14.4" x14ac:dyDescent="0.3"/>
    <row r="38981" ht="14.4" x14ac:dyDescent="0.3"/>
    <row r="38982" ht="14.4" x14ac:dyDescent="0.3"/>
    <row r="38983" ht="14.4" x14ac:dyDescent="0.3"/>
    <row r="38984" ht="14.4" x14ac:dyDescent="0.3"/>
    <row r="38985" ht="14.4" x14ac:dyDescent="0.3"/>
    <row r="38986" ht="14.4" x14ac:dyDescent="0.3"/>
    <row r="38987" ht="14.4" x14ac:dyDescent="0.3"/>
    <row r="38988" ht="14.4" x14ac:dyDescent="0.3"/>
    <row r="38989" ht="14.4" x14ac:dyDescent="0.3"/>
    <row r="38990" ht="14.4" x14ac:dyDescent="0.3"/>
    <row r="38991" ht="14.4" x14ac:dyDescent="0.3"/>
    <row r="38992" ht="14.4" x14ac:dyDescent="0.3"/>
    <row r="38993" ht="14.4" x14ac:dyDescent="0.3"/>
    <row r="38994" ht="14.4" x14ac:dyDescent="0.3"/>
    <row r="38995" ht="14.4" x14ac:dyDescent="0.3"/>
    <row r="38996" ht="14.4" x14ac:dyDescent="0.3"/>
    <row r="38997" ht="14.4" x14ac:dyDescent="0.3"/>
    <row r="38998" ht="14.4" x14ac:dyDescent="0.3"/>
    <row r="38999" ht="14.4" x14ac:dyDescent="0.3"/>
    <row r="39000" ht="14.4" x14ac:dyDescent="0.3"/>
    <row r="39001" ht="14.4" x14ac:dyDescent="0.3"/>
    <row r="39002" ht="14.4" x14ac:dyDescent="0.3"/>
    <row r="39003" ht="14.4" x14ac:dyDescent="0.3"/>
    <row r="39004" ht="14.4" x14ac:dyDescent="0.3"/>
    <row r="39005" ht="14.4" x14ac:dyDescent="0.3"/>
    <row r="39006" ht="14.4" x14ac:dyDescent="0.3"/>
    <row r="39007" ht="14.4" x14ac:dyDescent="0.3"/>
    <row r="39008" ht="14.4" x14ac:dyDescent="0.3"/>
    <row r="39009" ht="14.4" x14ac:dyDescent="0.3"/>
    <row r="39010" ht="14.4" x14ac:dyDescent="0.3"/>
    <row r="39011" ht="14.4" x14ac:dyDescent="0.3"/>
    <row r="39012" ht="14.4" x14ac:dyDescent="0.3"/>
    <row r="39013" ht="14.4" x14ac:dyDescent="0.3"/>
    <row r="39014" ht="14.4" x14ac:dyDescent="0.3"/>
    <row r="39015" ht="14.4" x14ac:dyDescent="0.3"/>
    <row r="39016" ht="14.4" x14ac:dyDescent="0.3"/>
    <row r="39017" ht="14.4" x14ac:dyDescent="0.3"/>
    <row r="39018" ht="14.4" x14ac:dyDescent="0.3"/>
    <row r="39019" ht="14.4" x14ac:dyDescent="0.3"/>
    <row r="39020" ht="14.4" x14ac:dyDescent="0.3"/>
    <row r="39021" ht="14.4" x14ac:dyDescent="0.3"/>
    <row r="39022" ht="14.4" x14ac:dyDescent="0.3"/>
    <row r="39023" ht="14.4" x14ac:dyDescent="0.3"/>
    <row r="39024" ht="14.4" x14ac:dyDescent="0.3"/>
    <row r="39025" ht="14.4" x14ac:dyDescent="0.3"/>
    <row r="39026" ht="14.4" x14ac:dyDescent="0.3"/>
    <row r="39027" ht="14.4" x14ac:dyDescent="0.3"/>
    <row r="39028" ht="14.4" x14ac:dyDescent="0.3"/>
    <row r="39029" ht="14.4" x14ac:dyDescent="0.3"/>
    <row r="39030" ht="14.4" x14ac:dyDescent="0.3"/>
    <row r="39031" ht="14.4" x14ac:dyDescent="0.3"/>
    <row r="39032" ht="14.4" x14ac:dyDescent="0.3"/>
    <row r="39033" ht="14.4" x14ac:dyDescent="0.3"/>
    <row r="39034" ht="14.4" x14ac:dyDescent="0.3"/>
    <row r="39035" ht="14.4" x14ac:dyDescent="0.3"/>
    <row r="39036" ht="14.4" x14ac:dyDescent="0.3"/>
    <row r="39037" ht="14.4" x14ac:dyDescent="0.3"/>
    <row r="39038" ht="14.4" x14ac:dyDescent="0.3"/>
    <row r="39039" ht="14.4" x14ac:dyDescent="0.3"/>
    <row r="39040" ht="14.4" x14ac:dyDescent="0.3"/>
    <row r="39041" ht="14.4" x14ac:dyDescent="0.3"/>
    <row r="39042" ht="14.4" x14ac:dyDescent="0.3"/>
    <row r="39043" ht="14.4" x14ac:dyDescent="0.3"/>
    <row r="39044" ht="14.4" x14ac:dyDescent="0.3"/>
    <row r="39045" ht="14.4" x14ac:dyDescent="0.3"/>
    <row r="39046" ht="14.4" x14ac:dyDescent="0.3"/>
    <row r="39047" ht="14.4" x14ac:dyDescent="0.3"/>
    <row r="39048" ht="14.4" x14ac:dyDescent="0.3"/>
    <row r="39049" ht="14.4" x14ac:dyDescent="0.3"/>
    <row r="39050" ht="14.4" x14ac:dyDescent="0.3"/>
    <row r="39051" ht="14.4" x14ac:dyDescent="0.3"/>
    <row r="39052" ht="14.4" x14ac:dyDescent="0.3"/>
    <row r="39053" ht="14.4" x14ac:dyDescent="0.3"/>
    <row r="39054" ht="14.4" x14ac:dyDescent="0.3"/>
    <row r="39055" ht="14.4" x14ac:dyDescent="0.3"/>
    <row r="39056" ht="14.4" x14ac:dyDescent="0.3"/>
    <row r="39057" ht="14.4" x14ac:dyDescent="0.3"/>
    <row r="39058" ht="14.4" x14ac:dyDescent="0.3"/>
    <row r="39059" ht="14.4" x14ac:dyDescent="0.3"/>
    <row r="39060" ht="14.4" x14ac:dyDescent="0.3"/>
    <row r="39061" ht="14.4" x14ac:dyDescent="0.3"/>
    <row r="39062" ht="14.4" x14ac:dyDescent="0.3"/>
    <row r="39063" ht="14.4" x14ac:dyDescent="0.3"/>
    <row r="39064" ht="14.4" x14ac:dyDescent="0.3"/>
    <row r="39065" ht="14.4" x14ac:dyDescent="0.3"/>
    <row r="39066" ht="14.4" x14ac:dyDescent="0.3"/>
    <row r="39067" ht="14.4" x14ac:dyDescent="0.3"/>
    <row r="39068" ht="14.4" x14ac:dyDescent="0.3"/>
    <row r="39069" ht="14.4" x14ac:dyDescent="0.3"/>
    <row r="39070" ht="14.4" x14ac:dyDescent="0.3"/>
    <row r="39071" ht="14.4" x14ac:dyDescent="0.3"/>
    <row r="39072" ht="14.4" x14ac:dyDescent="0.3"/>
    <row r="39073" ht="14.4" x14ac:dyDescent="0.3"/>
    <row r="39074" ht="14.4" x14ac:dyDescent="0.3"/>
    <row r="39075" ht="14.4" x14ac:dyDescent="0.3"/>
    <row r="39076" ht="14.4" x14ac:dyDescent="0.3"/>
    <row r="39077" ht="14.4" x14ac:dyDescent="0.3"/>
    <row r="39078" ht="14.4" x14ac:dyDescent="0.3"/>
    <row r="39079" ht="14.4" x14ac:dyDescent="0.3"/>
    <row r="39080" ht="14.4" x14ac:dyDescent="0.3"/>
    <row r="39081" ht="14.4" x14ac:dyDescent="0.3"/>
    <row r="39082" ht="14.4" x14ac:dyDescent="0.3"/>
    <row r="39083" ht="14.4" x14ac:dyDescent="0.3"/>
    <row r="39084" ht="14.4" x14ac:dyDescent="0.3"/>
    <row r="39085" ht="14.4" x14ac:dyDescent="0.3"/>
    <row r="39086" ht="14.4" x14ac:dyDescent="0.3"/>
    <row r="39087" ht="14.4" x14ac:dyDescent="0.3"/>
    <row r="39088" ht="14.4" x14ac:dyDescent="0.3"/>
    <row r="39089" ht="14.4" x14ac:dyDescent="0.3"/>
    <row r="39090" ht="14.4" x14ac:dyDescent="0.3"/>
    <row r="39091" ht="14.4" x14ac:dyDescent="0.3"/>
    <row r="39092" ht="14.4" x14ac:dyDescent="0.3"/>
    <row r="39093" ht="14.4" x14ac:dyDescent="0.3"/>
    <row r="39094" ht="14.4" x14ac:dyDescent="0.3"/>
    <row r="39095" ht="14.4" x14ac:dyDescent="0.3"/>
    <row r="39096" ht="14.4" x14ac:dyDescent="0.3"/>
    <row r="39097" ht="14.4" x14ac:dyDescent="0.3"/>
    <row r="39098" ht="14.4" x14ac:dyDescent="0.3"/>
    <row r="39099" ht="14.4" x14ac:dyDescent="0.3"/>
    <row r="39100" ht="14.4" x14ac:dyDescent="0.3"/>
    <row r="39101" ht="14.4" x14ac:dyDescent="0.3"/>
    <row r="39102" ht="14.4" x14ac:dyDescent="0.3"/>
    <row r="39103" ht="14.4" x14ac:dyDescent="0.3"/>
    <row r="39104" ht="14.4" x14ac:dyDescent="0.3"/>
    <row r="39105" ht="14.4" x14ac:dyDescent="0.3"/>
    <row r="39106" ht="14.4" x14ac:dyDescent="0.3"/>
    <row r="39107" ht="14.4" x14ac:dyDescent="0.3"/>
    <row r="39108" ht="14.4" x14ac:dyDescent="0.3"/>
    <row r="39109" ht="14.4" x14ac:dyDescent="0.3"/>
    <row r="39110" ht="14.4" x14ac:dyDescent="0.3"/>
    <row r="39111" ht="14.4" x14ac:dyDescent="0.3"/>
    <row r="39112" ht="14.4" x14ac:dyDescent="0.3"/>
    <row r="39113" ht="14.4" x14ac:dyDescent="0.3"/>
    <row r="39114" ht="14.4" x14ac:dyDescent="0.3"/>
    <row r="39115" ht="14.4" x14ac:dyDescent="0.3"/>
    <row r="39116" ht="14.4" x14ac:dyDescent="0.3"/>
    <row r="39117" ht="14.4" x14ac:dyDescent="0.3"/>
    <row r="39118" ht="14.4" x14ac:dyDescent="0.3"/>
    <row r="39119" ht="14.4" x14ac:dyDescent="0.3"/>
    <row r="39120" ht="14.4" x14ac:dyDescent="0.3"/>
    <row r="39121" ht="14.4" x14ac:dyDescent="0.3"/>
    <row r="39122" ht="14.4" x14ac:dyDescent="0.3"/>
    <row r="39123" ht="14.4" x14ac:dyDescent="0.3"/>
    <row r="39124" ht="14.4" x14ac:dyDescent="0.3"/>
    <row r="39125" ht="14.4" x14ac:dyDescent="0.3"/>
    <row r="39126" ht="14.4" x14ac:dyDescent="0.3"/>
    <row r="39127" ht="14.4" x14ac:dyDescent="0.3"/>
    <row r="39128" ht="14.4" x14ac:dyDescent="0.3"/>
    <row r="39129" ht="14.4" x14ac:dyDescent="0.3"/>
    <row r="39130" ht="14.4" x14ac:dyDescent="0.3"/>
    <row r="39131" ht="14.4" x14ac:dyDescent="0.3"/>
    <row r="39132" ht="14.4" x14ac:dyDescent="0.3"/>
    <row r="39133" ht="14.4" x14ac:dyDescent="0.3"/>
    <row r="39134" ht="14.4" x14ac:dyDescent="0.3"/>
    <row r="39135" ht="14.4" x14ac:dyDescent="0.3"/>
    <row r="39136" ht="14.4" x14ac:dyDescent="0.3"/>
    <row r="39137" ht="14.4" x14ac:dyDescent="0.3"/>
    <row r="39138" ht="14.4" x14ac:dyDescent="0.3"/>
    <row r="39139" ht="14.4" x14ac:dyDescent="0.3"/>
    <row r="39140" ht="14.4" x14ac:dyDescent="0.3"/>
    <row r="39141" ht="14.4" x14ac:dyDescent="0.3"/>
    <row r="39142" ht="14.4" x14ac:dyDescent="0.3"/>
    <row r="39143" ht="14.4" x14ac:dyDescent="0.3"/>
    <row r="39144" ht="14.4" x14ac:dyDescent="0.3"/>
    <row r="39145" ht="14.4" x14ac:dyDescent="0.3"/>
    <row r="39146" ht="14.4" x14ac:dyDescent="0.3"/>
    <row r="39147" ht="14.4" x14ac:dyDescent="0.3"/>
    <row r="39148" ht="14.4" x14ac:dyDescent="0.3"/>
    <row r="39149" ht="14.4" x14ac:dyDescent="0.3"/>
    <row r="39150" ht="14.4" x14ac:dyDescent="0.3"/>
    <row r="39151" ht="14.4" x14ac:dyDescent="0.3"/>
    <row r="39152" ht="14.4" x14ac:dyDescent="0.3"/>
    <row r="39153" ht="14.4" x14ac:dyDescent="0.3"/>
    <row r="39154" ht="14.4" x14ac:dyDescent="0.3"/>
    <row r="39155" ht="14.4" x14ac:dyDescent="0.3"/>
    <row r="39156" ht="14.4" x14ac:dyDescent="0.3"/>
    <row r="39157" ht="14.4" x14ac:dyDescent="0.3"/>
    <row r="39158" ht="14.4" x14ac:dyDescent="0.3"/>
    <row r="39159" ht="14.4" x14ac:dyDescent="0.3"/>
    <row r="39160" ht="14.4" x14ac:dyDescent="0.3"/>
    <row r="39161" ht="14.4" x14ac:dyDescent="0.3"/>
    <row r="39162" ht="14.4" x14ac:dyDescent="0.3"/>
    <row r="39163" ht="14.4" x14ac:dyDescent="0.3"/>
    <row r="39164" ht="14.4" x14ac:dyDescent="0.3"/>
    <row r="39165" ht="14.4" x14ac:dyDescent="0.3"/>
    <row r="39166" ht="14.4" x14ac:dyDescent="0.3"/>
    <row r="39167" ht="14.4" x14ac:dyDescent="0.3"/>
    <row r="39168" ht="14.4" x14ac:dyDescent="0.3"/>
    <row r="39169" ht="14.4" x14ac:dyDescent="0.3"/>
    <row r="39170" ht="14.4" x14ac:dyDescent="0.3"/>
    <row r="39171" ht="14.4" x14ac:dyDescent="0.3"/>
    <row r="39172" ht="14.4" x14ac:dyDescent="0.3"/>
    <row r="39173" ht="14.4" x14ac:dyDescent="0.3"/>
    <row r="39174" ht="14.4" x14ac:dyDescent="0.3"/>
    <row r="39175" ht="14.4" x14ac:dyDescent="0.3"/>
    <row r="39176" ht="14.4" x14ac:dyDescent="0.3"/>
    <row r="39177" ht="14.4" x14ac:dyDescent="0.3"/>
    <row r="39178" ht="14.4" x14ac:dyDescent="0.3"/>
    <row r="39179" ht="14.4" x14ac:dyDescent="0.3"/>
    <row r="39180" ht="14.4" x14ac:dyDescent="0.3"/>
    <row r="39181" ht="14.4" x14ac:dyDescent="0.3"/>
    <row r="39182" ht="14.4" x14ac:dyDescent="0.3"/>
    <row r="39183" ht="14.4" x14ac:dyDescent="0.3"/>
    <row r="39184" ht="14.4" x14ac:dyDescent="0.3"/>
    <row r="39185" ht="14.4" x14ac:dyDescent="0.3"/>
    <row r="39186" ht="14.4" x14ac:dyDescent="0.3"/>
    <row r="39187" ht="14.4" x14ac:dyDescent="0.3"/>
    <row r="39188" ht="14.4" x14ac:dyDescent="0.3"/>
    <row r="39189" ht="14.4" x14ac:dyDescent="0.3"/>
    <row r="39190" ht="14.4" x14ac:dyDescent="0.3"/>
    <row r="39191" ht="14.4" x14ac:dyDescent="0.3"/>
    <row r="39192" ht="14.4" x14ac:dyDescent="0.3"/>
    <row r="39193" ht="14.4" x14ac:dyDescent="0.3"/>
    <row r="39194" ht="14.4" x14ac:dyDescent="0.3"/>
    <row r="39195" ht="14.4" x14ac:dyDescent="0.3"/>
    <row r="39196" ht="14.4" x14ac:dyDescent="0.3"/>
    <row r="39197" ht="14.4" x14ac:dyDescent="0.3"/>
    <row r="39198" ht="14.4" x14ac:dyDescent="0.3"/>
    <row r="39199" ht="14.4" x14ac:dyDescent="0.3"/>
    <row r="39200" ht="14.4" x14ac:dyDescent="0.3"/>
    <row r="39201" ht="14.4" x14ac:dyDescent="0.3"/>
    <row r="39202" ht="14.4" x14ac:dyDescent="0.3"/>
    <row r="39203" ht="14.4" x14ac:dyDescent="0.3"/>
    <row r="39204" ht="14.4" x14ac:dyDescent="0.3"/>
    <row r="39205" ht="14.4" x14ac:dyDescent="0.3"/>
    <row r="39206" ht="14.4" x14ac:dyDescent="0.3"/>
    <row r="39207" ht="14.4" x14ac:dyDescent="0.3"/>
    <row r="39208" ht="14.4" x14ac:dyDescent="0.3"/>
    <row r="39209" ht="14.4" x14ac:dyDescent="0.3"/>
    <row r="39210" ht="14.4" x14ac:dyDescent="0.3"/>
    <row r="39211" ht="14.4" x14ac:dyDescent="0.3"/>
    <row r="39212" ht="14.4" x14ac:dyDescent="0.3"/>
    <row r="39213" ht="14.4" x14ac:dyDescent="0.3"/>
    <row r="39214" ht="14.4" x14ac:dyDescent="0.3"/>
    <row r="39215" ht="14.4" x14ac:dyDescent="0.3"/>
    <row r="39216" ht="14.4" x14ac:dyDescent="0.3"/>
    <row r="39217" ht="14.4" x14ac:dyDescent="0.3"/>
    <row r="39218" ht="14.4" x14ac:dyDescent="0.3"/>
    <row r="39219" ht="14.4" x14ac:dyDescent="0.3"/>
    <row r="39220" ht="14.4" x14ac:dyDescent="0.3"/>
    <row r="39221" ht="14.4" x14ac:dyDescent="0.3"/>
    <row r="39222" ht="14.4" x14ac:dyDescent="0.3"/>
    <row r="39223" ht="14.4" x14ac:dyDescent="0.3"/>
    <row r="39224" ht="14.4" x14ac:dyDescent="0.3"/>
    <row r="39225" ht="14.4" x14ac:dyDescent="0.3"/>
    <row r="39226" ht="14.4" x14ac:dyDescent="0.3"/>
    <row r="39227" ht="14.4" x14ac:dyDescent="0.3"/>
    <row r="39228" ht="14.4" x14ac:dyDescent="0.3"/>
    <row r="39229" ht="14.4" x14ac:dyDescent="0.3"/>
    <row r="39230" ht="14.4" x14ac:dyDescent="0.3"/>
    <row r="39231" ht="14.4" x14ac:dyDescent="0.3"/>
    <row r="39232" ht="14.4" x14ac:dyDescent="0.3"/>
    <row r="39233" ht="14.4" x14ac:dyDescent="0.3"/>
    <row r="39234" ht="14.4" x14ac:dyDescent="0.3"/>
    <row r="39235" ht="14.4" x14ac:dyDescent="0.3"/>
    <row r="39236" ht="14.4" x14ac:dyDescent="0.3"/>
    <row r="39237" ht="14.4" x14ac:dyDescent="0.3"/>
    <row r="39238" ht="14.4" x14ac:dyDescent="0.3"/>
    <row r="39239" ht="14.4" x14ac:dyDescent="0.3"/>
    <row r="39240" ht="14.4" x14ac:dyDescent="0.3"/>
    <row r="39241" ht="14.4" x14ac:dyDescent="0.3"/>
    <row r="39242" ht="14.4" x14ac:dyDescent="0.3"/>
    <row r="39243" ht="14.4" x14ac:dyDescent="0.3"/>
    <row r="39244" ht="14.4" x14ac:dyDescent="0.3"/>
    <row r="39245" ht="14.4" x14ac:dyDescent="0.3"/>
    <row r="39246" ht="14.4" x14ac:dyDescent="0.3"/>
    <row r="39247" ht="14.4" x14ac:dyDescent="0.3"/>
    <row r="39248" ht="14.4" x14ac:dyDescent="0.3"/>
    <row r="39249" ht="14.4" x14ac:dyDescent="0.3"/>
    <row r="39250" ht="14.4" x14ac:dyDescent="0.3"/>
    <row r="39251" ht="14.4" x14ac:dyDescent="0.3"/>
    <row r="39252" ht="14.4" x14ac:dyDescent="0.3"/>
    <row r="39253" ht="14.4" x14ac:dyDescent="0.3"/>
    <row r="39254" ht="14.4" x14ac:dyDescent="0.3"/>
    <row r="39255" ht="14.4" x14ac:dyDescent="0.3"/>
    <row r="39256" ht="14.4" x14ac:dyDescent="0.3"/>
    <row r="39257" ht="14.4" x14ac:dyDescent="0.3"/>
    <row r="39258" ht="14.4" x14ac:dyDescent="0.3"/>
    <row r="39259" ht="14.4" x14ac:dyDescent="0.3"/>
    <row r="39260" ht="14.4" x14ac:dyDescent="0.3"/>
    <row r="39261" ht="14.4" x14ac:dyDescent="0.3"/>
    <row r="39262" ht="14.4" x14ac:dyDescent="0.3"/>
    <row r="39263" ht="14.4" x14ac:dyDescent="0.3"/>
    <row r="39264" ht="14.4" x14ac:dyDescent="0.3"/>
    <row r="39265" ht="14.4" x14ac:dyDescent="0.3"/>
    <row r="39266" ht="14.4" x14ac:dyDescent="0.3"/>
    <row r="39267" ht="14.4" x14ac:dyDescent="0.3"/>
    <row r="39268" ht="14.4" x14ac:dyDescent="0.3"/>
    <row r="39269" ht="14.4" x14ac:dyDescent="0.3"/>
    <row r="39270" ht="14.4" x14ac:dyDescent="0.3"/>
    <row r="39271" ht="14.4" x14ac:dyDescent="0.3"/>
    <row r="39272" ht="14.4" x14ac:dyDescent="0.3"/>
    <row r="39273" ht="14.4" x14ac:dyDescent="0.3"/>
    <row r="39274" ht="14.4" x14ac:dyDescent="0.3"/>
    <row r="39275" ht="14.4" x14ac:dyDescent="0.3"/>
    <row r="39276" ht="14.4" x14ac:dyDescent="0.3"/>
    <row r="39277" ht="14.4" x14ac:dyDescent="0.3"/>
    <row r="39278" ht="14.4" x14ac:dyDescent="0.3"/>
    <row r="39279" ht="14.4" x14ac:dyDescent="0.3"/>
    <row r="39280" ht="14.4" x14ac:dyDescent="0.3"/>
    <row r="39281" ht="14.4" x14ac:dyDescent="0.3"/>
    <row r="39282" ht="14.4" x14ac:dyDescent="0.3"/>
    <row r="39283" ht="14.4" x14ac:dyDescent="0.3"/>
    <row r="39284" ht="14.4" x14ac:dyDescent="0.3"/>
    <row r="39285" ht="14.4" x14ac:dyDescent="0.3"/>
    <row r="39286" ht="14.4" x14ac:dyDescent="0.3"/>
    <row r="39287" ht="14.4" x14ac:dyDescent="0.3"/>
    <row r="39288" ht="14.4" x14ac:dyDescent="0.3"/>
    <row r="39289" ht="14.4" x14ac:dyDescent="0.3"/>
    <row r="39290" ht="14.4" x14ac:dyDescent="0.3"/>
    <row r="39291" ht="14.4" x14ac:dyDescent="0.3"/>
    <row r="39292" ht="14.4" x14ac:dyDescent="0.3"/>
    <row r="39293" ht="14.4" x14ac:dyDescent="0.3"/>
    <row r="39294" ht="14.4" x14ac:dyDescent="0.3"/>
    <row r="39295" ht="14.4" x14ac:dyDescent="0.3"/>
    <row r="39296" ht="14.4" x14ac:dyDescent="0.3"/>
    <row r="39297" ht="14.4" x14ac:dyDescent="0.3"/>
    <row r="39298" ht="14.4" x14ac:dyDescent="0.3"/>
    <row r="39299" ht="14.4" x14ac:dyDescent="0.3"/>
    <row r="39300" ht="14.4" x14ac:dyDescent="0.3"/>
    <row r="39301" ht="14.4" x14ac:dyDescent="0.3"/>
    <row r="39302" ht="14.4" x14ac:dyDescent="0.3"/>
    <row r="39303" ht="14.4" x14ac:dyDescent="0.3"/>
    <row r="39304" ht="14.4" x14ac:dyDescent="0.3"/>
    <row r="39305" ht="14.4" x14ac:dyDescent="0.3"/>
    <row r="39306" ht="14.4" x14ac:dyDescent="0.3"/>
    <row r="39307" ht="14.4" x14ac:dyDescent="0.3"/>
    <row r="39308" ht="14.4" x14ac:dyDescent="0.3"/>
    <row r="39309" ht="14.4" x14ac:dyDescent="0.3"/>
    <row r="39310" ht="14.4" x14ac:dyDescent="0.3"/>
    <row r="39311" ht="14.4" x14ac:dyDescent="0.3"/>
    <row r="39312" ht="14.4" x14ac:dyDescent="0.3"/>
    <row r="39313" ht="14.4" x14ac:dyDescent="0.3"/>
    <row r="39314" ht="14.4" x14ac:dyDescent="0.3"/>
    <row r="39315" ht="14.4" x14ac:dyDescent="0.3"/>
    <row r="39316" ht="14.4" x14ac:dyDescent="0.3"/>
    <row r="39317" ht="14.4" x14ac:dyDescent="0.3"/>
    <row r="39318" ht="14.4" x14ac:dyDescent="0.3"/>
    <row r="39319" ht="14.4" x14ac:dyDescent="0.3"/>
    <row r="39320" ht="14.4" x14ac:dyDescent="0.3"/>
    <row r="39321" ht="14.4" x14ac:dyDescent="0.3"/>
    <row r="39322" ht="14.4" x14ac:dyDescent="0.3"/>
    <row r="39323" ht="14.4" x14ac:dyDescent="0.3"/>
    <row r="39324" ht="14.4" x14ac:dyDescent="0.3"/>
    <row r="39325" ht="14.4" x14ac:dyDescent="0.3"/>
    <row r="39326" ht="14.4" x14ac:dyDescent="0.3"/>
    <row r="39327" ht="14.4" x14ac:dyDescent="0.3"/>
    <row r="39328" ht="14.4" x14ac:dyDescent="0.3"/>
    <row r="39329" ht="14.4" x14ac:dyDescent="0.3"/>
    <row r="39330" ht="14.4" x14ac:dyDescent="0.3"/>
    <row r="39331" ht="14.4" x14ac:dyDescent="0.3"/>
    <row r="39332" ht="14.4" x14ac:dyDescent="0.3"/>
    <row r="39333" ht="14.4" x14ac:dyDescent="0.3"/>
    <row r="39334" ht="14.4" x14ac:dyDescent="0.3"/>
    <row r="39335" ht="14.4" x14ac:dyDescent="0.3"/>
    <row r="39336" ht="14.4" x14ac:dyDescent="0.3"/>
    <row r="39337" ht="14.4" x14ac:dyDescent="0.3"/>
    <row r="39338" ht="14.4" x14ac:dyDescent="0.3"/>
    <row r="39339" ht="14.4" x14ac:dyDescent="0.3"/>
    <row r="39340" ht="14.4" x14ac:dyDescent="0.3"/>
    <row r="39341" ht="14.4" x14ac:dyDescent="0.3"/>
    <row r="39342" ht="14.4" x14ac:dyDescent="0.3"/>
    <row r="39343" ht="14.4" x14ac:dyDescent="0.3"/>
    <row r="39344" ht="14.4" x14ac:dyDescent="0.3"/>
    <row r="39345" ht="14.4" x14ac:dyDescent="0.3"/>
    <row r="39346" ht="14.4" x14ac:dyDescent="0.3"/>
    <row r="39347" ht="14.4" x14ac:dyDescent="0.3"/>
    <row r="39348" ht="14.4" x14ac:dyDescent="0.3"/>
    <row r="39349" ht="14.4" x14ac:dyDescent="0.3"/>
    <row r="39350" ht="14.4" x14ac:dyDescent="0.3"/>
    <row r="39351" ht="14.4" x14ac:dyDescent="0.3"/>
    <row r="39352" ht="14.4" x14ac:dyDescent="0.3"/>
    <row r="39353" ht="14.4" x14ac:dyDescent="0.3"/>
    <row r="39354" ht="14.4" x14ac:dyDescent="0.3"/>
    <row r="39355" ht="14.4" x14ac:dyDescent="0.3"/>
    <row r="39356" ht="14.4" x14ac:dyDescent="0.3"/>
    <row r="39357" ht="14.4" x14ac:dyDescent="0.3"/>
    <row r="39358" ht="14.4" x14ac:dyDescent="0.3"/>
    <row r="39359" ht="14.4" x14ac:dyDescent="0.3"/>
    <row r="39360" ht="14.4" x14ac:dyDescent="0.3"/>
    <row r="39361" ht="14.4" x14ac:dyDescent="0.3"/>
    <row r="39362" ht="14.4" x14ac:dyDescent="0.3"/>
    <row r="39363" ht="14.4" x14ac:dyDescent="0.3"/>
    <row r="39364" ht="14.4" x14ac:dyDescent="0.3"/>
    <row r="39365" ht="14.4" x14ac:dyDescent="0.3"/>
    <row r="39366" ht="14.4" x14ac:dyDescent="0.3"/>
    <row r="39367" ht="14.4" x14ac:dyDescent="0.3"/>
    <row r="39368" ht="14.4" x14ac:dyDescent="0.3"/>
    <row r="39369" ht="14.4" x14ac:dyDescent="0.3"/>
    <row r="39370" ht="14.4" x14ac:dyDescent="0.3"/>
    <row r="39371" ht="14.4" x14ac:dyDescent="0.3"/>
    <row r="39372" ht="14.4" x14ac:dyDescent="0.3"/>
    <row r="39373" ht="14.4" x14ac:dyDescent="0.3"/>
    <row r="39374" ht="14.4" x14ac:dyDescent="0.3"/>
    <row r="39375" ht="14.4" x14ac:dyDescent="0.3"/>
    <row r="39376" ht="14.4" x14ac:dyDescent="0.3"/>
    <row r="39377" ht="14.4" x14ac:dyDescent="0.3"/>
    <row r="39378" ht="14.4" x14ac:dyDescent="0.3"/>
    <row r="39379" ht="14.4" x14ac:dyDescent="0.3"/>
    <row r="39380" ht="14.4" x14ac:dyDescent="0.3"/>
    <row r="39381" ht="14.4" x14ac:dyDescent="0.3"/>
    <row r="39382" ht="14.4" x14ac:dyDescent="0.3"/>
    <row r="39383" ht="14.4" x14ac:dyDescent="0.3"/>
    <row r="39384" ht="14.4" x14ac:dyDescent="0.3"/>
    <row r="39385" ht="14.4" x14ac:dyDescent="0.3"/>
    <row r="39386" ht="14.4" x14ac:dyDescent="0.3"/>
    <row r="39387" ht="14.4" x14ac:dyDescent="0.3"/>
    <row r="39388" ht="14.4" x14ac:dyDescent="0.3"/>
    <row r="39389" ht="14.4" x14ac:dyDescent="0.3"/>
    <row r="39390" ht="14.4" x14ac:dyDescent="0.3"/>
    <row r="39391" ht="14.4" x14ac:dyDescent="0.3"/>
    <row r="39392" ht="14.4" x14ac:dyDescent="0.3"/>
    <row r="39393" ht="14.4" x14ac:dyDescent="0.3"/>
    <row r="39394" ht="14.4" x14ac:dyDescent="0.3"/>
    <row r="39395" ht="14.4" x14ac:dyDescent="0.3"/>
    <row r="39396" ht="14.4" x14ac:dyDescent="0.3"/>
    <row r="39397" ht="14.4" x14ac:dyDescent="0.3"/>
    <row r="39398" ht="14.4" x14ac:dyDescent="0.3"/>
    <row r="39399" ht="14.4" x14ac:dyDescent="0.3"/>
    <row r="39400" ht="14.4" x14ac:dyDescent="0.3"/>
    <row r="39401" ht="14.4" x14ac:dyDescent="0.3"/>
    <row r="39402" ht="14.4" x14ac:dyDescent="0.3"/>
    <row r="39403" ht="14.4" x14ac:dyDescent="0.3"/>
    <row r="39404" ht="14.4" x14ac:dyDescent="0.3"/>
    <row r="39405" ht="14.4" x14ac:dyDescent="0.3"/>
    <row r="39406" ht="14.4" x14ac:dyDescent="0.3"/>
    <row r="39407" ht="14.4" x14ac:dyDescent="0.3"/>
    <row r="39408" ht="14.4" x14ac:dyDescent="0.3"/>
    <row r="39409" ht="14.4" x14ac:dyDescent="0.3"/>
    <row r="39410" ht="14.4" x14ac:dyDescent="0.3"/>
    <row r="39411" ht="14.4" x14ac:dyDescent="0.3"/>
    <row r="39412" ht="14.4" x14ac:dyDescent="0.3"/>
    <row r="39413" ht="14.4" x14ac:dyDescent="0.3"/>
    <row r="39414" ht="14.4" x14ac:dyDescent="0.3"/>
    <row r="39415" ht="14.4" x14ac:dyDescent="0.3"/>
    <row r="39416" ht="14.4" x14ac:dyDescent="0.3"/>
    <row r="39417" ht="14.4" x14ac:dyDescent="0.3"/>
    <row r="39418" ht="14.4" x14ac:dyDescent="0.3"/>
    <row r="39419" ht="14.4" x14ac:dyDescent="0.3"/>
    <row r="39420" ht="14.4" x14ac:dyDescent="0.3"/>
    <row r="39421" ht="14.4" x14ac:dyDescent="0.3"/>
    <row r="39422" ht="14.4" x14ac:dyDescent="0.3"/>
    <row r="39423" ht="14.4" x14ac:dyDescent="0.3"/>
    <row r="39424" ht="14.4" x14ac:dyDescent="0.3"/>
    <row r="39425" ht="14.4" x14ac:dyDescent="0.3"/>
    <row r="39426" ht="14.4" x14ac:dyDescent="0.3"/>
    <row r="39427" ht="14.4" x14ac:dyDescent="0.3"/>
    <row r="39428" ht="14.4" x14ac:dyDescent="0.3"/>
    <row r="39429" ht="14.4" x14ac:dyDescent="0.3"/>
    <row r="39430" ht="14.4" x14ac:dyDescent="0.3"/>
    <row r="39431" ht="14.4" x14ac:dyDescent="0.3"/>
    <row r="39432" ht="14.4" x14ac:dyDescent="0.3"/>
    <row r="39433" ht="14.4" x14ac:dyDescent="0.3"/>
    <row r="39434" ht="14.4" x14ac:dyDescent="0.3"/>
    <row r="39435" ht="14.4" x14ac:dyDescent="0.3"/>
    <row r="39436" ht="14.4" x14ac:dyDescent="0.3"/>
    <row r="39437" ht="14.4" x14ac:dyDescent="0.3"/>
    <row r="39438" ht="14.4" x14ac:dyDescent="0.3"/>
    <row r="39439" ht="14.4" x14ac:dyDescent="0.3"/>
    <row r="39440" ht="14.4" x14ac:dyDescent="0.3"/>
    <row r="39441" ht="14.4" x14ac:dyDescent="0.3"/>
    <row r="39442" ht="14.4" x14ac:dyDescent="0.3"/>
    <row r="39443" ht="14.4" x14ac:dyDescent="0.3"/>
    <row r="39444" ht="14.4" x14ac:dyDescent="0.3"/>
    <row r="39445" ht="14.4" x14ac:dyDescent="0.3"/>
    <row r="39446" ht="14.4" x14ac:dyDescent="0.3"/>
    <row r="39447" ht="14.4" x14ac:dyDescent="0.3"/>
    <row r="39448" ht="14.4" x14ac:dyDescent="0.3"/>
    <row r="39449" ht="14.4" x14ac:dyDescent="0.3"/>
    <row r="39450" ht="14.4" x14ac:dyDescent="0.3"/>
    <row r="39451" ht="14.4" x14ac:dyDescent="0.3"/>
    <row r="39452" ht="14.4" x14ac:dyDescent="0.3"/>
    <row r="39453" ht="14.4" x14ac:dyDescent="0.3"/>
    <row r="39454" ht="14.4" x14ac:dyDescent="0.3"/>
    <row r="39455" ht="14.4" x14ac:dyDescent="0.3"/>
    <row r="39456" ht="14.4" x14ac:dyDescent="0.3"/>
    <row r="39457" ht="14.4" x14ac:dyDescent="0.3"/>
    <row r="39458" ht="14.4" x14ac:dyDescent="0.3"/>
    <row r="39459" ht="14.4" x14ac:dyDescent="0.3"/>
    <row r="39460" ht="14.4" x14ac:dyDescent="0.3"/>
    <row r="39461" ht="14.4" x14ac:dyDescent="0.3"/>
    <row r="39462" ht="14.4" x14ac:dyDescent="0.3"/>
    <row r="39463" ht="14.4" x14ac:dyDescent="0.3"/>
    <row r="39464" ht="14.4" x14ac:dyDescent="0.3"/>
    <row r="39465" ht="14.4" x14ac:dyDescent="0.3"/>
    <row r="39466" ht="14.4" x14ac:dyDescent="0.3"/>
    <row r="39467" ht="14.4" x14ac:dyDescent="0.3"/>
    <row r="39468" ht="14.4" x14ac:dyDescent="0.3"/>
    <row r="39469" ht="14.4" x14ac:dyDescent="0.3"/>
    <row r="39470" ht="14.4" x14ac:dyDescent="0.3"/>
    <row r="39471" ht="14.4" x14ac:dyDescent="0.3"/>
    <row r="39472" ht="14.4" x14ac:dyDescent="0.3"/>
    <row r="39473" ht="14.4" x14ac:dyDescent="0.3"/>
    <row r="39474" ht="14.4" x14ac:dyDescent="0.3"/>
    <row r="39475" ht="14.4" x14ac:dyDescent="0.3"/>
    <row r="39476" ht="14.4" x14ac:dyDescent="0.3"/>
    <row r="39477" ht="14.4" x14ac:dyDescent="0.3"/>
    <row r="39478" ht="14.4" x14ac:dyDescent="0.3"/>
    <row r="39479" ht="14.4" x14ac:dyDescent="0.3"/>
    <row r="39480" ht="14.4" x14ac:dyDescent="0.3"/>
    <row r="39481" ht="14.4" x14ac:dyDescent="0.3"/>
    <row r="39482" ht="14.4" x14ac:dyDescent="0.3"/>
    <row r="39483" ht="14.4" x14ac:dyDescent="0.3"/>
    <row r="39484" ht="14.4" x14ac:dyDescent="0.3"/>
    <row r="39485" ht="14.4" x14ac:dyDescent="0.3"/>
    <row r="39486" ht="14.4" x14ac:dyDescent="0.3"/>
    <row r="39487" ht="14.4" x14ac:dyDescent="0.3"/>
    <row r="39488" ht="14.4" x14ac:dyDescent="0.3"/>
    <row r="39489" ht="14.4" x14ac:dyDescent="0.3"/>
    <row r="39490" ht="14.4" x14ac:dyDescent="0.3"/>
    <row r="39491" ht="14.4" x14ac:dyDescent="0.3"/>
    <row r="39492" ht="14.4" x14ac:dyDescent="0.3"/>
    <row r="39493" ht="14.4" x14ac:dyDescent="0.3"/>
    <row r="39494" ht="14.4" x14ac:dyDescent="0.3"/>
    <row r="39495" ht="14.4" x14ac:dyDescent="0.3"/>
    <row r="39496" ht="14.4" x14ac:dyDescent="0.3"/>
    <row r="39497" ht="14.4" x14ac:dyDescent="0.3"/>
    <row r="39498" ht="14.4" x14ac:dyDescent="0.3"/>
    <row r="39499" ht="14.4" x14ac:dyDescent="0.3"/>
    <row r="39500" ht="14.4" x14ac:dyDescent="0.3"/>
    <row r="39501" ht="14.4" x14ac:dyDescent="0.3"/>
    <row r="39502" ht="14.4" x14ac:dyDescent="0.3"/>
    <row r="39503" ht="14.4" x14ac:dyDescent="0.3"/>
    <row r="39504" ht="14.4" x14ac:dyDescent="0.3"/>
    <row r="39505" ht="14.4" x14ac:dyDescent="0.3"/>
    <row r="39506" ht="14.4" x14ac:dyDescent="0.3"/>
    <row r="39507" ht="14.4" x14ac:dyDescent="0.3"/>
    <row r="39508" ht="14.4" x14ac:dyDescent="0.3"/>
    <row r="39509" ht="14.4" x14ac:dyDescent="0.3"/>
    <row r="39510" ht="14.4" x14ac:dyDescent="0.3"/>
    <row r="39511" ht="14.4" x14ac:dyDescent="0.3"/>
    <row r="39512" ht="14.4" x14ac:dyDescent="0.3"/>
    <row r="39513" ht="14.4" x14ac:dyDescent="0.3"/>
    <row r="39514" ht="14.4" x14ac:dyDescent="0.3"/>
    <row r="39515" ht="14.4" x14ac:dyDescent="0.3"/>
    <row r="39516" ht="14.4" x14ac:dyDescent="0.3"/>
    <row r="39517" ht="14.4" x14ac:dyDescent="0.3"/>
    <row r="39518" ht="14.4" x14ac:dyDescent="0.3"/>
    <row r="39519" ht="14.4" x14ac:dyDescent="0.3"/>
    <row r="39520" ht="14.4" x14ac:dyDescent="0.3"/>
    <row r="39521" ht="14.4" x14ac:dyDescent="0.3"/>
    <row r="39522" ht="14.4" x14ac:dyDescent="0.3"/>
    <row r="39523" ht="14.4" x14ac:dyDescent="0.3"/>
    <row r="39524" ht="14.4" x14ac:dyDescent="0.3"/>
    <row r="39525" ht="14.4" x14ac:dyDescent="0.3"/>
    <row r="39526" ht="14.4" x14ac:dyDescent="0.3"/>
    <row r="39527" ht="14.4" x14ac:dyDescent="0.3"/>
    <row r="39528" ht="14.4" x14ac:dyDescent="0.3"/>
    <row r="39529" ht="14.4" x14ac:dyDescent="0.3"/>
    <row r="39530" ht="14.4" x14ac:dyDescent="0.3"/>
    <row r="39531" ht="14.4" x14ac:dyDescent="0.3"/>
    <row r="39532" ht="14.4" x14ac:dyDescent="0.3"/>
    <row r="39533" ht="14.4" x14ac:dyDescent="0.3"/>
    <row r="39534" ht="14.4" x14ac:dyDescent="0.3"/>
    <row r="39535" ht="14.4" x14ac:dyDescent="0.3"/>
    <row r="39536" ht="14.4" x14ac:dyDescent="0.3"/>
    <row r="39537" ht="14.4" x14ac:dyDescent="0.3"/>
    <row r="39538" ht="14.4" x14ac:dyDescent="0.3"/>
    <row r="39539" ht="14.4" x14ac:dyDescent="0.3"/>
    <row r="39540" ht="14.4" x14ac:dyDescent="0.3"/>
    <row r="39541" ht="14.4" x14ac:dyDescent="0.3"/>
    <row r="39542" ht="14.4" x14ac:dyDescent="0.3"/>
    <row r="39543" ht="14.4" x14ac:dyDescent="0.3"/>
    <row r="39544" ht="14.4" x14ac:dyDescent="0.3"/>
    <row r="39545" ht="14.4" x14ac:dyDescent="0.3"/>
    <row r="39546" ht="14.4" x14ac:dyDescent="0.3"/>
    <row r="39547" ht="14.4" x14ac:dyDescent="0.3"/>
    <row r="39548" ht="14.4" x14ac:dyDescent="0.3"/>
    <row r="39549" ht="14.4" x14ac:dyDescent="0.3"/>
    <row r="39550" ht="14.4" x14ac:dyDescent="0.3"/>
    <row r="39551" ht="14.4" x14ac:dyDescent="0.3"/>
    <row r="39552" ht="14.4" x14ac:dyDescent="0.3"/>
    <row r="39553" ht="14.4" x14ac:dyDescent="0.3"/>
    <row r="39554" ht="14.4" x14ac:dyDescent="0.3"/>
    <row r="39555" ht="14.4" x14ac:dyDescent="0.3"/>
    <row r="39556" ht="14.4" x14ac:dyDescent="0.3"/>
    <row r="39557" ht="14.4" x14ac:dyDescent="0.3"/>
    <row r="39558" ht="14.4" x14ac:dyDescent="0.3"/>
    <row r="39559" ht="14.4" x14ac:dyDescent="0.3"/>
    <row r="39560" ht="14.4" x14ac:dyDescent="0.3"/>
    <row r="39561" ht="14.4" x14ac:dyDescent="0.3"/>
    <row r="39562" ht="14.4" x14ac:dyDescent="0.3"/>
    <row r="39563" ht="14.4" x14ac:dyDescent="0.3"/>
    <row r="39564" ht="14.4" x14ac:dyDescent="0.3"/>
    <row r="39565" ht="14.4" x14ac:dyDescent="0.3"/>
    <row r="39566" ht="14.4" x14ac:dyDescent="0.3"/>
    <row r="39567" ht="14.4" x14ac:dyDescent="0.3"/>
    <row r="39568" ht="14.4" x14ac:dyDescent="0.3"/>
    <row r="39569" ht="14.4" x14ac:dyDescent="0.3"/>
    <row r="39570" ht="14.4" x14ac:dyDescent="0.3"/>
    <row r="39571" ht="14.4" x14ac:dyDescent="0.3"/>
    <row r="39572" ht="14.4" x14ac:dyDescent="0.3"/>
    <row r="39573" ht="14.4" x14ac:dyDescent="0.3"/>
    <row r="39574" ht="14.4" x14ac:dyDescent="0.3"/>
    <row r="39575" ht="14.4" x14ac:dyDescent="0.3"/>
    <row r="39576" ht="14.4" x14ac:dyDescent="0.3"/>
    <row r="39577" ht="14.4" x14ac:dyDescent="0.3"/>
    <row r="39578" ht="14.4" x14ac:dyDescent="0.3"/>
    <row r="39579" ht="14.4" x14ac:dyDescent="0.3"/>
    <row r="39580" ht="14.4" x14ac:dyDescent="0.3"/>
    <row r="39581" ht="14.4" x14ac:dyDescent="0.3"/>
    <row r="39582" ht="14.4" x14ac:dyDescent="0.3"/>
    <row r="39583" ht="14.4" x14ac:dyDescent="0.3"/>
    <row r="39584" ht="14.4" x14ac:dyDescent="0.3"/>
    <row r="39585" ht="14.4" x14ac:dyDescent="0.3"/>
    <row r="39586" ht="14.4" x14ac:dyDescent="0.3"/>
    <row r="39587" ht="14.4" x14ac:dyDescent="0.3"/>
    <row r="39588" ht="14.4" x14ac:dyDescent="0.3"/>
    <row r="39589" ht="14.4" x14ac:dyDescent="0.3"/>
    <row r="39590" ht="14.4" x14ac:dyDescent="0.3"/>
    <row r="39591" ht="14.4" x14ac:dyDescent="0.3"/>
    <row r="39592" ht="14.4" x14ac:dyDescent="0.3"/>
    <row r="39593" ht="14.4" x14ac:dyDescent="0.3"/>
    <row r="39594" ht="14.4" x14ac:dyDescent="0.3"/>
    <row r="39595" ht="14.4" x14ac:dyDescent="0.3"/>
    <row r="39596" ht="14.4" x14ac:dyDescent="0.3"/>
    <row r="39597" ht="14.4" x14ac:dyDescent="0.3"/>
    <row r="39598" ht="14.4" x14ac:dyDescent="0.3"/>
    <row r="39599" ht="14.4" x14ac:dyDescent="0.3"/>
    <row r="39600" ht="14.4" x14ac:dyDescent="0.3"/>
    <row r="39601" ht="14.4" x14ac:dyDescent="0.3"/>
    <row r="39602" ht="14.4" x14ac:dyDescent="0.3"/>
    <row r="39603" ht="14.4" x14ac:dyDescent="0.3"/>
    <row r="39604" ht="14.4" x14ac:dyDescent="0.3"/>
    <row r="39605" ht="14.4" x14ac:dyDescent="0.3"/>
    <row r="39606" ht="14.4" x14ac:dyDescent="0.3"/>
    <row r="39607" ht="14.4" x14ac:dyDescent="0.3"/>
    <row r="39608" ht="14.4" x14ac:dyDescent="0.3"/>
    <row r="39609" ht="14.4" x14ac:dyDescent="0.3"/>
    <row r="39610" ht="14.4" x14ac:dyDescent="0.3"/>
    <row r="39611" ht="14.4" x14ac:dyDescent="0.3"/>
    <row r="39612" ht="14.4" x14ac:dyDescent="0.3"/>
    <row r="39613" ht="14.4" x14ac:dyDescent="0.3"/>
    <row r="39614" ht="14.4" x14ac:dyDescent="0.3"/>
    <row r="39615" ht="14.4" x14ac:dyDescent="0.3"/>
    <row r="39616" ht="14.4" x14ac:dyDescent="0.3"/>
    <row r="39617" ht="14.4" x14ac:dyDescent="0.3"/>
    <row r="39618" ht="14.4" x14ac:dyDescent="0.3"/>
    <row r="39619" ht="14.4" x14ac:dyDescent="0.3"/>
    <row r="39620" ht="14.4" x14ac:dyDescent="0.3"/>
    <row r="39621" ht="14.4" x14ac:dyDescent="0.3"/>
    <row r="39622" ht="14.4" x14ac:dyDescent="0.3"/>
    <row r="39623" ht="14.4" x14ac:dyDescent="0.3"/>
    <row r="39624" ht="14.4" x14ac:dyDescent="0.3"/>
    <row r="39625" ht="14.4" x14ac:dyDescent="0.3"/>
    <row r="39626" ht="14.4" x14ac:dyDescent="0.3"/>
    <row r="39627" ht="14.4" x14ac:dyDescent="0.3"/>
    <row r="39628" ht="14.4" x14ac:dyDescent="0.3"/>
    <row r="39629" ht="14.4" x14ac:dyDescent="0.3"/>
    <row r="39630" ht="14.4" x14ac:dyDescent="0.3"/>
    <row r="39631" ht="14.4" x14ac:dyDescent="0.3"/>
    <row r="39632" ht="14.4" x14ac:dyDescent="0.3"/>
    <row r="39633" ht="14.4" x14ac:dyDescent="0.3"/>
    <row r="39634" ht="14.4" x14ac:dyDescent="0.3"/>
    <row r="39635" ht="14.4" x14ac:dyDescent="0.3"/>
    <row r="39636" ht="14.4" x14ac:dyDescent="0.3"/>
    <row r="39637" ht="14.4" x14ac:dyDescent="0.3"/>
    <row r="39638" ht="14.4" x14ac:dyDescent="0.3"/>
    <row r="39639" ht="14.4" x14ac:dyDescent="0.3"/>
    <row r="39640" ht="14.4" x14ac:dyDescent="0.3"/>
    <row r="39641" ht="14.4" x14ac:dyDescent="0.3"/>
    <row r="39642" ht="14.4" x14ac:dyDescent="0.3"/>
    <row r="39643" ht="14.4" x14ac:dyDescent="0.3"/>
    <row r="39644" ht="14.4" x14ac:dyDescent="0.3"/>
    <row r="39645" ht="14.4" x14ac:dyDescent="0.3"/>
    <row r="39646" ht="14.4" x14ac:dyDescent="0.3"/>
    <row r="39647" ht="14.4" x14ac:dyDescent="0.3"/>
    <row r="39648" ht="14.4" x14ac:dyDescent="0.3"/>
    <row r="39649" ht="14.4" x14ac:dyDescent="0.3"/>
    <row r="39650" ht="14.4" x14ac:dyDescent="0.3"/>
    <row r="39651" ht="14.4" x14ac:dyDescent="0.3"/>
    <row r="39652" ht="14.4" x14ac:dyDescent="0.3"/>
    <row r="39653" ht="14.4" x14ac:dyDescent="0.3"/>
    <row r="39654" ht="14.4" x14ac:dyDescent="0.3"/>
    <row r="39655" ht="14.4" x14ac:dyDescent="0.3"/>
    <row r="39656" ht="14.4" x14ac:dyDescent="0.3"/>
    <row r="39657" ht="14.4" x14ac:dyDescent="0.3"/>
    <row r="39658" ht="14.4" x14ac:dyDescent="0.3"/>
    <row r="39659" ht="14.4" x14ac:dyDescent="0.3"/>
    <row r="39660" ht="14.4" x14ac:dyDescent="0.3"/>
    <row r="39661" ht="14.4" x14ac:dyDescent="0.3"/>
    <row r="39662" ht="14.4" x14ac:dyDescent="0.3"/>
    <row r="39663" ht="14.4" x14ac:dyDescent="0.3"/>
    <row r="39664" ht="14.4" x14ac:dyDescent="0.3"/>
    <row r="39665" ht="14.4" x14ac:dyDescent="0.3"/>
    <row r="39666" ht="14.4" x14ac:dyDescent="0.3"/>
    <row r="39667" ht="14.4" x14ac:dyDescent="0.3"/>
    <row r="39668" ht="14.4" x14ac:dyDescent="0.3"/>
    <row r="39669" ht="14.4" x14ac:dyDescent="0.3"/>
    <row r="39670" ht="14.4" x14ac:dyDescent="0.3"/>
    <row r="39671" ht="14.4" x14ac:dyDescent="0.3"/>
    <row r="39672" ht="14.4" x14ac:dyDescent="0.3"/>
    <row r="39673" ht="14.4" x14ac:dyDescent="0.3"/>
    <row r="39674" ht="14.4" x14ac:dyDescent="0.3"/>
    <row r="39675" ht="14.4" x14ac:dyDescent="0.3"/>
    <row r="39676" ht="14.4" x14ac:dyDescent="0.3"/>
    <row r="39677" ht="14.4" x14ac:dyDescent="0.3"/>
    <row r="39678" ht="14.4" x14ac:dyDescent="0.3"/>
    <row r="39679" ht="14.4" x14ac:dyDescent="0.3"/>
    <row r="39680" ht="14.4" x14ac:dyDescent="0.3"/>
    <row r="39681" ht="14.4" x14ac:dyDescent="0.3"/>
    <row r="39682" ht="14.4" x14ac:dyDescent="0.3"/>
    <row r="39683" ht="14.4" x14ac:dyDescent="0.3"/>
    <row r="39684" ht="14.4" x14ac:dyDescent="0.3"/>
    <row r="39685" ht="14.4" x14ac:dyDescent="0.3"/>
    <row r="39686" ht="14.4" x14ac:dyDescent="0.3"/>
    <row r="39687" ht="14.4" x14ac:dyDescent="0.3"/>
    <row r="39688" ht="14.4" x14ac:dyDescent="0.3"/>
    <row r="39689" ht="14.4" x14ac:dyDescent="0.3"/>
    <row r="39690" ht="14.4" x14ac:dyDescent="0.3"/>
    <row r="39691" ht="14.4" x14ac:dyDescent="0.3"/>
    <row r="39692" ht="14.4" x14ac:dyDescent="0.3"/>
    <row r="39693" ht="14.4" x14ac:dyDescent="0.3"/>
    <row r="39694" ht="14.4" x14ac:dyDescent="0.3"/>
    <row r="39695" ht="14.4" x14ac:dyDescent="0.3"/>
    <row r="39696" ht="14.4" x14ac:dyDescent="0.3"/>
    <row r="39697" ht="14.4" x14ac:dyDescent="0.3"/>
    <row r="39698" ht="14.4" x14ac:dyDescent="0.3"/>
    <row r="39699" ht="14.4" x14ac:dyDescent="0.3"/>
    <row r="39700" ht="14.4" x14ac:dyDescent="0.3"/>
    <row r="39701" ht="14.4" x14ac:dyDescent="0.3"/>
    <row r="39702" ht="14.4" x14ac:dyDescent="0.3"/>
    <row r="39703" ht="14.4" x14ac:dyDescent="0.3"/>
    <row r="39704" ht="14.4" x14ac:dyDescent="0.3"/>
    <row r="39705" ht="14.4" x14ac:dyDescent="0.3"/>
    <row r="39706" ht="14.4" x14ac:dyDescent="0.3"/>
    <row r="39707" ht="14.4" x14ac:dyDescent="0.3"/>
    <row r="39708" ht="14.4" x14ac:dyDescent="0.3"/>
    <row r="39709" ht="14.4" x14ac:dyDescent="0.3"/>
    <row r="39710" ht="14.4" x14ac:dyDescent="0.3"/>
    <row r="39711" ht="14.4" x14ac:dyDescent="0.3"/>
    <row r="39712" ht="14.4" x14ac:dyDescent="0.3"/>
    <row r="39713" ht="14.4" x14ac:dyDescent="0.3"/>
    <row r="39714" ht="14.4" x14ac:dyDescent="0.3"/>
    <row r="39715" ht="14.4" x14ac:dyDescent="0.3"/>
    <row r="39716" ht="14.4" x14ac:dyDescent="0.3"/>
    <row r="39717" ht="14.4" x14ac:dyDescent="0.3"/>
    <row r="39718" ht="14.4" x14ac:dyDescent="0.3"/>
    <row r="39719" ht="14.4" x14ac:dyDescent="0.3"/>
    <row r="39720" ht="14.4" x14ac:dyDescent="0.3"/>
    <row r="39721" ht="14.4" x14ac:dyDescent="0.3"/>
    <row r="39722" ht="14.4" x14ac:dyDescent="0.3"/>
    <row r="39723" ht="14.4" x14ac:dyDescent="0.3"/>
    <row r="39724" ht="14.4" x14ac:dyDescent="0.3"/>
    <row r="39725" ht="14.4" x14ac:dyDescent="0.3"/>
    <row r="39726" ht="14.4" x14ac:dyDescent="0.3"/>
    <row r="39727" ht="14.4" x14ac:dyDescent="0.3"/>
    <row r="39728" ht="14.4" x14ac:dyDescent="0.3"/>
    <row r="39729" ht="14.4" x14ac:dyDescent="0.3"/>
    <row r="39730" ht="14.4" x14ac:dyDescent="0.3"/>
    <row r="39731" ht="14.4" x14ac:dyDescent="0.3"/>
    <row r="39732" ht="14.4" x14ac:dyDescent="0.3"/>
    <row r="39733" ht="14.4" x14ac:dyDescent="0.3"/>
    <row r="39734" ht="14.4" x14ac:dyDescent="0.3"/>
    <row r="39735" ht="14.4" x14ac:dyDescent="0.3"/>
    <row r="39736" ht="14.4" x14ac:dyDescent="0.3"/>
    <row r="39737" ht="14.4" x14ac:dyDescent="0.3"/>
    <row r="39738" ht="14.4" x14ac:dyDescent="0.3"/>
    <row r="39739" ht="14.4" x14ac:dyDescent="0.3"/>
    <row r="39740" ht="14.4" x14ac:dyDescent="0.3"/>
    <row r="39741" ht="14.4" x14ac:dyDescent="0.3"/>
    <row r="39742" ht="14.4" x14ac:dyDescent="0.3"/>
    <row r="39743" ht="14.4" x14ac:dyDescent="0.3"/>
    <row r="39744" ht="14.4" x14ac:dyDescent="0.3"/>
    <row r="39745" ht="14.4" x14ac:dyDescent="0.3"/>
    <row r="39746" ht="14.4" x14ac:dyDescent="0.3"/>
    <row r="39747" ht="14.4" x14ac:dyDescent="0.3"/>
    <row r="39748" ht="14.4" x14ac:dyDescent="0.3"/>
    <row r="39749" ht="14.4" x14ac:dyDescent="0.3"/>
    <row r="39750" ht="14.4" x14ac:dyDescent="0.3"/>
    <row r="39751" ht="14.4" x14ac:dyDescent="0.3"/>
    <row r="39752" ht="14.4" x14ac:dyDescent="0.3"/>
    <row r="39753" ht="14.4" x14ac:dyDescent="0.3"/>
    <row r="39754" ht="14.4" x14ac:dyDescent="0.3"/>
    <row r="39755" ht="14.4" x14ac:dyDescent="0.3"/>
    <row r="39756" ht="14.4" x14ac:dyDescent="0.3"/>
    <row r="39757" ht="14.4" x14ac:dyDescent="0.3"/>
    <row r="39758" ht="14.4" x14ac:dyDescent="0.3"/>
    <row r="39759" ht="14.4" x14ac:dyDescent="0.3"/>
    <row r="39760" ht="14.4" x14ac:dyDescent="0.3"/>
    <row r="39761" ht="14.4" x14ac:dyDescent="0.3"/>
    <row r="39762" ht="14.4" x14ac:dyDescent="0.3"/>
    <row r="39763" ht="14.4" x14ac:dyDescent="0.3"/>
    <row r="39764" ht="14.4" x14ac:dyDescent="0.3"/>
    <row r="39765" ht="14.4" x14ac:dyDescent="0.3"/>
    <row r="39766" ht="14.4" x14ac:dyDescent="0.3"/>
    <row r="39767" ht="14.4" x14ac:dyDescent="0.3"/>
    <row r="39768" ht="14.4" x14ac:dyDescent="0.3"/>
    <row r="39769" ht="14.4" x14ac:dyDescent="0.3"/>
    <row r="39770" ht="14.4" x14ac:dyDescent="0.3"/>
    <row r="39771" ht="14.4" x14ac:dyDescent="0.3"/>
    <row r="39772" ht="14.4" x14ac:dyDescent="0.3"/>
    <row r="39773" ht="14.4" x14ac:dyDescent="0.3"/>
    <row r="39774" ht="14.4" x14ac:dyDescent="0.3"/>
    <row r="39775" ht="14.4" x14ac:dyDescent="0.3"/>
    <row r="39776" ht="14.4" x14ac:dyDescent="0.3"/>
    <row r="39777" ht="14.4" x14ac:dyDescent="0.3"/>
    <row r="39778" ht="14.4" x14ac:dyDescent="0.3"/>
    <row r="39779" ht="14.4" x14ac:dyDescent="0.3"/>
    <row r="39780" ht="14.4" x14ac:dyDescent="0.3"/>
    <row r="39781" ht="14.4" x14ac:dyDescent="0.3"/>
    <row r="39782" ht="14.4" x14ac:dyDescent="0.3"/>
    <row r="39783" ht="14.4" x14ac:dyDescent="0.3"/>
    <row r="39784" ht="14.4" x14ac:dyDescent="0.3"/>
    <row r="39785" ht="14.4" x14ac:dyDescent="0.3"/>
    <row r="39786" ht="14.4" x14ac:dyDescent="0.3"/>
    <row r="39787" ht="14.4" x14ac:dyDescent="0.3"/>
    <row r="39788" ht="14.4" x14ac:dyDescent="0.3"/>
    <row r="39789" ht="14.4" x14ac:dyDescent="0.3"/>
    <row r="39790" ht="14.4" x14ac:dyDescent="0.3"/>
    <row r="39791" ht="14.4" x14ac:dyDescent="0.3"/>
    <row r="39792" ht="14.4" x14ac:dyDescent="0.3"/>
    <row r="39793" ht="14.4" x14ac:dyDescent="0.3"/>
    <row r="39794" ht="14.4" x14ac:dyDescent="0.3"/>
    <row r="39795" ht="14.4" x14ac:dyDescent="0.3"/>
    <row r="39796" ht="14.4" x14ac:dyDescent="0.3"/>
    <row r="39797" ht="14.4" x14ac:dyDescent="0.3"/>
    <row r="39798" ht="14.4" x14ac:dyDescent="0.3"/>
    <row r="39799" ht="14.4" x14ac:dyDescent="0.3"/>
    <row r="39800" ht="14.4" x14ac:dyDescent="0.3"/>
    <row r="39801" ht="14.4" x14ac:dyDescent="0.3"/>
    <row r="39802" ht="14.4" x14ac:dyDescent="0.3"/>
    <row r="39803" ht="14.4" x14ac:dyDescent="0.3"/>
    <row r="39804" ht="14.4" x14ac:dyDescent="0.3"/>
    <row r="39805" ht="14.4" x14ac:dyDescent="0.3"/>
    <row r="39806" ht="14.4" x14ac:dyDescent="0.3"/>
    <row r="39807" ht="14.4" x14ac:dyDescent="0.3"/>
    <row r="39808" ht="14.4" x14ac:dyDescent="0.3"/>
    <row r="39809" ht="14.4" x14ac:dyDescent="0.3"/>
    <row r="39810" ht="14.4" x14ac:dyDescent="0.3"/>
    <row r="39811" ht="14.4" x14ac:dyDescent="0.3"/>
    <row r="39812" ht="14.4" x14ac:dyDescent="0.3"/>
    <row r="39813" ht="14.4" x14ac:dyDescent="0.3"/>
    <row r="39814" ht="14.4" x14ac:dyDescent="0.3"/>
    <row r="39815" ht="14.4" x14ac:dyDescent="0.3"/>
    <row r="39816" ht="14.4" x14ac:dyDescent="0.3"/>
    <row r="39817" ht="14.4" x14ac:dyDescent="0.3"/>
    <row r="39818" ht="14.4" x14ac:dyDescent="0.3"/>
    <row r="39819" ht="14.4" x14ac:dyDescent="0.3"/>
    <row r="39820" ht="14.4" x14ac:dyDescent="0.3"/>
    <row r="39821" ht="14.4" x14ac:dyDescent="0.3"/>
    <row r="39822" ht="14.4" x14ac:dyDescent="0.3"/>
    <row r="39823" ht="14.4" x14ac:dyDescent="0.3"/>
    <row r="39824" ht="14.4" x14ac:dyDescent="0.3"/>
    <row r="39825" ht="14.4" x14ac:dyDescent="0.3"/>
    <row r="39826" ht="14.4" x14ac:dyDescent="0.3"/>
    <row r="39827" ht="14.4" x14ac:dyDescent="0.3"/>
    <row r="39828" ht="14.4" x14ac:dyDescent="0.3"/>
    <row r="39829" ht="14.4" x14ac:dyDescent="0.3"/>
    <row r="39830" ht="14.4" x14ac:dyDescent="0.3"/>
    <row r="39831" ht="14.4" x14ac:dyDescent="0.3"/>
    <row r="39832" ht="14.4" x14ac:dyDescent="0.3"/>
    <row r="39833" ht="14.4" x14ac:dyDescent="0.3"/>
    <row r="39834" ht="14.4" x14ac:dyDescent="0.3"/>
    <row r="39835" ht="14.4" x14ac:dyDescent="0.3"/>
    <row r="39836" ht="14.4" x14ac:dyDescent="0.3"/>
    <row r="39837" ht="14.4" x14ac:dyDescent="0.3"/>
    <row r="39838" ht="14.4" x14ac:dyDescent="0.3"/>
    <row r="39839" ht="14.4" x14ac:dyDescent="0.3"/>
    <row r="39840" ht="14.4" x14ac:dyDescent="0.3"/>
    <row r="39841" ht="14.4" x14ac:dyDescent="0.3"/>
    <row r="39842" ht="14.4" x14ac:dyDescent="0.3"/>
    <row r="39843" ht="14.4" x14ac:dyDescent="0.3"/>
    <row r="39844" ht="14.4" x14ac:dyDescent="0.3"/>
    <row r="39845" ht="14.4" x14ac:dyDescent="0.3"/>
    <row r="39846" ht="14.4" x14ac:dyDescent="0.3"/>
    <row r="39847" ht="14.4" x14ac:dyDescent="0.3"/>
    <row r="39848" ht="14.4" x14ac:dyDescent="0.3"/>
    <row r="39849" ht="14.4" x14ac:dyDescent="0.3"/>
    <row r="39850" ht="14.4" x14ac:dyDescent="0.3"/>
    <row r="39851" ht="14.4" x14ac:dyDescent="0.3"/>
    <row r="39852" ht="14.4" x14ac:dyDescent="0.3"/>
    <row r="39853" ht="14.4" x14ac:dyDescent="0.3"/>
    <row r="39854" ht="14.4" x14ac:dyDescent="0.3"/>
    <row r="39855" ht="14.4" x14ac:dyDescent="0.3"/>
    <row r="39856" ht="14.4" x14ac:dyDescent="0.3"/>
    <row r="39857" ht="14.4" x14ac:dyDescent="0.3"/>
    <row r="39858" ht="14.4" x14ac:dyDescent="0.3"/>
    <row r="39859" ht="14.4" x14ac:dyDescent="0.3"/>
    <row r="39860" ht="14.4" x14ac:dyDescent="0.3"/>
    <row r="39861" ht="14.4" x14ac:dyDescent="0.3"/>
    <row r="39862" ht="14.4" x14ac:dyDescent="0.3"/>
    <row r="39863" ht="14.4" x14ac:dyDescent="0.3"/>
    <row r="39864" ht="14.4" x14ac:dyDescent="0.3"/>
    <row r="39865" ht="14.4" x14ac:dyDescent="0.3"/>
    <row r="39866" ht="14.4" x14ac:dyDescent="0.3"/>
    <row r="39867" ht="14.4" x14ac:dyDescent="0.3"/>
    <row r="39868" ht="14.4" x14ac:dyDescent="0.3"/>
    <row r="39869" ht="14.4" x14ac:dyDescent="0.3"/>
    <row r="39870" ht="14.4" x14ac:dyDescent="0.3"/>
    <row r="39871" ht="14.4" x14ac:dyDescent="0.3"/>
    <row r="39872" ht="14.4" x14ac:dyDescent="0.3"/>
    <row r="39873" ht="14.4" x14ac:dyDescent="0.3"/>
    <row r="39874" ht="14.4" x14ac:dyDescent="0.3"/>
    <row r="39875" ht="14.4" x14ac:dyDescent="0.3"/>
    <row r="39876" ht="14.4" x14ac:dyDescent="0.3"/>
    <row r="39877" ht="14.4" x14ac:dyDescent="0.3"/>
    <row r="39878" ht="14.4" x14ac:dyDescent="0.3"/>
    <row r="39879" ht="14.4" x14ac:dyDescent="0.3"/>
    <row r="39880" ht="14.4" x14ac:dyDescent="0.3"/>
    <row r="39881" ht="14.4" x14ac:dyDescent="0.3"/>
    <row r="39882" ht="14.4" x14ac:dyDescent="0.3"/>
    <row r="39883" ht="14.4" x14ac:dyDescent="0.3"/>
    <row r="39884" ht="14.4" x14ac:dyDescent="0.3"/>
    <row r="39885" ht="14.4" x14ac:dyDescent="0.3"/>
    <row r="39886" ht="14.4" x14ac:dyDescent="0.3"/>
    <row r="39887" ht="14.4" x14ac:dyDescent="0.3"/>
    <row r="39888" ht="14.4" x14ac:dyDescent="0.3"/>
    <row r="39889" spans="1:43" ht="14.4" x14ac:dyDescent="0.3"/>
    <row r="39890" spans="1:43" ht="14.4" x14ac:dyDescent="0.3"/>
    <row r="39891" spans="1:43" ht="14.4" x14ac:dyDescent="0.3"/>
    <row r="39892" spans="1:43" ht="14.4" x14ac:dyDescent="0.3"/>
    <row r="39893" spans="1:43" ht="14.4" x14ac:dyDescent="0.3"/>
    <row r="39894" spans="1:43" ht="14.4" x14ac:dyDescent="0.3"/>
    <row r="39895" spans="1:43" ht="14.4" x14ac:dyDescent="0.3"/>
    <row r="39896" spans="1:43" ht="14.4" x14ac:dyDescent="0.3"/>
    <row r="39897" spans="1:43" ht="14.4" x14ac:dyDescent="0.3"/>
    <row r="39898" spans="1:43" ht="14.4" x14ac:dyDescent="0.3"/>
    <row r="39899" spans="1:43" ht="14.4" x14ac:dyDescent="0.3"/>
    <row r="39900" spans="1:43" ht="14.4" x14ac:dyDescent="0.3"/>
    <row r="39901" spans="1:43" ht="14.4" x14ac:dyDescent="0.3"/>
    <row r="39902" spans="1:43" ht="14.4" hidden="1" x14ac:dyDescent="0.3">
      <c r="A39902" t="s">
        <v>5259</v>
      </c>
      <c r="B39902">
        <v>4928520</v>
      </c>
      <c r="C39902" t="s">
        <v>445</v>
      </c>
      <c r="D39902" t="s">
        <v>584</v>
      </c>
      <c r="E39902" t="s">
        <v>611</v>
      </c>
      <c r="F39902" t="s">
        <v>1239</v>
      </c>
      <c r="H39902" t="s">
        <v>3780</v>
      </c>
      <c r="J39902" t="s">
        <v>140</v>
      </c>
      <c r="K39902">
        <v>161093.38</v>
      </c>
      <c r="L39902">
        <v>384062.31</v>
      </c>
      <c r="M39902">
        <v>1</v>
      </c>
      <c r="N39902" t="s">
        <v>5260</v>
      </c>
      <c r="O39902" t="s">
        <v>266</v>
      </c>
      <c r="P39902" t="s">
        <v>802</v>
      </c>
      <c r="Q39902" t="s">
        <v>144</v>
      </c>
      <c r="S39902">
        <v>15</v>
      </c>
      <c r="T39902">
        <v>340</v>
      </c>
      <c r="V39902" t="s">
        <v>146</v>
      </c>
      <c r="W39902" t="s">
        <v>415</v>
      </c>
      <c r="X39902" t="s">
        <v>7</v>
      </c>
      <c r="Y39902" t="s">
        <v>5261</v>
      </c>
      <c r="Z39902" t="s">
        <v>266</v>
      </c>
      <c r="AA39902" t="s">
        <v>1961</v>
      </c>
      <c r="AB39902">
        <v>80</v>
      </c>
      <c r="AE39902" t="s">
        <v>5262</v>
      </c>
      <c r="AF39902" t="s">
        <v>266</v>
      </c>
      <c r="AG39902" t="s">
        <v>267</v>
      </c>
      <c r="AL39902" t="s">
        <v>5263</v>
      </c>
      <c r="AM39902" t="s">
        <v>5264</v>
      </c>
      <c r="AN39902" t="s">
        <v>5265</v>
      </c>
      <c r="AO39902" t="s">
        <v>5260</v>
      </c>
      <c r="AQ39902">
        <f>IF(ISBLANK(AP39902), IFERROR(IF(VLOOKUP(AO39902, Ellens_additions!$A$2:$B$252, 2, FALSE) = "", "", VLOOKUP(AO39902, Ellens_additions!$A$2:$B$252, 2, FALSE)), 0), AP39902)</f>
        <v>0</v>
      </c>
    </row>
    <row r="39903" spans="1:43" ht="14.4" x14ac:dyDescent="0.3"/>
    <row r="39904" spans="1:43" ht="14.4" x14ac:dyDescent="0.3"/>
    <row r="39905" ht="14.4" x14ac:dyDescent="0.3"/>
    <row r="39906" ht="14.4" x14ac:dyDescent="0.3"/>
    <row r="39907" ht="14.4" x14ac:dyDescent="0.3"/>
    <row r="39908" ht="14.4" x14ac:dyDescent="0.3"/>
    <row r="39909" ht="14.4" x14ac:dyDescent="0.3"/>
    <row r="39910" ht="14.4" x14ac:dyDescent="0.3"/>
    <row r="39911" ht="14.4" x14ac:dyDescent="0.3"/>
    <row r="39912" ht="14.4" x14ac:dyDescent="0.3"/>
    <row r="39913" ht="14.4" x14ac:dyDescent="0.3"/>
    <row r="39914" ht="14.4" x14ac:dyDescent="0.3"/>
    <row r="39915" ht="14.4" x14ac:dyDescent="0.3"/>
    <row r="39916" ht="14.4" x14ac:dyDescent="0.3"/>
    <row r="39917" ht="14.4" x14ac:dyDescent="0.3"/>
    <row r="39918" ht="14.4" x14ac:dyDescent="0.3"/>
    <row r="39919" ht="14.4" x14ac:dyDescent="0.3"/>
    <row r="39920" ht="14.4" x14ac:dyDescent="0.3"/>
    <row r="39921" ht="14.4" x14ac:dyDescent="0.3"/>
    <row r="39922" ht="14.4" x14ac:dyDescent="0.3"/>
    <row r="39923" ht="14.4" x14ac:dyDescent="0.3"/>
    <row r="39924" ht="14.4" x14ac:dyDescent="0.3"/>
    <row r="39925" ht="14.4" x14ac:dyDescent="0.3"/>
    <row r="39926" ht="14.4" x14ac:dyDescent="0.3"/>
    <row r="39927" ht="14.4" x14ac:dyDescent="0.3"/>
    <row r="39928" ht="14.4" x14ac:dyDescent="0.3"/>
    <row r="39929" ht="14.4" x14ac:dyDescent="0.3"/>
    <row r="39930" ht="14.4" x14ac:dyDescent="0.3"/>
    <row r="39931" ht="14.4" x14ac:dyDescent="0.3"/>
    <row r="39932" ht="14.4" x14ac:dyDescent="0.3"/>
    <row r="39933" ht="14.4" x14ac:dyDescent="0.3"/>
    <row r="39934" ht="14.4" x14ac:dyDescent="0.3"/>
    <row r="39935" ht="14.4" x14ac:dyDescent="0.3"/>
    <row r="39936" ht="14.4" x14ac:dyDescent="0.3"/>
    <row r="39937" ht="14.4" x14ac:dyDescent="0.3"/>
    <row r="39938" ht="14.4" x14ac:dyDescent="0.3"/>
    <row r="39939" ht="14.4" x14ac:dyDescent="0.3"/>
    <row r="39940" ht="14.4" x14ac:dyDescent="0.3"/>
    <row r="39941" ht="14.4" x14ac:dyDescent="0.3"/>
    <row r="39942" ht="14.4" x14ac:dyDescent="0.3"/>
    <row r="39943" ht="14.4" x14ac:dyDescent="0.3"/>
    <row r="39944" ht="14.4" x14ac:dyDescent="0.3"/>
    <row r="39945" ht="14.4" x14ac:dyDescent="0.3"/>
    <row r="39946" ht="14.4" x14ac:dyDescent="0.3"/>
    <row r="39947" ht="14.4" x14ac:dyDescent="0.3"/>
    <row r="39948" ht="14.4" x14ac:dyDescent="0.3"/>
    <row r="39949" ht="14.4" x14ac:dyDescent="0.3"/>
    <row r="39950" ht="14.4" x14ac:dyDescent="0.3"/>
    <row r="39951" ht="14.4" x14ac:dyDescent="0.3"/>
    <row r="39952" ht="14.4" x14ac:dyDescent="0.3"/>
    <row r="39953" ht="14.4" x14ac:dyDescent="0.3"/>
    <row r="39954" ht="14.4" x14ac:dyDescent="0.3"/>
    <row r="39955" ht="14.4" x14ac:dyDescent="0.3"/>
    <row r="39956" ht="14.4" x14ac:dyDescent="0.3"/>
    <row r="39957" ht="14.4" x14ac:dyDescent="0.3"/>
    <row r="39958" ht="14.4" x14ac:dyDescent="0.3"/>
    <row r="39959" ht="14.4" x14ac:dyDescent="0.3"/>
    <row r="39960" ht="14.4" x14ac:dyDescent="0.3"/>
    <row r="39961" ht="14.4" x14ac:dyDescent="0.3"/>
    <row r="39962" ht="14.4" x14ac:dyDescent="0.3"/>
    <row r="39963" ht="14.4" x14ac:dyDescent="0.3"/>
    <row r="39964" ht="14.4" x14ac:dyDescent="0.3"/>
    <row r="39965" ht="14.4" x14ac:dyDescent="0.3"/>
    <row r="39966" ht="14.4" x14ac:dyDescent="0.3"/>
    <row r="39967" ht="14.4" x14ac:dyDescent="0.3"/>
    <row r="39968" ht="14.4" x14ac:dyDescent="0.3"/>
    <row r="39969" ht="14.4" x14ac:dyDescent="0.3"/>
    <row r="39970" ht="14.4" x14ac:dyDescent="0.3"/>
    <row r="39971" ht="14.4" x14ac:dyDescent="0.3"/>
    <row r="39972" ht="14.4" x14ac:dyDescent="0.3"/>
    <row r="39973" ht="14.4" x14ac:dyDescent="0.3"/>
    <row r="39974" ht="14.4" x14ac:dyDescent="0.3"/>
    <row r="39975" ht="14.4" x14ac:dyDescent="0.3"/>
    <row r="39976" ht="14.4" x14ac:dyDescent="0.3"/>
    <row r="39977" ht="14.4" x14ac:dyDescent="0.3"/>
    <row r="39978" ht="14.4" x14ac:dyDescent="0.3"/>
    <row r="39979" ht="14.4" x14ac:dyDescent="0.3"/>
    <row r="39980" ht="14.4" x14ac:dyDescent="0.3"/>
    <row r="39981" ht="14.4" x14ac:dyDescent="0.3"/>
    <row r="39982" ht="14.4" x14ac:dyDescent="0.3"/>
    <row r="39983" ht="14.4" x14ac:dyDescent="0.3"/>
    <row r="39984" ht="14.4" x14ac:dyDescent="0.3"/>
    <row r="39985" ht="14.4" x14ac:dyDescent="0.3"/>
    <row r="39986" ht="14.4" x14ac:dyDescent="0.3"/>
    <row r="39987" ht="14.4" x14ac:dyDescent="0.3"/>
    <row r="39988" ht="14.4" x14ac:dyDescent="0.3"/>
    <row r="39989" ht="14.4" x14ac:dyDescent="0.3"/>
    <row r="39990" ht="14.4" x14ac:dyDescent="0.3"/>
    <row r="39991" ht="14.4" x14ac:dyDescent="0.3"/>
    <row r="39992" ht="14.4" x14ac:dyDescent="0.3"/>
    <row r="39993" ht="14.4" x14ac:dyDescent="0.3"/>
    <row r="39994" ht="14.4" x14ac:dyDescent="0.3"/>
    <row r="39995" ht="14.4" x14ac:dyDescent="0.3"/>
    <row r="39996" ht="14.4" x14ac:dyDescent="0.3"/>
    <row r="39997" ht="14.4" x14ac:dyDescent="0.3"/>
    <row r="39998" ht="14.4" x14ac:dyDescent="0.3"/>
    <row r="39999" ht="14.4" x14ac:dyDescent="0.3"/>
    <row r="40000" ht="14.4" x14ac:dyDescent="0.3"/>
    <row r="40001" ht="14.4" x14ac:dyDescent="0.3"/>
    <row r="40002" ht="14.4" x14ac:dyDescent="0.3"/>
    <row r="40003" ht="14.4" x14ac:dyDescent="0.3"/>
    <row r="40004" ht="14.4" x14ac:dyDescent="0.3"/>
    <row r="40005" ht="14.4" x14ac:dyDescent="0.3"/>
    <row r="40006" ht="14.4" x14ac:dyDescent="0.3"/>
    <row r="40007" ht="14.4" x14ac:dyDescent="0.3"/>
    <row r="40008" ht="14.4" x14ac:dyDescent="0.3"/>
    <row r="40009" ht="14.4" x14ac:dyDescent="0.3"/>
    <row r="40010" ht="14.4" x14ac:dyDescent="0.3"/>
    <row r="40011" ht="14.4" x14ac:dyDescent="0.3"/>
    <row r="40012" ht="14.4" x14ac:dyDescent="0.3"/>
    <row r="40013" ht="14.4" x14ac:dyDescent="0.3"/>
    <row r="40014" ht="14.4" x14ac:dyDescent="0.3"/>
    <row r="40015" ht="14.4" x14ac:dyDescent="0.3"/>
    <row r="40016" ht="14.4" x14ac:dyDescent="0.3"/>
    <row r="40017" ht="14.4" x14ac:dyDescent="0.3"/>
    <row r="40018" ht="14.4" x14ac:dyDescent="0.3"/>
    <row r="40019" ht="14.4" x14ac:dyDescent="0.3"/>
    <row r="40020" ht="14.4" x14ac:dyDescent="0.3"/>
    <row r="40021" ht="14.4" x14ac:dyDescent="0.3"/>
    <row r="40022" ht="14.4" x14ac:dyDescent="0.3"/>
    <row r="40023" ht="14.4" x14ac:dyDescent="0.3"/>
    <row r="40024" ht="14.4" x14ac:dyDescent="0.3"/>
    <row r="40025" ht="14.4" x14ac:dyDescent="0.3"/>
    <row r="40026" ht="14.4" x14ac:dyDescent="0.3"/>
    <row r="40027" ht="14.4" x14ac:dyDescent="0.3"/>
    <row r="40028" ht="14.4" x14ac:dyDescent="0.3"/>
    <row r="40029" ht="14.4" x14ac:dyDescent="0.3"/>
    <row r="40030" ht="14.4" x14ac:dyDescent="0.3"/>
    <row r="40031" ht="14.4" x14ac:dyDescent="0.3"/>
    <row r="40032" ht="14.4" x14ac:dyDescent="0.3"/>
    <row r="40033" ht="14.4" x14ac:dyDescent="0.3"/>
    <row r="40034" ht="14.4" x14ac:dyDescent="0.3"/>
    <row r="40035" ht="14.4" x14ac:dyDescent="0.3"/>
    <row r="40036" ht="14.4" x14ac:dyDescent="0.3"/>
    <row r="40037" ht="14.4" x14ac:dyDescent="0.3"/>
    <row r="40038" ht="14.4" x14ac:dyDescent="0.3"/>
    <row r="40039" ht="14.4" x14ac:dyDescent="0.3"/>
    <row r="40040" ht="14.4" x14ac:dyDescent="0.3"/>
    <row r="40041" ht="14.4" x14ac:dyDescent="0.3"/>
    <row r="40042" ht="14.4" x14ac:dyDescent="0.3"/>
    <row r="40043" ht="14.4" x14ac:dyDescent="0.3"/>
    <row r="40044" ht="14.4" x14ac:dyDescent="0.3"/>
    <row r="40045" ht="14.4" x14ac:dyDescent="0.3"/>
    <row r="40046" ht="14.4" x14ac:dyDescent="0.3"/>
    <row r="40047" ht="14.4" x14ac:dyDescent="0.3"/>
    <row r="40048" ht="14.4" x14ac:dyDescent="0.3"/>
    <row r="40049" ht="14.4" x14ac:dyDescent="0.3"/>
    <row r="40050" ht="14.4" x14ac:dyDescent="0.3"/>
    <row r="40051" ht="14.4" x14ac:dyDescent="0.3"/>
    <row r="40052" ht="14.4" x14ac:dyDescent="0.3"/>
    <row r="40053" ht="14.4" x14ac:dyDescent="0.3"/>
    <row r="40054" ht="14.4" x14ac:dyDescent="0.3"/>
    <row r="40055" ht="14.4" x14ac:dyDescent="0.3"/>
    <row r="40056" ht="14.4" x14ac:dyDescent="0.3"/>
    <row r="40057" ht="14.4" x14ac:dyDescent="0.3"/>
    <row r="40058" ht="14.4" x14ac:dyDescent="0.3"/>
    <row r="40059" ht="14.4" x14ac:dyDescent="0.3"/>
    <row r="40060" ht="14.4" x14ac:dyDescent="0.3"/>
    <row r="40061" ht="14.4" x14ac:dyDescent="0.3"/>
    <row r="40062" ht="14.4" x14ac:dyDescent="0.3"/>
    <row r="40063" ht="14.4" x14ac:dyDescent="0.3"/>
    <row r="40064" ht="14.4" x14ac:dyDescent="0.3"/>
    <row r="40065" ht="14.4" x14ac:dyDescent="0.3"/>
    <row r="40066" ht="14.4" x14ac:dyDescent="0.3"/>
    <row r="40067" ht="14.4" x14ac:dyDescent="0.3"/>
    <row r="40068" ht="14.4" x14ac:dyDescent="0.3"/>
    <row r="40069" ht="14.4" x14ac:dyDescent="0.3"/>
    <row r="40070" ht="14.4" x14ac:dyDescent="0.3"/>
    <row r="40071" ht="14.4" x14ac:dyDescent="0.3"/>
    <row r="40072" ht="14.4" x14ac:dyDescent="0.3"/>
    <row r="40073" ht="14.4" x14ac:dyDescent="0.3"/>
    <row r="40074" ht="14.4" x14ac:dyDescent="0.3"/>
    <row r="40075" ht="14.4" x14ac:dyDescent="0.3"/>
    <row r="40076" ht="14.4" x14ac:dyDescent="0.3"/>
    <row r="40077" ht="14.4" x14ac:dyDescent="0.3"/>
    <row r="40078" ht="14.4" x14ac:dyDescent="0.3"/>
    <row r="40079" ht="14.4" x14ac:dyDescent="0.3"/>
    <row r="40080" ht="14.4" x14ac:dyDescent="0.3"/>
    <row r="40081" ht="14.4" x14ac:dyDescent="0.3"/>
    <row r="40082" ht="14.4" x14ac:dyDescent="0.3"/>
    <row r="40083" ht="14.4" x14ac:dyDescent="0.3"/>
    <row r="40084" ht="14.4" x14ac:dyDescent="0.3"/>
    <row r="40085" ht="14.4" x14ac:dyDescent="0.3"/>
    <row r="40086" ht="14.4" x14ac:dyDescent="0.3"/>
    <row r="40087" ht="14.4" x14ac:dyDescent="0.3"/>
    <row r="40088" ht="14.4" x14ac:dyDescent="0.3"/>
    <row r="40089" ht="14.4" x14ac:dyDescent="0.3"/>
    <row r="40090" ht="14.4" x14ac:dyDescent="0.3"/>
    <row r="40091" ht="14.4" x14ac:dyDescent="0.3"/>
    <row r="40092" ht="14.4" x14ac:dyDescent="0.3"/>
    <row r="40093" ht="14.4" x14ac:dyDescent="0.3"/>
    <row r="40094" ht="14.4" x14ac:dyDescent="0.3"/>
    <row r="40095" ht="14.4" x14ac:dyDescent="0.3"/>
    <row r="40096" ht="14.4" x14ac:dyDescent="0.3"/>
    <row r="40097" ht="14.4" x14ac:dyDescent="0.3"/>
    <row r="40098" ht="14.4" x14ac:dyDescent="0.3"/>
    <row r="40099" ht="14.4" x14ac:dyDescent="0.3"/>
    <row r="40100" ht="14.4" x14ac:dyDescent="0.3"/>
    <row r="40101" ht="14.4" x14ac:dyDescent="0.3"/>
    <row r="40102" ht="14.4" x14ac:dyDescent="0.3"/>
    <row r="40103" ht="14.4" x14ac:dyDescent="0.3"/>
    <row r="40104" ht="14.4" x14ac:dyDescent="0.3"/>
    <row r="40105" ht="14.4" x14ac:dyDescent="0.3"/>
    <row r="40106" ht="14.4" x14ac:dyDescent="0.3"/>
    <row r="40107" ht="14.4" x14ac:dyDescent="0.3"/>
    <row r="40108" ht="14.4" x14ac:dyDescent="0.3"/>
    <row r="40109" ht="14.4" x14ac:dyDescent="0.3"/>
    <row r="40110" ht="14.4" x14ac:dyDescent="0.3"/>
    <row r="40111" ht="14.4" x14ac:dyDescent="0.3"/>
    <row r="40112" ht="14.4" x14ac:dyDescent="0.3"/>
    <row r="40113" ht="14.4" x14ac:dyDescent="0.3"/>
    <row r="40114" ht="14.4" x14ac:dyDescent="0.3"/>
    <row r="40115" ht="14.4" x14ac:dyDescent="0.3"/>
    <row r="40116" ht="14.4" x14ac:dyDescent="0.3"/>
    <row r="40117" ht="14.4" x14ac:dyDescent="0.3"/>
    <row r="40118" ht="14.4" x14ac:dyDescent="0.3"/>
    <row r="40119" ht="14.4" x14ac:dyDescent="0.3"/>
    <row r="40120" ht="14.4" x14ac:dyDescent="0.3"/>
    <row r="40121" ht="14.4" x14ac:dyDescent="0.3"/>
    <row r="40122" ht="14.4" x14ac:dyDescent="0.3"/>
    <row r="40123" ht="14.4" x14ac:dyDescent="0.3"/>
    <row r="40124" ht="14.4" x14ac:dyDescent="0.3"/>
    <row r="40125" ht="14.4" x14ac:dyDescent="0.3"/>
    <row r="40126" ht="14.4" x14ac:dyDescent="0.3"/>
    <row r="40127" ht="14.4" x14ac:dyDescent="0.3"/>
    <row r="40128" ht="14.4" x14ac:dyDescent="0.3"/>
    <row r="40129" spans="1:43" ht="14.4" x14ac:dyDescent="0.3"/>
    <row r="40130" spans="1:43" ht="14.4" x14ac:dyDescent="0.3"/>
    <row r="40131" spans="1:43" ht="14.4" x14ac:dyDescent="0.3"/>
    <row r="40132" spans="1:43" ht="14.4" x14ac:dyDescent="0.3"/>
    <row r="40133" spans="1:43" ht="14.4" x14ac:dyDescent="0.3"/>
    <row r="40134" spans="1:43" ht="14.4" x14ac:dyDescent="0.3"/>
    <row r="40135" spans="1:43" ht="14.4" x14ac:dyDescent="0.3"/>
    <row r="40136" spans="1:43" ht="14.4" x14ac:dyDescent="0.3"/>
    <row r="40137" spans="1:43" ht="14.4" x14ac:dyDescent="0.3"/>
    <row r="40138" spans="1:43" ht="14.4" x14ac:dyDescent="0.3"/>
    <row r="40139" spans="1:43" ht="14.4" x14ac:dyDescent="0.3"/>
    <row r="40140" spans="1:43" ht="14.4" x14ac:dyDescent="0.3"/>
    <row r="40141" spans="1:43" ht="14.4" x14ac:dyDescent="0.3"/>
    <row r="40142" spans="1:43" ht="14.4" x14ac:dyDescent="0.3"/>
    <row r="40143" spans="1:43" ht="14.4" hidden="1" x14ac:dyDescent="0.3">
      <c r="A40143" t="s">
        <v>5266</v>
      </c>
      <c r="B40143">
        <v>4929269</v>
      </c>
      <c r="C40143" t="s">
        <v>445</v>
      </c>
      <c r="D40143" t="s">
        <v>446</v>
      </c>
      <c r="E40143" t="s">
        <v>478</v>
      </c>
      <c r="F40143" t="s">
        <v>5267</v>
      </c>
      <c r="H40143" t="s">
        <v>377</v>
      </c>
      <c r="J40143" t="s">
        <v>140</v>
      </c>
      <c r="K40143">
        <v>160735.24</v>
      </c>
      <c r="L40143">
        <v>385000.71</v>
      </c>
      <c r="N40143" t="s">
        <v>5268</v>
      </c>
      <c r="O40143" t="s">
        <v>658</v>
      </c>
      <c r="P40143" t="s">
        <v>1388</v>
      </c>
      <c r="Q40143" t="s">
        <v>144</v>
      </c>
      <c r="S40143">
        <v>24</v>
      </c>
      <c r="T40143">
        <v>2900</v>
      </c>
      <c r="V40143" t="s">
        <v>146</v>
      </c>
      <c r="W40143" t="s">
        <v>531</v>
      </c>
      <c r="Y40143" t="s">
        <v>283</v>
      </c>
      <c r="Z40143" t="s">
        <v>658</v>
      </c>
      <c r="AA40143" t="s">
        <v>1389</v>
      </c>
      <c r="AB40143">
        <v>0</v>
      </c>
      <c r="AE40143" t="s">
        <v>444</v>
      </c>
      <c r="AF40143" t="s">
        <v>658</v>
      </c>
      <c r="AG40143" t="s">
        <v>1390</v>
      </c>
      <c r="AL40143" t="s">
        <v>5269</v>
      </c>
      <c r="AM40143" t="s">
        <v>5270</v>
      </c>
      <c r="AN40143" t="s">
        <v>5271</v>
      </c>
      <c r="AO40143" t="s">
        <v>5268</v>
      </c>
      <c r="AP40143" t="s">
        <v>158</v>
      </c>
      <c r="AQ40143" t="str">
        <f>IF(ISBLANK(AP40143), IFERROR(IF(VLOOKUP(AO40143, Ellens_additions!$A$2:$B$252, 2, FALSE) = "", "", VLOOKUP(AO40143, Ellens_additions!$A$2:$B$252, 2, FALSE)), 0), AP40143)</f>
        <v>3000</v>
      </c>
    </row>
    <row r="40144" spans="1:43" ht="14.4" x14ac:dyDescent="0.3"/>
    <row r="40145" spans="1:43" ht="14.4" x14ac:dyDescent="0.3"/>
    <row r="40146" spans="1:43" ht="14.4" x14ac:dyDescent="0.3"/>
    <row r="40147" spans="1:43" ht="14.4" hidden="1" x14ac:dyDescent="0.3">
      <c r="A40147" t="s">
        <v>5272</v>
      </c>
      <c r="B40147">
        <v>4929285</v>
      </c>
      <c r="C40147" t="s">
        <v>445</v>
      </c>
      <c r="D40147" t="s">
        <v>446</v>
      </c>
      <c r="E40147" t="s">
        <v>546</v>
      </c>
      <c r="F40147" t="s">
        <v>1395</v>
      </c>
      <c r="H40147" t="s">
        <v>377</v>
      </c>
      <c r="J40147" t="s">
        <v>140</v>
      </c>
      <c r="K40147">
        <v>159509.83499999999</v>
      </c>
      <c r="L40147">
        <v>385634.45600000001</v>
      </c>
      <c r="M40147">
        <v>1</v>
      </c>
      <c r="N40147" t="s">
        <v>3054</v>
      </c>
      <c r="O40147" t="s">
        <v>806</v>
      </c>
      <c r="P40147" t="s">
        <v>2975</v>
      </c>
      <c r="Q40147" t="s">
        <v>144</v>
      </c>
      <c r="R40147" t="s">
        <v>145</v>
      </c>
      <c r="S40147">
        <v>14</v>
      </c>
      <c r="T40147">
        <v>1450</v>
      </c>
      <c r="V40147" t="s">
        <v>146</v>
      </c>
      <c r="W40147" t="s">
        <v>147</v>
      </c>
      <c r="X40147" t="s">
        <v>7</v>
      </c>
      <c r="Y40147" t="s">
        <v>1006</v>
      </c>
      <c r="Z40147" t="s">
        <v>806</v>
      </c>
      <c r="AA40147" t="s">
        <v>4945</v>
      </c>
      <c r="AB40147">
        <v>0</v>
      </c>
      <c r="AE40147" t="s">
        <v>1398</v>
      </c>
      <c r="AF40147" t="s">
        <v>552</v>
      </c>
      <c r="AG40147" t="s">
        <v>1399</v>
      </c>
      <c r="AL40147" t="s">
        <v>5273</v>
      </c>
      <c r="AM40147" t="s">
        <v>5274</v>
      </c>
      <c r="AN40147" t="s">
        <v>5275</v>
      </c>
      <c r="AO40147" t="s">
        <v>3054</v>
      </c>
      <c r="AP40147" t="s">
        <v>158</v>
      </c>
      <c r="AQ40147" t="str">
        <f>IF(ISBLANK(AP40147), IFERROR(IF(VLOOKUP(AO40147, Ellens_additions!$A$2:$B$252, 2, FALSE) = "", "", VLOOKUP(AO40147, Ellens_additions!$A$2:$B$252, 2, FALSE)), 0), AP40147)</f>
        <v>3000</v>
      </c>
    </row>
    <row r="40148" spans="1:43" ht="14.4" hidden="1" x14ac:dyDescent="0.3">
      <c r="A40148" t="s">
        <v>5276</v>
      </c>
      <c r="B40148">
        <v>4929289</v>
      </c>
      <c r="C40148" t="s">
        <v>445</v>
      </c>
      <c r="D40148" t="s">
        <v>446</v>
      </c>
      <c r="E40148" t="s">
        <v>546</v>
      </c>
      <c r="F40148" t="s">
        <v>1395</v>
      </c>
      <c r="H40148" t="s">
        <v>244</v>
      </c>
      <c r="J40148" t="s">
        <v>140</v>
      </c>
      <c r="K40148">
        <v>159558.111</v>
      </c>
      <c r="L40148">
        <v>385597.712</v>
      </c>
      <c r="M40148">
        <v>1</v>
      </c>
      <c r="N40148" t="s">
        <v>1396</v>
      </c>
      <c r="O40148" t="s">
        <v>552</v>
      </c>
      <c r="P40148" t="s">
        <v>1397</v>
      </c>
      <c r="Q40148" t="s">
        <v>144</v>
      </c>
      <c r="S40148">
        <v>23</v>
      </c>
      <c r="T40148">
        <v>3000</v>
      </c>
      <c r="V40148" t="s">
        <v>146</v>
      </c>
      <c r="W40148" t="s">
        <v>147</v>
      </c>
      <c r="X40148" t="s">
        <v>7</v>
      </c>
      <c r="Y40148" t="s">
        <v>1006</v>
      </c>
      <c r="Z40148" t="s">
        <v>552</v>
      </c>
      <c r="AA40148" t="s">
        <v>404</v>
      </c>
      <c r="AB40148">
        <v>0</v>
      </c>
      <c r="AE40148" t="s">
        <v>1398</v>
      </c>
      <c r="AF40148" t="s">
        <v>552</v>
      </c>
      <c r="AG40148" t="s">
        <v>1399</v>
      </c>
      <c r="AL40148" t="s">
        <v>5277</v>
      </c>
      <c r="AM40148" t="s">
        <v>5278</v>
      </c>
      <c r="AN40148" t="s">
        <v>5279</v>
      </c>
      <c r="AO40148" t="s">
        <v>1396</v>
      </c>
      <c r="AP40148" t="s">
        <v>158</v>
      </c>
      <c r="AQ40148" t="str">
        <f>IF(ISBLANK(AP40148), IFERROR(IF(VLOOKUP(AO40148, Ellens_additions!$A$2:$B$252, 2, FALSE) = "", "", VLOOKUP(AO40148, Ellens_additions!$A$2:$B$252, 2, FALSE)), 0), AP40148)</f>
        <v>3000</v>
      </c>
    </row>
    <row r="40149" spans="1:43" ht="14.4" hidden="1" x14ac:dyDescent="0.3">
      <c r="A40149" t="s">
        <v>5280</v>
      </c>
      <c r="B40149">
        <v>4929292</v>
      </c>
      <c r="C40149" t="s">
        <v>445</v>
      </c>
      <c r="D40149" t="s">
        <v>446</v>
      </c>
      <c r="E40149" t="s">
        <v>546</v>
      </c>
      <c r="F40149" t="s">
        <v>1395</v>
      </c>
      <c r="H40149" t="s">
        <v>303</v>
      </c>
      <c r="J40149" t="s">
        <v>140</v>
      </c>
      <c r="K40149">
        <v>159592.26199999999</v>
      </c>
      <c r="L40149">
        <v>385542.11700000003</v>
      </c>
      <c r="M40149">
        <v>1</v>
      </c>
      <c r="N40149" t="s">
        <v>1396</v>
      </c>
      <c r="O40149" t="s">
        <v>552</v>
      </c>
      <c r="P40149" t="s">
        <v>1397</v>
      </c>
      <c r="Q40149" t="s">
        <v>144</v>
      </c>
      <c r="S40149">
        <v>23</v>
      </c>
      <c r="T40149">
        <v>3000</v>
      </c>
      <c r="V40149" t="s">
        <v>146</v>
      </c>
      <c r="W40149" t="s">
        <v>147</v>
      </c>
      <c r="X40149" t="s">
        <v>7</v>
      </c>
      <c r="Y40149" t="s">
        <v>1006</v>
      </c>
      <c r="Z40149" t="s">
        <v>552</v>
      </c>
      <c r="AA40149" t="s">
        <v>404</v>
      </c>
      <c r="AB40149">
        <v>0</v>
      </c>
      <c r="AE40149" t="s">
        <v>1398</v>
      </c>
      <c r="AF40149" t="s">
        <v>552</v>
      </c>
      <c r="AG40149" t="s">
        <v>1399</v>
      </c>
      <c r="AL40149" t="s">
        <v>5281</v>
      </c>
      <c r="AM40149" t="s">
        <v>5282</v>
      </c>
      <c r="AN40149" t="s">
        <v>5283</v>
      </c>
      <c r="AO40149" t="s">
        <v>1396</v>
      </c>
      <c r="AP40149" t="s">
        <v>158</v>
      </c>
      <c r="AQ40149" t="str">
        <f>IF(ISBLANK(AP40149), IFERROR(IF(VLOOKUP(AO40149, Ellens_additions!$A$2:$B$252, 2, FALSE) = "", "", VLOOKUP(AO40149, Ellens_additions!$A$2:$B$252, 2, FALSE)), 0), AP40149)</f>
        <v>3000</v>
      </c>
    </row>
    <row r="40150" spans="1:43" ht="14.4" hidden="1" x14ac:dyDescent="0.3">
      <c r="A40150" t="s">
        <v>5284</v>
      </c>
      <c r="B40150">
        <v>4929293</v>
      </c>
      <c r="C40150" t="s">
        <v>445</v>
      </c>
      <c r="D40150" t="s">
        <v>446</v>
      </c>
      <c r="E40150" t="s">
        <v>546</v>
      </c>
      <c r="F40150" t="s">
        <v>1395</v>
      </c>
      <c r="H40150" t="s">
        <v>255</v>
      </c>
      <c r="J40150" t="s">
        <v>140</v>
      </c>
      <c r="K40150">
        <v>159609.81</v>
      </c>
      <c r="L40150">
        <v>385512.11</v>
      </c>
      <c r="M40150">
        <v>1</v>
      </c>
      <c r="N40150" t="s">
        <v>1396</v>
      </c>
      <c r="O40150" t="s">
        <v>552</v>
      </c>
      <c r="P40150" t="s">
        <v>1397</v>
      </c>
      <c r="Q40150" t="s">
        <v>144</v>
      </c>
      <c r="S40150">
        <v>23</v>
      </c>
      <c r="T40150">
        <v>3000</v>
      </c>
      <c r="V40150" t="s">
        <v>146</v>
      </c>
      <c r="W40150" t="s">
        <v>147</v>
      </c>
      <c r="X40150" t="s">
        <v>7</v>
      </c>
      <c r="Y40150" t="s">
        <v>1006</v>
      </c>
      <c r="Z40150" t="s">
        <v>552</v>
      </c>
      <c r="AA40150" t="s">
        <v>404</v>
      </c>
      <c r="AB40150">
        <v>0</v>
      </c>
      <c r="AE40150" t="s">
        <v>1398</v>
      </c>
      <c r="AF40150" t="s">
        <v>552</v>
      </c>
      <c r="AG40150" t="s">
        <v>1399</v>
      </c>
      <c r="AL40150" t="s">
        <v>5285</v>
      </c>
      <c r="AM40150" t="s">
        <v>5286</v>
      </c>
      <c r="AN40150" t="s">
        <v>5287</v>
      </c>
      <c r="AO40150" t="s">
        <v>1396</v>
      </c>
      <c r="AP40150" t="s">
        <v>158</v>
      </c>
      <c r="AQ40150" t="str">
        <f>IF(ISBLANK(AP40150), IFERROR(IF(VLOOKUP(AO40150, Ellens_additions!$A$2:$B$252, 2, FALSE) = "", "", VLOOKUP(AO40150, Ellens_additions!$A$2:$B$252, 2, FALSE)), 0), AP40150)</f>
        <v>3000</v>
      </c>
    </row>
    <row r="40151" spans="1:43" ht="14.4" x14ac:dyDescent="0.3"/>
    <row r="40152" spans="1:43" ht="14.4" x14ac:dyDescent="0.3"/>
    <row r="40153" spans="1:43" ht="14.4" x14ac:dyDescent="0.3"/>
    <row r="40154" spans="1:43" ht="14.4" x14ac:dyDescent="0.3"/>
    <row r="40155" spans="1:43" ht="14.4" x14ac:dyDescent="0.3"/>
    <row r="40156" spans="1:43" ht="14.4" x14ac:dyDescent="0.3"/>
    <row r="40157" spans="1:43" ht="14.4" x14ac:dyDescent="0.3"/>
    <row r="40158" spans="1:43" ht="14.4" hidden="1" x14ac:dyDescent="0.3">
      <c r="A40158" t="s">
        <v>5288</v>
      </c>
      <c r="B40158">
        <v>4929313</v>
      </c>
      <c r="C40158" t="s">
        <v>445</v>
      </c>
      <c r="D40158" t="s">
        <v>446</v>
      </c>
      <c r="E40158" t="s">
        <v>478</v>
      </c>
      <c r="F40158" t="s">
        <v>1387</v>
      </c>
      <c r="H40158" t="s">
        <v>377</v>
      </c>
      <c r="J40158" t="s">
        <v>140</v>
      </c>
      <c r="K40158">
        <v>160470.73000000001</v>
      </c>
      <c r="L40158">
        <v>385061.51</v>
      </c>
      <c r="N40158" t="s">
        <v>1015</v>
      </c>
      <c r="O40158" t="s">
        <v>548</v>
      </c>
      <c r="P40158" t="s">
        <v>709</v>
      </c>
      <c r="Q40158" t="s">
        <v>144</v>
      </c>
      <c r="S40158">
        <v>34</v>
      </c>
      <c r="T40158">
        <v>4900</v>
      </c>
      <c r="V40158" t="s">
        <v>146</v>
      </c>
      <c r="W40158" t="s">
        <v>531</v>
      </c>
      <c r="Y40158" t="s">
        <v>283</v>
      </c>
      <c r="Z40158" t="s">
        <v>548</v>
      </c>
      <c r="AA40158" t="s">
        <v>1409</v>
      </c>
      <c r="AB40158">
        <v>0</v>
      </c>
      <c r="AE40158" t="s">
        <v>444</v>
      </c>
      <c r="AF40158" t="s">
        <v>548</v>
      </c>
      <c r="AG40158" t="s">
        <v>711</v>
      </c>
      <c r="AL40158" t="s">
        <v>5289</v>
      </c>
      <c r="AM40158" t="s">
        <v>5290</v>
      </c>
      <c r="AN40158" t="s">
        <v>5291</v>
      </c>
      <c r="AO40158" t="s">
        <v>1015</v>
      </c>
      <c r="AP40158" t="s">
        <v>158</v>
      </c>
      <c r="AQ40158" t="str">
        <f>IF(ISBLANK(AP40158), IFERROR(IF(VLOOKUP(AO40158, Ellens_additions!$A$2:$B$252, 2, FALSE) = "", "", VLOOKUP(AO40158, Ellens_additions!$A$2:$B$252, 2, FALSE)), 0), AP40158)</f>
        <v>3000</v>
      </c>
    </row>
    <row r="40159" spans="1:43" ht="14.4" hidden="1" x14ac:dyDescent="0.3">
      <c r="A40159" t="s">
        <v>5292</v>
      </c>
      <c r="B40159">
        <v>4929315</v>
      </c>
      <c r="C40159" t="s">
        <v>445</v>
      </c>
      <c r="D40159" t="s">
        <v>446</v>
      </c>
      <c r="E40159" t="s">
        <v>478</v>
      </c>
      <c r="F40159" t="s">
        <v>1387</v>
      </c>
      <c r="H40159" t="s">
        <v>296</v>
      </c>
      <c r="J40159" t="s">
        <v>140</v>
      </c>
      <c r="K40159">
        <v>160517.57</v>
      </c>
      <c r="L40159">
        <v>385059.07</v>
      </c>
      <c r="N40159" t="s">
        <v>1015</v>
      </c>
      <c r="O40159" t="s">
        <v>548</v>
      </c>
      <c r="P40159" t="s">
        <v>709</v>
      </c>
      <c r="Q40159" t="s">
        <v>144</v>
      </c>
      <c r="S40159">
        <v>34</v>
      </c>
      <c r="T40159">
        <v>4900</v>
      </c>
      <c r="V40159" t="s">
        <v>146</v>
      </c>
      <c r="W40159" t="s">
        <v>531</v>
      </c>
      <c r="Y40159" t="s">
        <v>283</v>
      </c>
      <c r="Z40159" t="s">
        <v>548</v>
      </c>
      <c r="AA40159" t="s">
        <v>1409</v>
      </c>
      <c r="AB40159">
        <v>0</v>
      </c>
      <c r="AE40159" t="s">
        <v>444</v>
      </c>
      <c r="AF40159" t="s">
        <v>548</v>
      </c>
      <c r="AG40159" t="s">
        <v>711</v>
      </c>
      <c r="AL40159" t="s">
        <v>5293</v>
      </c>
      <c r="AM40159" t="s">
        <v>5294</v>
      </c>
      <c r="AN40159" t="s">
        <v>5295</v>
      </c>
      <c r="AO40159" t="s">
        <v>1015</v>
      </c>
      <c r="AP40159" t="s">
        <v>158</v>
      </c>
      <c r="AQ40159" t="str">
        <f>IF(ISBLANK(AP40159), IFERROR(IF(VLOOKUP(AO40159, Ellens_additions!$A$2:$B$252, 2, FALSE) = "", "", VLOOKUP(AO40159, Ellens_additions!$A$2:$B$252, 2, FALSE)), 0), AP40159)</f>
        <v>3000</v>
      </c>
    </row>
    <row r="40160" spans="1:43" ht="14.4" hidden="1" x14ac:dyDescent="0.3">
      <c r="A40160" t="s">
        <v>5296</v>
      </c>
      <c r="B40160">
        <v>4929317</v>
      </c>
      <c r="C40160" t="s">
        <v>445</v>
      </c>
      <c r="D40160" t="s">
        <v>446</v>
      </c>
      <c r="E40160" t="s">
        <v>478</v>
      </c>
      <c r="F40160" t="s">
        <v>1387</v>
      </c>
      <c r="H40160" t="s">
        <v>244</v>
      </c>
      <c r="J40160" t="s">
        <v>140</v>
      </c>
      <c r="K40160">
        <v>160572.04</v>
      </c>
      <c r="L40160">
        <v>385050.55</v>
      </c>
      <c r="N40160" t="s">
        <v>1015</v>
      </c>
      <c r="O40160" t="s">
        <v>548</v>
      </c>
      <c r="P40160" t="s">
        <v>709</v>
      </c>
      <c r="Q40160" t="s">
        <v>144</v>
      </c>
      <c r="S40160">
        <v>34</v>
      </c>
      <c r="T40160">
        <v>4900</v>
      </c>
      <c r="V40160" t="s">
        <v>146</v>
      </c>
      <c r="W40160" t="s">
        <v>531</v>
      </c>
      <c r="Y40160" t="s">
        <v>283</v>
      </c>
      <c r="Z40160" t="s">
        <v>548</v>
      </c>
      <c r="AA40160" t="s">
        <v>1409</v>
      </c>
      <c r="AB40160">
        <v>0</v>
      </c>
      <c r="AE40160" t="s">
        <v>444</v>
      </c>
      <c r="AF40160" t="s">
        <v>548</v>
      </c>
      <c r="AG40160" t="s">
        <v>711</v>
      </c>
      <c r="AL40160" t="s">
        <v>5297</v>
      </c>
      <c r="AM40160" t="s">
        <v>5298</v>
      </c>
      <c r="AN40160" t="s">
        <v>5299</v>
      </c>
      <c r="AO40160" t="s">
        <v>1015</v>
      </c>
      <c r="AP40160" t="s">
        <v>158</v>
      </c>
      <c r="AQ40160" t="str">
        <f>IF(ISBLANK(AP40160), IFERROR(IF(VLOOKUP(AO40160, Ellens_additions!$A$2:$B$252, 2, FALSE) = "", "", VLOOKUP(AO40160, Ellens_additions!$A$2:$B$252, 2, FALSE)), 0), AP40160)</f>
        <v>3000</v>
      </c>
    </row>
    <row r="40161" spans="1:43" ht="14.4" x14ac:dyDescent="0.3"/>
    <row r="40162" spans="1:43" ht="14.4" x14ac:dyDescent="0.3"/>
    <row r="40163" spans="1:43" ht="14.4" x14ac:dyDescent="0.3"/>
    <row r="40164" spans="1:43" ht="14.4" x14ac:dyDescent="0.3"/>
    <row r="40165" spans="1:43" ht="14.4" hidden="1" x14ac:dyDescent="0.3">
      <c r="A40165" t="s">
        <v>5300</v>
      </c>
      <c r="B40165">
        <v>4929333</v>
      </c>
      <c r="C40165" t="s">
        <v>445</v>
      </c>
      <c r="D40165" t="s">
        <v>446</v>
      </c>
      <c r="E40165" t="s">
        <v>546</v>
      </c>
      <c r="F40165" t="s">
        <v>662</v>
      </c>
      <c r="H40165" t="s">
        <v>257</v>
      </c>
      <c r="J40165" t="s">
        <v>140</v>
      </c>
      <c r="K40165">
        <v>159660.53</v>
      </c>
      <c r="L40165">
        <v>385376.82</v>
      </c>
      <c r="M40165">
        <v>1</v>
      </c>
      <c r="N40165" t="s">
        <v>1918</v>
      </c>
      <c r="O40165" t="s">
        <v>1124</v>
      </c>
      <c r="P40165" t="s">
        <v>3395</v>
      </c>
      <c r="Q40165" t="s">
        <v>144</v>
      </c>
      <c r="S40165">
        <v>31</v>
      </c>
      <c r="T40165">
        <v>4000</v>
      </c>
      <c r="V40165" t="s">
        <v>146</v>
      </c>
      <c r="W40165" t="s">
        <v>147</v>
      </c>
      <c r="X40165" t="s">
        <v>7</v>
      </c>
      <c r="Y40165" t="s">
        <v>1006</v>
      </c>
      <c r="Z40165" t="s">
        <v>1124</v>
      </c>
      <c r="AA40165" t="s">
        <v>1373</v>
      </c>
      <c r="AB40165">
        <v>0</v>
      </c>
      <c r="AE40165" t="s">
        <v>1398</v>
      </c>
      <c r="AF40165" t="s">
        <v>1124</v>
      </c>
      <c r="AG40165" t="s">
        <v>5177</v>
      </c>
      <c r="AL40165" t="s">
        <v>5301</v>
      </c>
      <c r="AM40165" t="s">
        <v>5302</v>
      </c>
      <c r="AN40165" t="s">
        <v>5303</v>
      </c>
      <c r="AO40165" t="s">
        <v>1918</v>
      </c>
      <c r="AP40165" t="s">
        <v>158</v>
      </c>
      <c r="AQ40165" t="str">
        <f>IF(ISBLANK(AP40165), IFERROR(IF(VLOOKUP(AO40165, Ellens_additions!$A$2:$B$252, 2, FALSE) = "", "", VLOOKUP(AO40165, Ellens_additions!$A$2:$B$252, 2, FALSE)), 0), AP40165)</f>
        <v>3000</v>
      </c>
    </row>
    <row r="40166" spans="1:43" ht="14.4" hidden="1" x14ac:dyDescent="0.3">
      <c r="A40166" t="s">
        <v>5304</v>
      </c>
      <c r="B40166">
        <v>4929334</v>
      </c>
      <c r="C40166" t="s">
        <v>445</v>
      </c>
      <c r="D40166" t="s">
        <v>446</v>
      </c>
      <c r="E40166" t="s">
        <v>546</v>
      </c>
      <c r="F40166" t="s">
        <v>662</v>
      </c>
      <c r="H40166" t="s">
        <v>345</v>
      </c>
      <c r="J40166" t="s">
        <v>140</v>
      </c>
      <c r="K40166">
        <v>159669.74</v>
      </c>
      <c r="L40166">
        <v>385380.24</v>
      </c>
      <c r="M40166">
        <v>1</v>
      </c>
      <c r="N40166" t="s">
        <v>1918</v>
      </c>
      <c r="O40166" t="s">
        <v>1124</v>
      </c>
      <c r="P40166" t="s">
        <v>3395</v>
      </c>
      <c r="Q40166" t="s">
        <v>144</v>
      </c>
      <c r="S40166">
        <v>31</v>
      </c>
      <c r="T40166">
        <v>4000</v>
      </c>
      <c r="V40166" t="s">
        <v>146</v>
      </c>
      <c r="W40166" t="s">
        <v>147</v>
      </c>
      <c r="X40166" t="s">
        <v>7</v>
      </c>
      <c r="Y40166" t="s">
        <v>1006</v>
      </c>
      <c r="Z40166" t="s">
        <v>1124</v>
      </c>
      <c r="AA40166" t="s">
        <v>1373</v>
      </c>
      <c r="AB40166">
        <v>0</v>
      </c>
      <c r="AE40166" t="s">
        <v>1398</v>
      </c>
      <c r="AF40166" t="s">
        <v>1124</v>
      </c>
      <c r="AG40166" t="s">
        <v>5177</v>
      </c>
      <c r="AL40166" t="s">
        <v>5305</v>
      </c>
      <c r="AM40166" t="s">
        <v>5306</v>
      </c>
      <c r="AN40166" t="s">
        <v>5307</v>
      </c>
      <c r="AO40166" t="s">
        <v>1918</v>
      </c>
      <c r="AP40166" t="s">
        <v>158</v>
      </c>
      <c r="AQ40166" t="str">
        <f>IF(ISBLANK(AP40166), IFERROR(IF(VLOOKUP(AO40166, Ellens_additions!$A$2:$B$252, 2, FALSE) = "", "", VLOOKUP(AO40166, Ellens_additions!$A$2:$B$252, 2, FALSE)), 0), AP40166)</f>
        <v>3000</v>
      </c>
    </row>
    <row r="40167" spans="1:43" ht="14.4" hidden="1" x14ac:dyDescent="0.3">
      <c r="A40167" t="s">
        <v>5308</v>
      </c>
      <c r="B40167">
        <v>4929335</v>
      </c>
      <c r="C40167" t="s">
        <v>445</v>
      </c>
      <c r="D40167" t="s">
        <v>446</v>
      </c>
      <c r="E40167" t="s">
        <v>546</v>
      </c>
      <c r="F40167" t="s">
        <v>662</v>
      </c>
      <c r="H40167" t="s">
        <v>453</v>
      </c>
      <c r="J40167" t="s">
        <v>140</v>
      </c>
      <c r="K40167">
        <v>159686.06</v>
      </c>
      <c r="L40167">
        <v>385389.86</v>
      </c>
      <c r="M40167">
        <v>1</v>
      </c>
      <c r="N40167" t="s">
        <v>1918</v>
      </c>
      <c r="O40167" t="s">
        <v>1124</v>
      </c>
      <c r="P40167" t="s">
        <v>3395</v>
      </c>
      <c r="Q40167" t="s">
        <v>144</v>
      </c>
      <c r="S40167">
        <v>31</v>
      </c>
      <c r="T40167">
        <v>4000</v>
      </c>
      <c r="V40167" t="s">
        <v>146</v>
      </c>
      <c r="W40167" t="s">
        <v>147</v>
      </c>
      <c r="X40167" t="s">
        <v>7</v>
      </c>
      <c r="Y40167" t="s">
        <v>1006</v>
      </c>
      <c r="Z40167" t="s">
        <v>1124</v>
      </c>
      <c r="AA40167" t="s">
        <v>1373</v>
      </c>
      <c r="AB40167">
        <v>0</v>
      </c>
      <c r="AE40167" t="s">
        <v>1398</v>
      </c>
      <c r="AF40167" t="s">
        <v>1124</v>
      </c>
      <c r="AG40167" t="s">
        <v>5177</v>
      </c>
      <c r="AL40167" t="s">
        <v>5309</v>
      </c>
      <c r="AM40167" t="s">
        <v>5310</v>
      </c>
      <c r="AN40167" t="s">
        <v>5311</v>
      </c>
      <c r="AO40167" t="s">
        <v>1918</v>
      </c>
      <c r="AP40167" t="s">
        <v>158</v>
      </c>
      <c r="AQ40167" t="str">
        <f>IF(ISBLANK(AP40167), IFERROR(IF(VLOOKUP(AO40167, Ellens_additions!$A$2:$B$252, 2, FALSE) = "", "", VLOOKUP(AO40167, Ellens_additions!$A$2:$B$252, 2, FALSE)), 0), AP40167)</f>
        <v>3000</v>
      </c>
    </row>
    <row r="40168" spans="1:43" ht="14.4" x14ac:dyDescent="0.3"/>
    <row r="40169" spans="1:43" ht="14.4" x14ac:dyDescent="0.3"/>
    <row r="40170" spans="1:43" ht="14.4" x14ac:dyDescent="0.3"/>
    <row r="40171" spans="1:43" ht="14.4" x14ac:dyDescent="0.3"/>
    <row r="40172" spans="1:43" ht="14.4" x14ac:dyDescent="0.3"/>
    <row r="40173" spans="1:43" ht="14.4" x14ac:dyDescent="0.3"/>
    <row r="40174" spans="1:43" ht="14.4" hidden="1" x14ac:dyDescent="0.3">
      <c r="A40174" t="s">
        <v>5312</v>
      </c>
      <c r="B40174">
        <v>4929374</v>
      </c>
      <c r="C40174" t="s">
        <v>445</v>
      </c>
      <c r="D40174" t="s">
        <v>446</v>
      </c>
      <c r="E40174" t="s">
        <v>546</v>
      </c>
      <c r="F40174" t="s">
        <v>562</v>
      </c>
      <c r="H40174" t="s">
        <v>251</v>
      </c>
      <c r="J40174" t="s">
        <v>140</v>
      </c>
      <c r="K40174">
        <v>159617.23939999999</v>
      </c>
      <c r="L40174">
        <v>385098.00650000002</v>
      </c>
      <c r="M40174">
        <v>1</v>
      </c>
      <c r="N40174" t="s">
        <v>1426</v>
      </c>
      <c r="O40174" t="s">
        <v>484</v>
      </c>
      <c r="P40174" t="s">
        <v>1131</v>
      </c>
      <c r="Q40174" t="s">
        <v>144</v>
      </c>
      <c r="S40174">
        <v>15</v>
      </c>
      <c r="T40174">
        <v>2000</v>
      </c>
      <c r="V40174" t="s">
        <v>146</v>
      </c>
      <c r="W40174" t="s">
        <v>147</v>
      </c>
      <c r="X40174" t="s">
        <v>7</v>
      </c>
      <c r="Y40174" t="s">
        <v>863</v>
      </c>
      <c r="Z40174" t="s">
        <v>484</v>
      </c>
      <c r="AA40174" t="s">
        <v>1427</v>
      </c>
      <c r="AB40174">
        <v>0</v>
      </c>
      <c r="AE40174" t="s">
        <v>1398</v>
      </c>
      <c r="AF40174" t="s">
        <v>484</v>
      </c>
      <c r="AG40174" t="s">
        <v>1428</v>
      </c>
      <c r="AL40174" t="s">
        <v>5313</v>
      </c>
      <c r="AM40174" t="s">
        <v>5314</v>
      </c>
      <c r="AN40174" t="s">
        <v>5315</v>
      </c>
      <c r="AO40174" t="s">
        <v>1426</v>
      </c>
      <c r="AP40174" t="s">
        <v>158</v>
      </c>
      <c r="AQ40174" t="str">
        <f>IF(ISBLANK(AP40174), IFERROR(IF(VLOOKUP(AO40174, Ellens_additions!$A$2:$B$252, 2, FALSE) = "", "", VLOOKUP(AO40174, Ellens_additions!$A$2:$B$252, 2, FALSE)), 0), AP40174)</f>
        <v>3000</v>
      </c>
    </row>
    <row r="40175" spans="1:43" ht="14.4" hidden="1" x14ac:dyDescent="0.3">
      <c r="A40175" t="s">
        <v>5316</v>
      </c>
      <c r="B40175">
        <v>4929377</v>
      </c>
      <c r="C40175" t="s">
        <v>445</v>
      </c>
      <c r="D40175" t="s">
        <v>446</v>
      </c>
      <c r="E40175" t="s">
        <v>546</v>
      </c>
      <c r="F40175" t="s">
        <v>1433</v>
      </c>
      <c r="H40175" t="s">
        <v>295</v>
      </c>
      <c r="J40175" t="s">
        <v>140</v>
      </c>
      <c r="K40175">
        <v>159769.47760000001</v>
      </c>
      <c r="L40175">
        <v>385287.46620000002</v>
      </c>
      <c r="M40175">
        <v>1</v>
      </c>
      <c r="N40175" t="s">
        <v>1426</v>
      </c>
      <c r="O40175" t="s">
        <v>616</v>
      </c>
      <c r="P40175" t="s">
        <v>1035</v>
      </c>
      <c r="Q40175" t="s">
        <v>144</v>
      </c>
      <c r="S40175">
        <v>15</v>
      </c>
      <c r="T40175">
        <v>2000</v>
      </c>
      <c r="V40175" t="s">
        <v>146</v>
      </c>
      <c r="W40175" t="s">
        <v>147</v>
      </c>
      <c r="X40175" t="s">
        <v>7</v>
      </c>
      <c r="Y40175" t="s">
        <v>863</v>
      </c>
      <c r="Z40175" t="s">
        <v>616</v>
      </c>
      <c r="AA40175" t="s">
        <v>1036</v>
      </c>
      <c r="AB40175">
        <v>0</v>
      </c>
      <c r="AE40175" t="s">
        <v>1398</v>
      </c>
      <c r="AF40175" t="s">
        <v>616</v>
      </c>
      <c r="AG40175" t="s">
        <v>1037</v>
      </c>
      <c r="AL40175" t="s">
        <v>5317</v>
      </c>
      <c r="AM40175" t="s">
        <v>5318</v>
      </c>
      <c r="AN40175" t="s">
        <v>5319</v>
      </c>
      <c r="AO40175" t="s">
        <v>1426</v>
      </c>
      <c r="AP40175" t="s">
        <v>158</v>
      </c>
      <c r="AQ40175" t="str">
        <f>IF(ISBLANK(AP40175), IFERROR(IF(VLOOKUP(AO40175, Ellens_additions!$A$2:$B$252, 2, FALSE) = "", "", VLOOKUP(AO40175, Ellens_additions!$A$2:$B$252, 2, FALSE)), 0), AP40175)</f>
        <v>3000</v>
      </c>
    </row>
    <row r="40176" spans="1:43" ht="14.4" hidden="1" x14ac:dyDescent="0.3">
      <c r="A40176" t="s">
        <v>5320</v>
      </c>
      <c r="B40176">
        <v>4929378</v>
      </c>
      <c r="C40176" t="s">
        <v>445</v>
      </c>
      <c r="D40176" t="s">
        <v>446</v>
      </c>
      <c r="E40176" t="s">
        <v>546</v>
      </c>
      <c r="F40176" t="s">
        <v>1433</v>
      </c>
      <c r="H40176" t="s">
        <v>277</v>
      </c>
      <c r="J40176" t="s">
        <v>140</v>
      </c>
      <c r="K40176">
        <v>159765.16099999999</v>
      </c>
      <c r="L40176">
        <v>385306.59860000003</v>
      </c>
      <c r="M40176">
        <v>1</v>
      </c>
      <c r="N40176" t="s">
        <v>1426</v>
      </c>
      <c r="O40176" t="s">
        <v>616</v>
      </c>
      <c r="P40176" t="s">
        <v>1035</v>
      </c>
      <c r="Q40176" t="s">
        <v>144</v>
      </c>
      <c r="S40176">
        <v>15</v>
      </c>
      <c r="T40176">
        <v>2000</v>
      </c>
      <c r="V40176" t="s">
        <v>146</v>
      </c>
      <c r="W40176" t="s">
        <v>147</v>
      </c>
      <c r="X40176" t="s">
        <v>7</v>
      </c>
      <c r="Y40176" t="s">
        <v>863</v>
      </c>
      <c r="Z40176" t="s">
        <v>616</v>
      </c>
      <c r="AA40176" t="s">
        <v>1036</v>
      </c>
      <c r="AB40176">
        <v>0</v>
      </c>
      <c r="AE40176" t="s">
        <v>1398</v>
      </c>
      <c r="AF40176" t="s">
        <v>616</v>
      </c>
      <c r="AG40176" t="s">
        <v>1037</v>
      </c>
      <c r="AL40176" t="s">
        <v>5321</v>
      </c>
      <c r="AM40176" t="s">
        <v>5322</v>
      </c>
      <c r="AN40176" t="s">
        <v>5323</v>
      </c>
      <c r="AO40176" t="s">
        <v>1426</v>
      </c>
      <c r="AP40176" t="s">
        <v>158</v>
      </c>
      <c r="AQ40176" t="str">
        <f>IF(ISBLANK(AP40176), IFERROR(IF(VLOOKUP(AO40176, Ellens_additions!$A$2:$B$252, 2, FALSE) = "", "", VLOOKUP(AO40176, Ellens_additions!$A$2:$B$252, 2, FALSE)), 0), AP40176)</f>
        <v>3000</v>
      </c>
    </row>
    <row r="40177" ht="14.4" x14ac:dyDescent="0.3"/>
    <row r="40178" ht="14.4" x14ac:dyDescent="0.3"/>
    <row r="40179" ht="14.4" x14ac:dyDescent="0.3"/>
    <row r="40180" ht="14.4" x14ac:dyDescent="0.3"/>
    <row r="40181" ht="14.4" x14ac:dyDescent="0.3"/>
    <row r="40182" ht="14.4" x14ac:dyDescent="0.3"/>
    <row r="40183" ht="14.4" x14ac:dyDescent="0.3"/>
    <row r="40184" ht="14.4" x14ac:dyDescent="0.3"/>
    <row r="40185" ht="14.4" x14ac:dyDescent="0.3"/>
    <row r="40186" ht="14.4" x14ac:dyDescent="0.3"/>
    <row r="40187" ht="14.4" x14ac:dyDescent="0.3"/>
    <row r="40188" ht="14.4" x14ac:dyDescent="0.3"/>
    <row r="40189" ht="14.4" x14ac:dyDescent="0.3"/>
    <row r="40190" ht="14.4" x14ac:dyDescent="0.3"/>
    <row r="40191" ht="14.4" x14ac:dyDescent="0.3"/>
    <row r="40192" ht="14.4" x14ac:dyDescent="0.3"/>
    <row r="40193" spans="1:43" ht="14.4" x14ac:dyDescent="0.3"/>
    <row r="40194" spans="1:43" ht="14.4" x14ac:dyDescent="0.3"/>
    <row r="40195" spans="1:43" ht="14.4" x14ac:dyDescent="0.3"/>
    <row r="40196" spans="1:43" ht="14.4" x14ac:dyDescent="0.3"/>
    <row r="40197" spans="1:43" ht="14.4" x14ac:dyDescent="0.3"/>
    <row r="40198" spans="1:43" ht="14.4" x14ac:dyDescent="0.3"/>
    <row r="40199" spans="1:43" ht="14.4" x14ac:dyDescent="0.3"/>
    <row r="40200" spans="1:43" ht="14.4" x14ac:dyDescent="0.3"/>
    <row r="40201" spans="1:43" ht="14.4" x14ac:dyDescent="0.3"/>
    <row r="40202" spans="1:43" ht="14.4" x14ac:dyDescent="0.3"/>
    <row r="40203" spans="1:43" ht="14.4" hidden="1" x14ac:dyDescent="0.3">
      <c r="A40203" t="s">
        <v>5324</v>
      </c>
      <c r="B40203">
        <v>4929462</v>
      </c>
      <c r="C40203" t="s">
        <v>445</v>
      </c>
      <c r="D40203" t="s">
        <v>446</v>
      </c>
      <c r="E40203" t="s">
        <v>546</v>
      </c>
      <c r="F40203" t="s">
        <v>562</v>
      </c>
      <c r="H40203" t="s">
        <v>274</v>
      </c>
      <c r="J40203" t="s">
        <v>140</v>
      </c>
      <c r="K40203">
        <v>159652.22</v>
      </c>
      <c r="L40203">
        <v>385097.47</v>
      </c>
      <c r="N40203" t="s">
        <v>1440</v>
      </c>
      <c r="O40203" t="s">
        <v>833</v>
      </c>
      <c r="P40203" t="s">
        <v>1441</v>
      </c>
      <c r="Q40203" t="s">
        <v>144</v>
      </c>
      <c r="R40203" t="s">
        <v>145</v>
      </c>
      <c r="S40203">
        <v>30</v>
      </c>
      <c r="T40203">
        <v>1170</v>
      </c>
      <c r="V40203" t="s">
        <v>146</v>
      </c>
      <c r="W40203" t="s">
        <v>147</v>
      </c>
      <c r="X40203" t="s">
        <v>7</v>
      </c>
      <c r="Y40203" t="s">
        <v>1442</v>
      </c>
      <c r="Z40203" t="s">
        <v>833</v>
      </c>
      <c r="AA40203" t="s">
        <v>1443</v>
      </c>
      <c r="AB40203">
        <v>0</v>
      </c>
      <c r="AE40203" t="s">
        <v>1444</v>
      </c>
      <c r="AF40203" t="s">
        <v>833</v>
      </c>
      <c r="AG40203" t="s">
        <v>1445</v>
      </c>
      <c r="AL40203" t="s">
        <v>5325</v>
      </c>
      <c r="AM40203" t="s">
        <v>5326</v>
      </c>
      <c r="AN40203" t="s">
        <v>5327</v>
      </c>
      <c r="AO40203" t="s">
        <v>1440</v>
      </c>
      <c r="AQ40203" t="str">
        <f>IF(ISBLANK(AP40203), IFERROR(IF(VLOOKUP(AO40203, Ellens_additions!$A$2:$B$252, 2, FALSE) = "", "", VLOOKUP(AO40203, Ellens_additions!$A$2:$B$252, 2, FALSE)), 0), AP40203)</f>
        <v/>
      </c>
    </row>
    <row r="40204" spans="1:43" ht="14.4" hidden="1" x14ac:dyDescent="0.3">
      <c r="A40204" t="s">
        <v>5324</v>
      </c>
      <c r="B40204">
        <v>4929463</v>
      </c>
      <c r="C40204" t="s">
        <v>445</v>
      </c>
      <c r="D40204" t="s">
        <v>446</v>
      </c>
      <c r="E40204" t="s">
        <v>546</v>
      </c>
      <c r="F40204" t="s">
        <v>562</v>
      </c>
      <c r="H40204" t="s">
        <v>274</v>
      </c>
      <c r="J40204" t="s">
        <v>140</v>
      </c>
      <c r="K40204">
        <v>159652.22</v>
      </c>
      <c r="L40204">
        <v>385097.47</v>
      </c>
      <c r="N40204" t="s">
        <v>1440</v>
      </c>
      <c r="O40204" t="s">
        <v>833</v>
      </c>
      <c r="P40204" t="s">
        <v>1441</v>
      </c>
      <c r="Q40204" t="s">
        <v>144</v>
      </c>
      <c r="R40204" t="s">
        <v>145</v>
      </c>
      <c r="S40204">
        <v>30</v>
      </c>
      <c r="T40204">
        <v>1170</v>
      </c>
      <c r="V40204" t="s">
        <v>146</v>
      </c>
      <c r="W40204" t="s">
        <v>147</v>
      </c>
      <c r="X40204" t="s">
        <v>9</v>
      </c>
      <c r="Y40204" t="s">
        <v>1442</v>
      </c>
      <c r="Z40204" t="s">
        <v>833</v>
      </c>
      <c r="AA40204" t="s">
        <v>1443</v>
      </c>
      <c r="AB40204">
        <v>0</v>
      </c>
      <c r="AE40204" t="s">
        <v>1444</v>
      </c>
      <c r="AF40204" t="s">
        <v>833</v>
      </c>
      <c r="AG40204" t="s">
        <v>1445</v>
      </c>
      <c r="AL40204" t="s">
        <v>5325</v>
      </c>
      <c r="AM40204" t="s">
        <v>5326</v>
      </c>
      <c r="AN40204" t="s">
        <v>5327</v>
      </c>
      <c r="AO40204" t="s">
        <v>1440</v>
      </c>
      <c r="AQ40204" t="str">
        <f>IF(ISBLANK(AP40204), IFERROR(IF(VLOOKUP(AO40204, Ellens_additions!$A$2:$B$252, 2, FALSE) = "", "", VLOOKUP(AO40204, Ellens_additions!$A$2:$B$252, 2, FALSE)), 0), AP40204)</f>
        <v/>
      </c>
    </row>
    <row r="40205" spans="1:43" ht="14.4" hidden="1" x14ac:dyDescent="0.3">
      <c r="A40205" t="s">
        <v>5324</v>
      </c>
      <c r="B40205">
        <v>4929464</v>
      </c>
      <c r="C40205" t="s">
        <v>445</v>
      </c>
      <c r="D40205" t="s">
        <v>446</v>
      </c>
      <c r="E40205" t="s">
        <v>546</v>
      </c>
      <c r="F40205" t="s">
        <v>562</v>
      </c>
      <c r="H40205" t="s">
        <v>274</v>
      </c>
      <c r="J40205" t="s">
        <v>140</v>
      </c>
      <c r="K40205">
        <v>159652.22</v>
      </c>
      <c r="L40205">
        <v>385097.47</v>
      </c>
      <c r="N40205" t="s">
        <v>1440</v>
      </c>
      <c r="O40205" t="s">
        <v>833</v>
      </c>
      <c r="P40205" t="s">
        <v>1441</v>
      </c>
      <c r="Q40205" t="s">
        <v>144</v>
      </c>
      <c r="R40205" t="s">
        <v>145</v>
      </c>
      <c r="S40205">
        <v>30</v>
      </c>
      <c r="T40205">
        <v>1170</v>
      </c>
      <c r="V40205" t="s">
        <v>146</v>
      </c>
      <c r="W40205" t="s">
        <v>147</v>
      </c>
      <c r="X40205" t="s">
        <v>11</v>
      </c>
      <c r="Y40205" t="s">
        <v>1442</v>
      </c>
      <c r="Z40205" t="s">
        <v>833</v>
      </c>
      <c r="AA40205" t="s">
        <v>1443</v>
      </c>
      <c r="AB40205">
        <v>0</v>
      </c>
      <c r="AE40205" t="s">
        <v>1444</v>
      </c>
      <c r="AF40205" t="s">
        <v>833</v>
      </c>
      <c r="AG40205" t="s">
        <v>1445</v>
      </c>
      <c r="AL40205" t="s">
        <v>5325</v>
      </c>
      <c r="AM40205" t="s">
        <v>5326</v>
      </c>
      <c r="AN40205" t="s">
        <v>5327</v>
      </c>
      <c r="AO40205" t="s">
        <v>1440</v>
      </c>
      <c r="AQ40205" t="str">
        <f>IF(ISBLANK(AP40205), IFERROR(IF(VLOOKUP(AO40205, Ellens_additions!$A$2:$B$252, 2, FALSE) = "", "", VLOOKUP(AO40205, Ellens_additions!$A$2:$B$252, 2, FALSE)), 0), AP40205)</f>
        <v/>
      </c>
    </row>
    <row r="40206" spans="1:43" ht="14.4" hidden="1" x14ac:dyDescent="0.3">
      <c r="A40206" t="s">
        <v>1934</v>
      </c>
      <c r="B40206">
        <v>4929465</v>
      </c>
      <c r="C40206" t="s">
        <v>445</v>
      </c>
      <c r="D40206" t="s">
        <v>446</v>
      </c>
      <c r="E40206" t="s">
        <v>546</v>
      </c>
      <c r="F40206" t="s">
        <v>562</v>
      </c>
      <c r="H40206" t="s">
        <v>244</v>
      </c>
      <c r="J40206" t="s">
        <v>140</v>
      </c>
      <c r="K40206">
        <v>159645.35999999999</v>
      </c>
      <c r="L40206">
        <v>385134.32</v>
      </c>
      <c r="N40206" t="s">
        <v>1440</v>
      </c>
      <c r="O40206" t="s">
        <v>833</v>
      </c>
      <c r="P40206" t="s">
        <v>1441</v>
      </c>
      <c r="Q40206" t="s">
        <v>144</v>
      </c>
      <c r="R40206" t="s">
        <v>145</v>
      </c>
      <c r="S40206">
        <v>30</v>
      </c>
      <c r="T40206">
        <v>1170</v>
      </c>
      <c r="V40206" t="s">
        <v>146</v>
      </c>
      <c r="W40206" t="s">
        <v>147</v>
      </c>
      <c r="X40206" t="s">
        <v>7</v>
      </c>
      <c r="Y40206" t="s">
        <v>1442</v>
      </c>
      <c r="Z40206" t="s">
        <v>833</v>
      </c>
      <c r="AA40206" t="s">
        <v>1443</v>
      </c>
      <c r="AB40206">
        <v>0</v>
      </c>
      <c r="AE40206" t="s">
        <v>1444</v>
      </c>
      <c r="AF40206" t="s">
        <v>833</v>
      </c>
      <c r="AG40206" t="s">
        <v>1445</v>
      </c>
      <c r="AL40206" t="s">
        <v>1935</v>
      </c>
      <c r="AM40206" t="s">
        <v>1936</v>
      </c>
      <c r="AN40206" t="s">
        <v>1937</v>
      </c>
      <c r="AO40206" t="s">
        <v>1440</v>
      </c>
      <c r="AQ40206" t="str">
        <f>IF(ISBLANK(AP40206), IFERROR(IF(VLOOKUP(AO40206, Ellens_additions!$A$2:$B$252, 2, FALSE) = "", "", VLOOKUP(AO40206, Ellens_additions!$A$2:$B$252, 2, FALSE)), 0), AP40206)</f>
        <v/>
      </c>
    </row>
    <row r="40207" spans="1:43" ht="14.4" hidden="1" x14ac:dyDescent="0.3">
      <c r="A40207" t="s">
        <v>1934</v>
      </c>
      <c r="B40207">
        <v>4929467</v>
      </c>
      <c r="C40207" t="s">
        <v>445</v>
      </c>
      <c r="D40207" t="s">
        <v>446</v>
      </c>
      <c r="E40207" t="s">
        <v>546</v>
      </c>
      <c r="F40207" t="s">
        <v>562</v>
      </c>
      <c r="H40207" t="s">
        <v>244</v>
      </c>
      <c r="J40207" t="s">
        <v>140</v>
      </c>
      <c r="K40207">
        <v>159645.35999999999</v>
      </c>
      <c r="L40207">
        <v>385134.32</v>
      </c>
      <c r="N40207" t="s">
        <v>1440</v>
      </c>
      <c r="O40207" t="s">
        <v>833</v>
      </c>
      <c r="P40207" t="s">
        <v>1441</v>
      </c>
      <c r="Q40207" t="s">
        <v>144</v>
      </c>
      <c r="R40207" t="s">
        <v>145</v>
      </c>
      <c r="S40207">
        <v>30</v>
      </c>
      <c r="T40207">
        <v>1170</v>
      </c>
      <c r="V40207" t="s">
        <v>146</v>
      </c>
      <c r="W40207" t="s">
        <v>147</v>
      </c>
      <c r="X40207" t="s">
        <v>11</v>
      </c>
      <c r="Y40207" t="s">
        <v>1442</v>
      </c>
      <c r="Z40207" t="s">
        <v>833</v>
      </c>
      <c r="AA40207" t="s">
        <v>1443</v>
      </c>
      <c r="AB40207">
        <v>0</v>
      </c>
      <c r="AE40207" t="s">
        <v>1444</v>
      </c>
      <c r="AF40207" t="s">
        <v>833</v>
      </c>
      <c r="AG40207" t="s">
        <v>1445</v>
      </c>
      <c r="AL40207" t="s">
        <v>1935</v>
      </c>
      <c r="AM40207" t="s">
        <v>1936</v>
      </c>
      <c r="AN40207" t="s">
        <v>1937</v>
      </c>
      <c r="AO40207" t="s">
        <v>1440</v>
      </c>
      <c r="AQ40207" t="str">
        <f>IF(ISBLANK(AP40207), IFERROR(IF(VLOOKUP(AO40207, Ellens_additions!$A$2:$B$252, 2, FALSE) = "", "", VLOOKUP(AO40207, Ellens_additions!$A$2:$B$252, 2, FALSE)), 0), AP40207)</f>
        <v/>
      </c>
    </row>
    <row r="40208" spans="1:43" ht="14.4" x14ac:dyDescent="0.3"/>
    <row r="40209" ht="14.4" x14ac:dyDescent="0.3"/>
    <row r="40210" ht="14.4" x14ac:dyDescent="0.3"/>
    <row r="40211" ht="14.4" x14ac:dyDescent="0.3"/>
    <row r="40212" ht="14.4" x14ac:dyDescent="0.3"/>
    <row r="40213" ht="14.4" x14ac:dyDescent="0.3"/>
    <row r="40214" ht="14.4" x14ac:dyDescent="0.3"/>
    <row r="40215" ht="14.4" x14ac:dyDescent="0.3"/>
    <row r="40216" ht="14.4" x14ac:dyDescent="0.3"/>
    <row r="40217" ht="14.4" x14ac:dyDescent="0.3"/>
    <row r="40218" ht="14.4" x14ac:dyDescent="0.3"/>
    <row r="40219" ht="14.4" x14ac:dyDescent="0.3"/>
    <row r="40220" ht="14.4" x14ac:dyDescent="0.3"/>
    <row r="40221" ht="14.4" x14ac:dyDescent="0.3"/>
    <row r="40222" ht="14.4" x14ac:dyDescent="0.3"/>
    <row r="40223" ht="14.4" x14ac:dyDescent="0.3"/>
    <row r="40224" ht="14.4" x14ac:dyDescent="0.3"/>
    <row r="40225" ht="14.4" x14ac:dyDescent="0.3"/>
    <row r="40226" ht="14.4" x14ac:dyDescent="0.3"/>
    <row r="40227" ht="14.4" x14ac:dyDescent="0.3"/>
    <row r="40228" ht="14.4" x14ac:dyDescent="0.3"/>
    <row r="40229" ht="14.4" x14ac:dyDescent="0.3"/>
    <row r="40230" ht="14.4" x14ac:dyDescent="0.3"/>
    <row r="40231" ht="14.4" x14ac:dyDescent="0.3"/>
    <row r="40232" ht="14.4" x14ac:dyDescent="0.3"/>
    <row r="40233" ht="14.4" x14ac:dyDescent="0.3"/>
    <row r="40234" ht="14.4" x14ac:dyDescent="0.3"/>
    <row r="40235" ht="14.4" x14ac:dyDescent="0.3"/>
    <row r="40236" ht="14.4" x14ac:dyDescent="0.3"/>
    <row r="40237" ht="14.4" x14ac:dyDescent="0.3"/>
    <row r="40238" ht="14.4" x14ac:dyDescent="0.3"/>
    <row r="40239" ht="14.4" x14ac:dyDescent="0.3"/>
    <row r="40240" ht="14.4" x14ac:dyDescent="0.3"/>
    <row r="40241" ht="14.4" x14ac:dyDescent="0.3"/>
    <row r="40242" ht="14.4" x14ac:dyDescent="0.3"/>
    <row r="40243" ht="14.4" x14ac:dyDescent="0.3"/>
    <row r="40244" ht="14.4" x14ac:dyDescent="0.3"/>
    <row r="40245" ht="14.4" x14ac:dyDescent="0.3"/>
    <row r="40246" ht="14.4" x14ac:dyDescent="0.3"/>
    <row r="40247" ht="14.4" x14ac:dyDescent="0.3"/>
    <row r="40248" ht="14.4" x14ac:dyDescent="0.3"/>
    <row r="40249" ht="14.4" x14ac:dyDescent="0.3"/>
    <row r="40250" ht="14.4" x14ac:dyDescent="0.3"/>
    <row r="40251" ht="14.4" x14ac:dyDescent="0.3"/>
    <row r="40252" ht="14.4" x14ac:dyDescent="0.3"/>
    <row r="40253" ht="14.4" x14ac:dyDescent="0.3"/>
    <row r="40254" ht="14.4" x14ac:dyDescent="0.3"/>
    <row r="40255" ht="14.4" x14ac:dyDescent="0.3"/>
    <row r="40256" ht="14.4" x14ac:dyDescent="0.3"/>
    <row r="40257" ht="14.4" x14ac:dyDescent="0.3"/>
    <row r="40258" ht="14.4" x14ac:dyDescent="0.3"/>
    <row r="40259" ht="14.4" x14ac:dyDescent="0.3"/>
    <row r="40260" ht="14.4" x14ac:dyDescent="0.3"/>
    <row r="40261" ht="14.4" x14ac:dyDescent="0.3"/>
    <row r="40262" ht="14.4" x14ac:dyDescent="0.3"/>
    <row r="40263" ht="14.4" x14ac:dyDescent="0.3"/>
    <row r="40264" ht="14.4" x14ac:dyDescent="0.3"/>
    <row r="40265" ht="14.4" x14ac:dyDescent="0.3"/>
    <row r="40266" ht="14.4" x14ac:dyDescent="0.3"/>
    <row r="40267" ht="14.4" x14ac:dyDescent="0.3"/>
    <row r="40268" ht="14.4" x14ac:dyDescent="0.3"/>
    <row r="40269" ht="14.4" x14ac:dyDescent="0.3"/>
    <row r="40270" ht="14.4" x14ac:dyDescent="0.3"/>
    <row r="40271" ht="14.4" x14ac:dyDescent="0.3"/>
    <row r="40272" ht="14.4" x14ac:dyDescent="0.3"/>
    <row r="40273" ht="14.4" x14ac:dyDescent="0.3"/>
    <row r="40274" ht="14.4" x14ac:dyDescent="0.3"/>
    <row r="40275" ht="14.4" x14ac:dyDescent="0.3"/>
    <row r="40276" ht="14.4" x14ac:dyDescent="0.3"/>
    <row r="40277" ht="14.4" x14ac:dyDescent="0.3"/>
    <row r="40278" ht="14.4" x14ac:dyDescent="0.3"/>
    <row r="40279" ht="14.4" x14ac:dyDescent="0.3"/>
    <row r="40280" ht="14.4" x14ac:dyDescent="0.3"/>
    <row r="40281" ht="14.4" x14ac:dyDescent="0.3"/>
    <row r="40282" ht="14.4" x14ac:dyDescent="0.3"/>
    <row r="40283" ht="14.4" x14ac:dyDescent="0.3"/>
    <row r="40284" ht="14.4" x14ac:dyDescent="0.3"/>
    <row r="40285" ht="14.4" x14ac:dyDescent="0.3"/>
    <row r="40286" ht="14.4" x14ac:dyDescent="0.3"/>
    <row r="40287" ht="14.4" x14ac:dyDescent="0.3"/>
    <row r="40288" ht="14.4" x14ac:dyDescent="0.3"/>
    <row r="40289" ht="14.4" x14ac:dyDescent="0.3"/>
    <row r="40290" ht="14.4" x14ac:dyDescent="0.3"/>
    <row r="40291" ht="14.4" x14ac:dyDescent="0.3"/>
    <row r="40292" ht="14.4" x14ac:dyDescent="0.3"/>
    <row r="40293" ht="14.4" x14ac:dyDescent="0.3"/>
    <row r="40294" ht="14.4" x14ac:dyDescent="0.3"/>
    <row r="40295" ht="14.4" x14ac:dyDescent="0.3"/>
    <row r="40296" ht="14.4" x14ac:dyDescent="0.3"/>
    <row r="40297" ht="14.4" x14ac:dyDescent="0.3"/>
    <row r="40298" ht="14.4" x14ac:dyDescent="0.3"/>
    <row r="40299" ht="14.4" x14ac:dyDescent="0.3"/>
    <row r="40300" ht="14.4" x14ac:dyDescent="0.3"/>
    <row r="40301" ht="14.4" x14ac:dyDescent="0.3"/>
    <row r="40302" ht="14.4" x14ac:dyDescent="0.3"/>
    <row r="40303" ht="14.4" x14ac:dyDescent="0.3"/>
    <row r="40304" ht="14.4" x14ac:dyDescent="0.3"/>
    <row r="40305" ht="14.4" x14ac:dyDescent="0.3"/>
    <row r="40306" ht="14.4" x14ac:dyDescent="0.3"/>
    <row r="40307" ht="14.4" x14ac:dyDescent="0.3"/>
    <row r="40308" ht="14.4" x14ac:dyDescent="0.3"/>
    <row r="40309" ht="14.4" x14ac:dyDescent="0.3"/>
    <row r="40310" ht="14.4" x14ac:dyDescent="0.3"/>
    <row r="40311" ht="14.4" x14ac:dyDescent="0.3"/>
    <row r="40312" ht="14.4" x14ac:dyDescent="0.3"/>
    <row r="40313" ht="14.4" x14ac:dyDescent="0.3"/>
    <row r="40314" ht="14.4" x14ac:dyDescent="0.3"/>
    <row r="40315" ht="14.4" x14ac:dyDescent="0.3"/>
    <row r="40316" ht="14.4" x14ac:dyDescent="0.3"/>
    <row r="40317" ht="14.4" x14ac:dyDescent="0.3"/>
    <row r="40318" ht="14.4" x14ac:dyDescent="0.3"/>
    <row r="40319" ht="14.4" x14ac:dyDescent="0.3"/>
    <row r="40320" ht="14.4" x14ac:dyDescent="0.3"/>
    <row r="40321" ht="14.4" x14ac:dyDescent="0.3"/>
    <row r="40322" ht="14.4" x14ac:dyDescent="0.3"/>
    <row r="40323" ht="14.4" x14ac:dyDescent="0.3"/>
    <row r="40324" ht="14.4" x14ac:dyDescent="0.3"/>
    <row r="40325" ht="14.4" x14ac:dyDescent="0.3"/>
    <row r="40326" ht="14.4" x14ac:dyDescent="0.3"/>
    <row r="40327" ht="14.4" x14ac:dyDescent="0.3"/>
    <row r="40328" ht="14.4" x14ac:dyDescent="0.3"/>
    <row r="40329" ht="14.4" x14ac:dyDescent="0.3"/>
    <row r="40330" ht="14.4" x14ac:dyDescent="0.3"/>
    <row r="40331" ht="14.4" x14ac:dyDescent="0.3"/>
    <row r="40332" ht="14.4" x14ac:dyDescent="0.3"/>
    <row r="40333" ht="14.4" x14ac:dyDescent="0.3"/>
    <row r="40334" ht="14.4" x14ac:dyDescent="0.3"/>
    <row r="40335" ht="14.4" x14ac:dyDescent="0.3"/>
    <row r="40336" ht="14.4" x14ac:dyDescent="0.3"/>
    <row r="40337" ht="14.4" x14ac:dyDescent="0.3"/>
    <row r="40338" ht="14.4" x14ac:dyDescent="0.3"/>
    <row r="40339" ht="14.4" x14ac:dyDescent="0.3"/>
    <row r="40340" ht="14.4" x14ac:dyDescent="0.3"/>
    <row r="40341" ht="14.4" x14ac:dyDescent="0.3"/>
    <row r="40342" ht="14.4" x14ac:dyDescent="0.3"/>
    <row r="40343" ht="14.4" x14ac:dyDescent="0.3"/>
    <row r="40344" ht="14.4" x14ac:dyDescent="0.3"/>
    <row r="40345" ht="14.4" x14ac:dyDescent="0.3"/>
    <row r="40346" ht="14.4" x14ac:dyDescent="0.3"/>
    <row r="40347" ht="14.4" x14ac:dyDescent="0.3"/>
    <row r="40348" ht="14.4" x14ac:dyDescent="0.3"/>
    <row r="40349" ht="14.4" x14ac:dyDescent="0.3"/>
    <row r="40350" ht="14.4" x14ac:dyDescent="0.3"/>
    <row r="40351" ht="14.4" x14ac:dyDescent="0.3"/>
    <row r="40352" ht="14.4" x14ac:dyDescent="0.3"/>
    <row r="40353" ht="14.4" x14ac:dyDescent="0.3"/>
    <row r="40354" ht="14.4" x14ac:dyDescent="0.3"/>
    <row r="40355" ht="14.4" x14ac:dyDescent="0.3"/>
    <row r="40356" ht="14.4" x14ac:dyDescent="0.3"/>
    <row r="40357" ht="14.4" x14ac:dyDescent="0.3"/>
    <row r="40358" ht="14.4" x14ac:dyDescent="0.3"/>
    <row r="40359" ht="14.4" x14ac:dyDescent="0.3"/>
    <row r="40360" ht="14.4" x14ac:dyDescent="0.3"/>
    <row r="40361" ht="14.4" x14ac:dyDescent="0.3"/>
    <row r="40362" ht="14.4" x14ac:dyDescent="0.3"/>
    <row r="40363" ht="14.4" x14ac:dyDescent="0.3"/>
    <row r="40364" ht="14.4" x14ac:dyDescent="0.3"/>
    <row r="40365" ht="14.4" x14ac:dyDescent="0.3"/>
    <row r="40366" ht="14.4" x14ac:dyDescent="0.3"/>
    <row r="40367" ht="14.4" x14ac:dyDescent="0.3"/>
    <row r="40368" ht="14.4" x14ac:dyDescent="0.3"/>
    <row r="40369" ht="14.4" x14ac:dyDescent="0.3"/>
    <row r="40370" ht="14.4" x14ac:dyDescent="0.3"/>
    <row r="40371" ht="14.4" x14ac:dyDescent="0.3"/>
    <row r="40372" ht="14.4" x14ac:dyDescent="0.3"/>
    <row r="40373" ht="14.4" x14ac:dyDescent="0.3"/>
    <row r="40374" ht="14.4" x14ac:dyDescent="0.3"/>
    <row r="40375" ht="14.4" x14ac:dyDescent="0.3"/>
    <row r="40376" ht="14.4" x14ac:dyDescent="0.3"/>
    <row r="40377" ht="14.4" x14ac:dyDescent="0.3"/>
    <row r="40378" ht="14.4" x14ac:dyDescent="0.3"/>
    <row r="40379" ht="14.4" x14ac:dyDescent="0.3"/>
    <row r="40380" ht="14.4" x14ac:dyDescent="0.3"/>
    <row r="40381" ht="14.4" x14ac:dyDescent="0.3"/>
    <row r="40382" ht="14.4" x14ac:dyDescent="0.3"/>
    <row r="40383" ht="14.4" x14ac:dyDescent="0.3"/>
    <row r="40384" ht="14.4" x14ac:dyDescent="0.3"/>
    <row r="40385" ht="14.4" x14ac:dyDescent="0.3"/>
    <row r="40386" ht="14.4" x14ac:dyDescent="0.3"/>
    <row r="40387" ht="14.4" x14ac:dyDescent="0.3"/>
    <row r="40388" ht="14.4" x14ac:dyDescent="0.3"/>
    <row r="40389" ht="14.4" x14ac:dyDescent="0.3"/>
    <row r="40390" ht="14.4" x14ac:dyDescent="0.3"/>
    <row r="40391" ht="14.4" x14ac:dyDescent="0.3"/>
    <row r="40392" ht="14.4" x14ac:dyDescent="0.3"/>
    <row r="40393" ht="14.4" x14ac:dyDescent="0.3"/>
    <row r="40394" ht="14.4" x14ac:dyDescent="0.3"/>
    <row r="40395" ht="14.4" x14ac:dyDescent="0.3"/>
    <row r="40396" ht="14.4" x14ac:dyDescent="0.3"/>
    <row r="40397" ht="14.4" x14ac:dyDescent="0.3"/>
    <row r="40398" ht="14.4" x14ac:dyDescent="0.3"/>
    <row r="40399" ht="14.4" x14ac:dyDescent="0.3"/>
    <row r="40400" ht="14.4" x14ac:dyDescent="0.3"/>
    <row r="40401" ht="14.4" x14ac:dyDescent="0.3"/>
    <row r="40402" ht="14.4" x14ac:dyDescent="0.3"/>
    <row r="40403" ht="14.4" x14ac:dyDescent="0.3"/>
    <row r="40404" ht="14.4" x14ac:dyDescent="0.3"/>
    <row r="40405" ht="14.4" x14ac:dyDescent="0.3"/>
    <row r="40406" ht="14.4" x14ac:dyDescent="0.3"/>
    <row r="40407" ht="14.4" x14ac:dyDescent="0.3"/>
    <row r="40408" ht="14.4" x14ac:dyDescent="0.3"/>
    <row r="40409" ht="14.4" x14ac:dyDescent="0.3"/>
    <row r="40410" ht="14.4" x14ac:dyDescent="0.3"/>
    <row r="40411" ht="14.4" x14ac:dyDescent="0.3"/>
    <row r="40412" ht="14.4" x14ac:dyDescent="0.3"/>
    <row r="40413" ht="14.4" x14ac:dyDescent="0.3"/>
    <row r="40414" ht="14.4" x14ac:dyDescent="0.3"/>
    <row r="40415" ht="14.4" x14ac:dyDescent="0.3"/>
    <row r="40416" ht="14.4" x14ac:dyDescent="0.3"/>
    <row r="40417" ht="14.4" x14ac:dyDescent="0.3"/>
    <row r="40418" ht="14.4" x14ac:dyDescent="0.3"/>
    <row r="40419" ht="14.4" x14ac:dyDescent="0.3"/>
    <row r="40420" ht="14.4" x14ac:dyDescent="0.3"/>
    <row r="40421" ht="14.4" x14ac:dyDescent="0.3"/>
    <row r="40422" ht="14.4" x14ac:dyDescent="0.3"/>
    <row r="40423" ht="14.4" x14ac:dyDescent="0.3"/>
    <row r="40424" ht="14.4" x14ac:dyDescent="0.3"/>
    <row r="40425" ht="14.4" x14ac:dyDescent="0.3"/>
    <row r="40426" ht="14.4" x14ac:dyDescent="0.3"/>
    <row r="40427" ht="14.4" x14ac:dyDescent="0.3"/>
    <row r="40428" ht="14.4" x14ac:dyDescent="0.3"/>
    <row r="40429" ht="14.4" x14ac:dyDescent="0.3"/>
    <row r="40430" ht="14.4" x14ac:dyDescent="0.3"/>
    <row r="40431" ht="14.4" x14ac:dyDescent="0.3"/>
    <row r="40432" ht="14.4" x14ac:dyDescent="0.3"/>
    <row r="40433" ht="14.4" x14ac:dyDescent="0.3"/>
    <row r="40434" ht="14.4" x14ac:dyDescent="0.3"/>
    <row r="40435" ht="14.4" x14ac:dyDescent="0.3"/>
    <row r="40436" ht="14.4" x14ac:dyDescent="0.3"/>
    <row r="40437" ht="14.4" x14ac:dyDescent="0.3"/>
    <row r="40438" ht="14.4" x14ac:dyDescent="0.3"/>
    <row r="40439" ht="14.4" x14ac:dyDescent="0.3"/>
    <row r="40440" ht="14.4" x14ac:dyDescent="0.3"/>
    <row r="40441" ht="14.4" x14ac:dyDescent="0.3"/>
    <row r="40442" ht="14.4" x14ac:dyDescent="0.3"/>
    <row r="40443" ht="14.4" x14ac:dyDescent="0.3"/>
    <row r="40444" ht="14.4" x14ac:dyDescent="0.3"/>
    <row r="40445" ht="14.4" x14ac:dyDescent="0.3"/>
    <row r="40446" ht="14.4" x14ac:dyDescent="0.3"/>
    <row r="40447" ht="14.4" x14ac:dyDescent="0.3"/>
    <row r="40448" ht="14.4" x14ac:dyDescent="0.3"/>
    <row r="40449" ht="14.4" x14ac:dyDescent="0.3"/>
    <row r="40450" ht="14.4" x14ac:dyDescent="0.3"/>
    <row r="40451" ht="14.4" x14ac:dyDescent="0.3"/>
    <row r="40452" ht="14.4" x14ac:dyDescent="0.3"/>
    <row r="40453" ht="14.4" x14ac:dyDescent="0.3"/>
    <row r="40454" ht="14.4" x14ac:dyDescent="0.3"/>
    <row r="40455" ht="14.4" x14ac:dyDescent="0.3"/>
    <row r="40456" ht="14.4" x14ac:dyDescent="0.3"/>
    <row r="40457" ht="14.4" x14ac:dyDescent="0.3"/>
    <row r="40458" ht="14.4" x14ac:dyDescent="0.3"/>
    <row r="40459" ht="14.4" x14ac:dyDescent="0.3"/>
    <row r="40460" ht="14.4" x14ac:dyDescent="0.3"/>
    <row r="40461" ht="14.4" x14ac:dyDescent="0.3"/>
    <row r="40462" ht="14.4" x14ac:dyDescent="0.3"/>
    <row r="40463" ht="14.4" x14ac:dyDescent="0.3"/>
    <row r="40464" ht="14.4" x14ac:dyDescent="0.3"/>
    <row r="40465" ht="14.4" x14ac:dyDescent="0.3"/>
    <row r="40466" ht="14.4" x14ac:dyDescent="0.3"/>
    <row r="40467" ht="14.4" x14ac:dyDescent="0.3"/>
    <row r="40468" ht="14.4" x14ac:dyDescent="0.3"/>
    <row r="40469" ht="14.4" x14ac:dyDescent="0.3"/>
    <row r="40470" ht="14.4" x14ac:dyDescent="0.3"/>
    <row r="40471" ht="14.4" x14ac:dyDescent="0.3"/>
    <row r="40472" ht="14.4" x14ac:dyDescent="0.3"/>
    <row r="40473" ht="14.4" x14ac:dyDescent="0.3"/>
    <row r="40474" ht="14.4" x14ac:dyDescent="0.3"/>
    <row r="40475" ht="14.4" x14ac:dyDescent="0.3"/>
    <row r="40476" ht="14.4" x14ac:dyDescent="0.3"/>
    <row r="40477" ht="14.4" x14ac:dyDescent="0.3"/>
    <row r="40478" ht="14.4" x14ac:dyDescent="0.3"/>
    <row r="40479" ht="14.4" x14ac:dyDescent="0.3"/>
    <row r="40480" ht="14.4" x14ac:dyDescent="0.3"/>
    <row r="40481" ht="14.4" x14ac:dyDescent="0.3"/>
    <row r="40482" ht="14.4" x14ac:dyDescent="0.3"/>
    <row r="40483" ht="14.4" x14ac:dyDescent="0.3"/>
    <row r="40484" ht="14.4" x14ac:dyDescent="0.3"/>
    <row r="40485" ht="14.4" x14ac:dyDescent="0.3"/>
    <row r="40486" ht="14.4" x14ac:dyDescent="0.3"/>
    <row r="40487" ht="14.4" x14ac:dyDescent="0.3"/>
    <row r="40488" ht="14.4" x14ac:dyDescent="0.3"/>
    <row r="40489" ht="14.4" x14ac:dyDescent="0.3"/>
    <row r="40490" ht="14.4" x14ac:dyDescent="0.3"/>
    <row r="40491" ht="14.4" x14ac:dyDescent="0.3"/>
    <row r="40492" ht="14.4" x14ac:dyDescent="0.3"/>
    <row r="40493" ht="14.4" x14ac:dyDescent="0.3"/>
    <row r="40494" ht="14.4" x14ac:dyDescent="0.3"/>
    <row r="40495" ht="14.4" x14ac:dyDescent="0.3"/>
    <row r="40496" ht="14.4" x14ac:dyDescent="0.3"/>
    <row r="40497" ht="14.4" x14ac:dyDescent="0.3"/>
    <row r="40498" ht="14.4" x14ac:dyDescent="0.3"/>
    <row r="40499" ht="14.4" x14ac:dyDescent="0.3"/>
    <row r="40500" ht="14.4" x14ac:dyDescent="0.3"/>
    <row r="40501" ht="14.4" x14ac:dyDescent="0.3"/>
    <row r="40502" ht="14.4" x14ac:dyDescent="0.3"/>
    <row r="40503" ht="14.4" x14ac:dyDescent="0.3"/>
    <row r="40504" ht="14.4" x14ac:dyDescent="0.3"/>
    <row r="40505" ht="14.4" x14ac:dyDescent="0.3"/>
    <row r="40506" ht="14.4" x14ac:dyDescent="0.3"/>
    <row r="40507" ht="14.4" x14ac:dyDescent="0.3"/>
    <row r="40508" ht="14.4" x14ac:dyDescent="0.3"/>
    <row r="40509" ht="14.4" x14ac:dyDescent="0.3"/>
    <row r="40510" ht="14.4" x14ac:dyDescent="0.3"/>
    <row r="40511" ht="14.4" x14ac:dyDescent="0.3"/>
    <row r="40512" ht="14.4" x14ac:dyDescent="0.3"/>
    <row r="40513" ht="14.4" x14ac:dyDescent="0.3"/>
    <row r="40514" ht="14.4" x14ac:dyDescent="0.3"/>
    <row r="40515" ht="14.4" x14ac:dyDescent="0.3"/>
    <row r="40516" ht="14.4" x14ac:dyDescent="0.3"/>
    <row r="40517" ht="14.4" x14ac:dyDescent="0.3"/>
    <row r="40518" ht="14.4" x14ac:dyDescent="0.3"/>
    <row r="40519" ht="14.4" x14ac:dyDescent="0.3"/>
    <row r="40520" ht="14.4" x14ac:dyDescent="0.3"/>
    <row r="40521" ht="14.4" x14ac:dyDescent="0.3"/>
    <row r="40522" ht="14.4" x14ac:dyDescent="0.3"/>
    <row r="40523" ht="14.4" x14ac:dyDescent="0.3"/>
    <row r="40524" ht="14.4" x14ac:dyDescent="0.3"/>
    <row r="40525" ht="14.4" x14ac:dyDescent="0.3"/>
    <row r="40526" ht="14.4" x14ac:dyDescent="0.3"/>
    <row r="40527" ht="14.4" x14ac:dyDescent="0.3"/>
    <row r="40528" ht="14.4" x14ac:dyDescent="0.3"/>
    <row r="40529" ht="14.4" x14ac:dyDescent="0.3"/>
    <row r="40530" ht="14.4" x14ac:dyDescent="0.3"/>
    <row r="40531" ht="14.4" x14ac:dyDescent="0.3"/>
    <row r="40532" ht="14.4" x14ac:dyDescent="0.3"/>
    <row r="40533" ht="14.4" x14ac:dyDescent="0.3"/>
    <row r="40534" ht="14.4" x14ac:dyDescent="0.3"/>
    <row r="40535" ht="14.4" x14ac:dyDescent="0.3"/>
    <row r="40536" ht="14.4" x14ac:dyDescent="0.3"/>
    <row r="40537" ht="14.4" x14ac:dyDescent="0.3"/>
    <row r="40538" ht="14.4" x14ac:dyDescent="0.3"/>
    <row r="40539" ht="14.4" x14ac:dyDescent="0.3"/>
    <row r="40540" ht="14.4" x14ac:dyDescent="0.3"/>
    <row r="40541" ht="14.4" x14ac:dyDescent="0.3"/>
    <row r="40542" ht="14.4" x14ac:dyDescent="0.3"/>
    <row r="40543" ht="14.4" x14ac:dyDescent="0.3"/>
    <row r="40544" ht="14.4" x14ac:dyDescent="0.3"/>
    <row r="40545" ht="14.4" x14ac:dyDescent="0.3"/>
    <row r="40546" ht="14.4" x14ac:dyDescent="0.3"/>
    <row r="40547" ht="14.4" x14ac:dyDescent="0.3"/>
    <row r="40548" ht="14.4" x14ac:dyDescent="0.3"/>
    <row r="40549" ht="14.4" x14ac:dyDescent="0.3"/>
    <row r="40550" ht="14.4" x14ac:dyDescent="0.3"/>
    <row r="40551" ht="14.4" x14ac:dyDescent="0.3"/>
    <row r="40552" ht="14.4" x14ac:dyDescent="0.3"/>
    <row r="40553" ht="14.4" x14ac:dyDescent="0.3"/>
    <row r="40554" ht="14.4" x14ac:dyDescent="0.3"/>
    <row r="40555" ht="14.4" x14ac:dyDescent="0.3"/>
    <row r="40556" ht="14.4" x14ac:dyDescent="0.3"/>
    <row r="40557" ht="14.4" x14ac:dyDescent="0.3"/>
    <row r="40558" ht="14.4" x14ac:dyDescent="0.3"/>
    <row r="40559" ht="14.4" x14ac:dyDescent="0.3"/>
    <row r="40560" ht="14.4" x14ac:dyDescent="0.3"/>
    <row r="40561" ht="14.4" x14ac:dyDescent="0.3"/>
    <row r="40562" ht="14.4" x14ac:dyDescent="0.3"/>
    <row r="40563" ht="14.4" x14ac:dyDescent="0.3"/>
    <row r="40564" ht="14.4" x14ac:dyDescent="0.3"/>
    <row r="40565" ht="14.4" x14ac:dyDescent="0.3"/>
    <row r="40566" ht="14.4" x14ac:dyDescent="0.3"/>
    <row r="40567" ht="14.4" x14ac:dyDescent="0.3"/>
    <row r="40568" ht="14.4" x14ac:dyDescent="0.3"/>
    <row r="40569" ht="14.4" x14ac:dyDescent="0.3"/>
    <row r="40570" ht="14.4" x14ac:dyDescent="0.3"/>
    <row r="40571" ht="14.4" x14ac:dyDescent="0.3"/>
    <row r="40572" ht="14.4" x14ac:dyDescent="0.3"/>
    <row r="40573" ht="14.4" x14ac:dyDescent="0.3"/>
    <row r="40574" ht="14.4" x14ac:dyDescent="0.3"/>
    <row r="40575" ht="14.4" x14ac:dyDescent="0.3"/>
    <row r="40576" ht="14.4" x14ac:dyDescent="0.3"/>
    <row r="40577" ht="14.4" x14ac:dyDescent="0.3"/>
    <row r="40578" ht="14.4" x14ac:dyDescent="0.3"/>
    <row r="40579" ht="14.4" x14ac:dyDescent="0.3"/>
    <row r="40580" ht="14.4" x14ac:dyDescent="0.3"/>
    <row r="40581" ht="14.4" x14ac:dyDescent="0.3"/>
    <row r="40582" ht="14.4" x14ac:dyDescent="0.3"/>
    <row r="40583" ht="14.4" x14ac:dyDescent="0.3"/>
    <row r="40584" ht="14.4" x14ac:dyDescent="0.3"/>
    <row r="40585" ht="14.4" x14ac:dyDescent="0.3"/>
    <row r="40586" ht="14.4" x14ac:dyDescent="0.3"/>
    <row r="40587" ht="14.4" x14ac:dyDescent="0.3"/>
    <row r="40588" ht="14.4" x14ac:dyDescent="0.3"/>
    <row r="40589" ht="14.4" x14ac:dyDescent="0.3"/>
    <row r="40590" ht="14.4" x14ac:dyDescent="0.3"/>
    <row r="40591" ht="14.4" x14ac:dyDescent="0.3"/>
    <row r="40592" ht="14.4" x14ac:dyDescent="0.3"/>
    <row r="40593" ht="14.4" x14ac:dyDescent="0.3"/>
    <row r="40594" ht="14.4" x14ac:dyDescent="0.3"/>
    <row r="40595" ht="14.4" x14ac:dyDescent="0.3"/>
    <row r="40596" ht="14.4" x14ac:dyDescent="0.3"/>
    <row r="40597" ht="14.4" x14ac:dyDescent="0.3"/>
    <row r="40598" ht="14.4" x14ac:dyDescent="0.3"/>
    <row r="40599" ht="14.4" x14ac:dyDescent="0.3"/>
    <row r="40600" ht="14.4" x14ac:dyDescent="0.3"/>
    <row r="40601" ht="14.4" x14ac:dyDescent="0.3"/>
    <row r="40602" ht="14.4" x14ac:dyDescent="0.3"/>
    <row r="40603" ht="14.4" x14ac:dyDescent="0.3"/>
    <row r="40604" ht="14.4" x14ac:dyDescent="0.3"/>
    <row r="40605" ht="14.4" x14ac:dyDescent="0.3"/>
    <row r="40606" ht="14.4" x14ac:dyDescent="0.3"/>
    <row r="40607" ht="14.4" x14ac:dyDescent="0.3"/>
    <row r="40608" ht="14.4" x14ac:dyDescent="0.3"/>
    <row r="40609" ht="14.4" x14ac:dyDescent="0.3"/>
    <row r="40610" ht="14.4" x14ac:dyDescent="0.3"/>
    <row r="40611" ht="14.4" x14ac:dyDescent="0.3"/>
    <row r="40612" ht="14.4" x14ac:dyDescent="0.3"/>
    <row r="40613" ht="14.4" x14ac:dyDescent="0.3"/>
    <row r="40614" ht="14.4" x14ac:dyDescent="0.3"/>
    <row r="40615" ht="14.4" x14ac:dyDescent="0.3"/>
    <row r="40616" ht="14.4" x14ac:dyDescent="0.3"/>
    <row r="40617" ht="14.4" x14ac:dyDescent="0.3"/>
    <row r="40618" ht="14.4" x14ac:dyDescent="0.3"/>
    <row r="40619" ht="14.4" x14ac:dyDescent="0.3"/>
    <row r="40620" ht="14.4" x14ac:dyDescent="0.3"/>
    <row r="40621" ht="14.4" x14ac:dyDescent="0.3"/>
    <row r="40622" ht="14.4" x14ac:dyDescent="0.3"/>
    <row r="40623" ht="14.4" x14ac:dyDescent="0.3"/>
    <row r="40624" ht="14.4" x14ac:dyDescent="0.3"/>
    <row r="40625" ht="14.4" x14ac:dyDescent="0.3"/>
    <row r="40626" ht="14.4" x14ac:dyDescent="0.3"/>
    <row r="40627" ht="14.4" x14ac:dyDescent="0.3"/>
    <row r="40628" ht="14.4" x14ac:dyDescent="0.3"/>
    <row r="40629" ht="14.4" x14ac:dyDescent="0.3"/>
    <row r="40630" ht="14.4" x14ac:dyDescent="0.3"/>
    <row r="40631" ht="14.4" x14ac:dyDescent="0.3"/>
    <row r="40632" ht="14.4" x14ac:dyDescent="0.3"/>
    <row r="40633" ht="14.4" x14ac:dyDescent="0.3"/>
    <row r="40634" ht="14.4" x14ac:dyDescent="0.3"/>
    <row r="40635" ht="14.4" x14ac:dyDescent="0.3"/>
    <row r="40636" ht="14.4" x14ac:dyDescent="0.3"/>
    <row r="40637" ht="14.4" x14ac:dyDescent="0.3"/>
    <row r="40638" ht="14.4" x14ac:dyDescent="0.3"/>
    <row r="40639" ht="14.4" x14ac:dyDescent="0.3"/>
    <row r="40640" ht="14.4" x14ac:dyDescent="0.3"/>
    <row r="40641" ht="14.4" x14ac:dyDescent="0.3"/>
    <row r="40642" ht="14.4" x14ac:dyDescent="0.3"/>
    <row r="40643" ht="14.4" x14ac:dyDescent="0.3"/>
    <row r="40644" ht="14.4" x14ac:dyDescent="0.3"/>
    <row r="40645" ht="14.4" x14ac:dyDescent="0.3"/>
    <row r="40646" ht="14.4" x14ac:dyDescent="0.3"/>
    <row r="40647" ht="14.4" x14ac:dyDescent="0.3"/>
    <row r="40648" ht="14.4" x14ac:dyDescent="0.3"/>
    <row r="40649" ht="14.4" x14ac:dyDescent="0.3"/>
    <row r="40650" ht="14.4" x14ac:dyDescent="0.3"/>
    <row r="40651" ht="14.4" x14ac:dyDescent="0.3"/>
    <row r="40652" ht="14.4" x14ac:dyDescent="0.3"/>
    <row r="40653" ht="14.4" x14ac:dyDescent="0.3"/>
    <row r="40654" ht="14.4" x14ac:dyDescent="0.3"/>
    <row r="40655" ht="14.4" x14ac:dyDescent="0.3"/>
    <row r="40656" ht="14.4" x14ac:dyDescent="0.3"/>
    <row r="40657" ht="14.4" x14ac:dyDescent="0.3"/>
    <row r="40658" ht="14.4" x14ac:dyDescent="0.3"/>
    <row r="40659" ht="14.4" x14ac:dyDescent="0.3"/>
    <row r="40660" ht="14.4" x14ac:dyDescent="0.3"/>
    <row r="40661" ht="14.4" x14ac:dyDescent="0.3"/>
    <row r="40662" ht="14.4" x14ac:dyDescent="0.3"/>
    <row r="40663" ht="14.4" x14ac:dyDescent="0.3"/>
    <row r="40664" ht="14.4" x14ac:dyDescent="0.3"/>
    <row r="40665" ht="14.4" x14ac:dyDescent="0.3"/>
    <row r="40666" ht="14.4" x14ac:dyDescent="0.3"/>
    <row r="40667" ht="14.4" x14ac:dyDescent="0.3"/>
    <row r="40668" ht="14.4" x14ac:dyDescent="0.3"/>
    <row r="40669" ht="14.4" x14ac:dyDescent="0.3"/>
    <row r="40670" ht="14.4" x14ac:dyDescent="0.3"/>
    <row r="40671" ht="14.4" x14ac:dyDescent="0.3"/>
    <row r="40672" ht="14.4" x14ac:dyDescent="0.3"/>
    <row r="40673" ht="14.4" x14ac:dyDescent="0.3"/>
    <row r="40674" ht="14.4" x14ac:dyDescent="0.3"/>
    <row r="40675" ht="14.4" x14ac:dyDescent="0.3"/>
    <row r="40676" ht="14.4" x14ac:dyDescent="0.3"/>
    <row r="40677" ht="14.4" x14ac:dyDescent="0.3"/>
    <row r="40678" ht="14.4" x14ac:dyDescent="0.3"/>
    <row r="40679" ht="14.4" x14ac:dyDescent="0.3"/>
    <row r="40680" ht="14.4" x14ac:dyDescent="0.3"/>
    <row r="40681" ht="14.4" x14ac:dyDescent="0.3"/>
    <row r="40682" ht="14.4" x14ac:dyDescent="0.3"/>
    <row r="40683" ht="14.4" x14ac:dyDescent="0.3"/>
    <row r="40684" ht="14.4" x14ac:dyDescent="0.3"/>
    <row r="40685" ht="14.4" x14ac:dyDescent="0.3"/>
    <row r="40686" ht="14.4" x14ac:dyDescent="0.3"/>
    <row r="40687" ht="14.4" x14ac:dyDescent="0.3"/>
    <row r="40688" ht="14.4" x14ac:dyDescent="0.3"/>
    <row r="40689" ht="14.4" x14ac:dyDescent="0.3"/>
    <row r="40690" ht="14.4" x14ac:dyDescent="0.3"/>
    <row r="40691" ht="14.4" x14ac:dyDescent="0.3"/>
    <row r="40692" ht="14.4" x14ac:dyDescent="0.3"/>
    <row r="40693" ht="14.4" x14ac:dyDescent="0.3"/>
    <row r="40694" ht="14.4" x14ac:dyDescent="0.3"/>
    <row r="40695" ht="14.4" x14ac:dyDescent="0.3"/>
    <row r="40696" ht="14.4" x14ac:dyDescent="0.3"/>
    <row r="40697" ht="14.4" x14ac:dyDescent="0.3"/>
    <row r="40698" ht="14.4" x14ac:dyDescent="0.3"/>
    <row r="40699" ht="14.4" x14ac:dyDescent="0.3"/>
    <row r="40700" ht="14.4" x14ac:dyDescent="0.3"/>
    <row r="40701" ht="14.4" x14ac:dyDescent="0.3"/>
    <row r="40702" ht="14.4" x14ac:dyDescent="0.3"/>
    <row r="40703" ht="14.4" x14ac:dyDescent="0.3"/>
    <row r="40704" ht="14.4" x14ac:dyDescent="0.3"/>
    <row r="40705" ht="14.4" x14ac:dyDescent="0.3"/>
    <row r="40706" ht="14.4" x14ac:dyDescent="0.3"/>
    <row r="40707" ht="14.4" x14ac:dyDescent="0.3"/>
    <row r="40708" ht="14.4" x14ac:dyDescent="0.3"/>
    <row r="40709" ht="14.4" x14ac:dyDescent="0.3"/>
    <row r="40710" ht="14.4" x14ac:dyDescent="0.3"/>
    <row r="40711" ht="14.4" x14ac:dyDescent="0.3"/>
    <row r="40712" ht="14.4" x14ac:dyDescent="0.3"/>
    <row r="40713" ht="14.4" x14ac:dyDescent="0.3"/>
    <row r="40714" ht="14.4" x14ac:dyDescent="0.3"/>
    <row r="40715" ht="14.4" x14ac:dyDescent="0.3"/>
    <row r="40716" ht="14.4" x14ac:dyDescent="0.3"/>
    <row r="40717" ht="14.4" x14ac:dyDescent="0.3"/>
    <row r="40718" ht="14.4" x14ac:dyDescent="0.3"/>
    <row r="40719" ht="14.4" x14ac:dyDescent="0.3"/>
    <row r="40720" ht="14.4" x14ac:dyDescent="0.3"/>
    <row r="40721" ht="14.4" x14ac:dyDescent="0.3"/>
    <row r="40722" ht="14.4" x14ac:dyDescent="0.3"/>
    <row r="40723" ht="14.4" x14ac:dyDescent="0.3"/>
    <row r="40724" ht="14.4" x14ac:dyDescent="0.3"/>
    <row r="40725" ht="14.4" x14ac:dyDescent="0.3"/>
    <row r="40726" ht="14.4" x14ac:dyDescent="0.3"/>
    <row r="40727" ht="14.4" x14ac:dyDescent="0.3"/>
    <row r="40728" ht="14.4" x14ac:dyDescent="0.3"/>
    <row r="40729" ht="14.4" x14ac:dyDescent="0.3"/>
    <row r="40730" ht="14.4" x14ac:dyDescent="0.3"/>
    <row r="40731" ht="14.4" x14ac:dyDescent="0.3"/>
    <row r="40732" ht="14.4" x14ac:dyDescent="0.3"/>
    <row r="40733" ht="14.4" x14ac:dyDescent="0.3"/>
    <row r="40734" ht="14.4" x14ac:dyDescent="0.3"/>
    <row r="40735" ht="14.4" x14ac:dyDescent="0.3"/>
    <row r="40736" ht="14.4" x14ac:dyDescent="0.3"/>
    <row r="40737" ht="14.4" x14ac:dyDescent="0.3"/>
    <row r="40738" ht="14.4" x14ac:dyDescent="0.3"/>
    <row r="40739" ht="14.4" x14ac:dyDescent="0.3"/>
    <row r="40740" ht="14.4" x14ac:dyDescent="0.3"/>
    <row r="40741" ht="14.4" x14ac:dyDescent="0.3"/>
    <row r="40742" ht="14.4" x14ac:dyDescent="0.3"/>
    <row r="40743" ht="14.4" x14ac:dyDescent="0.3"/>
    <row r="40744" ht="14.4" x14ac:dyDescent="0.3"/>
    <row r="40745" ht="14.4" x14ac:dyDescent="0.3"/>
    <row r="40746" ht="14.4" x14ac:dyDescent="0.3"/>
    <row r="40747" ht="14.4" x14ac:dyDescent="0.3"/>
    <row r="40748" ht="14.4" x14ac:dyDescent="0.3"/>
    <row r="40749" ht="14.4" x14ac:dyDescent="0.3"/>
    <row r="40750" ht="14.4" x14ac:dyDescent="0.3"/>
    <row r="40751" ht="14.4" x14ac:dyDescent="0.3"/>
    <row r="40752" ht="14.4" x14ac:dyDescent="0.3"/>
    <row r="40753" ht="14.4" x14ac:dyDescent="0.3"/>
    <row r="40754" ht="14.4" x14ac:dyDescent="0.3"/>
    <row r="40755" ht="14.4" x14ac:dyDescent="0.3"/>
    <row r="40756" ht="14.4" x14ac:dyDescent="0.3"/>
    <row r="40757" ht="14.4" x14ac:dyDescent="0.3"/>
    <row r="40758" ht="14.4" x14ac:dyDescent="0.3"/>
    <row r="40759" ht="14.4" x14ac:dyDescent="0.3"/>
    <row r="40760" ht="14.4" x14ac:dyDescent="0.3"/>
    <row r="40761" ht="14.4" x14ac:dyDescent="0.3"/>
    <row r="40762" ht="14.4" x14ac:dyDescent="0.3"/>
    <row r="40763" ht="14.4" x14ac:dyDescent="0.3"/>
    <row r="40764" ht="14.4" x14ac:dyDescent="0.3"/>
    <row r="40765" ht="14.4" x14ac:dyDescent="0.3"/>
    <row r="40766" ht="14.4" x14ac:dyDescent="0.3"/>
    <row r="40767" ht="14.4" x14ac:dyDescent="0.3"/>
    <row r="40768" ht="14.4" x14ac:dyDescent="0.3"/>
    <row r="40769" ht="14.4" x14ac:dyDescent="0.3"/>
    <row r="40770" ht="14.4" x14ac:dyDescent="0.3"/>
    <row r="40771" ht="14.4" x14ac:dyDescent="0.3"/>
    <row r="40772" ht="14.4" x14ac:dyDescent="0.3"/>
    <row r="40773" ht="14.4" x14ac:dyDescent="0.3"/>
    <row r="40774" ht="14.4" x14ac:dyDescent="0.3"/>
    <row r="40775" ht="14.4" x14ac:dyDescent="0.3"/>
    <row r="40776" ht="14.4" x14ac:dyDescent="0.3"/>
    <row r="40777" ht="14.4" x14ac:dyDescent="0.3"/>
    <row r="40778" ht="14.4" x14ac:dyDescent="0.3"/>
    <row r="40779" ht="14.4" x14ac:dyDescent="0.3"/>
    <row r="40780" ht="14.4" x14ac:dyDescent="0.3"/>
    <row r="40781" ht="14.4" x14ac:dyDescent="0.3"/>
    <row r="40782" ht="14.4" x14ac:dyDescent="0.3"/>
    <row r="40783" ht="14.4" x14ac:dyDescent="0.3"/>
    <row r="40784" ht="14.4" x14ac:dyDescent="0.3"/>
    <row r="40785" ht="14.4" x14ac:dyDescent="0.3"/>
    <row r="40786" ht="14.4" x14ac:dyDescent="0.3"/>
    <row r="40787" ht="14.4" x14ac:dyDescent="0.3"/>
    <row r="40788" ht="14.4" x14ac:dyDescent="0.3"/>
    <row r="40789" ht="14.4" x14ac:dyDescent="0.3"/>
    <row r="40790" ht="14.4" x14ac:dyDescent="0.3"/>
    <row r="40791" ht="14.4" x14ac:dyDescent="0.3"/>
    <row r="40792" ht="14.4" x14ac:dyDescent="0.3"/>
    <row r="40793" ht="14.4" x14ac:dyDescent="0.3"/>
    <row r="40794" ht="14.4" x14ac:dyDescent="0.3"/>
    <row r="40795" ht="14.4" x14ac:dyDescent="0.3"/>
    <row r="40796" ht="14.4" x14ac:dyDescent="0.3"/>
    <row r="40797" ht="14.4" x14ac:dyDescent="0.3"/>
    <row r="40798" ht="14.4" x14ac:dyDescent="0.3"/>
    <row r="40799" ht="14.4" x14ac:dyDescent="0.3"/>
    <row r="40800" ht="14.4" x14ac:dyDescent="0.3"/>
    <row r="40801" ht="14.4" x14ac:dyDescent="0.3"/>
    <row r="40802" ht="14.4" x14ac:dyDescent="0.3"/>
    <row r="40803" ht="14.4" x14ac:dyDescent="0.3"/>
    <row r="40804" ht="14.4" x14ac:dyDescent="0.3"/>
    <row r="40805" ht="14.4" x14ac:dyDescent="0.3"/>
    <row r="40806" ht="14.4" x14ac:dyDescent="0.3"/>
    <row r="40807" ht="14.4" x14ac:dyDescent="0.3"/>
    <row r="40808" ht="14.4" x14ac:dyDescent="0.3"/>
    <row r="40809" ht="14.4" x14ac:dyDescent="0.3"/>
    <row r="40810" ht="14.4" x14ac:dyDescent="0.3"/>
    <row r="40811" ht="14.4" x14ac:dyDescent="0.3"/>
    <row r="40812" ht="14.4" x14ac:dyDescent="0.3"/>
    <row r="40813" ht="14.4" x14ac:dyDescent="0.3"/>
    <row r="40814" ht="14.4" x14ac:dyDescent="0.3"/>
    <row r="40815" ht="14.4" x14ac:dyDescent="0.3"/>
    <row r="40816" ht="14.4" x14ac:dyDescent="0.3"/>
    <row r="40817" ht="14.4" x14ac:dyDescent="0.3"/>
    <row r="40818" ht="14.4" x14ac:dyDescent="0.3"/>
    <row r="40819" ht="14.4" x14ac:dyDescent="0.3"/>
    <row r="40820" ht="14.4" x14ac:dyDescent="0.3"/>
    <row r="40821" ht="14.4" x14ac:dyDescent="0.3"/>
    <row r="40822" ht="14.4" x14ac:dyDescent="0.3"/>
    <row r="40823" ht="14.4" x14ac:dyDescent="0.3"/>
    <row r="40824" ht="14.4" x14ac:dyDescent="0.3"/>
    <row r="40825" ht="14.4" x14ac:dyDescent="0.3"/>
    <row r="40826" ht="14.4" x14ac:dyDescent="0.3"/>
    <row r="40827" ht="14.4" x14ac:dyDescent="0.3"/>
    <row r="40828" ht="14.4" x14ac:dyDescent="0.3"/>
    <row r="40829" ht="14.4" x14ac:dyDescent="0.3"/>
    <row r="40830" ht="14.4" x14ac:dyDescent="0.3"/>
    <row r="40831" ht="14.4" x14ac:dyDescent="0.3"/>
    <row r="40832" ht="14.4" x14ac:dyDescent="0.3"/>
    <row r="40833" ht="14.4" x14ac:dyDescent="0.3"/>
    <row r="40834" ht="14.4" x14ac:dyDescent="0.3"/>
    <row r="40835" ht="14.4" x14ac:dyDescent="0.3"/>
    <row r="40836" ht="14.4" x14ac:dyDescent="0.3"/>
    <row r="40837" ht="14.4" x14ac:dyDescent="0.3"/>
    <row r="40838" ht="14.4" x14ac:dyDescent="0.3"/>
    <row r="40839" ht="14.4" x14ac:dyDescent="0.3"/>
    <row r="40840" ht="14.4" x14ac:dyDescent="0.3"/>
    <row r="40841" ht="14.4" x14ac:dyDescent="0.3"/>
    <row r="40842" ht="14.4" x14ac:dyDescent="0.3"/>
    <row r="40843" ht="14.4" x14ac:dyDescent="0.3"/>
    <row r="40844" ht="14.4" x14ac:dyDescent="0.3"/>
    <row r="40845" ht="14.4" x14ac:dyDescent="0.3"/>
    <row r="40846" ht="14.4" x14ac:dyDescent="0.3"/>
    <row r="40847" ht="14.4" x14ac:dyDescent="0.3"/>
    <row r="40848" ht="14.4" x14ac:dyDescent="0.3"/>
    <row r="40849" ht="14.4" x14ac:dyDescent="0.3"/>
    <row r="40850" ht="14.4" x14ac:dyDescent="0.3"/>
    <row r="40851" ht="14.4" x14ac:dyDescent="0.3"/>
    <row r="40852" ht="14.4" x14ac:dyDescent="0.3"/>
    <row r="40853" ht="14.4" x14ac:dyDescent="0.3"/>
    <row r="40854" ht="14.4" x14ac:dyDescent="0.3"/>
    <row r="40855" ht="14.4" x14ac:dyDescent="0.3"/>
    <row r="40856" ht="14.4" x14ac:dyDescent="0.3"/>
    <row r="40857" ht="14.4" x14ac:dyDescent="0.3"/>
    <row r="40858" ht="14.4" x14ac:dyDescent="0.3"/>
    <row r="40859" ht="14.4" x14ac:dyDescent="0.3"/>
    <row r="40860" ht="14.4" x14ac:dyDescent="0.3"/>
    <row r="40861" ht="14.4" x14ac:dyDescent="0.3"/>
    <row r="40862" ht="14.4" x14ac:dyDescent="0.3"/>
    <row r="40863" ht="14.4" x14ac:dyDescent="0.3"/>
    <row r="40864" ht="14.4" x14ac:dyDescent="0.3"/>
    <row r="40865" ht="14.4" x14ac:dyDescent="0.3"/>
    <row r="40866" ht="14.4" x14ac:dyDescent="0.3"/>
    <row r="40867" ht="14.4" x14ac:dyDescent="0.3"/>
    <row r="40868" ht="14.4" x14ac:dyDescent="0.3"/>
    <row r="40869" ht="14.4" x14ac:dyDescent="0.3"/>
    <row r="40870" ht="14.4" x14ac:dyDescent="0.3"/>
    <row r="40871" ht="14.4" x14ac:dyDescent="0.3"/>
    <row r="40872" ht="14.4" x14ac:dyDescent="0.3"/>
    <row r="40873" ht="14.4" x14ac:dyDescent="0.3"/>
    <row r="40874" ht="14.4" x14ac:dyDescent="0.3"/>
    <row r="40875" ht="14.4" x14ac:dyDescent="0.3"/>
    <row r="40876" ht="14.4" x14ac:dyDescent="0.3"/>
    <row r="40877" ht="14.4" x14ac:dyDescent="0.3"/>
    <row r="40878" ht="14.4" x14ac:dyDescent="0.3"/>
    <row r="40879" ht="14.4" x14ac:dyDescent="0.3"/>
    <row r="40880" ht="14.4" x14ac:dyDescent="0.3"/>
    <row r="40881" ht="14.4" x14ac:dyDescent="0.3"/>
    <row r="40882" ht="14.4" x14ac:dyDescent="0.3"/>
    <row r="40883" ht="14.4" x14ac:dyDescent="0.3"/>
    <row r="40884" ht="14.4" x14ac:dyDescent="0.3"/>
    <row r="40885" ht="14.4" x14ac:dyDescent="0.3"/>
    <row r="40886" ht="14.4" x14ac:dyDescent="0.3"/>
    <row r="40887" ht="14.4" x14ac:dyDescent="0.3"/>
    <row r="40888" ht="14.4" x14ac:dyDescent="0.3"/>
    <row r="40889" ht="14.4" x14ac:dyDescent="0.3"/>
    <row r="40890" ht="14.4" x14ac:dyDescent="0.3"/>
    <row r="40891" ht="14.4" x14ac:dyDescent="0.3"/>
    <row r="40892" ht="14.4" x14ac:dyDescent="0.3"/>
    <row r="40893" ht="14.4" x14ac:dyDescent="0.3"/>
    <row r="40894" ht="14.4" x14ac:dyDescent="0.3"/>
    <row r="40895" ht="14.4" x14ac:dyDescent="0.3"/>
    <row r="40896" ht="14.4" x14ac:dyDescent="0.3"/>
    <row r="40897" ht="14.4" x14ac:dyDescent="0.3"/>
    <row r="40898" ht="14.4" x14ac:dyDescent="0.3"/>
    <row r="40899" ht="14.4" x14ac:dyDescent="0.3"/>
    <row r="40900" ht="14.4" x14ac:dyDescent="0.3"/>
    <row r="40901" ht="14.4" x14ac:dyDescent="0.3"/>
    <row r="40902" ht="14.4" x14ac:dyDescent="0.3"/>
    <row r="40903" ht="14.4" x14ac:dyDescent="0.3"/>
    <row r="40904" ht="14.4" x14ac:dyDescent="0.3"/>
    <row r="40905" ht="14.4" x14ac:dyDescent="0.3"/>
    <row r="40906" ht="14.4" x14ac:dyDescent="0.3"/>
    <row r="40907" ht="14.4" x14ac:dyDescent="0.3"/>
    <row r="40908" ht="14.4" x14ac:dyDescent="0.3"/>
    <row r="40909" ht="14.4" x14ac:dyDescent="0.3"/>
    <row r="40910" ht="14.4" x14ac:dyDescent="0.3"/>
    <row r="40911" ht="14.4" x14ac:dyDescent="0.3"/>
    <row r="40912" ht="14.4" x14ac:dyDescent="0.3"/>
    <row r="40913" ht="14.4" x14ac:dyDescent="0.3"/>
    <row r="40914" ht="14.4" x14ac:dyDescent="0.3"/>
    <row r="40915" ht="14.4" x14ac:dyDescent="0.3"/>
    <row r="40916" ht="14.4" x14ac:dyDescent="0.3"/>
    <row r="40917" ht="14.4" x14ac:dyDescent="0.3"/>
    <row r="40918" ht="14.4" x14ac:dyDescent="0.3"/>
    <row r="40919" ht="14.4" x14ac:dyDescent="0.3"/>
    <row r="40920" ht="14.4" x14ac:dyDescent="0.3"/>
    <row r="40921" ht="14.4" x14ac:dyDescent="0.3"/>
    <row r="40922" ht="14.4" x14ac:dyDescent="0.3"/>
    <row r="40923" ht="14.4" x14ac:dyDescent="0.3"/>
    <row r="40924" ht="14.4" x14ac:dyDescent="0.3"/>
    <row r="40925" ht="14.4" x14ac:dyDescent="0.3"/>
    <row r="40926" ht="14.4" x14ac:dyDescent="0.3"/>
    <row r="40927" ht="14.4" x14ac:dyDescent="0.3"/>
    <row r="40928" ht="14.4" x14ac:dyDescent="0.3"/>
    <row r="40929" ht="14.4" x14ac:dyDescent="0.3"/>
    <row r="40930" ht="14.4" x14ac:dyDescent="0.3"/>
    <row r="40931" ht="14.4" x14ac:dyDescent="0.3"/>
    <row r="40932" ht="14.4" x14ac:dyDescent="0.3"/>
    <row r="40933" ht="14.4" x14ac:dyDescent="0.3"/>
    <row r="40934" ht="14.4" x14ac:dyDescent="0.3"/>
    <row r="40935" ht="14.4" x14ac:dyDescent="0.3"/>
    <row r="40936" ht="14.4" x14ac:dyDescent="0.3"/>
    <row r="40937" ht="14.4" x14ac:dyDescent="0.3"/>
    <row r="40938" ht="14.4" x14ac:dyDescent="0.3"/>
    <row r="40939" ht="14.4" x14ac:dyDescent="0.3"/>
    <row r="40940" ht="14.4" x14ac:dyDescent="0.3"/>
    <row r="40941" ht="14.4" x14ac:dyDescent="0.3"/>
    <row r="40942" ht="14.4" x14ac:dyDescent="0.3"/>
    <row r="40943" ht="14.4" x14ac:dyDescent="0.3"/>
    <row r="40944" ht="14.4" x14ac:dyDescent="0.3"/>
    <row r="40945" ht="14.4" x14ac:dyDescent="0.3"/>
    <row r="40946" ht="14.4" x14ac:dyDescent="0.3"/>
    <row r="40947" ht="14.4" x14ac:dyDescent="0.3"/>
    <row r="40948" ht="14.4" x14ac:dyDescent="0.3"/>
    <row r="40949" ht="14.4" x14ac:dyDescent="0.3"/>
    <row r="40950" ht="14.4" x14ac:dyDescent="0.3"/>
    <row r="40951" ht="14.4" x14ac:dyDescent="0.3"/>
    <row r="40952" ht="14.4" x14ac:dyDescent="0.3"/>
    <row r="40953" ht="14.4" x14ac:dyDescent="0.3"/>
    <row r="40954" ht="14.4" x14ac:dyDescent="0.3"/>
    <row r="40955" ht="14.4" x14ac:dyDescent="0.3"/>
    <row r="40956" ht="14.4" x14ac:dyDescent="0.3"/>
    <row r="40957" ht="14.4" x14ac:dyDescent="0.3"/>
    <row r="40958" ht="14.4" x14ac:dyDescent="0.3"/>
    <row r="40959" ht="14.4" x14ac:dyDescent="0.3"/>
    <row r="40960" ht="14.4" x14ac:dyDescent="0.3"/>
    <row r="40961" ht="14.4" x14ac:dyDescent="0.3"/>
    <row r="40962" ht="14.4" x14ac:dyDescent="0.3"/>
    <row r="40963" ht="14.4" x14ac:dyDescent="0.3"/>
    <row r="40964" ht="14.4" x14ac:dyDescent="0.3"/>
    <row r="40965" ht="14.4" x14ac:dyDescent="0.3"/>
    <row r="40966" ht="14.4" x14ac:dyDescent="0.3"/>
    <row r="40967" ht="14.4" x14ac:dyDescent="0.3"/>
    <row r="40968" ht="14.4" x14ac:dyDescent="0.3"/>
    <row r="40969" ht="14.4" x14ac:dyDescent="0.3"/>
    <row r="40970" ht="14.4" x14ac:dyDescent="0.3"/>
    <row r="40971" ht="14.4" x14ac:dyDescent="0.3"/>
    <row r="40972" ht="14.4" x14ac:dyDescent="0.3"/>
    <row r="40973" ht="14.4" x14ac:dyDescent="0.3"/>
    <row r="40974" ht="14.4" x14ac:dyDescent="0.3"/>
    <row r="40975" ht="14.4" x14ac:dyDescent="0.3"/>
    <row r="40976" ht="14.4" x14ac:dyDescent="0.3"/>
    <row r="40977" ht="14.4" x14ac:dyDescent="0.3"/>
    <row r="40978" ht="14.4" x14ac:dyDescent="0.3"/>
    <row r="40979" ht="14.4" x14ac:dyDescent="0.3"/>
    <row r="40980" ht="14.4" x14ac:dyDescent="0.3"/>
    <row r="40981" ht="14.4" x14ac:dyDescent="0.3"/>
    <row r="40982" ht="14.4" x14ac:dyDescent="0.3"/>
    <row r="40983" ht="14.4" x14ac:dyDescent="0.3"/>
    <row r="40984" ht="14.4" x14ac:dyDescent="0.3"/>
    <row r="40985" ht="14.4" x14ac:dyDescent="0.3"/>
    <row r="40986" ht="14.4" x14ac:dyDescent="0.3"/>
    <row r="40987" ht="14.4" x14ac:dyDescent="0.3"/>
    <row r="40988" ht="14.4" x14ac:dyDescent="0.3"/>
    <row r="40989" ht="14.4" x14ac:dyDescent="0.3"/>
    <row r="40990" ht="14.4" x14ac:dyDescent="0.3"/>
    <row r="40991" ht="14.4" x14ac:dyDescent="0.3"/>
    <row r="40992" ht="14.4" x14ac:dyDescent="0.3"/>
    <row r="40993" ht="14.4" x14ac:dyDescent="0.3"/>
    <row r="40994" ht="14.4" x14ac:dyDescent="0.3"/>
    <row r="40995" ht="14.4" x14ac:dyDescent="0.3"/>
    <row r="40996" ht="14.4" x14ac:dyDescent="0.3"/>
    <row r="40997" ht="14.4" x14ac:dyDescent="0.3"/>
    <row r="40998" ht="14.4" x14ac:dyDescent="0.3"/>
    <row r="40999" ht="14.4" x14ac:dyDescent="0.3"/>
    <row r="41000" ht="14.4" x14ac:dyDescent="0.3"/>
    <row r="41001" ht="14.4" x14ac:dyDescent="0.3"/>
    <row r="41002" ht="14.4" x14ac:dyDescent="0.3"/>
    <row r="41003" ht="14.4" x14ac:dyDescent="0.3"/>
    <row r="41004" ht="14.4" x14ac:dyDescent="0.3"/>
    <row r="41005" ht="14.4" x14ac:dyDescent="0.3"/>
    <row r="41006" ht="14.4" x14ac:dyDescent="0.3"/>
    <row r="41007" ht="14.4" x14ac:dyDescent="0.3"/>
    <row r="41008" ht="14.4" x14ac:dyDescent="0.3"/>
    <row r="41009" ht="14.4" x14ac:dyDescent="0.3"/>
    <row r="41010" ht="14.4" x14ac:dyDescent="0.3"/>
    <row r="41011" ht="14.4" x14ac:dyDescent="0.3"/>
    <row r="41012" ht="14.4" x14ac:dyDescent="0.3"/>
    <row r="41013" ht="14.4" x14ac:dyDescent="0.3"/>
    <row r="41014" ht="14.4" x14ac:dyDescent="0.3"/>
    <row r="41015" ht="14.4" x14ac:dyDescent="0.3"/>
    <row r="41016" ht="14.4" x14ac:dyDescent="0.3"/>
    <row r="41017" ht="14.4" x14ac:dyDescent="0.3"/>
    <row r="41018" ht="14.4" x14ac:dyDescent="0.3"/>
    <row r="41019" ht="14.4" x14ac:dyDescent="0.3"/>
    <row r="41020" ht="14.4" x14ac:dyDescent="0.3"/>
    <row r="41021" ht="14.4" x14ac:dyDescent="0.3"/>
    <row r="41022" ht="14.4" x14ac:dyDescent="0.3"/>
    <row r="41023" ht="14.4" x14ac:dyDescent="0.3"/>
    <row r="41024" ht="14.4" x14ac:dyDescent="0.3"/>
    <row r="41025" ht="14.4" x14ac:dyDescent="0.3"/>
    <row r="41026" ht="14.4" x14ac:dyDescent="0.3"/>
    <row r="41027" ht="14.4" x14ac:dyDescent="0.3"/>
    <row r="41028" ht="14.4" x14ac:dyDescent="0.3"/>
    <row r="41029" ht="14.4" x14ac:dyDescent="0.3"/>
    <row r="41030" ht="14.4" x14ac:dyDescent="0.3"/>
    <row r="41031" ht="14.4" x14ac:dyDescent="0.3"/>
    <row r="41032" ht="14.4" x14ac:dyDescent="0.3"/>
    <row r="41033" ht="14.4" x14ac:dyDescent="0.3"/>
    <row r="41034" ht="14.4" x14ac:dyDescent="0.3"/>
    <row r="41035" ht="14.4" x14ac:dyDescent="0.3"/>
    <row r="41036" ht="14.4" x14ac:dyDescent="0.3"/>
    <row r="41037" ht="14.4" x14ac:dyDescent="0.3"/>
    <row r="41038" ht="14.4" x14ac:dyDescent="0.3"/>
    <row r="41039" ht="14.4" x14ac:dyDescent="0.3"/>
    <row r="41040" ht="14.4" x14ac:dyDescent="0.3"/>
    <row r="41041" ht="14.4" x14ac:dyDescent="0.3"/>
    <row r="41042" ht="14.4" x14ac:dyDescent="0.3"/>
    <row r="41043" ht="14.4" x14ac:dyDescent="0.3"/>
    <row r="41044" ht="14.4" x14ac:dyDescent="0.3"/>
    <row r="41045" ht="14.4" x14ac:dyDescent="0.3"/>
    <row r="41046" ht="14.4" x14ac:dyDescent="0.3"/>
    <row r="41047" ht="14.4" x14ac:dyDescent="0.3"/>
    <row r="41048" ht="14.4" x14ac:dyDescent="0.3"/>
    <row r="41049" ht="14.4" x14ac:dyDescent="0.3"/>
    <row r="41050" ht="14.4" x14ac:dyDescent="0.3"/>
    <row r="41051" ht="14.4" x14ac:dyDescent="0.3"/>
    <row r="41052" ht="14.4" x14ac:dyDescent="0.3"/>
    <row r="41053" ht="14.4" x14ac:dyDescent="0.3"/>
    <row r="41054" ht="14.4" x14ac:dyDescent="0.3"/>
    <row r="41055" ht="14.4" x14ac:dyDescent="0.3"/>
    <row r="41056" ht="14.4" x14ac:dyDescent="0.3"/>
    <row r="41057" ht="14.4" x14ac:dyDescent="0.3"/>
    <row r="41058" ht="14.4" x14ac:dyDescent="0.3"/>
    <row r="41059" ht="14.4" x14ac:dyDescent="0.3"/>
    <row r="41060" ht="14.4" x14ac:dyDescent="0.3"/>
    <row r="41061" ht="14.4" x14ac:dyDescent="0.3"/>
    <row r="41062" ht="14.4" x14ac:dyDescent="0.3"/>
    <row r="41063" ht="14.4" x14ac:dyDescent="0.3"/>
    <row r="41064" ht="14.4" x14ac:dyDescent="0.3"/>
    <row r="41065" ht="14.4" x14ac:dyDescent="0.3"/>
    <row r="41066" ht="14.4" x14ac:dyDescent="0.3"/>
    <row r="41067" ht="14.4" x14ac:dyDescent="0.3"/>
    <row r="41068" ht="14.4" x14ac:dyDescent="0.3"/>
    <row r="41069" ht="14.4" x14ac:dyDescent="0.3"/>
    <row r="41070" ht="14.4" x14ac:dyDescent="0.3"/>
    <row r="41071" ht="14.4" x14ac:dyDescent="0.3"/>
    <row r="41072" ht="14.4" x14ac:dyDescent="0.3"/>
    <row r="41073" ht="14.4" x14ac:dyDescent="0.3"/>
    <row r="41074" ht="14.4" x14ac:dyDescent="0.3"/>
    <row r="41075" ht="14.4" x14ac:dyDescent="0.3"/>
    <row r="41076" ht="14.4" x14ac:dyDescent="0.3"/>
    <row r="41077" ht="14.4" x14ac:dyDescent="0.3"/>
    <row r="41078" ht="14.4" x14ac:dyDescent="0.3"/>
    <row r="41079" ht="14.4" x14ac:dyDescent="0.3"/>
    <row r="41080" ht="14.4" x14ac:dyDescent="0.3"/>
    <row r="41081" ht="14.4" x14ac:dyDescent="0.3"/>
    <row r="41082" ht="14.4" x14ac:dyDescent="0.3"/>
    <row r="41083" ht="14.4" x14ac:dyDescent="0.3"/>
    <row r="41084" ht="14.4" x14ac:dyDescent="0.3"/>
    <row r="41085" ht="14.4" x14ac:dyDescent="0.3"/>
    <row r="41086" ht="14.4" x14ac:dyDescent="0.3"/>
    <row r="41087" ht="14.4" x14ac:dyDescent="0.3"/>
    <row r="41088" ht="14.4" x14ac:dyDescent="0.3"/>
    <row r="41089" ht="14.4" x14ac:dyDescent="0.3"/>
    <row r="41090" ht="14.4" x14ac:dyDescent="0.3"/>
    <row r="41091" ht="14.4" x14ac:dyDescent="0.3"/>
    <row r="41092" ht="14.4" x14ac:dyDescent="0.3"/>
    <row r="41093" ht="14.4" x14ac:dyDescent="0.3"/>
    <row r="41094" ht="14.4" x14ac:dyDescent="0.3"/>
    <row r="41095" ht="14.4" x14ac:dyDescent="0.3"/>
    <row r="41096" ht="14.4" x14ac:dyDescent="0.3"/>
    <row r="41097" ht="14.4" x14ac:dyDescent="0.3"/>
    <row r="41098" ht="14.4" x14ac:dyDescent="0.3"/>
    <row r="41099" ht="14.4" x14ac:dyDescent="0.3"/>
    <row r="41100" ht="14.4" x14ac:dyDescent="0.3"/>
    <row r="41101" ht="14.4" x14ac:dyDescent="0.3"/>
    <row r="41102" ht="14.4" x14ac:dyDescent="0.3"/>
    <row r="41103" ht="14.4" x14ac:dyDescent="0.3"/>
    <row r="41104" ht="14.4" x14ac:dyDescent="0.3"/>
    <row r="41105" ht="14.4" x14ac:dyDescent="0.3"/>
    <row r="41106" ht="14.4" x14ac:dyDescent="0.3"/>
    <row r="41107" ht="14.4" x14ac:dyDescent="0.3"/>
    <row r="41108" ht="14.4" x14ac:dyDescent="0.3"/>
    <row r="41109" ht="14.4" x14ac:dyDescent="0.3"/>
    <row r="41110" ht="14.4" x14ac:dyDescent="0.3"/>
    <row r="41111" ht="14.4" x14ac:dyDescent="0.3"/>
    <row r="41112" ht="14.4" x14ac:dyDescent="0.3"/>
    <row r="41113" ht="14.4" x14ac:dyDescent="0.3"/>
    <row r="41114" ht="14.4" x14ac:dyDescent="0.3"/>
    <row r="41115" ht="14.4" x14ac:dyDescent="0.3"/>
    <row r="41116" ht="14.4" x14ac:dyDescent="0.3"/>
    <row r="41117" ht="14.4" x14ac:dyDescent="0.3"/>
    <row r="41118" ht="14.4" x14ac:dyDescent="0.3"/>
    <row r="41119" ht="14.4" x14ac:dyDescent="0.3"/>
    <row r="41120" ht="14.4" x14ac:dyDescent="0.3"/>
    <row r="41121" ht="14.4" x14ac:dyDescent="0.3"/>
    <row r="41122" ht="14.4" x14ac:dyDescent="0.3"/>
    <row r="41123" ht="14.4" x14ac:dyDescent="0.3"/>
    <row r="41124" ht="14.4" x14ac:dyDescent="0.3"/>
    <row r="41125" ht="14.4" x14ac:dyDescent="0.3"/>
    <row r="41126" ht="14.4" x14ac:dyDescent="0.3"/>
    <row r="41127" ht="14.4" x14ac:dyDescent="0.3"/>
    <row r="41128" ht="14.4" x14ac:dyDescent="0.3"/>
    <row r="41129" ht="14.4" x14ac:dyDescent="0.3"/>
    <row r="41130" ht="14.4" x14ac:dyDescent="0.3"/>
    <row r="41131" ht="14.4" x14ac:dyDescent="0.3"/>
    <row r="41132" ht="14.4" x14ac:dyDescent="0.3"/>
    <row r="41133" ht="14.4" x14ac:dyDescent="0.3"/>
    <row r="41134" ht="14.4" x14ac:dyDescent="0.3"/>
    <row r="41135" ht="14.4" x14ac:dyDescent="0.3"/>
    <row r="41136" ht="14.4" x14ac:dyDescent="0.3"/>
    <row r="41137" ht="14.4" x14ac:dyDescent="0.3"/>
    <row r="41138" ht="14.4" x14ac:dyDescent="0.3"/>
    <row r="41139" ht="14.4" x14ac:dyDescent="0.3"/>
    <row r="41140" ht="14.4" x14ac:dyDescent="0.3"/>
    <row r="41141" ht="14.4" x14ac:dyDescent="0.3"/>
    <row r="41142" ht="14.4" x14ac:dyDescent="0.3"/>
    <row r="41143" ht="14.4" x14ac:dyDescent="0.3"/>
    <row r="41144" ht="14.4" x14ac:dyDescent="0.3"/>
    <row r="41145" ht="14.4" x14ac:dyDescent="0.3"/>
    <row r="41146" ht="14.4" x14ac:dyDescent="0.3"/>
    <row r="41147" ht="14.4" x14ac:dyDescent="0.3"/>
    <row r="41148" ht="14.4" x14ac:dyDescent="0.3"/>
    <row r="41149" ht="14.4" x14ac:dyDescent="0.3"/>
    <row r="41150" ht="14.4" x14ac:dyDescent="0.3"/>
    <row r="41151" ht="14.4" x14ac:dyDescent="0.3"/>
    <row r="41152" ht="14.4" x14ac:dyDescent="0.3"/>
    <row r="41153" ht="14.4" x14ac:dyDescent="0.3"/>
    <row r="41154" ht="14.4" x14ac:dyDescent="0.3"/>
    <row r="41155" ht="14.4" x14ac:dyDescent="0.3"/>
    <row r="41156" ht="14.4" x14ac:dyDescent="0.3"/>
    <row r="41157" ht="14.4" x14ac:dyDescent="0.3"/>
    <row r="41158" ht="14.4" x14ac:dyDescent="0.3"/>
    <row r="41159" ht="14.4" x14ac:dyDescent="0.3"/>
    <row r="41160" ht="14.4" x14ac:dyDescent="0.3"/>
    <row r="41161" ht="14.4" x14ac:dyDescent="0.3"/>
    <row r="41162" ht="14.4" x14ac:dyDescent="0.3"/>
    <row r="41163" ht="14.4" x14ac:dyDescent="0.3"/>
    <row r="41164" ht="14.4" x14ac:dyDescent="0.3"/>
    <row r="41165" ht="14.4" x14ac:dyDescent="0.3"/>
    <row r="41166" ht="14.4" x14ac:dyDescent="0.3"/>
    <row r="41167" ht="14.4" x14ac:dyDescent="0.3"/>
    <row r="41168" ht="14.4" x14ac:dyDescent="0.3"/>
    <row r="41169" ht="14.4" x14ac:dyDescent="0.3"/>
    <row r="41170" ht="14.4" x14ac:dyDescent="0.3"/>
    <row r="41171" ht="14.4" x14ac:dyDescent="0.3"/>
    <row r="41172" ht="14.4" x14ac:dyDescent="0.3"/>
    <row r="41173" ht="14.4" x14ac:dyDescent="0.3"/>
    <row r="41174" ht="14.4" x14ac:dyDescent="0.3"/>
    <row r="41175" ht="14.4" x14ac:dyDescent="0.3"/>
    <row r="41176" ht="14.4" x14ac:dyDescent="0.3"/>
    <row r="41177" ht="14.4" x14ac:dyDescent="0.3"/>
    <row r="41178" ht="14.4" x14ac:dyDescent="0.3"/>
    <row r="41179" ht="14.4" x14ac:dyDescent="0.3"/>
    <row r="41180" ht="14.4" x14ac:dyDescent="0.3"/>
    <row r="41181" ht="14.4" x14ac:dyDescent="0.3"/>
    <row r="41182" ht="14.4" x14ac:dyDescent="0.3"/>
    <row r="41183" ht="14.4" x14ac:dyDescent="0.3"/>
    <row r="41184" ht="14.4" x14ac:dyDescent="0.3"/>
    <row r="41185" ht="14.4" x14ac:dyDescent="0.3"/>
    <row r="41186" ht="14.4" x14ac:dyDescent="0.3"/>
    <row r="41187" ht="14.4" x14ac:dyDescent="0.3"/>
    <row r="41188" ht="14.4" x14ac:dyDescent="0.3"/>
    <row r="41189" ht="14.4" x14ac:dyDescent="0.3"/>
    <row r="41190" ht="14.4" x14ac:dyDescent="0.3"/>
    <row r="41191" ht="14.4" x14ac:dyDescent="0.3"/>
    <row r="41192" ht="14.4" x14ac:dyDescent="0.3"/>
    <row r="41193" ht="14.4" x14ac:dyDescent="0.3"/>
    <row r="41194" ht="14.4" x14ac:dyDescent="0.3"/>
    <row r="41195" ht="14.4" x14ac:dyDescent="0.3"/>
    <row r="41196" ht="14.4" x14ac:dyDescent="0.3"/>
    <row r="41197" ht="14.4" x14ac:dyDescent="0.3"/>
    <row r="41198" ht="14.4" x14ac:dyDescent="0.3"/>
    <row r="41199" ht="14.4" x14ac:dyDescent="0.3"/>
    <row r="41200" ht="14.4" x14ac:dyDescent="0.3"/>
    <row r="41201" ht="14.4" x14ac:dyDescent="0.3"/>
    <row r="41202" ht="14.4" x14ac:dyDescent="0.3"/>
    <row r="41203" ht="14.4" x14ac:dyDescent="0.3"/>
    <row r="41204" ht="14.4" x14ac:dyDescent="0.3"/>
    <row r="41205" ht="14.4" x14ac:dyDescent="0.3"/>
    <row r="41206" ht="14.4" x14ac:dyDescent="0.3"/>
    <row r="41207" ht="14.4" x14ac:dyDescent="0.3"/>
    <row r="41208" ht="14.4" x14ac:dyDescent="0.3"/>
    <row r="41209" ht="14.4" x14ac:dyDescent="0.3"/>
    <row r="41210" ht="14.4" x14ac:dyDescent="0.3"/>
    <row r="41211" ht="14.4" x14ac:dyDescent="0.3"/>
    <row r="41212" ht="14.4" x14ac:dyDescent="0.3"/>
    <row r="41213" ht="14.4" x14ac:dyDescent="0.3"/>
    <row r="41214" ht="14.4" x14ac:dyDescent="0.3"/>
    <row r="41215" ht="14.4" x14ac:dyDescent="0.3"/>
    <row r="41216" ht="14.4" x14ac:dyDescent="0.3"/>
    <row r="41217" ht="14.4" x14ac:dyDescent="0.3"/>
    <row r="41218" ht="14.4" x14ac:dyDescent="0.3"/>
    <row r="41219" ht="14.4" x14ac:dyDescent="0.3"/>
    <row r="41220" ht="14.4" x14ac:dyDescent="0.3"/>
    <row r="41221" ht="14.4" x14ac:dyDescent="0.3"/>
    <row r="41222" ht="14.4" x14ac:dyDescent="0.3"/>
    <row r="41223" ht="14.4" x14ac:dyDescent="0.3"/>
    <row r="41224" ht="14.4" x14ac:dyDescent="0.3"/>
    <row r="41225" ht="14.4" x14ac:dyDescent="0.3"/>
    <row r="41226" ht="14.4" x14ac:dyDescent="0.3"/>
    <row r="41227" ht="14.4" x14ac:dyDescent="0.3"/>
    <row r="41228" ht="14.4" x14ac:dyDescent="0.3"/>
    <row r="41229" ht="14.4" x14ac:dyDescent="0.3"/>
    <row r="41230" ht="14.4" x14ac:dyDescent="0.3"/>
    <row r="41231" ht="14.4" x14ac:dyDescent="0.3"/>
    <row r="41232" ht="14.4" x14ac:dyDescent="0.3"/>
    <row r="41233" ht="14.4" x14ac:dyDescent="0.3"/>
    <row r="41234" ht="14.4" x14ac:dyDescent="0.3"/>
    <row r="41235" ht="14.4" x14ac:dyDescent="0.3"/>
    <row r="41236" ht="14.4" x14ac:dyDescent="0.3"/>
    <row r="41237" ht="14.4" x14ac:dyDescent="0.3"/>
    <row r="41238" ht="14.4" x14ac:dyDescent="0.3"/>
    <row r="41239" ht="14.4" x14ac:dyDescent="0.3"/>
    <row r="41240" ht="14.4" x14ac:dyDescent="0.3"/>
    <row r="41241" ht="14.4" x14ac:dyDescent="0.3"/>
    <row r="41242" ht="14.4" x14ac:dyDescent="0.3"/>
    <row r="41243" ht="14.4" x14ac:dyDescent="0.3"/>
    <row r="41244" ht="14.4" x14ac:dyDescent="0.3"/>
    <row r="41245" ht="14.4" x14ac:dyDescent="0.3"/>
    <row r="41246" ht="14.4" x14ac:dyDescent="0.3"/>
    <row r="41247" ht="14.4" x14ac:dyDescent="0.3"/>
    <row r="41248" ht="14.4" x14ac:dyDescent="0.3"/>
    <row r="41249" ht="14.4" x14ac:dyDescent="0.3"/>
    <row r="41250" ht="14.4" x14ac:dyDescent="0.3"/>
    <row r="41251" ht="14.4" x14ac:dyDescent="0.3"/>
    <row r="41252" ht="14.4" x14ac:dyDescent="0.3"/>
    <row r="41253" ht="14.4" x14ac:dyDescent="0.3"/>
    <row r="41254" ht="14.4" x14ac:dyDescent="0.3"/>
    <row r="41255" ht="14.4" x14ac:dyDescent="0.3"/>
    <row r="41256" ht="14.4" x14ac:dyDescent="0.3"/>
    <row r="41257" ht="14.4" x14ac:dyDescent="0.3"/>
    <row r="41258" ht="14.4" x14ac:dyDescent="0.3"/>
    <row r="41259" ht="14.4" x14ac:dyDescent="0.3"/>
    <row r="41260" ht="14.4" x14ac:dyDescent="0.3"/>
    <row r="41261" ht="14.4" x14ac:dyDescent="0.3"/>
    <row r="41262" ht="14.4" x14ac:dyDescent="0.3"/>
    <row r="41263" ht="14.4" x14ac:dyDescent="0.3"/>
    <row r="41264" ht="14.4" x14ac:dyDescent="0.3"/>
    <row r="41265" ht="14.4" x14ac:dyDescent="0.3"/>
    <row r="41266" ht="14.4" x14ac:dyDescent="0.3"/>
    <row r="41267" ht="14.4" x14ac:dyDescent="0.3"/>
    <row r="41268" ht="14.4" x14ac:dyDescent="0.3"/>
    <row r="41269" ht="14.4" x14ac:dyDescent="0.3"/>
    <row r="41270" ht="14.4" x14ac:dyDescent="0.3"/>
    <row r="41271" ht="14.4" x14ac:dyDescent="0.3"/>
    <row r="41272" ht="14.4" x14ac:dyDescent="0.3"/>
    <row r="41273" ht="14.4" x14ac:dyDescent="0.3"/>
    <row r="41274" ht="14.4" x14ac:dyDescent="0.3"/>
    <row r="41275" ht="14.4" x14ac:dyDescent="0.3"/>
    <row r="41276" ht="14.4" x14ac:dyDescent="0.3"/>
    <row r="41277" ht="14.4" x14ac:dyDescent="0.3"/>
    <row r="41278" ht="14.4" x14ac:dyDescent="0.3"/>
    <row r="41279" ht="14.4" x14ac:dyDescent="0.3"/>
    <row r="41280" ht="14.4" x14ac:dyDescent="0.3"/>
    <row r="41281" ht="14.4" x14ac:dyDescent="0.3"/>
    <row r="41282" ht="14.4" x14ac:dyDescent="0.3"/>
    <row r="41283" ht="14.4" x14ac:dyDescent="0.3"/>
    <row r="41284" ht="14.4" x14ac:dyDescent="0.3"/>
    <row r="41285" ht="14.4" x14ac:dyDescent="0.3"/>
    <row r="41286" ht="14.4" x14ac:dyDescent="0.3"/>
    <row r="41287" ht="14.4" x14ac:dyDescent="0.3"/>
    <row r="41288" ht="14.4" x14ac:dyDescent="0.3"/>
    <row r="41289" ht="14.4" x14ac:dyDescent="0.3"/>
    <row r="41290" ht="14.4" x14ac:dyDescent="0.3"/>
    <row r="41291" ht="14.4" x14ac:dyDescent="0.3"/>
    <row r="41292" ht="14.4" x14ac:dyDescent="0.3"/>
    <row r="41293" ht="14.4" x14ac:dyDescent="0.3"/>
    <row r="41294" ht="14.4" x14ac:dyDescent="0.3"/>
    <row r="41295" ht="14.4" x14ac:dyDescent="0.3"/>
    <row r="41296" ht="14.4" x14ac:dyDescent="0.3"/>
    <row r="41297" ht="14.4" x14ac:dyDescent="0.3"/>
    <row r="41298" ht="14.4" x14ac:dyDescent="0.3"/>
    <row r="41299" ht="14.4" x14ac:dyDescent="0.3"/>
    <row r="41300" ht="14.4" x14ac:dyDescent="0.3"/>
    <row r="41301" ht="14.4" x14ac:dyDescent="0.3"/>
    <row r="41302" ht="14.4" x14ac:dyDescent="0.3"/>
    <row r="41303" ht="14.4" x14ac:dyDescent="0.3"/>
    <row r="41304" ht="14.4" x14ac:dyDescent="0.3"/>
    <row r="41305" ht="14.4" x14ac:dyDescent="0.3"/>
    <row r="41306" ht="14.4" x14ac:dyDescent="0.3"/>
    <row r="41307" ht="14.4" x14ac:dyDescent="0.3"/>
    <row r="41308" ht="14.4" x14ac:dyDescent="0.3"/>
    <row r="41309" ht="14.4" x14ac:dyDescent="0.3"/>
    <row r="41310" ht="14.4" x14ac:dyDescent="0.3"/>
    <row r="41311" ht="14.4" x14ac:dyDescent="0.3"/>
    <row r="41312" ht="14.4" x14ac:dyDescent="0.3"/>
    <row r="41313" ht="14.4" x14ac:dyDescent="0.3"/>
    <row r="41314" ht="14.4" x14ac:dyDescent="0.3"/>
    <row r="41315" ht="14.4" x14ac:dyDescent="0.3"/>
    <row r="41316" ht="14.4" x14ac:dyDescent="0.3"/>
    <row r="41317" ht="14.4" x14ac:dyDescent="0.3"/>
    <row r="41318" ht="14.4" x14ac:dyDescent="0.3"/>
    <row r="41319" ht="14.4" x14ac:dyDescent="0.3"/>
    <row r="41320" ht="14.4" x14ac:dyDescent="0.3"/>
    <row r="41321" ht="14.4" x14ac:dyDescent="0.3"/>
    <row r="41322" ht="14.4" x14ac:dyDescent="0.3"/>
    <row r="41323" ht="14.4" x14ac:dyDescent="0.3"/>
    <row r="41324" ht="14.4" x14ac:dyDescent="0.3"/>
    <row r="41325" ht="14.4" x14ac:dyDescent="0.3"/>
    <row r="41326" ht="14.4" x14ac:dyDescent="0.3"/>
    <row r="41327" ht="14.4" x14ac:dyDescent="0.3"/>
    <row r="41328" ht="14.4" x14ac:dyDescent="0.3"/>
    <row r="41329" ht="14.4" x14ac:dyDescent="0.3"/>
    <row r="41330" ht="14.4" x14ac:dyDescent="0.3"/>
    <row r="41331" ht="14.4" x14ac:dyDescent="0.3"/>
    <row r="41332" ht="14.4" x14ac:dyDescent="0.3"/>
    <row r="41333" ht="14.4" x14ac:dyDescent="0.3"/>
    <row r="41334" ht="14.4" x14ac:dyDescent="0.3"/>
    <row r="41335" ht="14.4" x14ac:dyDescent="0.3"/>
    <row r="41336" ht="14.4" x14ac:dyDescent="0.3"/>
    <row r="41337" ht="14.4" x14ac:dyDescent="0.3"/>
    <row r="41338" ht="14.4" x14ac:dyDescent="0.3"/>
    <row r="41339" ht="14.4" x14ac:dyDescent="0.3"/>
    <row r="41340" ht="14.4" x14ac:dyDescent="0.3"/>
    <row r="41341" ht="14.4" x14ac:dyDescent="0.3"/>
    <row r="41342" ht="14.4" x14ac:dyDescent="0.3"/>
    <row r="41343" ht="14.4" x14ac:dyDescent="0.3"/>
    <row r="41344" ht="14.4" x14ac:dyDescent="0.3"/>
    <row r="41345" spans="1:43" ht="14.4" x14ac:dyDescent="0.3"/>
    <row r="41346" spans="1:43" ht="14.4" x14ac:dyDescent="0.3"/>
    <row r="41347" spans="1:43" ht="14.4" x14ac:dyDescent="0.3"/>
    <row r="41348" spans="1:43" ht="14.4" x14ac:dyDescent="0.3"/>
    <row r="41349" spans="1:43" ht="14.4" x14ac:dyDescent="0.3"/>
    <row r="41350" spans="1:43" ht="14.4" hidden="1" x14ac:dyDescent="0.3">
      <c r="A41350" t="s">
        <v>5329</v>
      </c>
      <c r="B41350">
        <v>4935753</v>
      </c>
      <c r="C41350" t="s">
        <v>135</v>
      </c>
      <c r="D41350" t="s">
        <v>136</v>
      </c>
      <c r="E41350" t="s">
        <v>318</v>
      </c>
      <c r="F41350" t="s">
        <v>319</v>
      </c>
      <c r="H41350" t="s">
        <v>1954</v>
      </c>
      <c r="J41350" t="s">
        <v>324</v>
      </c>
      <c r="K41350">
        <v>155848.731</v>
      </c>
      <c r="L41350">
        <v>384257.30099999998</v>
      </c>
      <c r="M41350">
        <v>1</v>
      </c>
      <c r="N41350" t="s">
        <v>335</v>
      </c>
      <c r="O41350" t="s">
        <v>325</v>
      </c>
      <c r="P41350" t="s">
        <v>326</v>
      </c>
      <c r="Q41350" t="s">
        <v>144</v>
      </c>
      <c r="R41350" t="s">
        <v>322</v>
      </c>
      <c r="S41350">
        <v>200</v>
      </c>
      <c r="T41350">
        <v>13000</v>
      </c>
      <c r="V41350" t="s">
        <v>146</v>
      </c>
      <c r="W41350" t="s">
        <v>184</v>
      </c>
      <c r="X41350" t="s">
        <v>7</v>
      </c>
      <c r="Y41350" t="s">
        <v>323</v>
      </c>
      <c r="Z41350" t="s">
        <v>325</v>
      </c>
      <c r="AA41350" t="s">
        <v>327</v>
      </c>
      <c r="AB41350">
        <v>0</v>
      </c>
      <c r="AE41350" t="s">
        <v>336</v>
      </c>
      <c r="AF41350" t="s">
        <v>325</v>
      </c>
      <c r="AG41350" t="s">
        <v>5330</v>
      </c>
      <c r="AI41350" t="s">
        <v>337</v>
      </c>
      <c r="AJ41350" t="s">
        <v>325</v>
      </c>
      <c r="AK41350" t="s">
        <v>5330</v>
      </c>
      <c r="AL41350" t="s">
        <v>5331</v>
      </c>
      <c r="AM41350" t="s">
        <v>5332</v>
      </c>
      <c r="AN41350" t="s">
        <v>5333</v>
      </c>
      <c r="AO41350" t="s">
        <v>335</v>
      </c>
      <c r="AQ41350" t="str">
        <f>IF(ISBLANK(AP41350), IFERROR(IF(VLOOKUP(AO41350, Ellens_additions!$A$2:$B$252, 2, FALSE) = "", "", VLOOKUP(AO41350, Ellens_additions!$A$2:$B$252, 2, FALSE)), 0), AP41350)</f>
        <v/>
      </c>
    </row>
    <row r="41351" spans="1:43" ht="14.4" x14ac:dyDescent="0.3"/>
    <row r="41352" spans="1:43" ht="14.4" x14ac:dyDescent="0.3"/>
    <row r="41353" spans="1:43" ht="14.4" x14ac:dyDescent="0.3"/>
    <row r="41354" spans="1:43" ht="14.4" x14ac:dyDescent="0.3"/>
    <row r="41355" spans="1:43" ht="14.4" x14ac:dyDescent="0.3"/>
    <row r="41356" spans="1:43" ht="14.4" x14ac:dyDescent="0.3"/>
    <row r="41357" spans="1:43" ht="14.4" x14ac:dyDescent="0.3"/>
    <row r="41358" spans="1:43" ht="14.4" x14ac:dyDescent="0.3"/>
    <row r="41359" spans="1:43" ht="14.4" x14ac:dyDescent="0.3"/>
    <row r="41360" spans="1:43" ht="14.4" x14ac:dyDescent="0.3"/>
    <row r="41361" ht="14.4" x14ac:dyDescent="0.3"/>
    <row r="41362" ht="14.4" x14ac:dyDescent="0.3"/>
    <row r="41363" ht="14.4" x14ac:dyDescent="0.3"/>
    <row r="41364" ht="14.4" x14ac:dyDescent="0.3"/>
    <row r="41365" ht="14.4" x14ac:dyDescent="0.3"/>
    <row r="41366" ht="14.4" x14ac:dyDescent="0.3"/>
    <row r="41367" ht="14.4" x14ac:dyDescent="0.3"/>
    <row r="41368" ht="14.4" x14ac:dyDescent="0.3"/>
    <row r="41369" ht="14.4" x14ac:dyDescent="0.3"/>
    <row r="41370" ht="14.4" x14ac:dyDescent="0.3"/>
    <row r="41371" ht="14.4" x14ac:dyDescent="0.3"/>
    <row r="41372" ht="14.4" x14ac:dyDescent="0.3"/>
    <row r="41373" ht="14.4" x14ac:dyDescent="0.3"/>
    <row r="41374" ht="14.4" x14ac:dyDescent="0.3"/>
    <row r="41375" ht="14.4" x14ac:dyDescent="0.3"/>
    <row r="41376" ht="14.4" x14ac:dyDescent="0.3"/>
    <row r="41377" ht="14.4" x14ac:dyDescent="0.3"/>
    <row r="41378" ht="14.4" x14ac:dyDescent="0.3"/>
    <row r="41379" ht="14.4" x14ac:dyDescent="0.3"/>
    <row r="41380" ht="14.4" x14ac:dyDescent="0.3"/>
    <row r="41381" ht="14.4" x14ac:dyDescent="0.3"/>
    <row r="41382" ht="14.4" x14ac:dyDescent="0.3"/>
    <row r="41383" ht="14.4" x14ac:dyDescent="0.3"/>
    <row r="41384" ht="14.4" x14ac:dyDescent="0.3"/>
    <row r="41385" ht="14.4" x14ac:dyDescent="0.3"/>
    <row r="41386" ht="14.4" x14ac:dyDescent="0.3"/>
    <row r="41387" ht="14.4" x14ac:dyDescent="0.3"/>
    <row r="41388" ht="14.4" x14ac:dyDescent="0.3"/>
    <row r="41389" ht="14.4" x14ac:dyDescent="0.3"/>
    <row r="41390" ht="14.4" x14ac:dyDescent="0.3"/>
    <row r="41391" ht="14.4" x14ac:dyDescent="0.3"/>
    <row r="41392" ht="14.4" x14ac:dyDescent="0.3"/>
    <row r="41393" ht="14.4" x14ac:dyDescent="0.3"/>
    <row r="41394" ht="14.4" x14ac:dyDescent="0.3"/>
    <row r="41395" ht="14.4" x14ac:dyDescent="0.3"/>
    <row r="41396" ht="14.4" x14ac:dyDescent="0.3"/>
    <row r="41397" ht="14.4" x14ac:dyDescent="0.3"/>
    <row r="41398" ht="14.4" x14ac:dyDescent="0.3"/>
    <row r="41399" ht="14.4" x14ac:dyDescent="0.3"/>
    <row r="41400" ht="14.4" x14ac:dyDescent="0.3"/>
    <row r="41401" ht="14.4" x14ac:dyDescent="0.3"/>
    <row r="41402" ht="14.4" x14ac:dyDescent="0.3"/>
    <row r="41403" ht="14.4" x14ac:dyDescent="0.3"/>
    <row r="41404" ht="14.4" x14ac:dyDescent="0.3"/>
    <row r="41405" ht="14.4" x14ac:dyDescent="0.3"/>
    <row r="41406" ht="14.4" x14ac:dyDescent="0.3"/>
    <row r="41407" ht="14.4" x14ac:dyDescent="0.3"/>
    <row r="41408" ht="14.4" x14ac:dyDescent="0.3"/>
    <row r="41409" ht="14.4" x14ac:dyDescent="0.3"/>
    <row r="41410" ht="14.4" x14ac:dyDescent="0.3"/>
    <row r="41411" ht="14.4" x14ac:dyDescent="0.3"/>
    <row r="41412" ht="14.4" x14ac:dyDescent="0.3"/>
    <row r="41413" ht="14.4" x14ac:dyDescent="0.3"/>
    <row r="41414" ht="14.4" x14ac:dyDescent="0.3"/>
    <row r="41415" ht="14.4" x14ac:dyDescent="0.3"/>
    <row r="41416" ht="14.4" x14ac:dyDescent="0.3"/>
    <row r="41417" ht="14.4" x14ac:dyDescent="0.3"/>
    <row r="41418" ht="14.4" x14ac:dyDescent="0.3"/>
    <row r="41419" ht="14.4" x14ac:dyDescent="0.3"/>
    <row r="41420" ht="14.4" x14ac:dyDescent="0.3"/>
    <row r="41421" ht="14.4" x14ac:dyDescent="0.3"/>
    <row r="41422" ht="14.4" x14ac:dyDescent="0.3"/>
    <row r="41423" ht="14.4" x14ac:dyDescent="0.3"/>
    <row r="41424" ht="14.4" x14ac:dyDescent="0.3"/>
    <row r="41425" ht="14.4" x14ac:dyDescent="0.3"/>
    <row r="41426" ht="14.4" x14ac:dyDescent="0.3"/>
    <row r="41427" ht="14.4" x14ac:dyDescent="0.3"/>
    <row r="41428" ht="14.4" x14ac:dyDescent="0.3"/>
    <row r="41429" ht="14.4" x14ac:dyDescent="0.3"/>
    <row r="41430" ht="14.4" x14ac:dyDescent="0.3"/>
    <row r="41431" ht="14.4" x14ac:dyDescent="0.3"/>
    <row r="41432" ht="14.4" x14ac:dyDescent="0.3"/>
    <row r="41433" ht="14.4" x14ac:dyDescent="0.3"/>
    <row r="41434" ht="14.4" x14ac:dyDescent="0.3"/>
    <row r="41435" ht="14.4" x14ac:dyDescent="0.3"/>
    <row r="41436" ht="14.4" x14ac:dyDescent="0.3"/>
    <row r="41437" ht="14.4" x14ac:dyDescent="0.3"/>
    <row r="41438" ht="14.4" x14ac:dyDescent="0.3"/>
    <row r="41439" ht="14.4" x14ac:dyDescent="0.3"/>
    <row r="41440" ht="14.4" x14ac:dyDescent="0.3"/>
    <row r="41441" ht="14.4" x14ac:dyDescent="0.3"/>
    <row r="41442" ht="14.4" x14ac:dyDescent="0.3"/>
    <row r="41443" ht="14.4" x14ac:dyDescent="0.3"/>
    <row r="41444" ht="14.4" x14ac:dyDescent="0.3"/>
    <row r="41445" ht="14.4" x14ac:dyDescent="0.3"/>
    <row r="41446" ht="14.4" x14ac:dyDescent="0.3"/>
    <row r="41447" ht="14.4" x14ac:dyDescent="0.3"/>
    <row r="41448" ht="14.4" x14ac:dyDescent="0.3"/>
    <row r="41449" ht="14.4" x14ac:dyDescent="0.3"/>
    <row r="41450" ht="14.4" x14ac:dyDescent="0.3"/>
    <row r="41451" ht="14.4" x14ac:dyDescent="0.3"/>
    <row r="41452" ht="14.4" x14ac:dyDescent="0.3"/>
    <row r="41453" ht="14.4" x14ac:dyDescent="0.3"/>
    <row r="41454" ht="14.4" x14ac:dyDescent="0.3"/>
    <row r="41455" ht="14.4" x14ac:dyDescent="0.3"/>
    <row r="41456" ht="14.4" x14ac:dyDescent="0.3"/>
    <row r="41457" ht="14.4" x14ac:dyDescent="0.3"/>
    <row r="41458" ht="14.4" x14ac:dyDescent="0.3"/>
    <row r="41459" ht="14.4" x14ac:dyDescent="0.3"/>
    <row r="41460" ht="14.4" x14ac:dyDescent="0.3"/>
    <row r="41461" ht="14.4" x14ac:dyDescent="0.3"/>
    <row r="41462" ht="14.4" x14ac:dyDescent="0.3"/>
    <row r="41463" ht="14.4" x14ac:dyDescent="0.3"/>
    <row r="41464" ht="14.4" x14ac:dyDescent="0.3"/>
    <row r="41465" ht="14.4" x14ac:dyDescent="0.3"/>
    <row r="41466" ht="14.4" x14ac:dyDescent="0.3"/>
    <row r="41467" ht="14.4" x14ac:dyDescent="0.3"/>
    <row r="41468" ht="14.4" x14ac:dyDescent="0.3"/>
    <row r="41469" ht="14.4" x14ac:dyDescent="0.3"/>
    <row r="41470" ht="14.4" x14ac:dyDescent="0.3"/>
    <row r="41471" ht="14.4" x14ac:dyDescent="0.3"/>
    <row r="41472" ht="14.4" x14ac:dyDescent="0.3"/>
    <row r="41473" ht="14.4" x14ac:dyDescent="0.3"/>
    <row r="41474" ht="14.4" x14ac:dyDescent="0.3"/>
    <row r="41475" ht="14.4" x14ac:dyDescent="0.3"/>
    <row r="41476" ht="14.4" x14ac:dyDescent="0.3"/>
    <row r="41477" ht="14.4" x14ac:dyDescent="0.3"/>
    <row r="41478" ht="14.4" x14ac:dyDescent="0.3"/>
    <row r="41479" ht="14.4" x14ac:dyDescent="0.3"/>
    <row r="41480" ht="14.4" x14ac:dyDescent="0.3"/>
    <row r="41481" ht="14.4" x14ac:dyDescent="0.3"/>
    <row r="41482" ht="14.4" x14ac:dyDescent="0.3"/>
    <row r="41483" ht="14.4" x14ac:dyDescent="0.3"/>
    <row r="41484" ht="14.4" x14ac:dyDescent="0.3"/>
    <row r="41485" ht="14.4" x14ac:dyDescent="0.3"/>
    <row r="41486" ht="14.4" x14ac:dyDescent="0.3"/>
    <row r="41487" ht="14.4" x14ac:dyDescent="0.3"/>
    <row r="41488" ht="14.4" x14ac:dyDescent="0.3"/>
    <row r="41489" ht="14.4" x14ac:dyDescent="0.3"/>
    <row r="41490" ht="14.4" x14ac:dyDescent="0.3"/>
    <row r="41491" ht="14.4" x14ac:dyDescent="0.3"/>
    <row r="41492" ht="14.4" x14ac:dyDescent="0.3"/>
    <row r="41493" ht="14.4" x14ac:dyDescent="0.3"/>
    <row r="41494" ht="14.4" x14ac:dyDescent="0.3"/>
    <row r="41495" ht="14.4" x14ac:dyDescent="0.3"/>
    <row r="41496" ht="14.4" x14ac:dyDescent="0.3"/>
    <row r="41497" ht="14.4" x14ac:dyDescent="0.3"/>
    <row r="41498" ht="14.4" x14ac:dyDescent="0.3"/>
    <row r="41499" ht="14.4" x14ac:dyDescent="0.3"/>
    <row r="41500" ht="14.4" x14ac:dyDescent="0.3"/>
    <row r="41501" ht="14.4" x14ac:dyDescent="0.3"/>
    <row r="41502" ht="14.4" x14ac:dyDescent="0.3"/>
    <row r="41503" ht="14.4" x14ac:dyDescent="0.3"/>
    <row r="41504" ht="14.4" x14ac:dyDescent="0.3"/>
    <row r="41505" ht="14.4" x14ac:dyDescent="0.3"/>
    <row r="41506" ht="14.4" x14ac:dyDescent="0.3"/>
    <row r="41507" ht="14.4" x14ac:dyDescent="0.3"/>
    <row r="41508" ht="14.4" x14ac:dyDescent="0.3"/>
    <row r="41509" ht="14.4" x14ac:dyDescent="0.3"/>
    <row r="41510" ht="14.4" x14ac:dyDescent="0.3"/>
    <row r="41511" ht="14.4" x14ac:dyDescent="0.3"/>
    <row r="41512" ht="14.4" x14ac:dyDescent="0.3"/>
    <row r="41513" ht="14.4" x14ac:dyDescent="0.3"/>
    <row r="41514" ht="14.4" x14ac:dyDescent="0.3"/>
    <row r="41515" ht="14.4" x14ac:dyDescent="0.3"/>
    <row r="41516" ht="14.4" x14ac:dyDescent="0.3"/>
    <row r="41517" ht="14.4" x14ac:dyDescent="0.3"/>
    <row r="41518" ht="14.4" x14ac:dyDescent="0.3"/>
    <row r="41519" ht="14.4" x14ac:dyDescent="0.3"/>
    <row r="41520" ht="14.4" x14ac:dyDescent="0.3"/>
    <row r="41521" ht="14.4" x14ac:dyDescent="0.3"/>
    <row r="41522" ht="14.4" x14ac:dyDescent="0.3"/>
    <row r="41523" ht="14.4" x14ac:dyDescent="0.3"/>
    <row r="41524" ht="14.4" x14ac:dyDescent="0.3"/>
    <row r="41525" ht="14.4" x14ac:dyDescent="0.3"/>
    <row r="41526" ht="14.4" x14ac:dyDescent="0.3"/>
    <row r="41527" ht="14.4" x14ac:dyDescent="0.3"/>
    <row r="41528" ht="14.4" x14ac:dyDescent="0.3"/>
    <row r="41529" ht="14.4" x14ac:dyDescent="0.3"/>
    <row r="41530" ht="14.4" x14ac:dyDescent="0.3"/>
    <row r="41531" ht="14.4" x14ac:dyDescent="0.3"/>
    <row r="41532" ht="14.4" x14ac:dyDescent="0.3"/>
    <row r="41533" ht="14.4" x14ac:dyDescent="0.3"/>
    <row r="41534" ht="14.4" x14ac:dyDescent="0.3"/>
    <row r="41535" ht="14.4" x14ac:dyDescent="0.3"/>
    <row r="41536" ht="14.4" x14ac:dyDescent="0.3"/>
    <row r="41537" ht="14.4" x14ac:dyDescent="0.3"/>
    <row r="41538" ht="14.4" x14ac:dyDescent="0.3"/>
    <row r="41539" ht="14.4" x14ac:dyDescent="0.3"/>
    <row r="41540" ht="14.4" x14ac:dyDescent="0.3"/>
    <row r="41541" ht="14.4" x14ac:dyDescent="0.3"/>
    <row r="41542" ht="14.4" x14ac:dyDescent="0.3"/>
    <row r="41543" ht="14.4" x14ac:dyDescent="0.3"/>
    <row r="41544" ht="14.4" x14ac:dyDescent="0.3"/>
    <row r="41545" ht="14.4" x14ac:dyDescent="0.3"/>
    <row r="41546" ht="14.4" x14ac:dyDescent="0.3"/>
    <row r="41547" ht="14.4" x14ac:dyDescent="0.3"/>
    <row r="41548" ht="14.4" x14ac:dyDescent="0.3"/>
    <row r="41549" ht="14.4" x14ac:dyDescent="0.3"/>
    <row r="41550" ht="14.4" x14ac:dyDescent="0.3"/>
    <row r="41551" ht="14.4" x14ac:dyDescent="0.3"/>
    <row r="41552" ht="14.4" x14ac:dyDescent="0.3"/>
    <row r="41553" ht="14.4" x14ac:dyDescent="0.3"/>
    <row r="41554" ht="14.4" x14ac:dyDescent="0.3"/>
    <row r="41555" ht="14.4" x14ac:dyDescent="0.3"/>
    <row r="41556" ht="14.4" x14ac:dyDescent="0.3"/>
    <row r="41557" ht="14.4" x14ac:dyDescent="0.3"/>
    <row r="41558" ht="14.4" x14ac:dyDescent="0.3"/>
    <row r="41559" ht="14.4" x14ac:dyDescent="0.3"/>
    <row r="41560" ht="14.4" x14ac:dyDescent="0.3"/>
    <row r="41561" ht="14.4" x14ac:dyDescent="0.3"/>
    <row r="41562" ht="14.4" x14ac:dyDescent="0.3"/>
    <row r="41563" ht="14.4" x14ac:dyDescent="0.3"/>
    <row r="41564" ht="14.4" x14ac:dyDescent="0.3"/>
    <row r="41565" ht="14.4" x14ac:dyDescent="0.3"/>
    <row r="41566" ht="14.4" x14ac:dyDescent="0.3"/>
    <row r="41567" ht="14.4" x14ac:dyDescent="0.3"/>
    <row r="41568" ht="14.4" x14ac:dyDescent="0.3"/>
    <row r="41569" ht="14.4" x14ac:dyDescent="0.3"/>
    <row r="41570" ht="14.4" x14ac:dyDescent="0.3"/>
    <row r="41571" ht="14.4" x14ac:dyDescent="0.3"/>
    <row r="41572" ht="14.4" x14ac:dyDescent="0.3"/>
    <row r="41573" ht="14.4" x14ac:dyDescent="0.3"/>
    <row r="41574" ht="14.4" x14ac:dyDescent="0.3"/>
    <row r="41575" ht="14.4" x14ac:dyDescent="0.3"/>
    <row r="41576" ht="14.4" x14ac:dyDescent="0.3"/>
    <row r="41577" ht="14.4" x14ac:dyDescent="0.3"/>
    <row r="41578" ht="14.4" x14ac:dyDescent="0.3"/>
    <row r="41579" ht="14.4" x14ac:dyDescent="0.3"/>
    <row r="41580" ht="14.4" x14ac:dyDescent="0.3"/>
    <row r="41581" ht="14.4" x14ac:dyDescent="0.3"/>
    <row r="41582" ht="14.4" x14ac:dyDescent="0.3"/>
    <row r="41583" ht="14.4" x14ac:dyDescent="0.3"/>
    <row r="41584" ht="14.4" x14ac:dyDescent="0.3"/>
    <row r="41585" ht="14.4" x14ac:dyDescent="0.3"/>
    <row r="41586" ht="14.4" x14ac:dyDescent="0.3"/>
    <row r="41587" ht="14.4" x14ac:dyDescent="0.3"/>
    <row r="41588" ht="14.4" x14ac:dyDescent="0.3"/>
    <row r="41589" ht="14.4" x14ac:dyDescent="0.3"/>
    <row r="41590" ht="14.4" x14ac:dyDescent="0.3"/>
    <row r="41591" ht="14.4" x14ac:dyDescent="0.3"/>
    <row r="41592" ht="14.4" x14ac:dyDescent="0.3"/>
    <row r="41593" ht="14.4" x14ac:dyDescent="0.3"/>
    <row r="41594" ht="14.4" x14ac:dyDescent="0.3"/>
    <row r="41595" ht="14.4" x14ac:dyDescent="0.3"/>
    <row r="41596" ht="14.4" x14ac:dyDescent="0.3"/>
    <row r="41597" ht="14.4" x14ac:dyDescent="0.3"/>
    <row r="41598" ht="14.4" x14ac:dyDescent="0.3"/>
    <row r="41599" ht="14.4" x14ac:dyDescent="0.3"/>
    <row r="41600" ht="14.4" x14ac:dyDescent="0.3"/>
    <row r="41601" ht="14.4" x14ac:dyDescent="0.3"/>
    <row r="41602" ht="14.4" x14ac:dyDescent="0.3"/>
    <row r="41603" ht="14.4" x14ac:dyDescent="0.3"/>
    <row r="41604" ht="14.4" x14ac:dyDescent="0.3"/>
    <row r="41605" ht="14.4" x14ac:dyDescent="0.3"/>
    <row r="41606" ht="14.4" x14ac:dyDescent="0.3"/>
    <row r="41607" ht="14.4" x14ac:dyDescent="0.3"/>
    <row r="41608" ht="14.4" x14ac:dyDescent="0.3"/>
    <row r="41609" ht="14.4" x14ac:dyDescent="0.3"/>
    <row r="41610" ht="14.4" x14ac:dyDescent="0.3"/>
    <row r="41611" ht="14.4" x14ac:dyDescent="0.3"/>
    <row r="41612" ht="14.4" x14ac:dyDescent="0.3"/>
    <row r="41613" ht="14.4" x14ac:dyDescent="0.3"/>
    <row r="41614" ht="14.4" x14ac:dyDescent="0.3"/>
    <row r="41615" ht="14.4" x14ac:dyDescent="0.3"/>
    <row r="41616" ht="14.4" x14ac:dyDescent="0.3"/>
    <row r="41617" ht="14.4" x14ac:dyDescent="0.3"/>
    <row r="41618" ht="14.4" x14ac:dyDescent="0.3"/>
    <row r="41619" ht="14.4" x14ac:dyDescent="0.3"/>
    <row r="41620" ht="14.4" x14ac:dyDescent="0.3"/>
    <row r="41621" ht="14.4" x14ac:dyDescent="0.3"/>
    <row r="41622" ht="14.4" x14ac:dyDescent="0.3"/>
    <row r="41623" ht="14.4" x14ac:dyDescent="0.3"/>
    <row r="41624" ht="14.4" x14ac:dyDescent="0.3"/>
    <row r="41625" ht="14.4" x14ac:dyDescent="0.3"/>
    <row r="41626" ht="14.4" x14ac:dyDescent="0.3"/>
    <row r="41627" ht="14.4" x14ac:dyDescent="0.3"/>
    <row r="41628" ht="14.4" x14ac:dyDescent="0.3"/>
    <row r="41629" ht="14.4" x14ac:dyDescent="0.3"/>
    <row r="41630" ht="14.4" x14ac:dyDescent="0.3"/>
    <row r="41631" ht="14.4" x14ac:dyDescent="0.3"/>
    <row r="41632" ht="14.4" x14ac:dyDescent="0.3"/>
    <row r="41633" ht="14.4" x14ac:dyDescent="0.3"/>
    <row r="41634" ht="14.4" x14ac:dyDescent="0.3"/>
    <row r="41635" ht="14.4" x14ac:dyDescent="0.3"/>
    <row r="41636" ht="14.4" x14ac:dyDescent="0.3"/>
    <row r="41637" ht="14.4" x14ac:dyDescent="0.3"/>
    <row r="41638" ht="14.4" x14ac:dyDescent="0.3"/>
    <row r="41639" ht="14.4" x14ac:dyDescent="0.3"/>
    <row r="41640" ht="14.4" x14ac:dyDescent="0.3"/>
    <row r="41641" ht="14.4" x14ac:dyDescent="0.3"/>
    <row r="41642" ht="14.4" x14ac:dyDescent="0.3"/>
    <row r="41643" ht="14.4" x14ac:dyDescent="0.3"/>
    <row r="41644" ht="14.4" x14ac:dyDescent="0.3"/>
    <row r="41645" ht="14.4" x14ac:dyDescent="0.3"/>
    <row r="41646" ht="14.4" x14ac:dyDescent="0.3"/>
    <row r="41647" ht="14.4" x14ac:dyDescent="0.3"/>
    <row r="41648" ht="14.4" x14ac:dyDescent="0.3"/>
    <row r="41649" ht="14.4" x14ac:dyDescent="0.3"/>
    <row r="41650" ht="14.4" x14ac:dyDescent="0.3"/>
    <row r="41651" ht="14.4" x14ac:dyDescent="0.3"/>
    <row r="41652" ht="14.4" x14ac:dyDescent="0.3"/>
    <row r="41653" ht="14.4" x14ac:dyDescent="0.3"/>
    <row r="41654" ht="14.4" x14ac:dyDescent="0.3"/>
    <row r="41655" ht="14.4" x14ac:dyDescent="0.3"/>
    <row r="41656" ht="14.4" x14ac:dyDescent="0.3"/>
    <row r="41657" ht="14.4" x14ac:dyDescent="0.3"/>
    <row r="41658" ht="14.4" x14ac:dyDescent="0.3"/>
    <row r="41659" ht="14.4" x14ac:dyDescent="0.3"/>
    <row r="41660" ht="14.4" x14ac:dyDescent="0.3"/>
    <row r="41661" ht="14.4" x14ac:dyDescent="0.3"/>
    <row r="41662" ht="14.4" x14ac:dyDescent="0.3"/>
    <row r="41663" ht="14.4" x14ac:dyDescent="0.3"/>
    <row r="41664" ht="14.4" x14ac:dyDescent="0.3"/>
    <row r="41665" ht="14.4" x14ac:dyDescent="0.3"/>
    <row r="41666" ht="14.4" x14ac:dyDescent="0.3"/>
    <row r="41667" ht="14.4" x14ac:dyDescent="0.3"/>
    <row r="41668" ht="14.4" x14ac:dyDescent="0.3"/>
    <row r="41669" ht="14.4" x14ac:dyDescent="0.3"/>
    <row r="41670" ht="14.4" x14ac:dyDescent="0.3"/>
    <row r="41671" ht="14.4" x14ac:dyDescent="0.3"/>
    <row r="41672" ht="14.4" x14ac:dyDescent="0.3"/>
    <row r="41673" ht="14.4" x14ac:dyDescent="0.3"/>
    <row r="41674" ht="14.4" x14ac:dyDescent="0.3"/>
    <row r="41675" ht="14.4" x14ac:dyDescent="0.3"/>
    <row r="41676" ht="14.4" x14ac:dyDescent="0.3"/>
    <row r="41677" ht="14.4" x14ac:dyDescent="0.3"/>
    <row r="41678" ht="14.4" x14ac:dyDescent="0.3"/>
    <row r="41679" ht="14.4" x14ac:dyDescent="0.3"/>
    <row r="41680" ht="14.4" x14ac:dyDescent="0.3"/>
    <row r="41681" ht="14.4" x14ac:dyDescent="0.3"/>
    <row r="41682" ht="14.4" x14ac:dyDescent="0.3"/>
    <row r="41683" ht="14.4" x14ac:dyDescent="0.3"/>
    <row r="41684" ht="14.4" x14ac:dyDescent="0.3"/>
    <row r="41685" ht="14.4" x14ac:dyDescent="0.3"/>
    <row r="41686" ht="14.4" x14ac:dyDescent="0.3"/>
    <row r="41687" ht="14.4" x14ac:dyDescent="0.3"/>
    <row r="41688" ht="14.4" x14ac:dyDescent="0.3"/>
    <row r="41689" ht="14.4" x14ac:dyDescent="0.3"/>
    <row r="41690" ht="14.4" x14ac:dyDescent="0.3"/>
    <row r="41691" ht="14.4" x14ac:dyDescent="0.3"/>
    <row r="41692" ht="14.4" x14ac:dyDescent="0.3"/>
    <row r="41693" ht="14.4" x14ac:dyDescent="0.3"/>
    <row r="41694" ht="14.4" x14ac:dyDescent="0.3"/>
    <row r="41695" ht="14.4" x14ac:dyDescent="0.3"/>
    <row r="41696" ht="14.4" x14ac:dyDescent="0.3"/>
    <row r="41697" ht="14.4" x14ac:dyDescent="0.3"/>
    <row r="41698" ht="14.4" x14ac:dyDescent="0.3"/>
    <row r="41699" ht="14.4" x14ac:dyDescent="0.3"/>
    <row r="41700" ht="14.4" x14ac:dyDescent="0.3"/>
    <row r="41701" ht="14.4" x14ac:dyDescent="0.3"/>
    <row r="41702" ht="14.4" x14ac:dyDescent="0.3"/>
    <row r="41703" ht="14.4" x14ac:dyDescent="0.3"/>
    <row r="41704" ht="14.4" x14ac:dyDescent="0.3"/>
    <row r="41705" ht="14.4" x14ac:dyDescent="0.3"/>
    <row r="41706" ht="14.4" x14ac:dyDescent="0.3"/>
    <row r="41707" ht="14.4" x14ac:dyDescent="0.3"/>
    <row r="41708" ht="14.4" x14ac:dyDescent="0.3"/>
    <row r="41709" ht="14.4" x14ac:dyDescent="0.3"/>
    <row r="41710" ht="14.4" x14ac:dyDescent="0.3"/>
    <row r="41711" ht="14.4" x14ac:dyDescent="0.3"/>
    <row r="41712" ht="14.4" x14ac:dyDescent="0.3"/>
    <row r="41713" ht="14.4" x14ac:dyDescent="0.3"/>
    <row r="41714" ht="14.4" x14ac:dyDescent="0.3"/>
    <row r="41715" ht="14.4" x14ac:dyDescent="0.3"/>
    <row r="41716" ht="14.4" x14ac:dyDescent="0.3"/>
    <row r="41717" ht="14.4" x14ac:dyDescent="0.3"/>
    <row r="41718" ht="14.4" x14ac:dyDescent="0.3"/>
    <row r="41719" ht="14.4" x14ac:dyDescent="0.3"/>
    <row r="41720" ht="14.4" x14ac:dyDescent="0.3"/>
    <row r="41721" ht="14.4" x14ac:dyDescent="0.3"/>
    <row r="41722" ht="14.4" x14ac:dyDescent="0.3"/>
    <row r="41723" ht="14.4" x14ac:dyDescent="0.3"/>
    <row r="41724" ht="14.4" x14ac:dyDescent="0.3"/>
    <row r="41725" ht="14.4" x14ac:dyDescent="0.3"/>
    <row r="41726" ht="14.4" x14ac:dyDescent="0.3"/>
    <row r="41727" ht="14.4" x14ac:dyDescent="0.3"/>
    <row r="41728" ht="14.4" x14ac:dyDescent="0.3"/>
    <row r="41729" ht="14.4" x14ac:dyDescent="0.3"/>
    <row r="41730" ht="14.4" x14ac:dyDescent="0.3"/>
    <row r="41731" ht="14.4" x14ac:dyDescent="0.3"/>
    <row r="41732" ht="14.4" x14ac:dyDescent="0.3"/>
    <row r="41733" ht="14.4" x14ac:dyDescent="0.3"/>
    <row r="41734" ht="14.4" x14ac:dyDescent="0.3"/>
    <row r="41735" ht="14.4" x14ac:dyDescent="0.3"/>
    <row r="41736" ht="14.4" x14ac:dyDescent="0.3"/>
    <row r="41737" ht="14.4" x14ac:dyDescent="0.3"/>
    <row r="41738" ht="14.4" x14ac:dyDescent="0.3"/>
    <row r="41739" ht="14.4" x14ac:dyDescent="0.3"/>
    <row r="41740" ht="14.4" x14ac:dyDescent="0.3"/>
    <row r="41741" ht="14.4" x14ac:dyDescent="0.3"/>
    <row r="41742" ht="14.4" x14ac:dyDescent="0.3"/>
    <row r="41743" ht="14.4" x14ac:dyDescent="0.3"/>
    <row r="41744" ht="14.4" x14ac:dyDescent="0.3"/>
    <row r="41745" ht="14.4" x14ac:dyDescent="0.3"/>
    <row r="41746" ht="14.4" x14ac:dyDescent="0.3"/>
    <row r="41747" ht="14.4" x14ac:dyDescent="0.3"/>
    <row r="41748" ht="14.4" x14ac:dyDescent="0.3"/>
    <row r="41749" ht="14.4" x14ac:dyDescent="0.3"/>
    <row r="41750" ht="14.4" x14ac:dyDescent="0.3"/>
    <row r="41751" ht="14.4" x14ac:dyDescent="0.3"/>
    <row r="41752" ht="14.4" x14ac:dyDescent="0.3"/>
    <row r="41753" ht="14.4" x14ac:dyDescent="0.3"/>
    <row r="41754" ht="14.4" x14ac:dyDescent="0.3"/>
    <row r="41755" ht="14.4" x14ac:dyDescent="0.3"/>
    <row r="41756" ht="14.4" x14ac:dyDescent="0.3"/>
    <row r="41757" ht="14.4" x14ac:dyDescent="0.3"/>
    <row r="41758" ht="14.4" x14ac:dyDescent="0.3"/>
    <row r="41759" ht="14.4" x14ac:dyDescent="0.3"/>
    <row r="41760" ht="14.4" x14ac:dyDescent="0.3"/>
    <row r="41761" ht="14.4" x14ac:dyDescent="0.3"/>
    <row r="41762" ht="14.4" x14ac:dyDescent="0.3"/>
    <row r="41763" ht="14.4" x14ac:dyDescent="0.3"/>
    <row r="41764" ht="14.4" x14ac:dyDescent="0.3"/>
    <row r="41765" ht="14.4" x14ac:dyDescent="0.3"/>
    <row r="41766" ht="14.4" x14ac:dyDescent="0.3"/>
    <row r="41767" ht="14.4" x14ac:dyDescent="0.3"/>
    <row r="41768" ht="14.4" x14ac:dyDescent="0.3"/>
    <row r="41769" ht="14.4" x14ac:dyDescent="0.3"/>
    <row r="41770" ht="14.4" x14ac:dyDescent="0.3"/>
    <row r="41771" ht="14.4" x14ac:dyDescent="0.3"/>
    <row r="41772" ht="14.4" x14ac:dyDescent="0.3"/>
    <row r="41773" ht="14.4" x14ac:dyDescent="0.3"/>
    <row r="41774" ht="14.4" x14ac:dyDescent="0.3"/>
    <row r="41775" ht="14.4" x14ac:dyDescent="0.3"/>
    <row r="41776" ht="14.4" x14ac:dyDescent="0.3"/>
    <row r="41777" ht="14.4" x14ac:dyDescent="0.3"/>
    <row r="41778" ht="14.4" x14ac:dyDescent="0.3"/>
    <row r="41779" ht="14.4" x14ac:dyDescent="0.3"/>
    <row r="41780" ht="14.4" x14ac:dyDescent="0.3"/>
    <row r="41781" ht="14.4" x14ac:dyDescent="0.3"/>
    <row r="41782" ht="14.4" x14ac:dyDescent="0.3"/>
    <row r="41783" ht="14.4" x14ac:dyDescent="0.3"/>
    <row r="41784" ht="14.4" x14ac:dyDescent="0.3"/>
    <row r="41785" ht="14.4" x14ac:dyDescent="0.3"/>
    <row r="41786" ht="14.4" x14ac:dyDescent="0.3"/>
    <row r="41787" ht="14.4" x14ac:dyDescent="0.3"/>
    <row r="41788" ht="14.4" x14ac:dyDescent="0.3"/>
    <row r="41789" ht="14.4" x14ac:dyDescent="0.3"/>
    <row r="41790" ht="14.4" x14ac:dyDescent="0.3"/>
    <row r="41791" ht="14.4" x14ac:dyDescent="0.3"/>
    <row r="41792" ht="14.4" x14ac:dyDescent="0.3"/>
    <row r="41793" ht="14.4" x14ac:dyDescent="0.3"/>
    <row r="41794" ht="14.4" x14ac:dyDescent="0.3"/>
    <row r="41795" ht="14.4" x14ac:dyDescent="0.3"/>
    <row r="41796" ht="14.4" x14ac:dyDescent="0.3"/>
    <row r="41797" ht="14.4" x14ac:dyDescent="0.3"/>
    <row r="41798" ht="14.4" x14ac:dyDescent="0.3"/>
    <row r="41799" ht="14.4" x14ac:dyDescent="0.3"/>
    <row r="41800" ht="14.4" x14ac:dyDescent="0.3"/>
    <row r="41801" ht="14.4" x14ac:dyDescent="0.3"/>
    <row r="41802" ht="14.4" x14ac:dyDescent="0.3"/>
    <row r="41803" ht="14.4" x14ac:dyDescent="0.3"/>
    <row r="41804" ht="14.4" x14ac:dyDescent="0.3"/>
    <row r="41805" ht="14.4" x14ac:dyDescent="0.3"/>
    <row r="41806" ht="14.4" x14ac:dyDescent="0.3"/>
    <row r="41807" ht="14.4" x14ac:dyDescent="0.3"/>
    <row r="41808" ht="14.4" x14ac:dyDescent="0.3"/>
    <row r="41809" ht="14.4" x14ac:dyDescent="0.3"/>
    <row r="41810" ht="14.4" x14ac:dyDescent="0.3"/>
    <row r="41811" ht="14.4" x14ac:dyDescent="0.3"/>
    <row r="41812" ht="14.4" x14ac:dyDescent="0.3"/>
    <row r="41813" ht="14.4" x14ac:dyDescent="0.3"/>
    <row r="41814" ht="14.4" x14ac:dyDescent="0.3"/>
    <row r="41815" ht="14.4" x14ac:dyDescent="0.3"/>
    <row r="41816" ht="14.4" x14ac:dyDescent="0.3"/>
    <row r="41817" ht="14.4" x14ac:dyDescent="0.3"/>
    <row r="41818" ht="14.4" x14ac:dyDescent="0.3"/>
    <row r="41819" ht="14.4" x14ac:dyDescent="0.3"/>
    <row r="41820" ht="14.4" x14ac:dyDescent="0.3"/>
    <row r="41821" ht="14.4" x14ac:dyDescent="0.3"/>
    <row r="41822" ht="14.4" x14ac:dyDescent="0.3"/>
    <row r="41823" ht="14.4" x14ac:dyDescent="0.3"/>
    <row r="41824" ht="14.4" x14ac:dyDescent="0.3"/>
    <row r="41825" ht="14.4" x14ac:dyDescent="0.3"/>
    <row r="41826" ht="14.4" x14ac:dyDescent="0.3"/>
    <row r="41827" ht="14.4" x14ac:dyDescent="0.3"/>
    <row r="41828" ht="14.4" x14ac:dyDescent="0.3"/>
    <row r="41829" ht="14.4" x14ac:dyDescent="0.3"/>
    <row r="41830" ht="14.4" x14ac:dyDescent="0.3"/>
    <row r="41831" ht="14.4" x14ac:dyDescent="0.3"/>
    <row r="41832" ht="14.4" x14ac:dyDescent="0.3"/>
    <row r="41833" ht="14.4" x14ac:dyDescent="0.3"/>
    <row r="41834" ht="14.4" x14ac:dyDescent="0.3"/>
    <row r="41835" ht="14.4" x14ac:dyDescent="0.3"/>
    <row r="41836" ht="14.4" x14ac:dyDescent="0.3"/>
    <row r="41837" ht="14.4" x14ac:dyDescent="0.3"/>
    <row r="41838" ht="14.4" x14ac:dyDescent="0.3"/>
    <row r="41839" ht="14.4" x14ac:dyDescent="0.3"/>
    <row r="41840" ht="14.4" x14ac:dyDescent="0.3"/>
    <row r="41841" ht="14.4" x14ac:dyDescent="0.3"/>
    <row r="41842" ht="14.4" x14ac:dyDescent="0.3"/>
    <row r="41843" ht="14.4" x14ac:dyDescent="0.3"/>
    <row r="41844" ht="14.4" x14ac:dyDescent="0.3"/>
    <row r="41845" ht="14.4" x14ac:dyDescent="0.3"/>
    <row r="41846" ht="14.4" x14ac:dyDescent="0.3"/>
    <row r="41847" ht="14.4" x14ac:dyDescent="0.3"/>
    <row r="41848" ht="14.4" x14ac:dyDescent="0.3"/>
    <row r="41849" ht="14.4" x14ac:dyDescent="0.3"/>
    <row r="41850" ht="14.4" x14ac:dyDescent="0.3"/>
    <row r="41851" ht="14.4" x14ac:dyDescent="0.3"/>
    <row r="41852" ht="14.4" x14ac:dyDescent="0.3"/>
    <row r="41853" ht="14.4" x14ac:dyDescent="0.3"/>
    <row r="41854" ht="14.4" x14ac:dyDescent="0.3"/>
    <row r="41855" ht="14.4" x14ac:dyDescent="0.3"/>
    <row r="41856" ht="14.4" x14ac:dyDescent="0.3"/>
    <row r="41857" ht="14.4" x14ac:dyDescent="0.3"/>
    <row r="41858" ht="14.4" x14ac:dyDescent="0.3"/>
    <row r="41859" ht="14.4" x14ac:dyDescent="0.3"/>
    <row r="41860" ht="14.4" x14ac:dyDescent="0.3"/>
    <row r="41861" ht="14.4" x14ac:dyDescent="0.3"/>
    <row r="41862" ht="14.4" x14ac:dyDescent="0.3"/>
    <row r="41863" ht="14.4" x14ac:dyDescent="0.3"/>
    <row r="41864" ht="14.4" x14ac:dyDescent="0.3"/>
    <row r="41865" ht="14.4" x14ac:dyDescent="0.3"/>
    <row r="41866" ht="14.4" x14ac:dyDescent="0.3"/>
    <row r="41867" ht="14.4" x14ac:dyDescent="0.3"/>
    <row r="41868" ht="14.4" x14ac:dyDescent="0.3"/>
    <row r="41869" ht="14.4" x14ac:dyDescent="0.3"/>
    <row r="41870" ht="14.4" x14ac:dyDescent="0.3"/>
    <row r="41871" ht="14.4" x14ac:dyDescent="0.3"/>
    <row r="41872" ht="14.4" x14ac:dyDescent="0.3"/>
    <row r="41873" ht="14.4" x14ac:dyDescent="0.3"/>
    <row r="41874" ht="14.4" x14ac:dyDescent="0.3"/>
    <row r="41875" ht="14.4" x14ac:dyDescent="0.3"/>
    <row r="41876" ht="14.4" x14ac:dyDescent="0.3"/>
    <row r="41877" ht="14.4" x14ac:dyDescent="0.3"/>
    <row r="41878" ht="14.4" x14ac:dyDescent="0.3"/>
    <row r="41879" ht="14.4" x14ac:dyDescent="0.3"/>
    <row r="41880" ht="14.4" x14ac:dyDescent="0.3"/>
    <row r="41881" ht="14.4" x14ac:dyDescent="0.3"/>
    <row r="41882" ht="14.4" x14ac:dyDescent="0.3"/>
    <row r="41883" ht="14.4" x14ac:dyDescent="0.3"/>
    <row r="41884" ht="14.4" x14ac:dyDescent="0.3"/>
    <row r="41885" ht="14.4" x14ac:dyDescent="0.3"/>
    <row r="41886" ht="14.4" x14ac:dyDescent="0.3"/>
    <row r="41887" ht="14.4" x14ac:dyDescent="0.3"/>
    <row r="41888" ht="14.4" x14ac:dyDescent="0.3"/>
    <row r="41889" ht="14.4" x14ac:dyDescent="0.3"/>
    <row r="41890" ht="14.4" x14ac:dyDescent="0.3"/>
    <row r="41891" ht="14.4" x14ac:dyDescent="0.3"/>
    <row r="41892" ht="14.4" x14ac:dyDescent="0.3"/>
    <row r="41893" ht="14.4" x14ac:dyDescent="0.3"/>
    <row r="41894" ht="14.4" x14ac:dyDescent="0.3"/>
    <row r="41895" ht="14.4" x14ac:dyDescent="0.3"/>
    <row r="41896" ht="14.4" x14ac:dyDescent="0.3"/>
    <row r="41897" ht="14.4" x14ac:dyDescent="0.3"/>
    <row r="41898" ht="14.4" x14ac:dyDescent="0.3"/>
    <row r="41899" ht="14.4" x14ac:dyDescent="0.3"/>
    <row r="41900" ht="14.4" x14ac:dyDescent="0.3"/>
    <row r="41901" ht="14.4" x14ac:dyDescent="0.3"/>
    <row r="41902" ht="14.4" x14ac:dyDescent="0.3"/>
    <row r="41903" ht="14.4" x14ac:dyDescent="0.3"/>
    <row r="41904" ht="14.4" x14ac:dyDescent="0.3"/>
    <row r="41905" ht="14.4" x14ac:dyDescent="0.3"/>
    <row r="41906" ht="14.4" x14ac:dyDescent="0.3"/>
    <row r="41907" ht="14.4" x14ac:dyDescent="0.3"/>
    <row r="41908" ht="14.4" x14ac:dyDescent="0.3"/>
    <row r="41909" ht="14.4" x14ac:dyDescent="0.3"/>
    <row r="41910" ht="14.4" x14ac:dyDescent="0.3"/>
    <row r="41911" ht="14.4" x14ac:dyDescent="0.3"/>
    <row r="41912" ht="14.4" x14ac:dyDescent="0.3"/>
    <row r="41913" ht="14.4" x14ac:dyDescent="0.3"/>
    <row r="41914" ht="14.4" x14ac:dyDescent="0.3"/>
    <row r="41915" ht="14.4" x14ac:dyDescent="0.3"/>
    <row r="41916" ht="14.4" x14ac:dyDescent="0.3"/>
    <row r="41917" ht="14.4" x14ac:dyDescent="0.3"/>
    <row r="41918" ht="14.4" x14ac:dyDescent="0.3"/>
    <row r="41919" ht="14.4" x14ac:dyDescent="0.3"/>
    <row r="41920" ht="14.4" x14ac:dyDescent="0.3"/>
    <row r="41921" ht="14.4" x14ac:dyDescent="0.3"/>
    <row r="41922" ht="14.4" x14ac:dyDescent="0.3"/>
    <row r="41923" ht="14.4" x14ac:dyDescent="0.3"/>
    <row r="41924" ht="14.4" x14ac:dyDescent="0.3"/>
    <row r="41925" ht="14.4" x14ac:dyDescent="0.3"/>
    <row r="41926" ht="14.4" x14ac:dyDescent="0.3"/>
    <row r="41927" ht="14.4" x14ac:dyDescent="0.3"/>
    <row r="41928" ht="14.4" x14ac:dyDescent="0.3"/>
    <row r="41929" ht="14.4" x14ac:dyDescent="0.3"/>
    <row r="41930" ht="14.4" x14ac:dyDescent="0.3"/>
    <row r="41931" ht="14.4" x14ac:dyDescent="0.3"/>
    <row r="41932" ht="14.4" x14ac:dyDescent="0.3"/>
    <row r="41933" ht="14.4" x14ac:dyDescent="0.3"/>
    <row r="41934" ht="14.4" x14ac:dyDescent="0.3"/>
    <row r="41935" ht="14.4" x14ac:dyDescent="0.3"/>
    <row r="41936" ht="14.4" x14ac:dyDescent="0.3"/>
    <row r="41937" ht="14.4" x14ac:dyDescent="0.3"/>
    <row r="41938" ht="14.4" x14ac:dyDescent="0.3"/>
    <row r="41939" ht="14.4" x14ac:dyDescent="0.3"/>
    <row r="41940" ht="14.4" x14ac:dyDescent="0.3"/>
    <row r="41941" ht="14.4" x14ac:dyDescent="0.3"/>
    <row r="41942" ht="14.4" x14ac:dyDescent="0.3"/>
    <row r="41943" ht="14.4" x14ac:dyDescent="0.3"/>
    <row r="41944" ht="14.4" x14ac:dyDescent="0.3"/>
    <row r="41945" ht="14.4" x14ac:dyDescent="0.3"/>
    <row r="41946" ht="14.4" x14ac:dyDescent="0.3"/>
    <row r="41947" ht="14.4" x14ac:dyDescent="0.3"/>
    <row r="41948" ht="14.4" x14ac:dyDescent="0.3"/>
    <row r="41949" ht="14.4" x14ac:dyDescent="0.3"/>
    <row r="41950" ht="14.4" x14ac:dyDescent="0.3"/>
    <row r="41951" ht="14.4" x14ac:dyDescent="0.3"/>
    <row r="41952" ht="14.4" x14ac:dyDescent="0.3"/>
    <row r="41953" ht="14.4" x14ac:dyDescent="0.3"/>
    <row r="41954" ht="14.4" x14ac:dyDescent="0.3"/>
    <row r="41955" ht="14.4" x14ac:dyDescent="0.3"/>
    <row r="41956" ht="14.4" x14ac:dyDescent="0.3"/>
    <row r="41957" ht="14.4" x14ac:dyDescent="0.3"/>
    <row r="41958" ht="14.4" x14ac:dyDescent="0.3"/>
    <row r="41959" ht="14.4" x14ac:dyDescent="0.3"/>
    <row r="41960" ht="14.4" x14ac:dyDescent="0.3"/>
    <row r="41961" ht="14.4" x14ac:dyDescent="0.3"/>
    <row r="41962" ht="14.4" x14ac:dyDescent="0.3"/>
    <row r="41963" ht="14.4" x14ac:dyDescent="0.3"/>
    <row r="41964" ht="14.4" x14ac:dyDescent="0.3"/>
    <row r="41965" ht="14.4" x14ac:dyDescent="0.3"/>
    <row r="41966" ht="14.4" x14ac:dyDescent="0.3"/>
    <row r="41967" ht="14.4" x14ac:dyDescent="0.3"/>
    <row r="41968" ht="14.4" x14ac:dyDescent="0.3"/>
    <row r="41969" ht="14.4" x14ac:dyDescent="0.3"/>
    <row r="41970" ht="14.4" x14ac:dyDescent="0.3"/>
    <row r="41971" ht="14.4" x14ac:dyDescent="0.3"/>
    <row r="41972" ht="14.4" x14ac:dyDescent="0.3"/>
    <row r="41973" ht="14.4" x14ac:dyDescent="0.3"/>
    <row r="41974" ht="14.4" x14ac:dyDescent="0.3"/>
    <row r="41975" ht="14.4" x14ac:dyDescent="0.3"/>
    <row r="41976" ht="14.4" x14ac:dyDescent="0.3"/>
    <row r="41977" ht="14.4" x14ac:dyDescent="0.3"/>
    <row r="41978" ht="14.4" x14ac:dyDescent="0.3"/>
    <row r="41979" ht="14.4" x14ac:dyDescent="0.3"/>
    <row r="41980" ht="14.4" x14ac:dyDescent="0.3"/>
    <row r="41981" ht="14.4" x14ac:dyDescent="0.3"/>
    <row r="41982" ht="14.4" x14ac:dyDescent="0.3"/>
    <row r="41983" ht="14.4" x14ac:dyDescent="0.3"/>
    <row r="41984" ht="14.4" x14ac:dyDescent="0.3"/>
    <row r="41985" ht="14.4" x14ac:dyDescent="0.3"/>
    <row r="41986" ht="14.4" x14ac:dyDescent="0.3"/>
    <row r="41987" ht="14.4" x14ac:dyDescent="0.3"/>
    <row r="41988" ht="14.4" x14ac:dyDescent="0.3"/>
    <row r="41989" ht="14.4" x14ac:dyDescent="0.3"/>
    <row r="41990" ht="14.4" x14ac:dyDescent="0.3"/>
    <row r="41991" ht="14.4" x14ac:dyDescent="0.3"/>
    <row r="41992" ht="14.4" x14ac:dyDescent="0.3"/>
    <row r="41993" ht="14.4" x14ac:dyDescent="0.3"/>
    <row r="41994" ht="14.4" x14ac:dyDescent="0.3"/>
    <row r="41995" ht="14.4" x14ac:dyDescent="0.3"/>
    <row r="41996" ht="14.4" x14ac:dyDescent="0.3"/>
    <row r="41997" ht="14.4" x14ac:dyDescent="0.3"/>
    <row r="41998" ht="14.4" x14ac:dyDescent="0.3"/>
    <row r="41999" ht="14.4" x14ac:dyDescent="0.3"/>
    <row r="42000" ht="14.4" x14ac:dyDescent="0.3"/>
    <row r="42001" ht="14.4" x14ac:dyDescent="0.3"/>
    <row r="42002" ht="14.4" x14ac:dyDescent="0.3"/>
    <row r="42003" ht="14.4" x14ac:dyDescent="0.3"/>
    <row r="42004" ht="14.4" x14ac:dyDescent="0.3"/>
    <row r="42005" ht="14.4" x14ac:dyDescent="0.3"/>
    <row r="42006" ht="14.4" x14ac:dyDescent="0.3"/>
    <row r="42007" ht="14.4" x14ac:dyDescent="0.3"/>
    <row r="42008" ht="14.4" x14ac:dyDescent="0.3"/>
    <row r="42009" ht="14.4" x14ac:dyDescent="0.3"/>
    <row r="42010" ht="14.4" x14ac:dyDescent="0.3"/>
    <row r="42011" ht="14.4" x14ac:dyDescent="0.3"/>
    <row r="42012" ht="14.4" x14ac:dyDescent="0.3"/>
    <row r="42013" ht="14.4" x14ac:dyDescent="0.3"/>
    <row r="42014" ht="14.4" x14ac:dyDescent="0.3"/>
    <row r="42015" ht="14.4" x14ac:dyDescent="0.3"/>
    <row r="42016" ht="14.4" x14ac:dyDescent="0.3"/>
    <row r="42017" ht="14.4" x14ac:dyDescent="0.3"/>
    <row r="42018" ht="14.4" x14ac:dyDescent="0.3"/>
    <row r="42019" ht="14.4" x14ac:dyDescent="0.3"/>
    <row r="42020" ht="14.4" x14ac:dyDescent="0.3"/>
    <row r="42021" ht="14.4" x14ac:dyDescent="0.3"/>
    <row r="42022" ht="14.4" x14ac:dyDescent="0.3"/>
    <row r="42023" ht="14.4" x14ac:dyDescent="0.3"/>
    <row r="42024" ht="14.4" x14ac:dyDescent="0.3"/>
    <row r="42025" ht="14.4" x14ac:dyDescent="0.3"/>
    <row r="42026" ht="14.4" x14ac:dyDescent="0.3"/>
    <row r="42027" ht="14.4" x14ac:dyDescent="0.3"/>
    <row r="42028" ht="14.4" x14ac:dyDescent="0.3"/>
    <row r="42029" ht="14.4" x14ac:dyDescent="0.3"/>
    <row r="42030" ht="14.4" x14ac:dyDescent="0.3"/>
    <row r="42031" ht="14.4" x14ac:dyDescent="0.3"/>
    <row r="42032" ht="14.4" x14ac:dyDescent="0.3"/>
    <row r="42033" ht="14.4" x14ac:dyDescent="0.3"/>
    <row r="42034" ht="14.4" x14ac:dyDescent="0.3"/>
    <row r="42035" ht="14.4" x14ac:dyDescent="0.3"/>
    <row r="42036" ht="14.4" x14ac:dyDescent="0.3"/>
    <row r="42037" ht="14.4" x14ac:dyDescent="0.3"/>
    <row r="42038" ht="14.4" x14ac:dyDescent="0.3"/>
    <row r="42039" ht="14.4" x14ac:dyDescent="0.3"/>
    <row r="42040" ht="14.4" x14ac:dyDescent="0.3"/>
    <row r="42041" ht="14.4" x14ac:dyDescent="0.3"/>
    <row r="42042" ht="14.4" x14ac:dyDescent="0.3"/>
    <row r="42043" ht="14.4" x14ac:dyDescent="0.3"/>
    <row r="42044" ht="14.4" x14ac:dyDescent="0.3"/>
    <row r="42045" ht="14.4" x14ac:dyDescent="0.3"/>
    <row r="42046" ht="14.4" x14ac:dyDescent="0.3"/>
    <row r="42047" ht="14.4" x14ac:dyDescent="0.3"/>
    <row r="42048" ht="14.4" x14ac:dyDescent="0.3"/>
    <row r="42049" ht="14.4" x14ac:dyDescent="0.3"/>
    <row r="42050" ht="14.4" x14ac:dyDescent="0.3"/>
    <row r="42051" ht="14.4" x14ac:dyDescent="0.3"/>
    <row r="42052" ht="14.4" x14ac:dyDescent="0.3"/>
    <row r="42053" ht="14.4" x14ac:dyDescent="0.3"/>
    <row r="42054" ht="14.4" x14ac:dyDescent="0.3"/>
    <row r="42055" ht="14.4" x14ac:dyDescent="0.3"/>
    <row r="42056" ht="14.4" x14ac:dyDescent="0.3"/>
    <row r="42057" ht="14.4" x14ac:dyDescent="0.3"/>
    <row r="42058" ht="14.4" x14ac:dyDescent="0.3"/>
    <row r="42059" ht="14.4" x14ac:dyDescent="0.3"/>
    <row r="42060" ht="14.4" x14ac:dyDescent="0.3"/>
    <row r="42061" ht="14.4" x14ac:dyDescent="0.3"/>
    <row r="42062" ht="14.4" x14ac:dyDescent="0.3"/>
    <row r="42063" ht="14.4" x14ac:dyDescent="0.3"/>
    <row r="42064" ht="14.4" x14ac:dyDescent="0.3"/>
    <row r="42065" ht="14.4" x14ac:dyDescent="0.3"/>
    <row r="42066" ht="14.4" x14ac:dyDescent="0.3"/>
    <row r="42067" ht="14.4" x14ac:dyDescent="0.3"/>
    <row r="42068" ht="14.4" x14ac:dyDescent="0.3"/>
    <row r="42069" ht="14.4" x14ac:dyDescent="0.3"/>
    <row r="42070" ht="14.4" x14ac:dyDescent="0.3"/>
    <row r="42071" ht="14.4" x14ac:dyDescent="0.3"/>
    <row r="42072" ht="14.4" x14ac:dyDescent="0.3"/>
    <row r="42073" ht="14.4" x14ac:dyDescent="0.3"/>
    <row r="42074" ht="14.4" x14ac:dyDescent="0.3"/>
    <row r="42075" ht="14.4" x14ac:dyDescent="0.3"/>
    <row r="42076" ht="14.4" x14ac:dyDescent="0.3"/>
    <row r="42077" ht="14.4" x14ac:dyDescent="0.3"/>
    <row r="42078" ht="14.4" x14ac:dyDescent="0.3"/>
    <row r="42079" ht="14.4" x14ac:dyDescent="0.3"/>
    <row r="42080" ht="14.4" x14ac:dyDescent="0.3"/>
    <row r="42081" ht="14.4" x14ac:dyDescent="0.3"/>
    <row r="42082" ht="14.4" x14ac:dyDescent="0.3"/>
    <row r="42083" ht="14.4" x14ac:dyDescent="0.3"/>
    <row r="42084" ht="14.4" x14ac:dyDescent="0.3"/>
    <row r="42085" ht="14.4" x14ac:dyDescent="0.3"/>
    <row r="42086" ht="14.4" x14ac:dyDescent="0.3"/>
    <row r="42087" ht="14.4" x14ac:dyDescent="0.3"/>
    <row r="42088" ht="14.4" x14ac:dyDescent="0.3"/>
    <row r="42089" ht="14.4" x14ac:dyDescent="0.3"/>
    <row r="42090" ht="14.4" x14ac:dyDescent="0.3"/>
    <row r="42091" ht="14.4" x14ac:dyDescent="0.3"/>
    <row r="42092" ht="14.4" x14ac:dyDescent="0.3"/>
    <row r="42093" ht="14.4" x14ac:dyDescent="0.3"/>
    <row r="42094" ht="14.4" x14ac:dyDescent="0.3"/>
    <row r="42095" ht="14.4" x14ac:dyDescent="0.3"/>
    <row r="42096" ht="14.4" x14ac:dyDescent="0.3"/>
    <row r="42097" ht="14.4" x14ac:dyDescent="0.3"/>
    <row r="42098" ht="14.4" x14ac:dyDescent="0.3"/>
    <row r="42099" ht="14.4" x14ac:dyDescent="0.3"/>
    <row r="42100" ht="14.4" x14ac:dyDescent="0.3"/>
    <row r="42101" ht="14.4" x14ac:dyDescent="0.3"/>
    <row r="42102" ht="14.4" x14ac:dyDescent="0.3"/>
    <row r="42103" ht="14.4" x14ac:dyDescent="0.3"/>
    <row r="42104" ht="14.4" x14ac:dyDescent="0.3"/>
    <row r="42105" ht="14.4" x14ac:dyDescent="0.3"/>
    <row r="42106" ht="14.4" x14ac:dyDescent="0.3"/>
    <row r="42107" ht="14.4" x14ac:dyDescent="0.3"/>
    <row r="42108" ht="14.4" x14ac:dyDescent="0.3"/>
    <row r="42109" ht="14.4" x14ac:dyDescent="0.3"/>
    <row r="42110" ht="14.4" x14ac:dyDescent="0.3"/>
    <row r="42111" ht="14.4" x14ac:dyDescent="0.3"/>
    <row r="42112" ht="14.4" x14ac:dyDescent="0.3"/>
    <row r="42113" ht="14.4" x14ac:dyDescent="0.3"/>
    <row r="42114" ht="14.4" x14ac:dyDescent="0.3"/>
    <row r="42115" ht="14.4" x14ac:dyDescent="0.3"/>
    <row r="42116" ht="14.4" x14ac:dyDescent="0.3"/>
    <row r="42117" ht="14.4" x14ac:dyDescent="0.3"/>
    <row r="42118" ht="14.4" x14ac:dyDescent="0.3"/>
    <row r="42119" ht="14.4" x14ac:dyDescent="0.3"/>
    <row r="42120" ht="14.4" x14ac:dyDescent="0.3"/>
    <row r="42121" ht="14.4" x14ac:dyDescent="0.3"/>
    <row r="42122" ht="14.4" x14ac:dyDescent="0.3"/>
    <row r="42123" ht="14.4" x14ac:dyDescent="0.3"/>
    <row r="42124" ht="14.4" x14ac:dyDescent="0.3"/>
    <row r="42125" ht="14.4" x14ac:dyDescent="0.3"/>
    <row r="42126" ht="14.4" x14ac:dyDescent="0.3"/>
    <row r="42127" ht="14.4" x14ac:dyDescent="0.3"/>
    <row r="42128" ht="14.4" x14ac:dyDescent="0.3"/>
    <row r="42129" ht="14.4" x14ac:dyDescent="0.3"/>
    <row r="42130" ht="14.4" x14ac:dyDescent="0.3"/>
    <row r="42131" ht="14.4" x14ac:dyDescent="0.3"/>
    <row r="42132" ht="14.4" x14ac:dyDescent="0.3"/>
    <row r="42133" ht="14.4" x14ac:dyDescent="0.3"/>
    <row r="42134" ht="14.4" x14ac:dyDescent="0.3"/>
    <row r="42135" ht="14.4" x14ac:dyDescent="0.3"/>
    <row r="42136" ht="14.4" x14ac:dyDescent="0.3"/>
    <row r="42137" ht="14.4" x14ac:dyDescent="0.3"/>
    <row r="42138" ht="14.4" x14ac:dyDescent="0.3"/>
    <row r="42139" ht="14.4" x14ac:dyDescent="0.3"/>
    <row r="42140" ht="14.4" x14ac:dyDescent="0.3"/>
    <row r="42141" ht="14.4" x14ac:dyDescent="0.3"/>
    <row r="42142" ht="14.4" x14ac:dyDescent="0.3"/>
    <row r="42143" ht="14.4" x14ac:dyDescent="0.3"/>
    <row r="42144" ht="14.4" x14ac:dyDescent="0.3"/>
    <row r="42145" ht="14.4" x14ac:dyDescent="0.3"/>
    <row r="42146" ht="14.4" x14ac:dyDescent="0.3"/>
    <row r="42147" ht="14.4" x14ac:dyDescent="0.3"/>
    <row r="42148" ht="14.4" x14ac:dyDescent="0.3"/>
    <row r="42149" ht="14.4" x14ac:dyDescent="0.3"/>
    <row r="42150" ht="14.4" x14ac:dyDescent="0.3"/>
    <row r="42151" ht="14.4" x14ac:dyDescent="0.3"/>
    <row r="42152" ht="14.4" x14ac:dyDescent="0.3"/>
    <row r="42153" ht="14.4" x14ac:dyDescent="0.3"/>
    <row r="42154" ht="14.4" x14ac:dyDescent="0.3"/>
    <row r="42155" ht="14.4" x14ac:dyDescent="0.3"/>
    <row r="42156" ht="14.4" x14ac:dyDescent="0.3"/>
    <row r="42157" ht="14.4" x14ac:dyDescent="0.3"/>
    <row r="42158" ht="14.4" x14ac:dyDescent="0.3"/>
    <row r="42159" ht="14.4" x14ac:dyDescent="0.3"/>
    <row r="42160" ht="14.4" x14ac:dyDescent="0.3"/>
    <row r="42161" ht="14.4" x14ac:dyDescent="0.3"/>
    <row r="42162" ht="14.4" x14ac:dyDescent="0.3"/>
    <row r="42163" ht="14.4" x14ac:dyDescent="0.3"/>
    <row r="42164" ht="14.4" x14ac:dyDescent="0.3"/>
    <row r="42165" ht="14.4" x14ac:dyDescent="0.3"/>
    <row r="42166" ht="14.4" x14ac:dyDescent="0.3"/>
    <row r="42167" ht="14.4" x14ac:dyDescent="0.3"/>
    <row r="42168" ht="14.4" x14ac:dyDescent="0.3"/>
    <row r="42169" ht="14.4" x14ac:dyDescent="0.3"/>
    <row r="42170" ht="14.4" x14ac:dyDescent="0.3"/>
    <row r="42171" ht="14.4" x14ac:dyDescent="0.3"/>
    <row r="42172" ht="14.4" x14ac:dyDescent="0.3"/>
    <row r="42173" ht="14.4" x14ac:dyDescent="0.3"/>
    <row r="42174" ht="14.4" x14ac:dyDescent="0.3"/>
    <row r="42175" ht="14.4" x14ac:dyDescent="0.3"/>
    <row r="42176" ht="14.4" x14ac:dyDescent="0.3"/>
    <row r="42177" ht="14.4" x14ac:dyDescent="0.3"/>
    <row r="42178" ht="14.4" x14ac:dyDescent="0.3"/>
    <row r="42179" ht="14.4" x14ac:dyDescent="0.3"/>
    <row r="42180" ht="14.4" x14ac:dyDescent="0.3"/>
    <row r="42181" ht="14.4" x14ac:dyDescent="0.3"/>
    <row r="42182" ht="14.4" x14ac:dyDescent="0.3"/>
    <row r="42183" ht="14.4" x14ac:dyDescent="0.3"/>
    <row r="42184" ht="14.4" x14ac:dyDescent="0.3"/>
    <row r="42185" ht="14.4" x14ac:dyDescent="0.3"/>
    <row r="42186" ht="14.4" x14ac:dyDescent="0.3"/>
    <row r="42187" ht="14.4" x14ac:dyDescent="0.3"/>
    <row r="42188" ht="14.4" x14ac:dyDescent="0.3"/>
    <row r="42189" ht="14.4" x14ac:dyDescent="0.3"/>
    <row r="42190" ht="14.4" x14ac:dyDescent="0.3"/>
    <row r="42191" ht="14.4" x14ac:dyDescent="0.3"/>
    <row r="42192" ht="14.4" x14ac:dyDescent="0.3"/>
    <row r="42193" ht="14.4" x14ac:dyDescent="0.3"/>
    <row r="42194" ht="14.4" x14ac:dyDescent="0.3"/>
    <row r="42195" ht="14.4" x14ac:dyDescent="0.3"/>
    <row r="42196" ht="14.4" x14ac:dyDescent="0.3"/>
    <row r="42197" ht="14.4" x14ac:dyDescent="0.3"/>
    <row r="42198" ht="14.4" x14ac:dyDescent="0.3"/>
    <row r="42199" ht="14.4" x14ac:dyDescent="0.3"/>
    <row r="42200" ht="14.4" x14ac:dyDescent="0.3"/>
    <row r="42201" ht="14.4" x14ac:dyDescent="0.3"/>
    <row r="42202" ht="14.4" x14ac:dyDescent="0.3"/>
    <row r="42203" ht="14.4" x14ac:dyDescent="0.3"/>
    <row r="42204" ht="14.4" x14ac:dyDescent="0.3"/>
    <row r="42205" ht="14.4" x14ac:dyDescent="0.3"/>
    <row r="42206" ht="14.4" x14ac:dyDescent="0.3"/>
    <row r="42207" ht="14.4" x14ac:dyDescent="0.3"/>
    <row r="42208" ht="14.4" x14ac:dyDescent="0.3"/>
    <row r="42209" ht="14.4" x14ac:dyDescent="0.3"/>
    <row r="42210" ht="14.4" x14ac:dyDescent="0.3"/>
    <row r="42211" ht="14.4" x14ac:dyDescent="0.3"/>
    <row r="42212" ht="14.4" x14ac:dyDescent="0.3"/>
    <row r="42213" ht="14.4" x14ac:dyDescent="0.3"/>
    <row r="42214" ht="14.4" x14ac:dyDescent="0.3"/>
    <row r="42215" ht="14.4" x14ac:dyDescent="0.3"/>
    <row r="42216" ht="14.4" x14ac:dyDescent="0.3"/>
    <row r="42217" ht="14.4" x14ac:dyDescent="0.3"/>
    <row r="42218" ht="14.4" x14ac:dyDescent="0.3"/>
    <row r="42219" ht="14.4" x14ac:dyDescent="0.3"/>
    <row r="42220" ht="14.4" x14ac:dyDescent="0.3"/>
    <row r="42221" ht="14.4" x14ac:dyDescent="0.3"/>
    <row r="42222" ht="14.4" x14ac:dyDescent="0.3"/>
    <row r="42223" ht="14.4" x14ac:dyDescent="0.3"/>
    <row r="42224" ht="14.4" x14ac:dyDescent="0.3"/>
    <row r="42225" ht="14.4" x14ac:dyDescent="0.3"/>
    <row r="42226" ht="14.4" x14ac:dyDescent="0.3"/>
    <row r="42227" ht="14.4" x14ac:dyDescent="0.3"/>
    <row r="42228" ht="14.4" x14ac:dyDescent="0.3"/>
    <row r="42229" ht="14.4" x14ac:dyDescent="0.3"/>
    <row r="42230" ht="14.4" x14ac:dyDescent="0.3"/>
    <row r="42231" ht="14.4" x14ac:dyDescent="0.3"/>
    <row r="42232" ht="14.4" x14ac:dyDescent="0.3"/>
    <row r="42233" ht="14.4" x14ac:dyDescent="0.3"/>
    <row r="42234" ht="14.4" x14ac:dyDescent="0.3"/>
    <row r="42235" ht="14.4" x14ac:dyDescent="0.3"/>
    <row r="42236" ht="14.4" x14ac:dyDescent="0.3"/>
    <row r="42237" ht="14.4" x14ac:dyDescent="0.3"/>
    <row r="42238" ht="14.4" x14ac:dyDescent="0.3"/>
    <row r="42239" ht="14.4" x14ac:dyDescent="0.3"/>
    <row r="42240" ht="14.4" x14ac:dyDescent="0.3"/>
    <row r="42241" ht="14.4" x14ac:dyDescent="0.3"/>
    <row r="42242" ht="14.4" x14ac:dyDescent="0.3"/>
    <row r="42243" ht="14.4" x14ac:dyDescent="0.3"/>
    <row r="42244" ht="14.4" x14ac:dyDescent="0.3"/>
    <row r="42245" ht="14.4" x14ac:dyDescent="0.3"/>
    <row r="42246" ht="14.4" x14ac:dyDescent="0.3"/>
    <row r="42247" ht="14.4" x14ac:dyDescent="0.3"/>
    <row r="42248" ht="14.4" x14ac:dyDescent="0.3"/>
    <row r="42249" ht="14.4" x14ac:dyDescent="0.3"/>
    <row r="42250" ht="14.4" x14ac:dyDescent="0.3"/>
    <row r="42251" ht="14.4" x14ac:dyDescent="0.3"/>
    <row r="42252" ht="14.4" x14ac:dyDescent="0.3"/>
    <row r="42253" ht="14.4" x14ac:dyDescent="0.3"/>
    <row r="42254" ht="14.4" x14ac:dyDescent="0.3"/>
    <row r="42255" ht="14.4" x14ac:dyDescent="0.3"/>
    <row r="42256" ht="14.4" x14ac:dyDescent="0.3"/>
    <row r="42257" spans="1:43" ht="14.4" x14ac:dyDescent="0.3"/>
    <row r="42258" spans="1:43" ht="14.4" x14ac:dyDescent="0.3"/>
    <row r="42259" spans="1:43" ht="14.4" x14ac:dyDescent="0.3"/>
    <row r="42260" spans="1:43" ht="14.4" x14ac:dyDescent="0.3"/>
    <row r="42261" spans="1:43" ht="14.4" x14ac:dyDescent="0.3"/>
    <row r="42262" spans="1:43" ht="14.4" x14ac:dyDescent="0.3"/>
    <row r="42263" spans="1:43" ht="14.4" x14ac:dyDescent="0.3"/>
    <row r="42264" spans="1:43" ht="14.4" x14ac:dyDescent="0.3"/>
    <row r="42265" spans="1:43" ht="14.4" x14ac:dyDescent="0.3"/>
    <row r="42266" spans="1:43" ht="14.4" hidden="1" x14ac:dyDescent="0.3">
      <c r="A42266" t="s">
        <v>5343</v>
      </c>
      <c r="B42266">
        <v>4938497</v>
      </c>
      <c r="C42266" t="s">
        <v>135</v>
      </c>
      <c r="D42266" t="s">
        <v>136</v>
      </c>
      <c r="E42266" t="s">
        <v>137</v>
      </c>
      <c r="F42266" t="s">
        <v>537</v>
      </c>
      <c r="H42266" t="s">
        <v>5344</v>
      </c>
      <c r="J42266" t="s">
        <v>140</v>
      </c>
      <c r="K42266">
        <v>155672.75899999999</v>
      </c>
      <c r="L42266">
        <v>385657.78899999999</v>
      </c>
      <c r="N42266" t="s">
        <v>3405</v>
      </c>
      <c r="O42266" t="s">
        <v>1041</v>
      </c>
      <c r="P42266" t="s">
        <v>745</v>
      </c>
      <c r="Q42266" t="s">
        <v>144</v>
      </c>
      <c r="S42266">
        <v>14.8</v>
      </c>
      <c r="T42266">
        <v>1600</v>
      </c>
      <c r="V42266" t="s">
        <v>146</v>
      </c>
      <c r="W42266" t="s">
        <v>3406</v>
      </c>
      <c r="Y42266" t="s">
        <v>283</v>
      </c>
      <c r="Z42266" t="s">
        <v>1041</v>
      </c>
      <c r="AA42266" t="s">
        <v>1347</v>
      </c>
      <c r="AB42266">
        <v>0</v>
      </c>
      <c r="AE42266" t="s">
        <v>442</v>
      </c>
      <c r="AF42266" t="s">
        <v>1041</v>
      </c>
      <c r="AG42266" t="s">
        <v>1042</v>
      </c>
      <c r="AI42266" t="s">
        <v>626</v>
      </c>
      <c r="AJ42266" t="s">
        <v>1041</v>
      </c>
      <c r="AK42266" t="s">
        <v>1042</v>
      </c>
      <c r="AL42266" t="s">
        <v>5345</v>
      </c>
      <c r="AM42266" t="s">
        <v>5346</v>
      </c>
      <c r="AN42266" t="s">
        <v>5347</v>
      </c>
      <c r="AO42266" t="s">
        <v>3405</v>
      </c>
      <c r="AP42266" t="s">
        <v>158</v>
      </c>
      <c r="AQ42266" t="str">
        <f>IF(ISBLANK(AP42266), IFERROR(IF(VLOOKUP(AO42266, Ellens_additions!$A$2:$B$252, 2, FALSE) = "", "", VLOOKUP(AO42266, Ellens_additions!$A$2:$B$252, 2, FALSE)), 0), AP42266)</f>
        <v>3000</v>
      </c>
    </row>
    <row r="42267" spans="1:43" ht="14.4" x14ac:dyDescent="0.3"/>
    <row r="42268" spans="1:43" ht="14.4" hidden="1" x14ac:dyDescent="0.3">
      <c r="A42268" t="s">
        <v>5348</v>
      </c>
      <c r="B42268">
        <v>4938510</v>
      </c>
      <c r="C42268" t="s">
        <v>135</v>
      </c>
      <c r="D42268" t="s">
        <v>174</v>
      </c>
      <c r="E42268" t="s">
        <v>175</v>
      </c>
      <c r="F42268" t="s">
        <v>394</v>
      </c>
      <c r="H42268" t="s">
        <v>329</v>
      </c>
      <c r="J42268" t="s">
        <v>140</v>
      </c>
      <c r="K42268">
        <v>157091.19099999999</v>
      </c>
      <c r="L42268">
        <v>387095.45400000003</v>
      </c>
      <c r="N42268" t="s">
        <v>708</v>
      </c>
      <c r="O42268" t="s">
        <v>548</v>
      </c>
      <c r="P42268" t="s">
        <v>709</v>
      </c>
      <c r="S42268">
        <v>6.9</v>
      </c>
      <c r="T42268">
        <v>600</v>
      </c>
      <c r="V42268" t="s">
        <v>146</v>
      </c>
      <c r="W42268" t="s">
        <v>147</v>
      </c>
      <c r="X42268" t="s">
        <v>7</v>
      </c>
      <c r="Y42268" t="s">
        <v>396</v>
      </c>
      <c r="Z42268" t="s">
        <v>548</v>
      </c>
      <c r="AA42268" t="s">
        <v>710</v>
      </c>
      <c r="AB42268">
        <v>0</v>
      </c>
      <c r="AE42268" t="s">
        <v>444</v>
      </c>
      <c r="AF42268" t="s">
        <v>548</v>
      </c>
      <c r="AG42268" t="s">
        <v>711</v>
      </c>
      <c r="AI42268" t="s">
        <v>443</v>
      </c>
      <c r="AJ42268" t="s">
        <v>548</v>
      </c>
      <c r="AK42268" t="s">
        <v>711</v>
      </c>
      <c r="AL42268" t="s">
        <v>5349</v>
      </c>
      <c r="AM42268" t="s">
        <v>5350</v>
      </c>
      <c r="AN42268" t="s">
        <v>5351</v>
      </c>
      <c r="AO42268" t="s">
        <v>708</v>
      </c>
      <c r="AP42268" t="s">
        <v>158</v>
      </c>
      <c r="AQ42268" t="str">
        <f>IF(ISBLANK(AP42268), IFERROR(IF(VLOOKUP(AO42268, Ellens_additions!$A$2:$B$252, 2, FALSE) = "", "", VLOOKUP(AO42268, Ellens_additions!$A$2:$B$252, 2, FALSE)), 0), AP42268)</f>
        <v>3000</v>
      </c>
    </row>
    <row r="42269" spans="1:43" ht="14.4" x14ac:dyDescent="0.3"/>
    <row r="42270" spans="1:43" ht="14.4" x14ac:dyDescent="0.3"/>
    <row r="42271" spans="1:43" ht="14.4" x14ac:dyDescent="0.3"/>
    <row r="42272" spans="1:43" ht="14.4" x14ac:dyDescent="0.3"/>
    <row r="42273" ht="14.4" x14ac:dyDescent="0.3"/>
    <row r="42274" ht="14.4" x14ac:dyDescent="0.3"/>
    <row r="42275" ht="14.4" x14ac:dyDescent="0.3"/>
    <row r="42276" ht="14.4" x14ac:dyDescent="0.3"/>
    <row r="42277" ht="14.4" x14ac:dyDescent="0.3"/>
    <row r="42278" ht="14.4" x14ac:dyDescent="0.3"/>
    <row r="42279" ht="14.4" x14ac:dyDescent="0.3"/>
    <row r="42280" ht="14.4" x14ac:dyDescent="0.3"/>
    <row r="42281" ht="14.4" x14ac:dyDescent="0.3"/>
    <row r="42282" ht="14.4" x14ac:dyDescent="0.3"/>
    <row r="42283" ht="14.4" x14ac:dyDescent="0.3"/>
    <row r="42284" ht="14.4" x14ac:dyDescent="0.3"/>
    <row r="42285" ht="14.4" x14ac:dyDescent="0.3"/>
    <row r="42286" ht="14.4" x14ac:dyDescent="0.3"/>
    <row r="42287" ht="14.4" x14ac:dyDescent="0.3"/>
    <row r="42288" ht="14.4" x14ac:dyDescent="0.3"/>
    <row r="42289" ht="14.4" x14ac:dyDescent="0.3"/>
    <row r="42290" ht="14.4" x14ac:dyDescent="0.3"/>
    <row r="42291" ht="14.4" x14ac:dyDescent="0.3"/>
    <row r="42292" ht="14.4" x14ac:dyDescent="0.3"/>
    <row r="42293" ht="14.4" x14ac:dyDescent="0.3"/>
    <row r="42294" ht="14.4" x14ac:dyDescent="0.3"/>
    <row r="42295" ht="14.4" x14ac:dyDescent="0.3"/>
    <row r="42296" ht="14.4" x14ac:dyDescent="0.3"/>
    <row r="42297" ht="14.4" x14ac:dyDescent="0.3"/>
    <row r="42298" ht="14.4" x14ac:dyDescent="0.3"/>
    <row r="42299" ht="14.4" x14ac:dyDescent="0.3"/>
    <row r="42300" ht="14.4" x14ac:dyDescent="0.3"/>
    <row r="42301" ht="14.4" x14ac:dyDescent="0.3"/>
    <row r="42302" ht="14.4" x14ac:dyDescent="0.3"/>
    <row r="42303" ht="14.4" x14ac:dyDescent="0.3"/>
    <row r="42304" ht="14.4" x14ac:dyDescent="0.3"/>
    <row r="42305" ht="14.4" x14ac:dyDescent="0.3"/>
    <row r="42306" ht="14.4" x14ac:dyDescent="0.3"/>
    <row r="42307" ht="14.4" x14ac:dyDescent="0.3"/>
    <row r="42308" ht="14.4" x14ac:dyDescent="0.3"/>
    <row r="42309" ht="14.4" x14ac:dyDescent="0.3"/>
    <row r="42310" ht="14.4" x14ac:dyDescent="0.3"/>
    <row r="42311" ht="14.4" x14ac:dyDescent="0.3"/>
    <row r="42312" ht="14.4" x14ac:dyDescent="0.3"/>
    <row r="42313" ht="14.4" x14ac:dyDescent="0.3"/>
    <row r="42314" ht="14.4" x14ac:dyDescent="0.3"/>
    <row r="42315" ht="14.4" x14ac:dyDescent="0.3"/>
    <row r="42316" ht="14.4" x14ac:dyDescent="0.3"/>
    <row r="42317" ht="14.4" x14ac:dyDescent="0.3"/>
    <row r="42318" ht="14.4" x14ac:dyDescent="0.3"/>
    <row r="42319" ht="14.4" x14ac:dyDescent="0.3"/>
    <row r="42320" ht="14.4" x14ac:dyDescent="0.3"/>
    <row r="42321" ht="14.4" x14ac:dyDescent="0.3"/>
    <row r="42322" ht="14.4" x14ac:dyDescent="0.3"/>
    <row r="42323" ht="14.4" x14ac:dyDescent="0.3"/>
    <row r="42324" ht="14.4" x14ac:dyDescent="0.3"/>
    <row r="42325" ht="14.4" x14ac:dyDescent="0.3"/>
    <row r="42326" ht="14.4" x14ac:dyDescent="0.3"/>
    <row r="42327" ht="14.4" x14ac:dyDescent="0.3"/>
    <row r="42328" ht="14.4" x14ac:dyDescent="0.3"/>
    <row r="42329" ht="14.4" x14ac:dyDescent="0.3"/>
    <row r="42330" ht="14.4" x14ac:dyDescent="0.3"/>
    <row r="42331" ht="14.4" x14ac:dyDescent="0.3"/>
    <row r="42332" ht="14.4" x14ac:dyDescent="0.3"/>
    <row r="42333" ht="14.4" x14ac:dyDescent="0.3"/>
    <row r="42334" ht="14.4" x14ac:dyDescent="0.3"/>
    <row r="42335" ht="14.4" x14ac:dyDescent="0.3"/>
    <row r="42336" ht="14.4" x14ac:dyDescent="0.3"/>
    <row r="42337" ht="14.4" x14ac:dyDescent="0.3"/>
    <row r="42338" ht="14.4" x14ac:dyDescent="0.3"/>
    <row r="42339" ht="14.4" x14ac:dyDescent="0.3"/>
    <row r="42340" ht="14.4" x14ac:dyDescent="0.3"/>
    <row r="42341" ht="14.4" x14ac:dyDescent="0.3"/>
    <row r="42342" ht="14.4" x14ac:dyDescent="0.3"/>
    <row r="42343" ht="14.4" x14ac:dyDescent="0.3"/>
    <row r="42344" ht="14.4" x14ac:dyDescent="0.3"/>
    <row r="42345" ht="14.4" x14ac:dyDescent="0.3"/>
    <row r="42346" ht="14.4" x14ac:dyDescent="0.3"/>
    <row r="42347" ht="14.4" x14ac:dyDescent="0.3"/>
    <row r="42348" ht="14.4" x14ac:dyDescent="0.3"/>
    <row r="42349" ht="14.4" x14ac:dyDescent="0.3"/>
    <row r="42350" ht="14.4" x14ac:dyDescent="0.3"/>
    <row r="42351" ht="14.4" x14ac:dyDescent="0.3"/>
    <row r="42352" ht="14.4" x14ac:dyDescent="0.3"/>
    <row r="42353" ht="14.4" x14ac:dyDescent="0.3"/>
    <row r="42354" ht="14.4" x14ac:dyDescent="0.3"/>
    <row r="42355" ht="14.4" x14ac:dyDescent="0.3"/>
    <row r="42356" ht="14.4" x14ac:dyDescent="0.3"/>
    <row r="42357" ht="14.4" x14ac:dyDescent="0.3"/>
    <row r="42358" ht="14.4" x14ac:dyDescent="0.3"/>
    <row r="42359" ht="14.4" x14ac:dyDescent="0.3"/>
    <row r="42360" ht="14.4" x14ac:dyDescent="0.3"/>
    <row r="42361" ht="14.4" x14ac:dyDescent="0.3"/>
    <row r="42362" ht="14.4" x14ac:dyDescent="0.3"/>
    <row r="42363" ht="14.4" x14ac:dyDescent="0.3"/>
    <row r="42364" ht="14.4" x14ac:dyDescent="0.3"/>
    <row r="42365" ht="14.4" x14ac:dyDescent="0.3"/>
    <row r="42366" ht="14.4" x14ac:dyDescent="0.3"/>
    <row r="42367" ht="14.4" x14ac:dyDescent="0.3"/>
    <row r="42368" ht="14.4" x14ac:dyDescent="0.3"/>
    <row r="42369" ht="14.4" x14ac:dyDescent="0.3"/>
    <row r="42370" ht="14.4" x14ac:dyDescent="0.3"/>
    <row r="42371" ht="14.4" x14ac:dyDescent="0.3"/>
    <row r="42372" ht="14.4" x14ac:dyDescent="0.3"/>
    <row r="42373" ht="14.4" x14ac:dyDescent="0.3"/>
    <row r="42374" ht="14.4" x14ac:dyDescent="0.3"/>
    <row r="42375" ht="14.4" x14ac:dyDescent="0.3"/>
    <row r="42376" ht="14.4" x14ac:dyDescent="0.3"/>
    <row r="42377" ht="14.4" x14ac:dyDescent="0.3"/>
    <row r="42378" ht="14.4" x14ac:dyDescent="0.3"/>
    <row r="42379" ht="14.4" x14ac:dyDescent="0.3"/>
    <row r="42380" ht="14.4" x14ac:dyDescent="0.3"/>
    <row r="42381" ht="14.4" x14ac:dyDescent="0.3"/>
    <row r="42382" ht="14.4" x14ac:dyDescent="0.3"/>
    <row r="42383" ht="14.4" x14ac:dyDescent="0.3"/>
    <row r="42384" ht="14.4" x14ac:dyDescent="0.3"/>
    <row r="42385" ht="14.4" x14ac:dyDescent="0.3"/>
    <row r="42386" ht="14.4" x14ac:dyDescent="0.3"/>
    <row r="42387" ht="14.4" x14ac:dyDescent="0.3"/>
    <row r="42388" ht="14.4" x14ac:dyDescent="0.3"/>
    <row r="42389" ht="14.4" x14ac:dyDescent="0.3"/>
    <row r="42390" ht="14.4" x14ac:dyDescent="0.3"/>
    <row r="42391" ht="14.4" x14ac:dyDescent="0.3"/>
    <row r="42392" ht="14.4" x14ac:dyDescent="0.3"/>
    <row r="42393" ht="14.4" x14ac:dyDescent="0.3"/>
    <row r="42394" ht="14.4" x14ac:dyDescent="0.3"/>
    <row r="42395" ht="14.4" x14ac:dyDescent="0.3"/>
    <row r="42396" ht="14.4" x14ac:dyDescent="0.3"/>
    <row r="42397" ht="14.4" x14ac:dyDescent="0.3"/>
    <row r="42398" ht="14.4" x14ac:dyDescent="0.3"/>
    <row r="42399" ht="14.4" x14ac:dyDescent="0.3"/>
    <row r="42400" ht="14.4" x14ac:dyDescent="0.3"/>
    <row r="42401" ht="14.4" x14ac:dyDescent="0.3"/>
    <row r="42402" ht="14.4" x14ac:dyDescent="0.3"/>
    <row r="42403" ht="14.4" x14ac:dyDescent="0.3"/>
    <row r="42404" ht="14.4" x14ac:dyDescent="0.3"/>
    <row r="42405" ht="14.4" x14ac:dyDescent="0.3"/>
    <row r="42406" ht="14.4" x14ac:dyDescent="0.3"/>
    <row r="42407" ht="14.4" x14ac:dyDescent="0.3"/>
    <row r="42408" ht="14.4" x14ac:dyDescent="0.3"/>
    <row r="42409" ht="14.4" x14ac:dyDescent="0.3"/>
    <row r="42410" ht="14.4" x14ac:dyDescent="0.3"/>
    <row r="42411" ht="14.4" x14ac:dyDescent="0.3"/>
    <row r="42412" ht="14.4" x14ac:dyDescent="0.3"/>
    <row r="42413" ht="14.4" x14ac:dyDescent="0.3"/>
    <row r="42414" ht="14.4" x14ac:dyDescent="0.3"/>
    <row r="42415" ht="14.4" x14ac:dyDescent="0.3"/>
    <row r="42416" ht="14.4" x14ac:dyDescent="0.3"/>
    <row r="42417" ht="14.4" x14ac:dyDescent="0.3"/>
    <row r="42418" ht="14.4" x14ac:dyDescent="0.3"/>
    <row r="42419" ht="14.4" x14ac:dyDescent="0.3"/>
    <row r="42420" ht="14.4" x14ac:dyDescent="0.3"/>
    <row r="42421" ht="14.4" x14ac:dyDescent="0.3"/>
    <row r="42422" ht="14.4" x14ac:dyDescent="0.3"/>
    <row r="42423" ht="14.4" x14ac:dyDescent="0.3"/>
    <row r="42424" ht="14.4" x14ac:dyDescent="0.3"/>
    <row r="42425" ht="14.4" x14ac:dyDescent="0.3"/>
    <row r="42426" ht="14.4" x14ac:dyDescent="0.3"/>
    <row r="42427" ht="14.4" x14ac:dyDescent="0.3"/>
    <row r="42428" ht="14.4" x14ac:dyDescent="0.3"/>
    <row r="42429" ht="14.4" x14ac:dyDescent="0.3"/>
    <row r="42430" ht="14.4" x14ac:dyDescent="0.3"/>
    <row r="42431" ht="14.4" x14ac:dyDescent="0.3"/>
    <row r="42432" ht="14.4" x14ac:dyDescent="0.3"/>
    <row r="42433" ht="14.4" x14ac:dyDescent="0.3"/>
    <row r="42434" ht="14.4" x14ac:dyDescent="0.3"/>
    <row r="42435" ht="14.4" x14ac:dyDescent="0.3"/>
    <row r="42436" ht="14.4" x14ac:dyDescent="0.3"/>
    <row r="42437" ht="14.4" x14ac:dyDescent="0.3"/>
    <row r="42438" ht="14.4" x14ac:dyDescent="0.3"/>
    <row r="42439" ht="14.4" x14ac:dyDescent="0.3"/>
    <row r="42440" ht="14.4" x14ac:dyDescent="0.3"/>
    <row r="42441" ht="14.4" x14ac:dyDescent="0.3"/>
    <row r="42442" ht="14.4" x14ac:dyDescent="0.3"/>
    <row r="42443" ht="14.4" x14ac:dyDescent="0.3"/>
    <row r="42444" ht="14.4" x14ac:dyDescent="0.3"/>
    <row r="42445" ht="14.4" x14ac:dyDescent="0.3"/>
    <row r="42446" ht="14.4" x14ac:dyDescent="0.3"/>
    <row r="42447" ht="14.4" x14ac:dyDescent="0.3"/>
    <row r="42448" ht="14.4" x14ac:dyDescent="0.3"/>
    <row r="42449" ht="14.4" x14ac:dyDescent="0.3"/>
    <row r="42450" ht="14.4" x14ac:dyDescent="0.3"/>
    <row r="42451" ht="14.4" x14ac:dyDescent="0.3"/>
    <row r="42452" ht="14.4" x14ac:dyDescent="0.3"/>
    <row r="42453" ht="14.4" x14ac:dyDescent="0.3"/>
    <row r="42454" ht="14.4" x14ac:dyDescent="0.3"/>
    <row r="42455" ht="14.4" x14ac:dyDescent="0.3"/>
    <row r="42456" ht="14.4" x14ac:dyDescent="0.3"/>
    <row r="42457" ht="14.4" x14ac:dyDescent="0.3"/>
    <row r="42458" ht="14.4" x14ac:dyDescent="0.3"/>
    <row r="42459" ht="14.4" x14ac:dyDescent="0.3"/>
    <row r="42460" ht="14.4" x14ac:dyDescent="0.3"/>
    <row r="42461" ht="14.4" x14ac:dyDescent="0.3"/>
    <row r="42462" ht="14.4" x14ac:dyDescent="0.3"/>
    <row r="42463" ht="14.4" x14ac:dyDescent="0.3"/>
    <row r="42464" ht="14.4" x14ac:dyDescent="0.3"/>
    <row r="42465" ht="14.4" x14ac:dyDescent="0.3"/>
    <row r="42466" ht="14.4" x14ac:dyDescent="0.3"/>
    <row r="42467" ht="14.4" x14ac:dyDescent="0.3"/>
    <row r="42468" ht="14.4" x14ac:dyDescent="0.3"/>
    <row r="42469" ht="14.4" x14ac:dyDescent="0.3"/>
    <row r="42470" ht="14.4" x14ac:dyDescent="0.3"/>
    <row r="42471" ht="14.4" x14ac:dyDescent="0.3"/>
    <row r="42472" ht="14.4" x14ac:dyDescent="0.3"/>
    <row r="42473" ht="14.4" x14ac:dyDescent="0.3"/>
    <row r="42474" ht="14.4" x14ac:dyDescent="0.3"/>
    <row r="42475" ht="14.4" x14ac:dyDescent="0.3"/>
    <row r="42476" ht="14.4" x14ac:dyDescent="0.3"/>
    <row r="42477" ht="14.4" x14ac:dyDescent="0.3"/>
    <row r="42478" ht="14.4" x14ac:dyDescent="0.3"/>
    <row r="42479" ht="14.4" x14ac:dyDescent="0.3"/>
    <row r="42480" ht="14.4" x14ac:dyDescent="0.3"/>
    <row r="42481" ht="14.4" x14ac:dyDescent="0.3"/>
    <row r="42482" ht="14.4" x14ac:dyDescent="0.3"/>
    <row r="42483" ht="14.4" x14ac:dyDescent="0.3"/>
    <row r="42484" ht="14.4" x14ac:dyDescent="0.3"/>
    <row r="42485" ht="14.4" x14ac:dyDescent="0.3"/>
    <row r="42486" ht="14.4" x14ac:dyDescent="0.3"/>
    <row r="42487" ht="14.4" x14ac:dyDescent="0.3"/>
    <row r="42488" ht="14.4" x14ac:dyDescent="0.3"/>
    <row r="42489" ht="14.4" x14ac:dyDescent="0.3"/>
    <row r="42490" ht="14.4" x14ac:dyDescent="0.3"/>
    <row r="42491" ht="14.4" x14ac:dyDescent="0.3"/>
    <row r="42492" ht="14.4" x14ac:dyDescent="0.3"/>
    <row r="42493" ht="14.4" x14ac:dyDescent="0.3"/>
    <row r="42494" ht="14.4" x14ac:dyDescent="0.3"/>
    <row r="42495" ht="14.4" x14ac:dyDescent="0.3"/>
    <row r="42496" ht="14.4" x14ac:dyDescent="0.3"/>
    <row r="42497" ht="14.4" x14ac:dyDescent="0.3"/>
    <row r="42498" ht="14.4" x14ac:dyDescent="0.3"/>
    <row r="42499" ht="14.4" x14ac:dyDescent="0.3"/>
    <row r="42500" ht="14.4" x14ac:dyDescent="0.3"/>
    <row r="42501" ht="14.4" x14ac:dyDescent="0.3"/>
    <row r="42502" ht="14.4" x14ac:dyDescent="0.3"/>
    <row r="42503" ht="14.4" x14ac:dyDescent="0.3"/>
    <row r="42504" ht="14.4" x14ac:dyDescent="0.3"/>
    <row r="42505" ht="14.4" x14ac:dyDescent="0.3"/>
    <row r="42506" ht="14.4" x14ac:dyDescent="0.3"/>
    <row r="42507" ht="14.4" x14ac:dyDescent="0.3"/>
    <row r="42508" ht="14.4" x14ac:dyDescent="0.3"/>
    <row r="42509" ht="14.4" x14ac:dyDescent="0.3"/>
    <row r="42510" ht="14.4" x14ac:dyDescent="0.3"/>
    <row r="42511" ht="14.4" x14ac:dyDescent="0.3"/>
    <row r="42512" ht="14.4" x14ac:dyDescent="0.3"/>
    <row r="42513" ht="14.4" x14ac:dyDescent="0.3"/>
    <row r="42514" ht="14.4" x14ac:dyDescent="0.3"/>
    <row r="42515" ht="14.4" x14ac:dyDescent="0.3"/>
    <row r="42516" ht="14.4" x14ac:dyDescent="0.3"/>
    <row r="42517" ht="14.4" x14ac:dyDescent="0.3"/>
    <row r="42518" ht="14.4" x14ac:dyDescent="0.3"/>
    <row r="42519" ht="14.4" x14ac:dyDescent="0.3"/>
    <row r="42520" ht="14.4" x14ac:dyDescent="0.3"/>
    <row r="42521" ht="14.4" x14ac:dyDescent="0.3"/>
    <row r="42522" ht="14.4" x14ac:dyDescent="0.3"/>
    <row r="42523" ht="14.4" x14ac:dyDescent="0.3"/>
    <row r="42524" ht="14.4" x14ac:dyDescent="0.3"/>
    <row r="42525" ht="14.4" x14ac:dyDescent="0.3"/>
    <row r="42526" ht="14.4" x14ac:dyDescent="0.3"/>
    <row r="42527" ht="14.4" x14ac:dyDescent="0.3"/>
    <row r="42528" ht="14.4" x14ac:dyDescent="0.3"/>
    <row r="42529" ht="14.4" x14ac:dyDescent="0.3"/>
    <row r="42530" ht="14.4" x14ac:dyDescent="0.3"/>
    <row r="42531" ht="14.4" x14ac:dyDescent="0.3"/>
    <row r="42532" ht="14.4" x14ac:dyDescent="0.3"/>
    <row r="42533" ht="14.4" x14ac:dyDescent="0.3"/>
    <row r="42534" ht="14.4" x14ac:dyDescent="0.3"/>
    <row r="42535" ht="14.4" x14ac:dyDescent="0.3"/>
    <row r="42536" ht="14.4" x14ac:dyDescent="0.3"/>
    <row r="42537" ht="14.4" x14ac:dyDescent="0.3"/>
    <row r="42538" ht="14.4" x14ac:dyDescent="0.3"/>
    <row r="42539" ht="14.4" x14ac:dyDescent="0.3"/>
    <row r="42540" ht="14.4" x14ac:dyDescent="0.3"/>
    <row r="42541" ht="14.4" x14ac:dyDescent="0.3"/>
    <row r="42542" ht="14.4" x14ac:dyDescent="0.3"/>
    <row r="42543" ht="14.4" x14ac:dyDescent="0.3"/>
    <row r="42544" ht="14.4" x14ac:dyDescent="0.3"/>
    <row r="42545" ht="14.4" x14ac:dyDescent="0.3"/>
    <row r="42546" ht="14.4" x14ac:dyDescent="0.3"/>
    <row r="42547" ht="14.4" x14ac:dyDescent="0.3"/>
    <row r="42548" ht="14.4" x14ac:dyDescent="0.3"/>
    <row r="42549" ht="14.4" x14ac:dyDescent="0.3"/>
    <row r="42550" ht="14.4" x14ac:dyDescent="0.3"/>
    <row r="42551" ht="14.4" x14ac:dyDescent="0.3"/>
    <row r="42552" ht="14.4" x14ac:dyDescent="0.3"/>
    <row r="42553" ht="14.4" x14ac:dyDescent="0.3"/>
    <row r="42554" ht="14.4" x14ac:dyDescent="0.3"/>
    <row r="42555" ht="14.4" x14ac:dyDescent="0.3"/>
    <row r="42556" ht="14.4" x14ac:dyDescent="0.3"/>
    <row r="42557" ht="14.4" x14ac:dyDescent="0.3"/>
    <row r="42558" ht="14.4" x14ac:dyDescent="0.3"/>
    <row r="42559" ht="14.4" x14ac:dyDescent="0.3"/>
    <row r="42560" ht="14.4" x14ac:dyDescent="0.3"/>
    <row r="42561" ht="14.4" x14ac:dyDescent="0.3"/>
    <row r="42562" ht="14.4" x14ac:dyDescent="0.3"/>
    <row r="42563" ht="14.4" x14ac:dyDescent="0.3"/>
    <row r="42564" ht="14.4" x14ac:dyDescent="0.3"/>
    <row r="42565" ht="14.4" x14ac:dyDescent="0.3"/>
    <row r="42566" ht="14.4" x14ac:dyDescent="0.3"/>
    <row r="42567" ht="14.4" x14ac:dyDescent="0.3"/>
    <row r="42568" ht="14.4" x14ac:dyDescent="0.3"/>
    <row r="42569" ht="14.4" x14ac:dyDescent="0.3"/>
    <row r="42570" ht="14.4" x14ac:dyDescent="0.3"/>
    <row r="42571" ht="14.4" x14ac:dyDescent="0.3"/>
    <row r="42572" ht="14.4" x14ac:dyDescent="0.3"/>
    <row r="42573" ht="14.4" x14ac:dyDescent="0.3"/>
    <row r="42574" ht="14.4" x14ac:dyDescent="0.3"/>
    <row r="42575" ht="14.4" x14ac:dyDescent="0.3"/>
    <row r="42576" ht="14.4" x14ac:dyDescent="0.3"/>
    <row r="42577" ht="14.4" x14ac:dyDescent="0.3"/>
    <row r="42578" ht="14.4" x14ac:dyDescent="0.3"/>
    <row r="42579" ht="14.4" x14ac:dyDescent="0.3"/>
    <row r="42580" ht="14.4" x14ac:dyDescent="0.3"/>
    <row r="42581" ht="14.4" x14ac:dyDescent="0.3"/>
    <row r="42582" ht="14.4" x14ac:dyDescent="0.3"/>
    <row r="42583" ht="14.4" x14ac:dyDescent="0.3"/>
    <row r="42584" ht="14.4" x14ac:dyDescent="0.3"/>
    <row r="42585" ht="14.4" x14ac:dyDescent="0.3"/>
    <row r="42586" ht="14.4" x14ac:dyDescent="0.3"/>
    <row r="42587" ht="14.4" x14ac:dyDescent="0.3"/>
    <row r="42588" ht="14.4" x14ac:dyDescent="0.3"/>
    <row r="42589" ht="14.4" x14ac:dyDescent="0.3"/>
    <row r="42590" ht="14.4" x14ac:dyDescent="0.3"/>
    <row r="42591" ht="14.4" x14ac:dyDescent="0.3"/>
    <row r="42592" ht="14.4" x14ac:dyDescent="0.3"/>
    <row r="42593" ht="14.4" x14ac:dyDescent="0.3"/>
    <row r="42594" ht="14.4" x14ac:dyDescent="0.3"/>
    <row r="42595" ht="14.4" x14ac:dyDescent="0.3"/>
    <row r="42596" ht="14.4" x14ac:dyDescent="0.3"/>
    <row r="42597" ht="14.4" x14ac:dyDescent="0.3"/>
    <row r="42598" ht="14.4" x14ac:dyDescent="0.3"/>
    <row r="42599" ht="14.4" x14ac:dyDescent="0.3"/>
    <row r="42600" ht="14.4" x14ac:dyDescent="0.3"/>
    <row r="42601" ht="14.4" x14ac:dyDescent="0.3"/>
    <row r="42602" ht="14.4" x14ac:dyDescent="0.3"/>
    <row r="42603" ht="14.4" x14ac:dyDescent="0.3"/>
    <row r="42604" ht="14.4" x14ac:dyDescent="0.3"/>
    <row r="42605" ht="14.4" x14ac:dyDescent="0.3"/>
    <row r="42606" ht="14.4" x14ac:dyDescent="0.3"/>
    <row r="42607" ht="14.4" x14ac:dyDescent="0.3"/>
    <row r="42608" ht="14.4" x14ac:dyDescent="0.3"/>
    <row r="42609" ht="14.4" x14ac:dyDescent="0.3"/>
    <row r="42610" ht="14.4" x14ac:dyDescent="0.3"/>
    <row r="42611" ht="14.4" x14ac:dyDescent="0.3"/>
    <row r="42612" ht="14.4" x14ac:dyDescent="0.3"/>
    <row r="42613" ht="14.4" x14ac:dyDescent="0.3"/>
    <row r="42614" ht="14.4" x14ac:dyDescent="0.3"/>
    <row r="42615" ht="14.4" x14ac:dyDescent="0.3"/>
    <row r="42616" ht="14.4" x14ac:dyDescent="0.3"/>
    <row r="42617" ht="14.4" x14ac:dyDescent="0.3"/>
    <row r="42618" ht="14.4" x14ac:dyDescent="0.3"/>
    <row r="42619" ht="14.4" x14ac:dyDescent="0.3"/>
    <row r="42620" ht="14.4" x14ac:dyDescent="0.3"/>
    <row r="42621" ht="14.4" x14ac:dyDescent="0.3"/>
    <row r="42622" ht="14.4" x14ac:dyDescent="0.3"/>
    <row r="42623" ht="14.4" x14ac:dyDescent="0.3"/>
    <row r="42624" ht="14.4" x14ac:dyDescent="0.3"/>
    <row r="42625" ht="14.4" x14ac:dyDescent="0.3"/>
    <row r="42626" ht="14.4" x14ac:dyDescent="0.3"/>
    <row r="42627" ht="14.4" x14ac:dyDescent="0.3"/>
    <row r="42628" ht="14.4" x14ac:dyDescent="0.3"/>
    <row r="42629" ht="14.4" x14ac:dyDescent="0.3"/>
    <row r="42630" ht="14.4" x14ac:dyDescent="0.3"/>
    <row r="42631" ht="14.4" x14ac:dyDescent="0.3"/>
    <row r="42632" ht="14.4" x14ac:dyDescent="0.3"/>
    <row r="42633" ht="14.4" x14ac:dyDescent="0.3"/>
    <row r="42634" ht="14.4" x14ac:dyDescent="0.3"/>
    <row r="42635" ht="14.4" x14ac:dyDescent="0.3"/>
    <row r="42636" ht="14.4" x14ac:dyDescent="0.3"/>
    <row r="42637" ht="14.4" x14ac:dyDescent="0.3"/>
    <row r="42638" ht="14.4" x14ac:dyDescent="0.3"/>
    <row r="42639" ht="14.4" x14ac:dyDescent="0.3"/>
    <row r="42640" ht="14.4" x14ac:dyDescent="0.3"/>
    <row r="42641" ht="14.4" x14ac:dyDescent="0.3"/>
    <row r="42642" ht="14.4" x14ac:dyDescent="0.3"/>
    <row r="42643" ht="14.4" x14ac:dyDescent="0.3"/>
    <row r="42644" ht="14.4" x14ac:dyDescent="0.3"/>
    <row r="42645" ht="14.4" x14ac:dyDescent="0.3"/>
    <row r="42646" ht="14.4" x14ac:dyDescent="0.3"/>
    <row r="42647" ht="14.4" x14ac:dyDescent="0.3"/>
    <row r="42648" ht="14.4" x14ac:dyDescent="0.3"/>
    <row r="42649" ht="14.4" x14ac:dyDescent="0.3"/>
    <row r="42650" ht="14.4" x14ac:dyDescent="0.3"/>
    <row r="42651" ht="14.4" x14ac:dyDescent="0.3"/>
    <row r="42652" ht="14.4" x14ac:dyDescent="0.3"/>
    <row r="42653" ht="14.4" x14ac:dyDescent="0.3"/>
    <row r="42654" ht="14.4" x14ac:dyDescent="0.3"/>
    <row r="42655" ht="14.4" x14ac:dyDescent="0.3"/>
    <row r="42656" ht="14.4" x14ac:dyDescent="0.3"/>
    <row r="42657" ht="14.4" x14ac:dyDescent="0.3"/>
    <row r="42658" ht="14.4" x14ac:dyDescent="0.3"/>
    <row r="42659" ht="14.4" x14ac:dyDescent="0.3"/>
    <row r="42660" ht="14.4" x14ac:dyDescent="0.3"/>
    <row r="42661" ht="14.4" x14ac:dyDescent="0.3"/>
    <row r="42662" ht="14.4" x14ac:dyDescent="0.3"/>
    <row r="42663" ht="14.4" x14ac:dyDescent="0.3"/>
    <row r="42664" ht="14.4" x14ac:dyDescent="0.3"/>
    <row r="42665" ht="14.4" x14ac:dyDescent="0.3"/>
    <row r="42666" ht="14.4" x14ac:dyDescent="0.3"/>
    <row r="42667" ht="14.4" x14ac:dyDescent="0.3"/>
    <row r="42668" ht="14.4" x14ac:dyDescent="0.3"/>
    <row r="42669" ht="14.4" x14ac:dyDescent="0.3"/>
    <row r="42670" ht="14.4" x14ac:dyDescent="0.3"/>
    <row r="42671" ht="14.4" x14ac:dyDescent="0.3"/>
    <row r="42672" ht="14.4" x14ac:dyDescent="0.3"/>
    <row r="42673" ht="14.4" x14ac:dyDescent="0.3"/>
    <row r="42674" ht="14.4" x14ac:dyDescent="0.3"/>
    <row r="42675" ht="14.4" x14ac:dyDescent="0.3"/>
    <row r="42676" ht="14.4" x14ac:dyDescent="0.3"/>
    <row r="42677" ht="14.4" x14ac:dyDescent="0.3"/>
    <row r="42678" ht="14.4" x14ac:dyDescent="0.3"/>
    <row r="42679" ht="14.4" x14ac:dyDescent="0.3"/>
    <row r="42680" ht="14.4" x14ac:dyDescent="0.3"/>
    <row r="42681" ht="14.4" x14ac:dyDescent="0.3"/>
    <row r="42682" ht="14.4" x14ac:dyDescent="0.3"/>
    <row r="42683" ht="14.4" x14ac:dyDescent="0.3"/>
    <row r="42684" ht="14.4" x14ac:dyDescent="0.3"/>
    <row r="42685" ht="14.4" x14ac:dyDescent="0.3"/>
    <row r="42686" ht="14.4" x14ac:dyDescent="0.3"/>
    <row r="42687" ht="14.4" x14ac:dyDescent="0.3"/>
    <row r="42688" ht="14.4" x14ac:dyDescent="0.3"/>
    <row r="42689" ht="14.4" x14ac:dyDescent="0.3"/>
    <row r="42690" ht="14.4" x14ac:dyDescent="0.3"/>
    <row r="42691" ht="14.4" x14ac:dyDescent="0.3"/>
    <row r="42692" ht="14.4" x14ac:dyDescent="0.3"/>
    <row r="42693" ht="14.4" x14ac:dyDescent="0.3"/>
    <row r="42694" ht="14.4" x14ac:dyDescent="0.3"/>
    <row r="42695" ht="14.4" x14ac:dyDescent="0.3"/>
    <row r="42696" ht="14.4" x14ac:dyDescent="0.3"/>
    <row r="42697" ht="14.4" x14ac:dyDescent="0.3"/>
    <row r="42698" ht="14.4" x14ac:dyDescent="0.3"/>
    <row r="42699" ht="14.4" x14ac:dyDescent="0.3"/>
    <row r="42700" ht="14.4" x14ac:dyDescent="0.3"/>
    <row r="42701" ht="14.4" x14ac:dyDescent="0.3"/>
    <row r="42702" ht="14.4" x14ac:dyDescent="0.3"/>
    <row r="42703" ht="14.4" x14ac:dyDescent="0.3"/>
    <row r="42704" ht="14.4" x14ac:dyDescent="0.3"/>
    <row r="42705" ht="14.4" x14ac:dyDescent="0.3"/>
    <row r="42706" ht="14.4" x14ac:dyDescent="0.3"/>
    <row r="42707" ht="14.4" x14ac:dyDescent="0.3"/>
    <row r="42708" ht="14.4" x14ac:dyDescent="0.3"/>
    <row r="42709" ht="14.4" x14ac:dyDescent="0.3"/>
    <row r="42710" ht="14.4" x14ac:dyDescent="0.3"/>
    <row r="42711" ht="14.4" x14ac:dyDescent="0.3"/>
    <row r="42712" ht="14.4" x14ac:dyDescent="0.3"/>
    <row r="42713" ht="14.4" x14ac:dyDescent="0.3"/>
    <row r="42714" ht="14.4" x14ac:dyDescent="0.3"/>
    <row r="42715" ht="14.4" x14ac:dyDescent="0.3"/>
    <row r="42716" ht="14.4" x14ac:dyDescent="0.3"/>
    <row r="42717" ht="14.4" x14ac:dyDescent="0.3"/>
    <row r="42718" ht="14.4" x14ac:dyDescent="0.3"/>
    <row r="42719" ht="14.4" x14ac:dyDescent="0.3"/>
    <row r="42720" ht="14.4" x14ac:dyDescent="0.3"/>
    <row r="42721" ht="14.4" x14ac:dyDescent="0.3"/>
    <row r="42722" ht="14.4" x14ac:dyDescent="0.3"/>
    <row r="42723" ht="14.4" x14ac:dyDescent="0.3"/>
    <row r="42724" ht="14.4" x14ac:dyDescent="0.3"/>
    <row r="42725" ht="14.4" x14ac:dyDescent="0.3"/>
    <row r="42726" ht="14.4" x14ac:dyDescent="0.3"/>
    <row r="42727" ht="14.4" x14ac:dyDescent="0.3"/>
    <row r="42728" ht="14.4" x14ac:dyDescent="0.3"/>
    <row r="42729" ht="14.4" x14ac:dyDescent="0.3"/>
    <row r="42730" ht="14.4" x14ac:dyDescent="0.3"/>
    <row r="42731" ht="14.4" x14ac:dyDescent="0.3"/>
    <row r="42732" ht="14.4" x14ac:dyDescent="0.3"/>
    <row r="42733" ht="14.4" x14ac:dyDescent="0.3"/>
    <row r="42734" ht="14.4" x14ac:dyDescent="0.3"/>
    <row r="42735" ht="14.4" x14ac:dyDescent="0.3"/>
    <row r="42736" ht="14.4" x14ac:dyDescent="0.3"/>
    <row r="42737" ht="14.4" x14ac:dyDescent="0.3"/>
    <row r="42738" ht="14.4" x14ac:dyDescent="0.3"/>
    <row r="42739" ht="14.4" x14ac:dyDescent="0.3"/>
    <row r="42740" ht="14.4" x14ac:dyDescent="0.3"/>
    <row r="42741" ht="14.4" x14ac:dyDescent="0.3"/>
    <row r="42742" ht="14.4" x14ac:dyDescent="0.3"/>
    <row r="42743" ht="14.4" x14ac:dyDescent="0.3"/>
    <row r="42744" ht="14.4" x14ac:dyDescent="0.3"/>
    <row r="42745" ht="14.4" x14ac:dyDescent="0.3"/>
    <row r="42746" ht="14.4" x14ac:dyDescent="0.3"/>
    <row r="42747" ht="14.4" x14ac:dyDescent="0.3"/>
    <row r="42748" ht="14.4" x14ac:dyDescent="0.3"/>
    <row r="42749" ht="14.4" x14ac:dyDescent="0.3"/>
    <row r="42750" ht="14.4" x14ac:dyDescent="0.3"/>
    <row r="42751" ht="14.4" x14ac:dyDescent="0.3"/>
    <row r="42752" ht="14.4" x14ac:dyDescent="0.3"/>
    <row r="42753" ht="14.4" x14ac:dyDescent="0.3"/>
    <row r="42754" ht="14.4" x14ac:dyDescent="0.3"/>
    <row r="42755" ht="14.4" x14ac:dyDescent="0.3"/>
    <row r="42756" ht="14.4" x14ac:dyDescent="0.3"/>
    <row r="42757" ht="14.4" x14ac:dyDescent="0.3"/>
    <row r="42758" ht="14.4" x14ac:dyDescent="0.3"/>
    <row r="42759" ht="14.4" x14ac:dyDescent="0.3"/>
    <row r="42760" ht="14.4" x14ac:dyDescent="0.3"/>
    <row r="42761" ht="14.4" x14ac:dyDescent="0.3"/>
    <row r="42762" ht="14.4" x14ac:dyDescent="0.3"/>
    <row r="42763" ht="14.4" x14ac:dyDescent="0.3"/>
    <row r="42764" ht="14.4" x14ac:dyDescent="0.3"/>
    <row r="42765" ht="14.4" x14ac:dyDescent="0.3"/>
    <row r="42766" ht="14.4" x14ac:dyDescent="0.3"/>
    <row r="42767" ht="14.4" x14ac:dyDescent="0.3"/>
    <row r="42768" ht="14.4" x14ac:dyDescent="0.3"/>
    <row r="42769" ht="14.4" x14ac:dyDescent="0.3"/>
    <row r="42770" ht="14.4" x14ac:dyDescent="0.3"/>
    <row r="42771" ht="14.4" x14ac:dyDescent="0.3"/>
    <row r="42772" ht="14.4" x14ac:dyDescent="0.3"/>
    <row r="42773" ht="14.4" x14ac:dyDescent="0.3"/>
    <row r="42774" ht="14.4" x14ac:dyDescent="0.3"/>
    <row r="42775" ht="14.4" x14ac:dyDescent="0.3"/>
    <row r="42776" ht="14.4" x14ac:dyDescent="0.3"/>
    <row r="42777" ht="14.4" x14ac:dyDescent="0.3"/>
    <row r="42778" ht="14.4" x14ac:dyDescent="0.3"/>
    <row r="42779" ht="14.4" x14ac:dyDescent="0.3"/>
    <row r="42780" ht="14.4" x14ac:dyDescent="0.3"/>
    <row r="42781" ht="14.4" x14ac:dyDescent="0.3"/>
    <row r="42782" ht="14.4" x14ac:dyDescent="0.3"/>
    <row r="42783" ht="14.4" x14ac:dyDescent="0.3"/>
    <row r="42784" ht="14.4" x14ac:dyDescent="0.3"/>
    <row r="42785" spans="1:43" ht="14.4" x14ac:dyDescent="0.3"/>
    <row r="42786" spans="1:43" ht="14.4" x14ac:dyDescent="0.3"/>
    <row r="42787" spans="1:43" ht="14.4" x14ac:dyDescent="0.3"/>
    <row r="42788" spans="1:43" ht="14.4" x14ac:dyDescent="0.3"/>
    <row r="42789" spans="1:43" ht="14.4" x14ac:dyDescent="0.3"/>
    <row r="42790" spans="1:43" ht="14.4" x14ac:dyDescent="0.3"/>
    <row r="42791" spans="1:43" ht="14.4" x14ac:dyDescent="0.3"/>
    <row r="42792" spans="1:43" ht="14.4" x14ac:dyDescent="0.3"/>
    <row r="42793" spans="1:43" ht="14.4" x14ac:dyDescent="0.3"/>
    <row r="42794" spans="1:43" ht="14.4" x14ac:dyDescent="0.3"/>
    <row r="42795" spans="1:43" ht="14.4" x14ac:dyDescent="0.3"/>
    <row r="42796" spans="1:43" ht="14.4" x14ac:dyDescent="0.3"/>
    <row r="42797" spans="1:43" ht="14.4" x14ac:dyDescent="0.3"/>
    <row r="42798" spans="1:43" ht="14.4" x14ac:dyDescent="0.3"/>
    <row r="42799" spans="1:43" ht="14.4" hidden="1" x14ac:dyDescent="0.3">
      <c r="A42799" t="s">
        <v>5364</v>
      </c>
      <c r="B42799">
        <v>4940174</v>
      </c>
      <c r="C42799" t="s">
        <v>538</v>
      </c>
      <c r="D42799" t="s">
        <v>563</v>
      </c>
      <c r="E42799" t="s">
        <v>3188</v>
      </c>
      <c r="F42799" t="s">
        <v>3432</v>
      </c>
      <c r="H42799" t="s">
        <v>281</v>
      </c>
      <c r="J42799" t="s">
        <v>140</v>
      </c>
      <c r="K42799">
        <v>164705.9</v>
      </c>
      <c r="L42799">
        <v>382815.1</v>
      </c>
      <c r="M42799">
        <v>1</v>
      </c>
      <c r="N42799" t="s">
        <v>3433</v>
      </c>
      <c r="O42799" t="s">
        <v>410</v>
      </c>
      <c r="P42799" t="s">
        <v>743</v>
      </c>
      <c r="Q42799" t="s">
        <v>839</v>
      </c>
      <c r="R42799" t="s">
        <v>259</v>
      </c>
      <c r="S42799">
        <v>91</v>
      </c>
      <c r="T42799">
        <v>17400</v>
      </c>
      <c r="U42799">
        <v>25</v>
      </c>
      <c r="V42799" t="s">
        <v>260</v>
      </c>
      <c r="W42799" t="s">
        <v>184</v>
      </c>
      <c r="X42799" t="s">
        <v>7</v>
      </c>
      <c r="Y42799" t="s">
        <v>3434</v>
      </c>
      <c r="Z42799" t="s">
        <v>410</v>
      </c>
      <c r="AA42799" t="s">
        <v>1539</v>
      </c>
      <c r="AB42799">
        <v>0</v>
      </c>
      <c r="AE42799" t="s">
        <v>188</v>
      </c>
      <c r="AF42799" t="s">
        <v>410</v>
      </c>
      <c r="AG42799" t="s">
        <v>3435</v>
      </c>
      <c r="AI42799" t="s">
        <v>239</v>
      </c>
      <c r="AJ42799" t="s">
        <v>410</v>
      </c>
      <c r="AK42799" t="s">
        <v>3435</v>
      </c>
      <c r="AL42799" t="s">
        <v>5365</v>
      </c>
      <c r="AM42799" t="s">
        <v>5366</v>
      </c>
      <c r="AN42799" t="s">
        <v>5367</v>
      </c>
      <c r="AO42799" t="s">
        <v>3433</v>
      </c>
      <c r="AQ42799">
        <f>IF(ISBLANK(AP42799), IFERROR(IF(VLOOKUP(AO42799, Ellens_additions!$A$2:$B$252, 2, FALSE) = "", "", VLOOKUP(AO42799, Ellens_additions!$A$2:$B$252, 2, FALSE)), 0), AP42799)</f>
        <v>1800</v>
      </c>
    </row>
    <row r="42800" spans="1:43" ht="14.4" hidden="1" x14ac:dyDescent="0.3">
      <c r="A42800" t="s">
        <v>5368</v>
      </c>
      <c r="B42800">
        <v>4940188</v>
      </c>
      <c r="C42800" t="s">
        <v>538</v>
      </c>
      <c r="D42800" t="s">
        <v>539</v>
      </c>
      <c r="E42800" t="s">
        <v>571</v>
      </c>
      <c r="F42800" t="s">
        <v>583</v>
      </c>
      <c r="H42800" t="s">
        <v>229</v>
      </c>
      <c r="J42800" t="s">
        <v>140</v>
      </c>
      <c r="K42800">
        <v>164309.24400000001</v>
      </c>
      <c r="L42800">
        <v>384546.1103</v>
      </c>
      <c r="M42800">
        <v>1</v>
      </c>
      <c r="N42800" t="s">
        <v>744</v>
      </c>
      <c r="O42800" t="s">
        <v>746</v>
      </c>
      <c r="P42800" t="s">
        <v>879</v>
      </c>
      <c r="Q42800" t="s">
        <v>144</v>
      </c>
      <c r="S42800">
        <v>38</v>
      </c>
      <c r="T42800">
        <v>5000</v>
      </c>
      <c r="U42800">
        <v>80</v>
      </c>
      <c r="V42800" t="s">
        <v>146</v>
      </c>
      <c r="W42800" t="s">
        <v>147</v>
      </c>
      <c r="X42800" t="s">
        <v>7</v>
      </c>
      <c r="Y42800" t="s">
        <v>148</v>
      </c>
      <c r="Z42800" t="s">
        <v>746</v>
      </c>
      <c r="AA42800" t="s">
        <v>747</v>
      </c>
      <c r="AB42800">
        <v>0</v>
      </c>
      <c r="AE42800" t="s">
        <v>444</v>
      </c>
      <c r="AF42800" t="s">
        <v>746</v>
      </c>
      <c r="AG42800" t="s">
        <v>748</v>
      </c>
      <c r="AI42800" t="s">
        <v>749</v>
      </c>
      <c r="AJ42800" t="s">
        <v>746</v>
      </c>
      <c r="AK42800" t="s">
        <v>747</v>
      </c>
      <c r="AL42800" t="s">
        <v>5369</v>
      </c>
      <c r="AM42800" t="s">
        <v>5370</v>
      </c>
      <c r="AN42800" t="s">
        <v>5371</v>
      </c>
      <c r="AO42800" t="s">
        <v>744</v>
      </c>
      <c r="AP42800" t="s">
        <v>158</v>
      </c>
      <c r="AQ42800" t="str">
        <f>IF(ISBLANK(AP42800), IFERROR(IF(VLOOKUP(AO42800, Ellens_additions!$A$2:$B$252, 2, FALSE) = "", "", VLOOKUP(AO42800, Ellens_additions!$A$2:$B$252, 2, FALSE)), 0), AP42800)</f>
        <v>3000</v>
      </c>
    </row>
    <row r="42801" spans="1:43" ht="14.4" hidden="1" x14ac:dyDescent="0.3">
      <c r="A42801" t="s">
        <v>5372</v>
      </c>
      <c r="B42801">
        <v>4940189</v>
      </c>
      <c r="C42801" t="s">
        <v>538</v>
      </c>
      <c r="D42801" t="s">
        <v>539</v>
      </c>
      <c r="E42801" t="s">
        <v>571</v>
      </c>
      <c r="F42801" t="s">
        <v>583</v>
      </c>
      <c r="H42801" t="s">
        <v>296</v>
      </c>
      <c r="J42801" t="s">
        <v>140</v>
      </c>
      <c r="K42801">
        <v>164338.06950000001</v>
      </c>
      <c r="L42801">
        <v>384559.01409999997</v>
      </c>
      <c r="M42801">
        <v>1</v>
      </c>
      <c r="N42801" t="s">
        <v>744</v>
      </c>
      <c r="O42801" t="s">
        <v>746</v>
      </c>
      <c r="P42801" t="s">
        <v>879</v>
      </c>
      <c r="Q42801" t="s">
        <v>144</v>
      </c>
      <c r="S42801">
        <v>38</v>
      </c>
      <c r="T42801">
        <v>5000</v>
      </c>
      <c r="U42801">
        <v>80</v>
      </c>
      <c r="V42801" t="s">
        <v>146</v>
      </c>
      <c r="W42801" t="s">
        <v>147</v>
      </c>
      <c r="X42801" t="s">
        <v>7</v>
      </c>
      <c r="Y42801" t="s">
        <v>148</v>
      </c>
      <c r="Z42801" t="s">
        <v>746</v>
      </c>
      <c r="AA42801" t="s">
        <v>747</v>
      </c>
      <c r="AB42801">
        <v>0</v>
      </c>
      <c r="AE42801" t="s">
        <v>444</v>
      </c>
      <c r="AF42801" t="s">
        <v>746</v>
      </c>
      <c r="AG42801" t="s">
        <v>748</v>
      </c>
      <c r="AI42801" t="s">
        <v>749</v>
      </c>
      <c r="AJ42801" t="s">
        <v>746</v>
      </c>
      <c r="AK42801" t="s">
        <v>747</v>
      </c>
      <c r="AL42801" t="s">
        <v>5373</v>
      </c>
      <c r="AM42801" t="s">
        <v>5374</v>
      </c>
      <c r="AN42801" t="s">
        <v>5375</v>
      </c>
      <c r="AO42801" t="s">
        <v>744</v>
      </c>
      <c r="AP42801" t="s">
        <v>158</v>
      </c>
      <c r="AQ42801" t="str">
        <f>IF(ISBLANK(AP42801), IFERROR(IF(VLOOKUP(AO42801, Ellens_additions!$A$2:$B$252, 2, FALSE) = "", "", VLOOKUP(AO42801, Ellens_additions!$A$2:$B$252, 2, FALSE)), 0), AP42801)</f>
        <v>3000</v>
      </c>
    </row>
    <row r="42802" spans="1:43" ht="14.4" hidden="1" x14ac:dyDescent="0.3">
      <c r="A42802" t="s">
        <v>5376</v>
      </c>
      <c r="B42802">
        <v>4940193</v>
      </c>
      <c r="C42802" t="s">
        <v>538</v>
      </c>
      <c r="D42802" t="s">
        <v>539</v>
      </c>
      <c r="E42802" t="s">
        <v>571</v>
      </c>
      <c r="F42802" t="s">
        <v>896</v>
      </c>
      <c r="H42802" t="s">
        <v>301</v>
      </c>
      <c r="J42802" t="s">
        <v>140</v>
      </c>
      <c r="K42802">
        <v>164958.9007</v>
      </c>
      <c r="L42802">
        <v>384529.67709999997</v>
      </c>
      <c r="N42802" t="s">
        <v>897</v>
      </c>
      <c r="O42802" t="s">
        <v>961</v>
      </c>
      <c r="P42802" t="s">
        <v>962</v>
      </c>
      <c r="Q42802" t="s">
        <v>144</v>
      </c>
      <c r="S42802">
        <v>12</v>
      </c>
      <c r="T42802">
        <v>3724</v>
      </c>
      <c r="U42802">
        <v>70</v>
      </c>
      <c r="V42802" t="s">
        <v>146</v>
      </c>
      <c r="W42802" t="s">
        <v>899</v>
      </c>
      <c r="Y42802" t="s">
        <v>900</v>
      </c>
      <c r="Z42802" t="s">
        <v>961</v>
      </c>
      <c r="AA42802" t="s">
        <v>963</v>
      </c>
      <c r="AB42802">
        <v>0</v>
      </c>
      <c r="AE42802" t="s">
        <v>902</v>
      </c>
      <c r="AF42802" t="s">
        <v>961</v>
      </c>
      <c r="AG42802" t="s">
        <v>964</v>
      </c>
      <c r="AI42802" t="s">
        <v>904</v>
      </c>
      <c r="AJ42802" t="s">
        <v>961</v>
      </c>
      <c r="AK42802" t="s">
        <v>963</v>
      </c>
      <c r="AL42802" t="s">
        <v>5377</v>
      </c>
      <c r="AM42802" t="s">
        <v>5378</v>
      </c>
      <c r="AN42802" t="s">
        <v>5379</v>
      </c>
      <c r="AO42802" t="s">
        <v>897</v>
      </c>
      <c r="AQ42802">
        <f>IF(ISBLANK(AP42802), IFERROR(IF(VLOOKUP(AO42802, Ellens_additions!$A$2:$B$252, 2, FALSE) = "", "", VLOOKUP(AO42802, Ellens_additions!$A$2:$B$252, 2, FALSE)), 0), AP42802)</f>
        <v>0</v>
      </c>
    </row>
    <row r="42803" spans="1:43" ht="14.4" hidden="1" x14ac:dyDescent="0.3">
      <c r="A42803" t="s">
        <v>5380</v>
      </c>
      <c r="B42803">
        <v>4940194</v>
      </c>
      <c r="C42803" t="s">
        <v>538</v>
      </c>
      <c r="D42803" t="s">
        <v>539</v>
      </c>
      <c r="E42803" t="s">
        <v>571</v>
      </c>
      <c r="F42803" t="s">
        <v>896</v>
      </c>
      <c r="H42803" t="s">
        <v>464</v>
      </c>
      <c r="J42803" t="s">
        <v>140</v>
      </c>
      <c r="K42803">
        <v>164978.0643</v>
      </c>
      <c r="L42803">
        <v>384517.21679999999</v>
      </c>
      <c r="N42803" t="s">
        <v>897</v>
      </c>
      <c r="O42803" t="s">
        <v>796</v>
      </c>
      <c r="P42803" t="s">
        <v>659</v>
      </c>
      <c r="Q42803" t="s">
        <v>144</v>
      </c>
      <c r="S42803">
        <v>12</v>
      </c>
      <c r="T42803">
        <v>3724</v>
      </c>
      <c r="U42803">
        <v>70</v>
      </c>
      <c r="V42803" t="s">
        <v>146</v>
      </c>
      <c r="W42803" t="s">
        <v>899</v>
      </c>
      <c r="Y42803" t="s">
        <v>900</v>
      </c>
      <c r="Z42803" t="s">
        <v>796</v>
      </c>
      <c r="AA42803" t="s">
        <v>655</v>
      </c>
      <c r="AB42803">
        <v>0</v>
      </c>
      <c r="AE42803" t="s">
        <v>902</v>
      </c>
      <c r="AF42803" t="s">
        <v>796</v>
      </c>
      <c r="AG42803" t="s">
        <v>938</v>
      </c>
      <c r="AI42803" t="s">
        <v>904</v>
      </c>
      <c r="AJ42803" t="s">
        <v>796</v>
      </c>
      <c r="AK42803" t="s">
        <v>655</v>
      </c>
      <c r="AL42803" t="s">
        <v>5381</v>
      </c>
      <c r="AM42803" t="s">
        <v>5382</v>
      </c>
      <c r="AN42803" t="s">
        <v>5383</v>
      </c>
      <c r="AO42803" t="s">
        <v>897</v>
      </c>
      <c r="AQ42803">
        <f>IF(ISBLANK(AP42803), IFERROR(IF(VLOOKUP(AO42803, Ellens_additions!$A$2:$B$252, 2, FALSE) = "", "", VLOOKUP(AO42803, Ellens_additions!$A$2:$B$252, 2, FALSE)), 0), AP42803)</f>
        <v>0</v>
      </c>
    </row>
    <row r="42804" spans="1:43" ht="14.4" hidden="1" x14ac:dyDescent="0.3">
      <c r="A42804" t="s">
        <v>5384</v>
      </c>
      <c r="B42804">
        <v>4940197</v>
      </c>
      <c r="C42804" t="s">
        <v>538</v>
      </c>
      <c r="D42804" t="s">
        <v>539</v>
      </c>
      <c r="E42804" t="s">
        <v>571</v>
      </c>
      <c r="F42804" t="s">
        <v>896</v>
      </c>
      <c r="H42804" t="s">
        <v>255</v>
      </c>
      <c r="J42804" t="s">
        <v>140</v>
      </c>
      <c r="K42804">
        <v>164440.93429999999</v>
      </c>
      <c r="L42804">
        <v>384571.23009999999</v>
      </c>
      <c r="N42804" t="s">
        <v>897</v>
      </c>
      <c r="O42804" t="s">
        <v>898</v>
      </c>
      <c r="P42804" t="s">
        <v>580</v>
      </c>
      <c r="Q42804" t="s">
        <v>144</v>
      </c>
      <c r="S42804">
        <v>23</v>
      </c>
      <c r="T42804">
        <v>3724</v>
      </c>
      <c r="U42804">
        <v>70</v>
      </c>
      <c r="V42804" t="s">
        <v>146</v>
      </c>
      <c r="W42804" t="s">
        <v>899</v>
      </c>
      <c r="X42804" t="s">
        <v>7</v>
      </c>
      <c r="Y42804" t="s">
        <v>900</v>
      </c>
      <c r="Z42804" t="s">
        <v>898</v>
      </c>
      <c r="AA42804" t="s">
        <v>901</v>
      </c>
      <c r="AB42804">
        <v>0</v>
      </c>
      <c r="AI42804" t="s">
        <v>904</v>
      </c>
      <c r="AJ42804" t="s">
        <v>898</v>
      </c>
      <c r="AK42804" t="s">
        <v>901</v>
      </c>
      <c r="AL42804" t="s">
        <v>5385</v>
      </c>
      <c r="AM42804" t="s">
        <v>5386</v>
      </c>
      <c r="AN42804" t="s">
        <v>5387</v>
      </c>
      <c r="AO42804" t="s">
        <v>897</v>
      </c>
      <c r="AQ42804">
        <f>IF(ISBLANK(AP42804), IFERROR(IF(VLOOKUP(AO42804, Ellens_additions!$A$2:$B$252, 2, FALSE) = "", "", VLOOKUP(AO42804, Ellens_additions!$A$2:$B$252, 2, FALSE)), 0), AP42804)</f>
        <v>0</v>
      </c>
    </row>
    <row r="42805" spans="1:43" ht="14.4" hidden="1" x14ac:dyDescent="0.3">
      <c r="A42805" t="s">
        <v>5384</v>
      </c>
      <c r="B42805">
        <v>4940198</v>
      </c>
      <c r="C42805" t="s">
        <v>538</v>
      </c>
      <c r="D42805" t="s">
        <v>539</v>
      </c>
      <c r="E42805" t="s">
        <v>571</v>
      </c>
      <c r="F42805" t="s">
        <v>896</v>
      </c>
      <c r="H42805" t="s">
        <v>255</v>
      </c>
      <c r="J42805" t="s">
        <v>140</v>
      </c>
      <c r="K42805">
        <v>164440.93429999999</v>
      </c>
      <c r="L42805">
        <v>384571.23009999999</v>
      </c>
      <c r="M42805">
        <v>1</v>
      </c>
      <c r="N42805" t="s">
        <v>897</v>
      </c>
      <c r="O42805" t="s">
        <v>898</v>
      </c>
      <c r="P42805" t="s">
        <v>580</v>
      </c>
      <c r="Q42805" t="s">
        <v>144</v>
      </c>
      <c r="S42805">
        <v>12</v>
      </c>
      <c r="T42805">
        <v>3724</v>
      </c>
      <c r="U42805">
        <v>70</v>
      </c>
      <c r="V42805" t="s">
        <v>146</v>
      </c>
      <c r="W42805" t="s">
        <v>899</v>
      </c>
      <c r="X42805" t="s">
        <v>9</v>
      </c>
      <c r="Y42805" t="s">
        <v>900</v>
      </c>
      <c r="Z42805" t="s">
        <v>898</v>
      </c>
      <c r="AA42805" t="s">
        <v>901</v>
      </c>
      <c r="AB42805">
        <v>0</v>
      </c>
      <c r="AI42805" t="s">
        <v>904</v>
      </c>
      <c r="AJ42805" t="s">
        <v>898</v>
      </c>
      <c r="AK42805" t="s">
        <v>901</v>
      </c>
      <c r="AL42805" t="s">
        <v>5385</v>
      </c>
      <c r="AM42805" t="s">
        <v>5386</v>
      </c>
      <c r="AN42805" t="s">
        <v>5387</v>
      </c>
      <c r="AO42805" t="s">
        <v>897</v>
      </c>
      <c r="AQ42805">
        <f>IF(ISBLANK(AP42805), IFERROR(IF(VLOOKUP(AO42805, Ellens_additions!$A$2:$B$252, 2, FALSE) = "", "", VLOOKUP(AO42805, Ellens_additions!$A$2:$B$252, 2, FALSE)), 0), AP42805)</f>
        <v>0</v>
      </c>
    </row>
    <row r="42806" spans="1:43" ht="14.4" hidden="1" x14ac:dyDescent="0.3">
      <c r="A42806" t="s">
        <v>3455</v>
      </c>
      <c r="B42806">
        <v>4940201</v>
      </c>
      <c r="C42806" t="s">
        <v>538</v>
      </c>
      <c r="D42806" t="s">
        <v>539</v>
      </c>
      <c r="E42806" t="s">
        <v>571</v>
      </c>
      <c r="F42806" t="s">
        <v>896</v>
      </c>
      <c r="H42806" t="s">
        <v>256</v>
      </c>
      <c r="J42806" t="s">
        <v>140</v>
      </c>
      <c r="K42806">
        <v>164466.8285</v>
      </c>
      <c r="L42806">
        <v>384579.00939999998</v>
      </c>
      <c r="N42806" t="s">
        <v>897</v>
      </c>
      <c r="O42806" t="s">
        <v>898</v>
      </c>
      <c r="P42806" t="s">
        <v>580</v>
      </c>
      <c r="Q42806" t="s">
        <v>144</v>
      </c>
      <c r="S42806">
        <v>12</v>
      </c>
      <c r="T42806">
        <v>3724</v>
      </c>
      <c r="U42806">
        <v>70</v>
      </c>
      <c r="V42806" t="s">
        <v>146</v>
      </c>
      <c r="W42806" t="s">
        <v>899</v>
      </c>
      <c r="X42806" t="s">
        <v>9</v>
      </c>
      <c r="Y42806" t="s">
        <v>900</v>
      </c>
      <c r="Z42806" t="s">
        <v>898</v>
      </c>
      <c r="AA42806" t="s">
        <v>901</v>
      </c>
      <c r="AB42806">
        <v>0</v>
      </c>
      <c r="AI42806" t="s">
        <v>904</v>
      </c>
      <c r="AJ42806" t="s">
        <v>898</v>
      </c>
      <c r="AK42806" t="s">
        <v>901</v>
      </c>
      <c r="AL42806" t="s">
        <v>3456</v>
      </c>
      <c r="AM42806" t="s">
        <v>3457</v>
      </c>
      <c r="AN42806" t="s">
        <v>3458</v>
      </c>
      <c r="AO42806" t="s">
        <v>897</v>
      </c>
      <c r="AQ42806">
        <f>IF(ISBLANK(AP42806), IFERROR(IF(VLOOKUP(AO42806, Ellens_additions!$A$2:$B$252, 2, FALSE) = "", "", VLOOKUP(AO42806, Ellens_additions!$A$2:$B$252, 2, FALSE)), 0), AP42806)</f>
        <v>0</v>
      </c>
    </row>
    <row r="42807" spans="1:43" ht="14.4" hidden="1" x14ac:dyDescent="0.3">
      <c r="A42807" t="s">
        <v>5388</v>
      </c>
      <c r="B42807">
        <v>4940204</v>
      </c>
      <c r="C42807" t="s">
        <v>538</v>
      </c>
      <c r="D42807" t="s">
        <v>539</v>
      </c>
      <c r="E42807" t="s">
        <v>571</v>
      </c>
      <c r="F42807" t="s">
        <v>896</v>
      </c>
      <c r="H42807" t="s">
        <v>276</v>
      </c>
      <c r="J42807" t="s">
        <v>140</v>
      </c>
      <c r="K42807">
        <v>164519.45850000001</v>
      </c>
      <c r="L42807">
        <v>384594.90919999999</v>
      </c>
      <c r="N42807" t="s">
        <v>897</v>
      </c>
      <c r="O42807" t="s">
        <v>898</v>
      </c>
      <c r="P42807" t="s">
        <v>580</v>
      </c>
      <c r="Q42807" t="s">
        <v>144</v>
      </c>
      <c r="S42807">
        <v>23</v>
      </c>
      <c r="T42807">
        <v>3724</v>
      </c>
      <c r="U42807">
        <v>70</v>
      </c>
      <c r="V42807" t="s">
        <v>146</v>
      </c>
      <c r="W42807" t="s">
        <v>899</v>
      </c>
      <c r="X42807" t="s">
        <v>7</v>
      </c>
      <c r="Y42807" t="s">
        <v>900</v>
      </c>
      <c r="Z42807" t="s">
        <v>898</v>
      </c>
      <c r="AA42807" t="s">
        <v>901</v>
      </c>
      <c r="AB42807">
        <v>0</v>
      </c>
      <c r="AI42807" t="s">
        <v>904</v>
      </c>
      <c r="AJ42807" t="s">
        <v>898</v>
      </c>
      <c r="AK42807" t="s">
        <v>901</v>
      </c>
      <c r="AL42807" t="s">
        <v>5389</v>
      </c>
      <c r="AM42807" t="s">
        <v>5390</v>
      </c>
      <c r="AN42807" t="s">
        <v>5391</v>
      </c>
      <c r="AO42807" t="s">
        <v>897</v>
      </c>
      <c r="AQ42807">
        <f>IF(ISBLANK(AP42807), IFERROR(IF(VLOOKUP(AO42807, Ellens_additions!$A$2:$B$252, 2, FALSE) = "", "", VLOOKUP(AO42807, Ellens_additions!$A$2:$B$252, 2, FALSE)), 0), AP42807)</f>
        <v>0</v>
      </c>
    </row>
    <row r="42808" spans="1:43" ht="14.4" hidden="1" x14ac:dyDescent="0.3">
      <c r="A42808" t="s">
        <v>5388</v>
      </c>
      <c r="B42808">
        <v>4940205</v>
      </c>
      <c r="C42808" t="s">
        <v>538</v>
      </c>
      <c r="D42808" t="s">
        <v>539</v>
      </c>
      <c r="E42808" t="s">
        <v>571</v>
      </c>
      <c r="F42808" t="s">
        <v>896</v>
      </c>
      <c r="H42808" t="s">
        <v>276</v>
      </c>
      <c r="J42808" t="s">
        <v>140</v>
      </c>
      <c r="K42808">
        <v>164519.45850000001</v>
      </c>
      <c r="L42808">
        <v>384594.90919999999</v>
      </c>
      <c r="N42808" t="s">
        <v>897</v>
      </c>
      <c r="O42808" t="s">
        <v>898</v>
      </c>
      <c r="P42808" t="s">
        <v>580</v>
      </c>
      <c r="Q42808" t="s">
        <v>144</v>
      </c>
      <c r="S42808">
        <v>12</v>
      </c>
      <c r="T42808">
        <v>3724</v>
      </c>
      <c r="U42808">
        <v>70</v>
      </c>
      <c r="V42808" t="s">
        <v>146</v>
      </c>
      <c r="W42808" t="s">
        <v>899</v>
      </c>
      <c r="X42808" t="s">
        <v>9</v>
      </c>
      <c r="Y42808" t="s">
        <v>900</v>
      </c>
      <c r="Z42808" t="s">
        <v>898</v>
      </c>
      <c r="AA42808" t="s">
        <v>901</v>
      </c>
      <c r="AB42808">
        <v>0</v>
      </c>
      <c r="AI42808" t="s">
        <v>904</v>
      </c>
      <c r="AJ42808" t="s">
        <v>898</v>
      </c>
      <c r="AK42808" t="s">
        <v>901</v>
      </c>
      <c r="AL42808" t="s">
        <v>5389</v>
      </c>
      <c r="AM42808" t="s">
        <v>5390</v>
      </c>
      <c r="AN42808" t="s">
        <v>5391</v>
      </c>
      <c r="AO42808" t="s">
        <v>897</v>
      </c>
      <c r="AQ42808">
        <f>IF(ISBLANK(AP42808), IFERROR(IF(VLOOKUP(AO42808, Ellens_additions!$A$2:$B$252, 2, FALSE) = "", "", VLOOKUP(AO42808, Ellens_additions!$A$2:$B$252, 2, FALSE)), 0), AP42808)</f>
        <v>0</v>
      </c>
    </row>
    <row r="42809" spans="1:43" ht="14.4" hidden="1" x14ac:dyDescent="0.3">
      <c r="A42809" t="s">
        <v>3459</v>
      </c>
      <c r="B42809">
        <v>4940207</v>
      </c>
      <c r="C42809" t="s">
        <v>538</v>
      </c>
      <c r="D42809" t="s">
        <v>539</v>
      </c>
      <c r="E42809" t="s">
        <v>571</v>
      </c>
      <c r="F42809" t="s">
        <v>896</v>
      </c>
      <c r="H42809" t="s">
        <v>295</v>
      </c>
      <c r="J42809" t="s">
        <v>140</v>
      </c>
      <c r="K42809">
        <v>164550.3504</v>
      </c>
      <c r="L42809">
        <v>384602.3334</v>
      </c>
      <c r="N42809" t="s">
        <v>897</v>
      </c>
      <c r="O42809" t="s">
        <v>1226</v>
      </c>
      <c r="P42809" t="s">
        <v>1043</v>
      </c>
      <c r="Q42809" t="s">
        <v>144</v>
      </c>
      <c r="S42809">
        <v>12</v>
      </c>
      <c r="T42809">
        <v>3724</v>
      </c>
      <c r="U42809">
        <v>70</v>
      </c>
      <c r="V42809" t="s">
        <v>146</v>
      </c>
      <c r="W42809" t="s">
        <v>899</v>
      </c>
      <c r="X42809" t="s">
        <v>9</v>
      </c>
      <c r="Y42809" t="s">
        <v>900</v>
      </c>
      <c r="Z42809" t="s">
        <v>1226</v>
      </c>
      <c r="AA42809" t="s">
        <v>570</v>
      </c>
      <c r="AB42809">
        <v>0</v>
      </c>
      <c r="AI42809" t="s">
        <v>904</v>
      </c>
      <c r="AJ42809" t="s">
        <v>1226</v>
      </c>
      <c r="AK42809" t="s">
        <v>570</v>
      </c>
      <c r="AL42809" t="s">
        <v>3460</v>
      </c>
      <c r="AM42809" t="s">
        <v>3461</v>
      </c>
      <c r="AN42809" t="s">
        <v>3462</v>
      </c>
      <c r="AO42809" t="s">
        <v>897</v>
      </c>
      <c r="AQ42809">
        <f>IF(ISBLANK(AP42809), IFERROR(IF(VLOOKUP(AO42809, Ellens_additions!$A$2:$B$252, 2, FALSE) = "", "", VLOOKUP(AO42809, Ellens_additions!$A$2:$B$252, 2, FALSE)), 0), AP42809)</f>
        <v>0</v>
      </c>
    </row>
    <row r="42810" spans="1:43" ht="14.4" hidden="1" x14ac:dyDescent="0.3">
      <c r="A42810" t="s">
        <v>5392</v>
      </c>
      <c r="B42810">
        <v>4940209</v>
      </c>
      <c r="C42810" t="s">
        <v>538</v>
      </c>
      <c r="D42810" t="s">
        <v>539</v>
      </c>
      <c r="E42810" t="s">
        <v>571</v>
      </c>
      <c r="F42810" t="s">
        <v>896</v>
      </c>
      <c r="H42810" t="s">
        <v>407</v>
      </c>
      <c r="J42810" t="s">
        <v>140</v>
      </c>
      <c r="K42810">
        <v>164586.0943</v>
      </c>
      <c r="L42810">
        <v>384619.94870000001</v>
      </c>
      <c r="N42810" t="s">
        <v>897</v>
      </c>
      <c r="O42810" t="s">
        <v>898</v>
      </c>
      <c r="P42810" t="s">
        <v>580</v>
      </c>
      <c r="Q42810" t="s">
        <v>144</v>
      </c>
      <c r="S42810">
        <v>12</v>
      </c>
      <c r="T42810">
        <v>3724</v>
      </c>
      <c r="U42810">
        <v>70</v>
      </c>
      <c r="V42810" t="s">
        <v>146</v>
      </c>
      <c r="W42810" t="s">
        <v>899</v>
      </c>
      <c r="Y42810" t="s">
        <v>900</v>
      </c>
      <c r="Z42810" t="s">
        <v>898</v>
      </c>
      <c r="AA42810" t="s">
        <v>901</v>
      </c>
      <c r="AB42810">
        <v>0</v>
      </c>
      <c r="AE42810" t="s">
        <v>902</v>
      </c>
      <c r="AF42810" t="s">
        <v>898</v>
      </c>
      <c r="AG42810" t="s">
        <v>903</v>
      </c>
      <c r="AI42810" t="s">
        <v>904</v>
      </c>
      <c r="AJ42810" t="s">
        <v>898</v>
      </c>
      <c r="AK42810" t="s">
        <v>901</v>
      </c>
      <c r="AL42810" t="s">
        <v>5393</v>
      </c>
      <c r="AM42810" t="s">
        <v>5394</v>
      </c>
      <c r="AN42810" t="s">
        <v>5395</v>
      </c>
      <c r="AO42810" t="s">
        <v>897</v>
      </c>
      <c r="AQ42810">
        <f>IF(ISBLANK(AP42810), IFERROR(IF(VLOOKUP(AO42810, Ellens_additions!$A$2:$B$252, 2, FALSE) = "", "", VLOOKUP(AO42810, Ellens_additions!$A$2:$B$252, 2, FALSE)), 0), AP42810)</f>
        <v>0</v>
      </c>
    </row>
    <row r="42811" spans="1:43" ht="14.4" hidden="1" x14ac:dyDescent="0.3">
      <c r="A42811" t="s">
        <v>5396</v>
      </c>
      <c r="B42811">
        <v>4940210</v>
      </c>
      <c r="C42811" t="s">
        <v>538</v>
      </c>
      <c r="D42811" t="s">
        <v>539</v>
      </c>
      <c r="E42811" t="s">
        <v>571</v>
      </c>
      <c r="F42811" t="s">
        <v>896</v>
      </c>
      <c r="H42811" t="s">
        <v>279</v>
      </c>
      <c r="J42811" t="s">
        <v>140</v>
      </c>
      <c r="K42811">
        <v>164612.4498</v>
      </c>
      <c r="L42811">
        <v>384625.75819999998</v>
      </c>
      <c r="N42811" t="s">
        <v>897</v>
      </c>
      <c r="O42811" t="s">
        <v>1520</v>
      </c>
      <c r="P42811" t="s">
        <v>3398</v>
      </c>
      <c r="Q42811" t="s">
        <v>144</v>
      </c>
      <c r="S42811">
        <v>12</v>
      </c>
      <c r="T42811">
        <v>3724</v>
      </c>
      <c r="U42811">
        <v>70</v>
      </c>
      <c r="V42811" t="s">
        <v>146</v>
      </c>
      <c r="W42811" t="s">
        <v>899</v>
      </c>
      <c r="Y42811" t="s">
        <v>900</v>
      </c>
      <c r="Z42811" t="s">
        <v>1520</v>
      </c>
      <c r="AA42811" t="s">
        <v>361</v>
      </c>
      <c r="AB42811">
        <v>0</v>
      </c>
      <c r="AE42811" t="s">
        <v>902</v>
      </c>
      <c r="AF42811" t="s">
        <v>1520</v>
      </c>
      <c r="AG42811" t="s">
        <v>1521</v>
      </c>
      <c r="AI42811" t="s">
        <v>904</v>
      </c>
      <c r="AJ42811" t="s">
        <v>1520</v>
      </c>
      <c r="AK42811" t="s">
        <v>361</v>
      </c>
      <c r="AL42811" t="s">
        <v>5397</v>
      </c>
      <c r="AM42811" t="s">
        <v>5398</v>
      </c>
      <c r="AN42811" t="s">
        <v>5399</v>
      </c>
      <c r="AO42811" t="s">
        <v>897</v>
      </c>
      <c r="AQ42811">
        <f>IF(ISBLANK(AP42811), IFERROR(IF(VLOOKUP(AO42811, Ellens_additions!$A$2:$B$252, 2, FALSE) = "", "", VLOOKUP(AO42811, Ellens_additions!$A$2:$B$252, 2, FALSE)), 0), AP42811)</f>
        <v>0</v>
      </c>
    </row>
    <row r="42812" spans="1:43" ht="14.4" hidden="1" x14ac:dyDescent="0.3">
      <c r="A42812" t="s">
        <v>5400</v>
      </c>
      <c r="B42812">
        <v>4940211</v>
      </c>
      <c r="C42812" t="s">
        <v>538</v>
      </c>
      <c r="D42812" t="s">
        <v>539</v>
      </c>
      <c r="E42812" t="s">
        <v>571</v>
      </c>
      <c r="F42812" t="s">
        <v>896</v>
      </c>
      <c r="H42812" t="s">
        <v>280</v>
      </c>
      <c r="J42812" t="s">
        <v>140</v>
      </c>
      <c r="K42812">
        <v>164643.96679999999</v>
      </c>
      <c r="L42812">
        <v>384623.42619999999</v>
      </c>
      <c r="N42812" t="s">
        <v>897</v>
      </c>
      <c r="O42812" t="s">
        <v>1520</v>
      </c>
      <c r="P42812" t="s">
        <v>3398</v>
      </c>
      <c r="Q42812" t="s">
        <v>144</v>
      </c>
      <c r="S42812">
        <v>12</v>
      </c>
      <c r="T42812">
        <v>3724</v>
      </c>
      <c r="U42812">
        <v>70</v>
      </c>
      <c r="V42812" t="s">
        <v>146</v>
      </c>
      <c r="W42812" t="s">
        <v>899</v>
      </c>
      <c r="Y42812" t="s">
        <v>900</v>
      </c>
      <c r="Z42812" t="s">
        <v>1520</v>
      </c>
      <c r="AA42812" t="s">
        <v>361</v>
      </c>
      <c r="AB42812">
        <v>0</v>
      </c>
      <c r="AE42812" t="s">
        <v>902</v>
      </c>
      <c r="AF42812" t="s">
        <v>1520</v>
      </c>
      <c r="AG42812" t="s">
        <v>1521</v>
      </c>
      <c r="AI42812" t="s">
        <v>904</v>
      </c>
      <c r="AJ42812" t="s">
        <v>1520</v>
      </c>
      <c r="AK42812" t="s">
        <v>361</v>
      </c>
      <c r="AL42812" t="s">
        <v>5401</v>
      </c>
      <c r="AM42812" t="s">
        <v>5402</v>
      </c>
      <c r="AN42812" t="s">
        <v>5403</v>
      </c>
      <c r="AO42812" t="s">
        <v>897</v>
      </c>
      <c r="AQ42812">
        <f>IF(ISBLANK(AP42812), IFERROR(IF(VLOOKUP(AO42812, Ellens_additions!$A$2:$B$252, 2, FALSE) = "", "", VLOOKUP(AO42812, Ellens_additions!$A$2:$B$252, 2, FALSE)), 0), AP42812)</f>
        <v>0</v>
      </c>
    </row>
    <row r="42813" spans="1:43" ht="14.4" hidden="1" x14ac:dyDescent="0.3">
      <c r="A42813" t="s">
        <v>5404</v>
      </c>
      <c r="B42813">
        <v>4940214</v>
      </c>
      <c r="C42813" t="s">
        <v>538</v>
      </c>
      <c r="D42813" t="s">
        <v>539</v>
      </c>
      <c r="E42813" t="s">
        <v>571</v>
      </c>
      <c r="F42813" t="s">
        <v>896</v>
      </c>
      <c r="H42813" t="s">
        <v>457</v>
      </c>
      <c r="J42813" t="s">
        <v>140</v>
      </c>
      <c r="K42813">
        <v>164708.2421</v>
      </c>
      <c r="L42813">
        <v>384611.21909999999</v>
      </c>
      <c r="N42813" t="s">
        <v>897</v>
      </c>
      <c r="O42813" t="s">
        <v>961</v>
      </c>
      <c r="P42813" t="s">
        <v>962</v>
      </c>
      <c r="Q42813" t="s">
        <v>144</v>
      </c>
      <c r="S42813">
        <v>12</v>
      </c>
      <c r="T42813">
        <v>3724</v>
      </c>
      <c r="U42813">
        <v>70</v>
      </c>
      <c r="V42813" t="s">
        <v>146</v>
      </c>
      <c r="W42813" t="s">
        <v>899</v>
      </c>
      <c r="Y42813" t="s">
        <v>900</v>
      </c>
      <c r="Z42813" t="s">
        <v>961</v>
      </c>
      <c r="AA42813" t="s">
        <v>963</v>
      </c>
      <c r="AB42813">
        <v>0</v>
      </c>
      <c r="AE42813" t="s">
        <v>902</v>
      </c>
      <c r="AF42813" t="s">
        <v>961</v>
      </c>
      <c r="AG42813" t="s">
        <v>964</v>
      </c>
      <c r="AI42813" t="s">
        <v>904</v>
      </c>
      <c r="AJ42813" t="s">
        <v>961</v>
      </c>
      <c r="AK42813" t="s">
        <v>963</v>
      </c>
      <c r="AL42813" t="s">
        <v>5405</v>
      </c>
      <c r="AM42813" t="s">
        <v>5406</v>
      </c>
      <c r="AN42813" t="s">
        <v>5407</v>
      </c>
      <c r="AO42813" t="s">
        <v>897</v>
      </c>
      <c r="AQ42813">
        <f>IF(ISBLANK(AP42813), IFERROR(IF(VLOOKUP(AO42813, Ellens_additions!$A$2:$B$252, 2, FALSE) = "", "", VLOOKUP(AO42813, Ellens_additions!$A$2:$B$252, 2, FALSE)), 0), AP42813)</f>
        <v>0</v>
      </c>
    </row>
    <row r="42814" spans="1:43" ht="14.4" hidden="1" x14ac:dyDescent="0.3">
      <c r="A42814" t="s">
        <v>5408</v>
      </c>
      <c r="B42814">
        <v>4940216</v>
      </c>
      <c r="C42814" t="s">
        <v>538</v>
      </c>
      <c r="D42814" t="s">
        <v>539</v>
      </c>
      <c r="E42814" t="s">
        <v>571</v>
      </c>
      <c r="F42814" t="s">
        <v>896</v>
      </c>
      <c r="H42814" t="s">
        <v>212</v>
      </c>
      <c r="J42814" t="s">
        <v>140</v>
      </c>
      <c r="K42814">
        <v>164770.3872</v>
      </c>
      <c r="L42814">
        <v>384604.34879999998</v>
      </c>
      <c r="N42814" t="s">
        <v>897</v>
      </c>
      <c r="O42814" t="s">
        <v>796</v>
      </c>
      <c r="P42814" t="s">
        <v>659</v>
      </c>
      <c r="Q42814" t="s">
        <v>144</v>
      </c>
      <c r="S42814">
        <v>12</v>
      </c>
      <c r="T42814">
        <v>3724</v>
      </c>
      <c r="U42814">
        <v>70</v>
      </c>
      <c r="V42814" t="s">
        <v>146</v>
      </c>
      <c r="W42814" t="s">
        <v>899</v>
      </c>
      <c r="Y42814" t="s">
        <v>900</v>
      </c>
      <c r="Z42814" t="s">
        <v>796</v>
      </c>
      <c r="AA42814" t="s">
        <v>655</v>
      </c>
      <c r="AB42814">
        <v>0</v>
      </c>
      <c r="AE42814" t="s">
        <v>902</v>
      </c>
      <c r="AF42814" t="s">
        <v>796</v>
      </c>
      <c r="AG42814" t="s">
        <v>938</v>
      </c>
      <c r="AI42814" t="s">
        <v>904</v>
      </c>
      <c r="AJ42814" t="s">
        <v>796</v>
      </c>
      <c r="AK42814" t="s">
        <v>655</v>
      </c>
      <c r="AL42814" t="s">
        <v>5409</v>
      </c>
      <c r="AM42814" t="s">
        <v>5410</v>
      </c>
      <c r="AN42814" t="s">
        <v>5411</v>
      </c>
      <c r="AO42814" t="s">
        <v>897</v>
      </c>
      <c r="AQ42814">
        <f>IF(ISBLANK(AP42814), IFERROR(IF(VLOOKUP(AO42814, Ellens_additions!$A$2:$B$252, 2, FALSE) = "", "", VLOOKUP(AO42814, Ellens_additions!$A$2:$B$252, 2, FALSE)), 0), AP42814)</f>
        <v>0</v>
      </c>
    </row>
    <row r="42815" spans="1:43" ht="14.4" hidden="1" x14ac:dyDescent="0.3">
      <c r="A42815" t="s">
        <v>5412</v>
      </c>
      <c r="B42815">
        <v>4940217</v>
      </c>
      <c r="C42815" t="s">
        <v>538</v>
      </c>
      <c r="D42815" t="s">
        <v>539</v>
      </c>
      <c r="E42815" t="s">
        <v>571</v>
      </c>
      <c r="F42815" t="s">
        <v>896</v>
      </c>
      <c r="H42815" t="s">
        <v>380</v>
      </c>
      <c r="J42815" t="s">
        <v>140</v>
      </c>
      <c r="K42815">
        <v>164800.53090000001</v>
      </c>
      <c r="L42815">
        <v>384599.08480000001</v>
      </c>
      <c r="N42815" t="s">
        <v>897</v>
      </c>
      <c r="O42815" t="s">
        <v>961</v>
      </c>
      <c r="P42815" t="s">
        <v>962</v>
      </c>
      <c r="Q42815" t="s">
        <v>144</v>
      </c>
      <c r="S42815">
        <v>12</v>
      </c>
      <c r="T42815">
        <v>3724</v>
      </c>
      <c r="U42815">
        <v>70</v>
      </c>
      <c r="V42815" t="s">
        <v>146</v>
      </c>
      <c r="W42815" t="s">
        <v>899</v>
      </c>
      <c r="Y42815" t="s">
        <v>900</v>
      </c>
      <c r="Z42815" t="s">
        <v>961</v>
      </c>
      <c r="AA42815" t="s">
        <v>963</v>
      </c>
      <c r="AB42815">
        <v>0</v>
      </c>
      <c r="AE42815" t="s">
        <v>902</v>
      </c>
      <c r="AF42815" t="s">
        <v>961</v>
      </c>
      <c r="AG42815" t="s">
        <v>964</v>
      </c>
      <c r="AI42815" t="s">
        <v>904</v>
      </c>
      <c r="AJ42815" t="s">
        <v>961</v>
      </c>
      <c r="AK42815" t="s">
        <v>963</v>
      </c>
      <c r="AL42815" t="s">
        <v>5413</v>
      </c>
      <c r="AM42815" t="s">
        <v>5414</v>
      </c>
      <c r="AN42815" t="s">
        <v>5415</v>
      </c>
      <c r="AO42815" t="s">
        <v>897</v>
      </c>
      <c r="AQ42815">
        <f>IF(ISBLANK(AP42815), IFERROR(IF(VLOOKUP(AO42815, Ellens_additions!$A$2:$B$252, 2, FALSE) = "", "", VLOOKUP(AO42815, Ellens_additions!$A$2:$B$252, 2, FALSE)), 0), AP42815)</f>
        <v>0</v>
      </c>
    </row>
    <row r="42816" spans="1:43" ht="14.4" hidden="1" x14ac:dyDescent="0.3">
      <c r="A42816" t="s">
        <v>5416</v>
      </c>
      <c r="B42816">
        <v>4940218</v>
      </c>
      <c r="C42816" t="s">
        <v>538</v>
      </c>
      <c r="D42816" t="s">
        <v>539</v>
      </c>
      <c r="E42816" t="s">
        <v>571</v>
      </c>
      <c r="F42816" t="s">
        <v>896</v>
      </c>
      <c r="H42816" t="s">
        <v>408</v>
      </c>
      <c r="J42816" t="s">
        <v>140</v>
      </c>
      <c r="K42816">
        <v>164833.3137</v>
      </c>
      <c r="L42816">
        <v>384592.23080000002</v>
      </c>
      <c r="N42816" t="s">
        <v>897</v>
      </c>
      <c r="O42816" t="s">
        <v>947</v>
      </c>
      <c r="P42816" t="s">
        <v>948</v>
      </c>
      <c r="Q42816" t="s">
        <v>144</v>
      </c>
      <c r="S42816">
        <v>12</v>
      </c>
      <c r="T42816">
        <v>3724</v>
      </c>
      <c r="U42816">
        <v>70</v>
      </c>
      <c r="V42816" t="s">
        <v>146</v>
      </c>
      <c r="W42816" t="s">
        <v>899</v>
      </c>
      <c r="Y42816" t="s">
        <v>900</v>
      </c>
      <c r="Z42816" t="s">
        <v>947</v>
      </c>
      <c r="AA42816" t="s">
        <v>949</v>
      </c>
      <c r="AB42816">
        <v>0</v>
      </c>
      <c r="AE42816" t="s">
        <v>902</v>
      </c>
      <c r="AF42816" t="s">
        <v>947</v>
      </c>
      <c r="AG42816" t="s">
        <v>950</v>
      </c>
      <c r="AI42816" t="s">
        <v>904</v>
      </c>
      <c r="AJ42816" t="s">
        <v>947</v>
      </c>
      <c r="AK42816" t="s">
        <v>949</v>
      </c>
      <c r="AL42816" t="s">
        <v>5417</v>
      </c>
      <c r="AM42816" t="s">
        <v>5418</v>
      </c>
      <c r="AN42816" t="s">
        <v>5419</v>
      </c>
      <c r="AO42816" t="s">
        <v>897</v>
      </c>
      <c r="AQ42816">
        <f>IF(ISBLANK(AP42816), IFERROR(IF(VLOOKUP(AO42816, Ellens_additions!$A$2:$B$252, 2, FALSE) = "", "", VLOOKUP(AO42816, Ellens_additions!$A$2:$B$252, 2, FALSE)), 0), AP42816)</f>
        <v>0</v>
      </c>
    </row>
    <row r="42817" spans="1:43" ht="14.4" x14ac:dyDescent="0.3"/>
    <row r="42818" spans="1:43" ht="14.4" hidden="1" x14ac:dyDescent="0.3">
      <c r="A42818" t="s">
        <v>5420</v>
      </c>
      <c r="B42818">
        <v>4940225</v>
      </c>
      <c r="C42818" t="s">
        <v>538</v>
      </c>
      <c r="D42818" t="s">
        <v>564</v>
      </c>
      <c r="E42818" t="s">
        <v>660</v>
      </c>
      <c r="F42818" t="s">
        <v>971</v>
      </c>
      <c r="H42818" t="s">
        <v>244</v>
      </c>
      <c r="J42818" t="s">
        <v>140</v>
      </c>
      <c r="K42818">
        <v>162528.9</v>
      </c>
      <c r="L42818">
        <v>383243.45</v>
      </c>
      <c r="N42818" t="s">
        <v>972</v>
      </c>
      <c r="O42818" t="s">
        <v>873</v>
      </c>
      <c r="P42818" t="s">
        <v>1136</v>
      </c>
      <c r="S42818">
        <v>55</v>
      </c>
      <c r="T42818">
        <v>8000</v>
      </c>
      <c r="U42818">
        <v>70</v>
      </c>
      <c r="V42818" t="s">
        <v>146</v>
      </c>
      <c r="W42818" t="s">
        <v>654</v>
      </c>
      <c r="Y42818" t="s">
        <v>148</v>
      </c>
      <c r="Z42818" t="s">
        <v>873</v>
      </c>
      <c r="AA42818" t="s">
        <v>874</v>
      </c>
      <c r="AB42818">
        <v>0</v>
      </c>
      <c r="AE42818" t="s">
        <v>315</v>
      </c>
      <c r="AF42818" t="s">
        <v>751</v>
      </c>
      <c r="AG42818" t="s">
        <v>5421</v>
      </c>
      <c r="AI42818" t="s">
        <v>191</v>
      </c>
      <c r="AJ42818" t="s">
        <v>4916</v>
      </c>
      <c r="AK42818" t="s">
        <v>4693</v>
      </c>
      <c r="AL42818" t="s">
        <v>5422</v>
      </c>
      <c r="AM42818" t="s">
        <v>5423</v>
      </c>
      <c r="AN42818" t="s">
        <v>5424</v>
      </c>
      <c r="AO42818" t="s">
        <v>972</v>
      </c>
      <c r="AP42818" t="s">
        <v>158</v>
      </c>
      <c r="AQ42818" t="str">
        <f>IF(ISBLANK(AP42818), IFERROR(IF(VLOOKUP(AO42818, Ellens_additions!$A$2:$B$252, 2, FALSE) = "", "", VLOOKUP(AO42818, Ellens_additions!$A$2:$B$252, 2, FALSE)), 0), AP42818)</f>
        <v>3000</v>
      </c>
    </row>
    <row r="42819" spans="1:43" ht="14.4" x14ac:dyDescent="0.3"/>
    <row r="42820" spans="1:43" ht="14.4" x14ac:dyDescent="0.3"/>
    <row r="42821" spans="1:43" ht="14.4" x14ac:dyDescent="0.3"/>
    <row r="42822" spans="1:43" ht="14.4" x14ac:dyDescent="0.3"/>
    <row r="42823" spans="1:43" ht="14.4" x14ac:dyDescent="0.3"/>
    <row r="42824" spans="1:43" ht="14.4" x14ac:dyDescent="0.3"/>
    <row r="42825" spans="1:43" ht="14.4" x14ac:dyDescent="0.3"/>
    <row r="42826" spans="1:43" ht="14.4" x14ac:dyDescent="0.3"/>
    <row r="42827" spans="1:43" ht="14.4" x14ac:dyDescent="0.3"/>
    <row r="42828" spans="1:43" ht="14.4" x14ac:dyDescent="0.3"/>
    <row r="42829" spans="1:43" ht="14.4" x14ac:dyDescent="0.3"/>
    <row r="42830" spans="1:43" ht="14.4" x14ac:dyDescent="0.3"/>
    <row r="42831" spans="1:43" ht="14.4" x14ac:dyDescent="0.3"/>
    <row r="42832" spans="1:43" ht="14.4" x14ac:dyDescent="0.3"/>
    <row r="42833" ht="14.4" x14ac:dyDescent="0.3"/>
    <row r="42834" ht="14.4" x14ac:dyDescent="0.3"/>
    <row r="42835" ht="14.4" x14ac:dyDescent="0.3"/>
    <row r="42836" ht="14.4" x14ac:dyDescent="0.3"/>
    <row r="42837" ht="14.4" x14ac:dyDescent="0.3"/>
    <row r="42838" ht="14.4" x14ac:dyDescent="0.3"/>
    <row r="42839" ht="14.4" x14ac:dyDescent="0.3"/>
    <row r="42840" ht="14.4" x14ac:dyDescent="0.3"/>
    <row r="42841" ht="14.4" x14ac:dyDescent="0.3"/>
    <row r="42842" ht="14.4" x14ac:dyDescent="0.3"/>
    <row r="42843" ht="14.4" x14ac:dyDescent="0.3"/>
    <row r="42844" ht="14.4" x14ac:dyDescent="0.3"/>
    <row r="42845" ht="14.4" x14ac:dyDescent="0.3"/>
    <row r="42846" ht="14.4" x14ac:dyDescent="0.3"/>
    <row r="42847" ht="14.4" x14ac:dyDescent="0.3"/>
    <row r="42848" ht="14.4" x14ac:dyDescent="0.3"/>
    <row r="42849" ht="14.4" x14ac:dyDescent="0.3"/>
    <row r="42850" ht="14.4" x14ac:dyDescent="0.3"/>
    <row r="42851" ht="14.4" x14ac:dyDescent="0.3"/>
    <row r="42852" ht="14.4" x14ac:dyDescent="0.3"/>
    <row r="42853" ht="14.4" x14ac:dyDescent="0.3"/>
    <row r="42854" ht="14.4" x14ac:dyDescent="0.3"/>
    <row r="42855" ht="14.4" x14ac:dyDescent="0.3"/>
    <row r="42856" ht="14.4" x14ac:dyDescent="0.3"/>
    <row r="42857" ht="14.4" x14ac:dyDescent="0.3"/>
    <row r="42858" ht="14.4" x14ac:dyDescent="0.3"/>
    <row r="42859" ht="14.4" x14ac:dyDescent="0.3"/>
    <row r="42860" ht="14.4" x14ac:dyDescent="0.3"/>
    <row r="42861" ht="14.4" x14ac:dyDescent="0.3"/>
    <row r="42862" ht="14.4" x14ac:dyDescent="0.3"/>
    <row r="42863" ht="14.4" x14ac:dyDescent="0.3"/>
    <row r="42864" ht="14.4" x14ac:dyDescent="0.3"/>
    <row r="42865" ht="14.4" x14ac:dyDescent="0.3"/>
    <row r="42866" ht="14.4" x14ac:dyDescent="0.3"/>
    <row r="42867" ht="14.4" x14ac:dyDescent="0.3"/>
    <row r="42868" ht="14.4" x14ac:dyDescent="0.3"/>
    <row r="42869" ht="14.4" x14ac:dyDescent="0.3"/>
    <row r="42870" ht="14.4" x14ac:dyDescent="0.3"/>
    <row r="42871" ht="14.4" x14ac:dyDescent="0.3"/>
    <row r="42872" ht="14.4" x14ac:dyDescent="0.3"/>
    <row r="42873" ht="14.4" x14ac:dyDescent="0.3"/>
    <row r="42874" ht="14.4" x14ac:dyDescent="0.3"/>
    <row r="42875" ht="14.4" x14ac:dyDescent="0.3"/>
    <row r="42876" ht="14.4" x14ac:dyDescent="0.3"/>
    <row r="42877" ht="14.4" x14ac:dyDescent="0.3"/>
    <row r="42878" ht="14.4" x14ac:dyDescent="0.3"/>
    <row r="42879" ht="14.4" x14ac:dyDescent="0.3"/>
    <row r="42880" ht="14.4" x14ac:dyDescent="0.3"/>
    <row r="42881" ht="14.4" x14ac:dyDescent="0.3"/>
    <row r="42882" ht="14.4" x14ac:dyDescent="0.3"/>
    <row r="42883" ht="14.4" x14ac:dyDescent="0.3"/>
    <row r="42884" ht="14.4" x14ac:dyDescent="0.3"/>
    <row r="42885" ht="14.4" x14ac:dyDescent="0.3"/>
    <row r="42886" ht="14.4" x14ac:dyDescent="0.3"/>
    <row r="42887" ht="14.4" x14ac:dyDescent="0.3"/>
    <row r="42888" ht="14.4" x14ac:dyDescent="0.3"/>
    <row r="42889" ht="14.4" x14ac:dyDescent="0.3"/>
    <row r="42890" ht="14.4" x14ac:dyDescent="0.3"/>
    <row r="42891" ht="14.4" x14ac:dyDescent="0.3"/>
    <row r="42892" ht="14.4" x14ac:dyDescent="0.3"/>
    <row r="42893" ht="14.4" x14ac:dyDescent="0.3"/>
    <row r="42894" ht="14.4" x14ac:dyDescent="0.3"/>
    <row r="42895" ht="14.4" x14ac:dyDescent="0.3"/>
    <row r="42896" ht="14.4" x14ac:dyDescent="0.3"/>
    <row r="42897" ht="14.4" x14ac:dyDescent="0.3"/>
    <row r="42898" ht="14.4" x14ac:dyDescent="0.3"/>
    <row r="42899" ht="14.4" x14ac:dyDescent="0.3"/>
    <row r="42900" ht="14.4" x14ac:dyDescent="0.3"/>
    <row r="42901" ht="14.4" x14ac:dyDescent="0.3"/>
    <row r="42902" ht="14.4" x14ac:dyDescent="0.3"/>
    <row r="42903" ht="14.4" x14ac:dyDescent="0.3"/>
    <row r="42904" ht="14.4" x14ac:dyDescent="0.3"/>
    <row r="42905" ht="14.4" x14ac:dyDescent="0.3"/>
    <row r="42906" ht="14.4" x14ac:dyDescent="0.3"/>
    <row r="42907" ht="14.4" x14ac:dyDescent="0.3"/>
    <row r="42908" ht="14.4" x14ac:dyDescent="0.3"/>
    <row r="42909" ht="14.4" x14ac:dyDescent="0.3"/>
    <row r="42910" ht="14.4" x14ac:dyDescent="0.3"/>
    <row r="42911" ht="14.4" x14ac:dyDescent="0.3"/>
    <row r="42912" ht="14.4" x14ac:dyDescent="0.3"/>
    <row r="42913" ht="14.4" x14ac:dyDescent="0.3"/>
    <row r="42914" ht="14.4" x14ac:dyDescent="0.3"/>
    <row r="42915" ht="14.4" x14ac:dyDescent="0.3"/>
    <row r="42916" ht="14.4" x14ac:dyDescent="0.3"/>
    <row r="42917" ht="14.4" x14ac:dyDescent="0.3"/>
    <row r="42918" ht="14.4" x14ac:dyDescent="0.3"/>
    <row r="42919" ht="14.4" x14ac:dyDescent="0.3"/>
    <row r="42920" ht="14.4" x14ac:dyDescent="0.3"/>
    <row r="42921" ht="14.4" x14ac:dyDescent="0.3"/>
    <row r="42922" ht="14.4" x14ac:dyDescent="0.3"/>
    <row r="42923" ht="14.4" x14ac:dyDescent="0.3"/>
    <row r="42924" ht="14.4" x14ac:dyDescent="0.3"/>
    <row r="42925" ht="14.4" x14ac:dyDescent="0.3"/>
    <row r="42926" ht="14.4" x14ac:dyDescent="0.3"/>
    <row r="42927" ht="14.4" x14ac:dyDescent="0.3"/>
    <row r="42928" ht="14.4" x14ac:dyDescent="0.3"/>
    <row r="42929" ht="14.4" x14ac:dyDescent="0.3"/>
    <row r="42930" ht="14.4" x14ac:dyDescent="0.3"/>
    <row r="42931" ht="14.4" x14ac:dyDescent="0.3"/>
    <row r="42932" ht="14.4" x14ac:dyDescent="0.3"/>
    <row r="42933" ht="14.4" x14ac:dyDescent="0.3"/>
    <row r="42934" ht="14.4" x14ac:dyDescent="0.3"/>
    <row r="42935" ht="14.4" x14ac:dyDescent="0.3"/>
    <row r="42936" ht="14.4" x14ac:dyDescent="0.3"/>
    <row r="42937" ht="14.4" x14ac:dyDescent="0.3"/>
    <row r="42938" ht="14.4" x14ac:dyDescent="0.3"/>
    <row r="42939" ht="14.4" x14ac:dyDescent="0.3"/>
    <row r="42940" ht="14.4" x14ac:dyDescent="0.3"/>
    <row r="42941" ht="14.4" x14ac:dyDescent="0.3"/>
    <row r="42942" ht="14.4" x14ac:dyDescent="0.3"/>
    <row r="42943" ht="14.4" x14ac:dyDescent="0.3"/>
    <row r="42944" ht="14.4" x14ac:dyDescent="0.3"/>
    <row r="42945" ht="14.4" x14ac:dyDescent="0.3"/>
    <row r="42946" ht="14.4" x14ac:dyDescent="0.3"/>
    <row r="42947" ht="14.4" x14ac:dyDescent="0.3"/>
    <row r="42948" ht="14.4" x14ac:dyDescent="0.3"/>
    <row r="42949" ht="14.4" x14ac:dyDescent="0.3"/>
    <row r="42950" ht="14.4" x14ac:dyDescent="0.3"/>
    <row r="42951" ht="14.4" x14ac:dyDescent="0.3"/>
    <row r="42952" ht="14.4" x14ac:dyDescent="0.3"/>
    <row r="42953" ht="14.4" x14ac:dyDescent="0.3"/>
    <row r="42954" ht="14.4" x14ac:dyDescent="0.3"/>
    <row r="42955" ht="14.4" x14ac:dyDescent="0.3"/>
    <row r="42956" ht="14.4" x14ac:dyDescent="0.3"/>
    <row r="42957" ht="14.4" x14ac:dyDescent="0.3"/>
    <row r="42958" ht="14.4" x14ac:dyDescent="0.3"/>
    <row r="42959" ht="14.4" x14ac:dyDescent="0.3"/>
    <row r="42960" ht="14.4" x14ac:dyDescent="0.3"/>
    <row r="42961" ht="14.4" x14ac:dyDescent="0.3"/>
    <row r="42962" ht="14.4" x14ac:dyDescent="0.3"/>
    <row r="42963" ht="14.4" x14ac:dyDescent="0.3"/>
    <row r="42964" ht="14.4" x14ac:dyDescent="0.3"/>
    <row r="42965" ht="14.4" x14ac:dyDescent="0.3"/>
    <row r="42966" ht="14.4" x14ac:dyDescent="0.3"/>
    <row r="42967" ht="14.4" x14ac:dyDescent="0.3"/>
    <row r="42968" ht="14.4" x14ac:dyDescent="0.3"/>
    <row r="42969" ht="14.4" x14ac:dyDescent="0.3"/>
    <row r="42970" ht="14.4" x14ac:dyDescent="0.3"/>
    <row r="42971" ht="14.4" x14ac:dyDescent="0.3"/>
    <row r="42972" ht="14.4" x14ac:dyDescent="0.3"/>
    <row r="42973" ht="14.4" x14ac:dyDescent="0.3"/>
    <row r="42974" ht="14.4" x14ac:dyDescent="0.3"/>
    <row r="42975" ht="14.4" x14ac:dyDescent="0.3"/>
    <row r="42976" ht="14.4" x14ac:dyDescent="0.3"/>
    <row r="42977" ht="14.4" x14ac:dyDescent="0.3"/>
    <row r="42978" ht="14.4" x14ac:dyDescent="0.3"/>
    <row r="42979" ht="14.4" x14ac:dyDescent="0.3"/>
    <row r="42980" ht="14.4" x14ac:dyDescent="0.3"/>
    <row r="42981" ht="14.4" x14ac:dyDescent="0.3"/>
    <row r="42982" ht="14.4" x14ac:dyDescent="0.3"/>
    <row r="42983" ht="14.4" x14ac:dyDescent="0.3"/>
    <row r="42984" ht="14.4" x14ac:dyDescent="0.3"/>
    <row r="42985" ht="14.4" x14ac:dyDescent="0.3"/>
    <row r="42986" ht="14.4" x14ac:dyDescent="0.3"/>
    <row r="42987" ht="14.4" x14ac:dyDescent="0.3"/>
    <row r="42988" ht="14.4" x14ac:dyDescent="0.3"/>
    <row r="42989" ht="14.4" x14ac:dyDescent="0.3"/>
    <row r="42990" ht="14.4" x14ac:dyDescent="0.3"/>
    <row r="42991" ht="14.4" x14ac:dyDescent="0.3"/>
    <row r="42992" ht="14.4" x14ac:dyDescent="0.3"/>
    <row r="42993" ht="14.4" x14ac:dyDescent="0.3"/>
    <row r="42994" ht="14.4" x14ac:dyDescent="0.3"/>
    <row r="42995" ht="14.4" x14ac:dyDescent="0.3"/>
    <row r="42996" ht="14.4" x14ac:dyDescent="0.3"/>
    <row r="42997" ht="14.4" x14ac:dyDescent="0.3"/>
    <row r="42998" ht="14.4" x14ac:dyDescent="0.3"/>
    <row r="42999" ht="14.4" x14ac:dyDescent="0.3"/>
    <row r="43000" ht="14.4" x14ac:dyDescent="0.3"/>
    <row r="43001" ht="14.4" x14ac:dyDescent="0.3"/>
    <row r="43002" ht="14.4" x14ac:dyDescent="0.3"/>
    <row r="43003" ht="14.4" x14ac:dyDescent="0.3"/>
    <row r="43004" ht="14.4" x14ac:dyDescent="0.3"/>
    <row r="43005" ht="14.4" x14ac:dyDescent="0.3"/>
    <row r="43006" ht="14.4" x14ac:dyDescent="0.3"/>
    <row r="43007" ht="14.4" x14ac:dyDescent="0.3"/>
    <row r="43008" ht="14.4" x14ac:dyDescent="0.3"/>
    <row r="43009" ht="14.4" x14ac:dyDescent="0.3"/>
    <row r="43010" ht="14.4" x14ac:dyDescent="0.3"/>
    <row r="43011" ht="14.4" x14ac:dyDescent="0.3"/>
    <row r="43012" ht="14.4" x14ac:dyDescent="0.3"/>
    <row r="43013" ht="14.4" x14ac:dyDescent="0.3"/>
    <row r="43014" ht="14.4" x14ac:dyDescent="0.3"/>
    <row r="43015" ht="14.4" x14ac:dyDescent="0.3"/>
    <row r="43016" ht="14.4" x14ac:dyDescent="0.3"/>
    <row r="43017" ht="14.4" x14ac:dyDescent="0.3"/>
    <row r="43018" ht="14.4" x14ac:dyDescent="0.3"/>
    <row r="43019" ht="14.4" x14ac:dyDescent="0.3"/>
    <row r="43020" ht="14.4" x14ac:dyDescent="0.3"/>
    <row r="43021" ht="14.4" x14ac:dyDescent="0.3"/>
    <row r="43022" ht="14.4" x14ac:dyDescent="0.3"/>
    <row r="43023" ht="14.4" x14ac:dyDescent="0.3"/>
    <row r="43024" ht="14.4" x14ac:dyDescent="0.3"/>
    <row r="43025" ht="14.4" x14ac:dyDescent="0.3"/>
    <row r="43026" ht="14.4" x14ac:dyDescent="0.3"/>
    <row r="43027" ht="14.4" x14ac:dyDescent="0.3"/>
    <row r="43028" ht="14.4" x14ac:dyDescent="0.3"/>
    <row r="43029" ht="14.4" x14ac:dyDescent="0.3"/>
    <row r="43030" ht="14.4" x14ac:dyDescent="0.3"/>
    <row r="43031" ht="14.4" x14ac:dyDescent="0.3"/>
    <row r="43032" ht="14.4" x14ac:dyDescent="0.3"/>
    <row r="43033" ht="14.4" x14ac:dyDescent="0.3"/>
    <row r="43034" ht="14.4" x14ac:dyDescent="0.3"/>
    <row r="43035" ht="14.4" x14ac:dyDescent="0.3"/>
    <row r="43036" ht="14.4" x14ac:dyDescent="0.3"/>
    <row r="43037" ht="14.4" x14ac:dyDescent="0.3"/>
    <row r="43038" ht="14.4" x14ac:dyDescent="0.3"/>
    <row r="43039" ht="14.4" x14ac:dyDescent="0.3"/>
    <row r="43040" ht="14.4" x14ac:dyDescent="0.3"/>
    <row r="43041" ht="14.4" x14ac:dyDescent="0.3"/>
    <row r="43042" ht="14.4" x14ac:dyDescent="0.3"/>
    <row r="43043" ht="14.4" x14ac:dyDescent="0.3"/>
    <row r="43044" ht="14.4" x14ac:dyDescent="0.3"/>
    <row r="43045" ht="14.4" x14ac:dyDescent="0.3"/>
    <row r="43046" ht="14.4" x14ac:dyDescent="0.3"/>
    <row r="43047" ht="14.4" x14ac:dyDescent="0.3"/>
    <row r="43048" ht="14.4" x14ac:dyDescent="0.3"/>
    <row r="43049" ht="14.4" x14ac:dyDescent="0.3"/>
    <row r="43050" ht="14.4" x14ac:dyDescent="0.3"/>
    <row r="43051" ht="14.4" x14ac:dyDescent="0.3"/>
    <row r="43052" ht="14.4" x14ac:dyDescent="0.3"/>
    <row r="43053" ht="14.4" x14ac:dyDescent="0.3"/>
    <row r="43054" ht="14.4" x14ac:dyDescent="0.3"/>
    <row r="43055" ht="14.4" x14ac:dyDescent="0.3"/>
    <row r="43056" ht="14.4" x14ac:dyDescent="0.3"/>
    <row r="43057" ht="14.4" x14ac:dyDescent="0.3"/>
    <row r="43058" ht="14.4" x14ac:dyDescent="0.3"/>
    <row r="43059" ht="14.4" x14ac:dyDescent="0.3"/>
    <row r="43060" ht="14.4" x14ac:dyDescent="0.3"/>
    <row r="43061" ht="14.4" x14ac:dyDescent="0.3"/>
    <row r="43062" ht="14.4" x14ac:dyDescent="0.3"/>
    <row r="43063" ht="14.4" x14ac:dyDescent="0.3"/>
    <row r="43064" ht="14.4" x14ac:dyDescent="0.3"/>
    <row r="43065" ht="14.4" x14ac:dyDescent="0.3"/>
    <row r="43066" ht="14.4" x14ac:dyDescent="0.3"/>
    <row r="43067" ht="14.4" x14ac:dyDescent="0.3"/>
    <row r="43068" ht="14.4" x14ac:dyDescent="0.3"/>
    <row r="43069" ht="14.4" x14ac:dyDescent="0.3"/>
    <row r="43070" ht="14.4" x14ac:dyDescent="0.3"/>
    <row r="43071" ht="14.4" x14ac:dyDescent="0.3"/>
    <row r="43072" ht="14.4" x14ac:dyDescent="0.3"/>
    <row r="43073" ht="14.4" x14ac:dyDescent="0.3"/>
    <row r="43074" ht="14.4" x14ac:dyDescent="0.3"/>
    <row r="43075" ht="14.4" x14ac:dyDescent="0.3"/>
    <row r="43076" ht="14.4" x14ac:dyDescent="0.3"/>
    <row r="43077" ht="14.4" x14ac:dyDescent="0.3"/>
    <row r="43078" ht="14.4" x14ac:dyDescent="0.3"/>
    <row r="43079" ht="14.4" x14ac:dyDescent="0.3"/>
    <row r="43080" ht="14.4" x14ac:dyDescent="0.3"/>
    <row r="43081" ht="14.4" x14ac:dyDescent="0.3"/>
    <row r="43082" ht="14.4" x14ac:dyDescent="0.3"/>
    <row r="43083" ht="14.4" x14ac:dyDescent="0.3"/>
    <row r="43084" ht="14.4" x14ac:dyDescent="0.3"/>
    <row r="43085" ht="14.4" x14ac:dyDescent="0.3"/>
    <row r="43086" ht="14.4" x14ac:dyDescent="0.3"/>
    <row r="43087" ht="14.4" x14ac:dyDescent="0.3"/>
    <row r="43088" ht="14.4" x14ac:dyDescent="0.3"/>
    <row r="43089" ht="14.4" x14ac:dyDescent="0.3"/>
    <row r="43090" ht="14.4" x14ac:dyDescent="0.3"/>
    <row r="43091" ht="14.4" x14ac:dyDescent="0.3"/>
    <row r="43092" ht="14.4" x14ac:dyDescent="0.3"/>
    <row r="43093" ht="14.4" x14ac:dyDescent="0.3"/>
    <row r="43094" ht="14.4" x14ac:dyDescent="0.3"/>
    <row r="43095" ht="14.4" x14ac:dyDescent="0.3"/>
    <row r="43096" ht="14.4" x14ac:dyDescent="0.3"/>
    <row r="43097" ht="14.4" x14ac:dyDescent="0.3"/>
    <row r="43098" ht="14.4" x14ac:dyDescent="0.3"/>
    <row r="43099" ht="14.4" x14ac:dyDescent="0.3"/>
    <row r="43100" ht="14.4" x14ac:dyDescent="0.3"/>
    <row r="43101" ht="14.4" x14ac:dyDescent="0.3"/>
    <row r="43102" ht="14.4" x14ac:dyDescent="0.3"/>
    <row r="43103" ht="14.4" x14ac:dyDescent="0.3"/>
    <row r="43104" ht="14.4" x14ac:dyDescent="0.3"/>
    <row r="43105" ht="14.4" x14ac:dyDescent="0.3"/>
    <row r="43106" ht="14.4" x14ac:dyDescent="0.3"/>
    <row r="43107" ht="14.4" x14ac:dyDescent="0.3"/>
    <row r="43108" ht="14.4" x14ac:dyDescent="0.3"/>
    <row r="43109" ht="14.4" x14ac:dyDescent="0.3"/>
    <row r="43110" ht="14.4" x14ac:dyDescent="0.3"/>
    <row r="43111" ht="14.4" x14ac:dyDescent="0.3"/>
    <row r="43112" ht="14.4" x14ac:dyDescent="0.3"/>
    <row r="43113" ht="14.4" x14ac:dyDescent="0.3"/>
    <row r="43114" ht="14.4" x14ac:dyDescent="0.3"/>
    <row r="43115" ht="14.4" x14ac:dyDescent="0.3"/>
    <row r="43116" ht="14.4" x14ac:dyDescent="0.3"/>
    <row r="43117" ht="14.4" x14ac:dyDescent="0.3"/>
    <row r="43118" ht="14.4" x14ac:dyDescent="0.3"/>
    <row r="43119" ht="14.4" x14ac:dyDescent="0.3"/>
    <row r="43120" ht="14.4" x14ac:dyDescent="0.3"/>
    <row r="43121" ht="14.4" x14ac:dyDescent="0.3"/>
    <row r="43122" ht="14.4" x14ac:dyDescent="0.3"/>
    <row r="43123" ht="14.4" x14ac:dyDescent="0.3"/>
    <row r="43124" ht="14.4" x14ac:dyDescent="0.3"/>
    <row r="43125" ht="14.4" x14ac:dyDescent="0.3"/>
    <row r="43126" ht="14.4" x14ac:dyDescent="0.3"/>
    <row r="43127" ht="14.4" x14ac:dyDescent="0.3"/>
    <row r="43128" ht="14.4" x14ac:dyDescent="0.3"/>
    <row r="43129" ht="14.4" x14ac:dyDescent="0.3"/>
    <row r="43130" ht="14.4" x14ac:dyDescent="0.3"/>
    <row r="43131" ht="14.4" x14ac:dyDescent="0.3"/>
    <row r="43132" ht="14.4" x14ac:dyDescent="0.3"/>
    <row r="43133" ht="14.4" x14ac:dyDescent="0.3"/>
    <row r="43134" ht="14.4" x14ac:dyDescent="0.3"/>
    <row r="43135" ht="14.4" x14ac:dyDescent="0.3"/>
    <row r="43136" ht="14.4" x14ac:dyDescent="0.3"/>
    <row r="43137" ht="14.4" x14ac:dyDescent="0.3"/>
    <row r="43138" ht="14.4" x14ac:dyDescent="0.3"/>
    <row r="43139" ht="14.4" x14ac:dyDescent="0.3"/>
    <row r="43140" ht="14.4" x14ac:dyDescent="0.3"/>
    <row r="43141" ht="14.4" x14ac:dyDescent="0.3"/>
    <row r="43142" ht="14.4" x14ac:dyDescent="0.3"/>
    <row r="43143" ht="14.4" x14ac:dyDescent="0.3"/>
    <row r="43144" ht="14.4" x14ac:dyDescent="0.3"/>
    <row r="43145" ht="14.4" x14ac:dyDescent="0.3"/>
    <row r="43146" ht="14.4" x14ac:dyDescent="0.3"/>
    <row r="43147" ht="14.4" x14ac:dyDescent="0.3"/>
    <row r="43148" ht="14.4" x14ac:dyDescent="0.3"/>
    <row r="43149" ht="14.4" x14ac:dyDescent="0.3"/>
    <row r="43150" ht="14.4" x14ac:dyDescent="0.3"/>
    <row r="43151" ht="14.4" x14ac:dyDescent="0.3"/>
    <row r="43152" ht="14.4" x14ac:dyDescent="0.3"/>
    <row r="43153" spans="1:43" ht="14.4" x14ac:dyDescent="0.3"/>
    <row r="43154" spans="1:43" ht="14.4" x14ac:dyDescent="0.3"/>
    <row r="43155" spans="1:43" ht="14.4" x14ac:dyDescent="0.3"/>
    <row r="43156" spans="1:43" ht="14.4" x14ac:dyDescent="0.3"/>
    <row r="43157" spans="1:43" ht="14.4" x14ac:dyDescent="0.3"/>
    <row r="43158" spans="1:43" ht="14.4" x14ac:dyDescent="0.3"/>
    <row r="43159" spans="1:43" ht="14.4" hidden="1" x14ac:dyDescent="0.3">
      <c r="A43159" t="s">
        <v>5430</v>
      </c>
      <c r="B43159">
        <v>4947726</v>
      </c>
      <c r="C43159" t="s">
        <v>445</v>
      </c>
      <c r="D43159" t="s">
        <v>451</v>
      </c>
      <c r="E43159" t="s">
        <v>452</v>
      </c>
      <c r="F43159" t="s">
        <v>635</v>
      </c>
      <c r="H43159" t="s">
        <v>407</v>
      </c>
      <c r="J43159" t="s">
        <v>140</v>
      </c>
      <c r="K43159">
        <v>162886.28</v>
      </c>
      <c r="L43159">
        <v>386206.15</v>
      </c>
      <c r="M43159">
        <v>1</v>
      </c>
      <c r="N43159" t="s">
        <v>636</v>
      </c>
      <c r="O43159" t="s">
        <v>179</v>
      </c>
      <c r="P43159" t="s">
        <v>637</v>
      </c>
      <c r="Q43159" t="s">
        <v>144</v>
      </c>
      <c r="S43159">
        <v>28</v>
      </c>
      <c r="T43159">
        <v>3400</v>
      </c>
      <c r="V43159" t="s">
        <v>146</v>
      </c>
      <c r="W43159" t="s">
        <v>147</v>
      </c>
      <c r="X43159" t="s">
        <v>7</v>
      </c>
      <c r="Y43159" t="s">
        <v>283</v>
      </c>
      <c r="Z43159" t="s">
        <v>179</v>
      </c>
      <c r="AA43159" t="s">
        <v>638</v>
      </c>
      <c r="AB43159">
        <v>0</v>
      </c>
      <c r="AE43159" t="s">
        <v>444</v>
      </c>
      <c r="AF43159" t="s">
        <v>179</v>
      </c>
      <c r="AG43159" t="s">
        <v>639</v>
      </c>
      <c r="AI43159" t="s">
        <v>626</v>
      </c>
      <c r="AJ43159" t="s">
        <v>179</v>
      </c>
      <c r="AK43159" t="s">
        <v>639</v>
      </c>
      <c r="AL43159" t="s">
        <v>5431</v>
      </c>
      <c r="AM43159" t="s">
        <v>5432</v>
      </c>
      <c r="AN43159" t="s">
        <v>5433</v>
      </c>
      <c r="AO43159" t="s">
        <v>636</v>
      </c>
      <c r="AP43159" t="s">
        <v>158</v>
      </c>
      <c r="AQ43159" t="str">
        <f>IF(ISBLANK(AP43159), IFERROR(IF(VLOOKUP(AO43159, Ellens_additions!$A$2:$B$252, 2, FALSE) = "", "", VLOOKUP(AO43159, Ellens_additions!$A$2:$B$252, 2, FALSE)), 0), AP43159)</f>
        <v>3000</v>
      </c>
    </row>
    <row r="43160" spans="1:43" ht="14.4" x14ac:dyDescent="0.3"/>
    <row r="43161" spans="1:43" ht="14.4" x14ac:dyDescent="0.3"/>
    <row r="43162" spans="1:43" ht="14.4" x14ac:dyDescent="0.3"/>
    <row r="43163" spans="1:43" ht="14.4" x14ac:dyDescent="0.3"/>
    <row r="43164" spans="1:43" ht="14.4" x14ac:dyDescent="0.3"/>
    <row r="43165" spans="1:43" ht="14.4" x14ac:dyDescent="0.3"/>
    <row r="43166" spans="1:43" ht="14.4" x14ac:dyDescent="0.3"/>
    <row r="43167" spans="1:43" ht="14.4" x14ac:dyDescent="0.3"/>
    <row r="43168" spans="1:43" ht="14.4" x14ac:dyDescent="0.3"/>
    <row r="43169" ht="14.4" x14ac:dyDescent="0.3"/>
    <row r="43170" ht="14.4" x14ac:dyDescent="0.3"/>
    <row r="43171" ht="14.4" x14ac:dyDescent="0.3"/>
    <row r="43172" ht="14.4" x14ac:dyDescent="0.3"/>
    <row r="43173" ht="14.4" x14ac:dyDescent="0.3"/>
    <row r="43174" ht="14.4" x14ac:dyDescent="0.3"/>
    <row r="43175" ht="14.4" x14ac:dyDescent="0.3"/>
    <row r="43176" ht="14.4" x14ac:dyDescent="0.3"/>
    <row r="43177" ht="14.4" x14ac:dyDescent="0.3"/>
    <row r="43178" ht="14.4" x14ac:dyDescent="0.3"/>
    <row r="43179" ht="14.4" x14ac:dyDescent="0.3"/>
    <row r="43180" ht="14.4" x14ac:dyDescent="0.3"/>
    <row r="43181" ht="14.4" x14ac:dyDescent="0.3"/>
    <row r="43182" ht="14.4" x14ac:dyDescent="0.3"/>
    <row r="43183" ht="14.4" x14ac:dyDescent="0.3"/>
    <row r="43184" ht="14.4" x14ac:dyDescent="0.3"/>
    <row r="43185" ht="14.4" x14ac:dyDescent="0.3"/>
    <row r="43186" ht="14.4" x14ac:dyDescent="0.3"/>
    <row r="43187" ht="14.4" x14ac:dyDescent="0.3"/>
    <row r="43188" ht="14.4" x14ac:dyDescent="0.3"/>
    <row r="43189" ht="14.4" x14ac:dyDescent="0.3"/>
    <row r="43190" ht="14.4" x14ac:dyDescent="0.3"/>
    <row r="43191" ht="14.4" x14ac:dyDescent="0.3"/>
    <row r="43192" ht="14.4" x14ac:dyDescent="0.3"/>
    <row r="43193" ht="14.4" x14ac:dyDescent="0.3"/>
    <row r="43194" ht="14.4" x14ac:dyDescent="0.3"/>
    <row r="43195" ht="14.4" x14ac:dyDescent="0.3"/>
    <row r="43196" ht="14.4" x14ac:dyDescent="0.3"/>
    <row r="43197" ht="14.4" x14ac:dyDescent="0.3"/>
    <row r="43198" ht="14.4" x14ac:dyDescent="0.3"/>
    <row r="43199" ht="14.4" x14ac:dyDescent="0.3"/>
    <row r="43200" ht="14.4" x14ac:dyDescent="0.3"/>
    <row r="43201" ht="14.4" x14ac:dyDescent="0.3"/>
    <row r="43202" ht="14.4" x14ac:dyDescent="0.3"/>
    <row r="43203" ht="14.4" x14ac:dyDescent="0.3"/>
    <row r="43204" ht="14.4" x14ac:dyDescent="0.3"/>
    <row r="43205" ht="14.4" x14ac:dyDescent="0.3"/>
    <row r="43206" ht="14.4" x14ac:dyDescent="0.3"/>
    <row r="43207" ht="14.4" x14ac:dyDescent="0.3"/>
    <row r="43208" ht="14.4" x14ac:dyDescent="0.3"/>
    <row r="43209" ht="14.4" x14ac:dyDescent="0.3"/>
    <row r="43210" ht="14.4" x14ac:dyDescent="0.3"/>
    <row r="43211" ht="14.4" x14ac:dyDescent="0.3"/>
    <row r="43212" ht="14.4" x14ac:dyDescent="0.3"/>
    <row r="43213" ht="14.4" x14ac:dyDescent="0.3"/>
    <row r="43214" ht="14.4" x14ac:dyDescent="0.3"/>
    <row r="43215" ht="14.4" x14ac:dyDescent="0.3"/>
    <row r="43216" ht="14.4" x14ac:dyDescent="0.3"/>
    <row r="43217" ht="14.4" x14ac:dyDescent="0.3"/>
    <row r="43218" ht="14.4" x14ac:dyDescent="0.3"/>
    <row r="43219" ht="14.4" x14ac:dyDescent="0.3"/>
    <row r="43220" ht="14.4" x14ac:dyDescent="0.3"/>
    <row r="43221" ht="14.4" x14ac:dyDescent="0.3"/>
    <row r="43222" ht="14.4" x14ac:dyDescent="0.3"/>
    <row r="43223" ht="14.4" x14ac:dyDescent="0.3"/>
    <row r="43224" ht="14.4" x14ac:dyDescent="0.3"/>
    <row r="43225" ht="14.4" x14ac:dyDescent="0.3"/>
    <row r="43226" ht="14.4" x14ac:dyDescent="0.3"/>
    <row r="43227" ht="14.4" x14ac:dyDescent="0.3"/>
    <row r="43228" ht="14.4" x14ac:dyDescent="0.3"/>
    <row r="43229" ht="14.4" x14ac:dyDescent="0.3"/>
    <row r="43230" ht="14.4" x14ac:dyDescent="0.3"/>
    <row r="43231" ht="14.4" x14ac:dyDescent="0.3"/>
    <row r="43232" ht="14.4" x14ac:dyDescent="0.3"/>
    <row r="43233" ht="14.4" x14ac:dyDescent="0.3"/>
    <row r="43234" ht="14.4" x14ac:dyDescent="0.3"/>
    <row r="43235" ht="14.4" x14ac:dyDescent="0.3"/>
    <row r="43236" ht="14.4" x14ac:dyDescent="0.3"/>
    <row r="43237" ht="14.4" x14ac:dyDescent="0.3"/>
    <row r="43238" ht="14.4" x14ac:dyDescent="0.3"/>
    <row r="43239" ht="14.4" x14ac:dyDescent="0.3"/>
    <row r="43240" ht="14.4" x14ac:dyDescent="0.3"/>
    <row r="43241" ht="14.4" x14ac:dyDescent="0.3"/>
    <row r="43242" ht="14.4" x14ac:dyDescent="0.3"/>
    <row r="43243" ht="14.4" x14ac:dyDescent="0.3"/>
    <row r="43244" ht="14.4" x14ac:dyDescent="0.3"/>
    <row r="43245" ht="14.4" x14ac:dyDescent="0.3"/>
    <row r="43246" ht="14.4" x14ac:dyDescent="0.3"/>
    <row r="43247" ht="14.4" x14ac:dyDescent="0.3"/>
    <row r="43248" ht="14.4" x14ac:dyDescent="0.3"/>
    <row r="43249" ht="14.4" x14ac:dyDescent="0.3"/>
    <row r="43250" ht="14.4" x14ac:dyDescent="0.3"/>
    <row r="43251" ht="14.4" x14ac:dyDescent="0.3"/>
    <row r="43252" ht="14.4" x14ac:dyDescent="0.3"/>
    <row r="43253" ht="14.4" x14ac:dyDescent="0.3"/>
    <row r="43254" ht="14.4" x14ac:dyDescent="0.3"/>
    <row r="43255" ht="14.4" x14ac:dyDescent="0.3"/>
    <row r="43256" ht="14.4" x14ac:dyDescent="0.3"/>
    <row r="43257" ht="14.4" x14ac:dyDescent="0.3"/>
    <row r="43258" ht="14.4" x14ac:dyDescent="0.3"/>
    <row r="43259" ht="14.4" x14ac:dyDescent="0.3"/>
    <row r="43260" ht="14.4" x14ac:dyDescent="0.3"/>
    <row r="43261" ht="14.4" x14ac:dyDescent="0.3"/>
    <row r="43262" ht="14.4" x14ac:dyDescent="0.3"/>
    <row r="43263" ht="14.4" x14ac:dyDescent="0.3"/>
    <row r="43264" ht="14.4" x14ac:dyDescent="0.3"/>
    <row r="43265" ht="14.4" x14ac:dyDescent="0.3"/>
    <row r="43266" ht="14.4" x14ac:dyDescent="0.3"/>
    <row r="43267" ht="14.4" x14ac:dyDescent="0.3"/>
    <row r="43268" ht="14.4" x14ac:dyDescent="0.3"/>
    <row r="43269" ht="14.4" x14ac:dyDescent="0.3"/>
    <row r="43270" ht="14.4" x14ac:dyDescent="0.3"/>
    <row r="43271" ht="14.4" x14ac:dyDescent="0.3"/>
    <row r="43272" ht="14.4" x14ac:dyDescent="0.3"/>
    <row r="43273" ht="14.4" x14ac:dyDescent="0.3"/>
    <row r="43274" ht="14.4" x14ac:dyDescent="0.3"/>
    <row r="43275" ht="14.4" x14ac:dyDescent="0.3"/>
    <row r="43276" ht="14.4" x14ac:dyDescent="0.3"/>
    <row r="43277" ht="14.4" x14ac:dyDescent="0.3"/>
    <row r="43278" ht="14.4" x14ac:dyDescent="0.3"/>
    <row r="43279" ht="14.4" x14ac:dyDescent="0.3"/>
    <row r="43280" ht="14.4" x14ac:dyDescent="0.3"/>
    <row r="43281" ht="14.4" x14ac:dyDescent="0.3"/>
    <row r="43282" ht="14.4" x14ac:dyDescent="0.3"/>
    <row r="43283" ht="14.4" x14ac:dyDescent="0.3"/>
    <row r="43284" ht="14.4" x14ac:dyDescent="0.3"/>
    <row r="43285" ht="14.4" x14ac:dyDescent="0.3"/>
    <row r="43286" ht="14.4" x14ac:dyDescent="0.3"/>
    <row r="43287" ht="14.4" x14ac:dyDescent="0.3"/>
    <row r="43288" ht="14.4" x14ac:dyDescent="0.3"/>
    <row r="43289" ht="14.4" x14ac:dyDescent="0.3"/>
    <row r="43290" ht="14.4" x14ac:dyDescent="0.3"/>
    <row r="43291" ht="14.4" x14ac:dyDescent="0.3"/>
    <row r="43292" ht="14.4" x14ac:dyDescent="0.3"/>
    <row r="43293" ht="14.4" x14ac:dyDescent="0.3"/>
    <row r="43294" ht="14.4" x14ac:dyDescent="0.3"/>
    <row r="43295" ht="14.4" x14ac:dyDescent="0.3"/>
    <row r="43296" ht="14.4" x14ac:dyDescent="0.3"/>
    <row r="43297" ht="14.4" x14ac:dyDescent="0.3"/>
    <row r="43298" ht="14.4" x14ac:dyDescent="0.3"/>
    <row r="43299" ht="14.4" x14ac:dyDescent="0.3"/>
    <row r="43300" ht="14.4" x14ac:dyDescent="0.3"/>
    <row r="43301" ht="14.4" x14ac:dyDescent="0.3"/>
    <row r="43302" ht="14.4" x14ac:dyDescent="0.3"/>
    <row r="43303" ht="14.4" x14ac:dyDescent="0.3"/>
    <row r="43304" ht="14.4" x14ac:dyDescent="0.3"/>
    <row r="43305" ht="14.4" x14ac:dyDescent="0.3"/>
    <row r="43306" ht="14.4" x14ac:dyDescent="0.3"/>
    <row r="43307" ht="14.4" x14ac:dyDescent="0.3"/>
    <row r="43308" ht="14.4" x14ac:dyDescent="0.3"/>
    <row r="43309" ht="14.4" x14ac:dyDescent="0.3"/>
    <row r="43310" ht="14.4" x14ac:dyDescent="0.3"/>
    <row r="43311" ht="14.4" x14ac:dyDescent="0.3"/>
    <row r="43312" ht="14.4" x14ac:dyDescent="0.3"/>
    <row r="43313" ht="14.4" x14ac:dyDescent="0.3"/>
    <row r="43314" ht="14.4" x14ac:dyDescent="0.3"/>
    <row r="43315" ht="14.4" x14ac:dyDescent="0.3"/>
    <row r="43316" ht="14.4" x14ac:dyDescent="0.3"/>
    <row r="43317" ht="14.4" x14ac:dyDescent="0.3"/>
    <row r="43318" ht="14.4" x14ac:dyDescent="0.3"/>
    <row r="43319" ht="14.4" x14ac:dyDescent="0.3"/>
    <row r="43320" ht="14.4" x14ac:dyDescent="0.3"/>
    <row r="43321" ht="14.4" x14ac:dyDescent="0.3"/>
    <row r="43322" ht="14.4" x14ac:dyDescent="0.3"/>
    <row r="43323" ht="14.4" x14ac:dyDescent="0.3"/>
    <row r="43324" ht="14.4" x14ac:dyDescent="0.3"/>
    <row r="43325" ht="14.4" x14ac:dyDescent="0.3"/>
    <row r="43326" ht="14.4" x14ac:dyDescent="0.3"/>
    <row r="43327" ht="14.4" x14ac:dyDescent="0.3"/>
    <row r="43328" ht="14.4" x14ac:dyDescent="0.3"/>
    <row r="43329" ht="14.4" x14ac:dyDescent="0.3"/>
    <row r="43330" ht="14.4" x14ac:dyDescent="0.3"/>
    <row r="43331" ht="14.4" x14ac:dyDescent="0.3"/>
    <row r="43332" ht="14.4" x14ac:dyDescent="0.3"/>
    <row r="43333" ht="14.4" x14ac:dyDescent="0.3"/>
    <row r="43334" ht="14.4" x14ac:dyDescent="0.3"/>
    <row r="43335" ht="14.4" x14ac:dyDescent="0.3"/>
    <row r="43336" ht="14.4" x14ac:dyDescent="0.3"/>
    <row r="43337" ht="14.4" x14ac:dyDescent="0.3"/>
    <row r="43338" ht="14.4" x14ac:dyDescent="0.3"/>
    <row r="43339" ht="14.4" x14ac:dyDescent="0.3"/>
    <row r="43340" ht="14.4" x14ac:dyDescent="0.3"/>
    <row r="43341" ht="14.4" x14ac:dyDescent="0.3"/>
    <row r="43342" ht="14.4" x14ac:dyDescent="0.3"/>
    <row r="43343" ht="14.4" x14ac:dyDescent="0.3"/>
    <row r="43344" ht="14.4" x14ac:dyDescent="0.3"/>
    <row r="43345" ht="14.4" x14ac:dyDescent="0.3"/>
    <row r="43346" ht="14.4" x14ac:dyDescent="0.3"/>
    <row r="43347" ht="14.4" x14ac:dyDescent="0.3"/>
    <row r="43348" ht="14.4" x14ac:dyDescent="0.3"/>
    <row r="43349" ht="14.4" x14ac:dyDescent="0.3"/>
    <row r="43350" ht="14.4" x14ac:dyDescent="0.3"/>
    <row r="43351" ht="14.4" x14ac:dyDescent="0.3"/>
    <row r="43352" ht="14.4" x14ac:dyDescent="0.3"/>
    <row r="43353" ht="14.4" x14ac:dyDescent="0.3"/>
    <row r="43354" ht="14.4" x14ac:dyDescent="0.3"/>
    <row r="43355" ht="14.4" x14ac:dyDescent="0.3"/>
    <row r="43356" ht="14.4" x14ac:dyDescent="0.3"/>
    <row r="43357" ht="14.4" x14ac:dyDescent="0.3"/>
    <row r="43358" ht="14.4" x14ac:dyDescent="0.3"/>
    <row r="43359" ht="14.4" x14ac:dyDescent="0.3"/>
    <row r="43360" ht="14.4" x14ac:dyDescent="0.3"/>
    <row r="43361" ht="14.4" x14ac:dyDescent="0.3"/>
    <row r="43362" ht="14.4" x14ac:dyDescent="0.3"/>
    <row r="43363" ht="14.4" x14ac:dyDescent="0.3"/>
    <row r="43364" ht="14.4" x14ac:dyDescent="0.3"/>
    <row r="43365" ht="14.4" x14ac:dyDescent="0.3"/>
    <row r="43366" ht="14.4" x14ac:dyDescent="0.3"/>
    <row r="43367" ht="14.4" x14ac:dyDescent="0.3"/>
    <row r="43368" ht="14.4" x14ac:dyDescent="0.3"/>
    <row r="43369" ht="14.4" x14ac:dyDescent="0.3"/>
    <row r="43370" ht="14.4" x14ac:dyDescent="0.3"/>
    <row r="43371" ht="14.4" x14ac:dyDescent="0.3"/>
    <row r="43372" ht="14.4" x14ac:dyDescent="0.3"/>
    <row r="43373" ht="14.4" x14ac:dyDescent="0.3"/>
    <row r="43374" ht="14.4" x14ac:dyDescent="0.3"/>
    <row r="43375" ht="14.4" x14ac:dyDescent="0.3"/>
    <row r="43376" ht="14.4" x14ac:dyDescent="0.3"/>
    <row r="43377" spans="1:43" ht="14.4" x14ac:dyDescent="0.3"/>
    <row r="43378" spans="1:43" ht="14.4" x14ac:dyDescent="0.3"/>
    <row r="43379" spans="1:43" ht="14.4" x14ac:dyDescent="0.3"/>
    <row r="43380" spans="1:43" ht="14.4" hidden="1" x14ac:dyDescent="0.3">
      <c r="A43380" t="s">
        <v>5437</v>
      </c>
      <c r="B43380">
        <v>4893095</v>
      </c>
      <c r="C43380" t="s">
        <v>842</v>
      </c>
      <c r="D43380" t="s">
        <v>843</v>
      </c>
      <c r="E43380" t="s">
        <v>844</v>
      </c>
      <c r="F43380" t="s">
        <v>3493</v>
      </c>
      <c r="H43380" t="s">
        <v>270</v>
      </c>
      <c r="J43380" t="s">
        <v>140</v>
      </c>
      <c r="K43380">
        <v>161182.44</v>
      </c>
      <c r="L43380">
        <v>383493.32</v>
      </c>
      <c r="M43380">
        <v>1</v>
      </c>
      <c r="N43380" t="s">
        <v>3494</v>
      </c>
      <c r="O43380" t="s">
        <v>773</v>
      </c>
      <c r="P43380" t="s">
        <v>614</v>
      </c>
      <c r="Q43380" t="s">
        <v>144</v>
      </c>
      <c r="R43380" t="s">
        <v>145</v>
      </c>
      <c r="S43380">
        <v>16</v>
      </c>
      <c r="T43380">
        <v>812</v>
      </c>
      <c r="V43380" t="s">
        <v>146</v>
      </c>
      <c r="W43380" t="s">
        <v>415</v>
      </c>
      <c r="X43380" t="s">
        <v>7</v>
      </c>
      <c r="Y43380" t="s">
        <v>3495</v>
      </c>
      <c r="Z43380" t="s">
        <v>773</v>
      </c>
      <c r="AA43380" t="s">
        <v>1135</v>
      </c>
      <c r="AB43380">
        <v>0</v>
      </c>
      <c r="AE43380" t="s">
        <v>1496</v>
      </c>
      <c r="AF43380" t="s">
        <v>773</v>
      </c>
      <c r="AG43380" t="s">
        <v>774</v>
      </c>
      <c r="AL43380" t="s">
        <v>5438</v>
      </c>
      <c r="AM43380" t="s">
        <v>5439</v>
      </c>
      <c r="AN43380" t="s">
        <v>5440</v>
      </c>
      <c r="AO43380" t="s">
        <v>3494</v>
      </c>
      <c r="AQ43380">
        <f>IF(ISBLANK(AP43380), IFERROR(IF(VLOOKUP(AO43380, Ellens_additions!$A$2:$B$252, 2, FALSE) = "", "", VLOOKUP(AO43380, Ellens_additions!$A$2:$B$252, 2, FALSE)), 0), AP43380)</f>
        <v>0</v>
      </c>
    </row>
    <row r="43381" spans="1:43" ht="14.4" hidden="1" x14ac:dyDescent="0.3">
      <c r="A43381" t="s">
        <v>5441</v>
      </c>
      <c r="B43381">
        <v>4893096</v>
      </c>
      <c r="C43381" t="s">
        <v>842</v>
      </c>
      <c r="D43381" t="s">
        <v>843</v>
      </c>
      <c r="E43381" t="s">
        <v>844</v>
      </c>
      <c r="F43381" t="s">
        <v>3493</v>
      </c>
      <c r="H43381" t="s">
        <v>534</v>
      </c>
      <c r="J43381" t="s">
        <v>140</v>
      </c>
      <c r="K43381">
        <v>161153.68</v>
      </c>
      <c r="L43381">
        <v>383360.44</v>
      </c>
      <c r="M43381">
        <v>1</v>
      </c>
      <c r="N43381" t="s">
        <v>3494</v>
      </c>
      <c r="O43381" t="s">
        <v>773</v>
      </c>
      <c r="P43381" t="s">
        <v>614</v>
      </c>
      <c r="Q43381" t="s">
        <v>144</v>
      </c>
      <c r="R43381" t="s">
        <v>145</v>
      </c>
      <c r="S43381">
        <v>16</v>
      </c>
      <c r="T43381">
        <v>812</v>
      </c>
      <c r="V43381" t="s">
        <v>146</v>
      </c>
      <c r="W43381" t="s">
        <v>415</v>
      </c>
      <c r="X43381" t="s">
        <v>7</v>
      </c>
      <c r="Y43381" t="s">
        <v>3495</v>
      </c>
      <c r="Z43381" t="s">
        <v>773</v>
      </c>
      <c r="AA43381" t="s">
        <v>1135</v>
      </c>
      <c r="AB43381">
        <v>0</v>
      </c>
      <c r="AE43381" t="s">
        <v>1496</v>
      </c>
      <c r="AF43381" t="s">
        <v>773</v>
      </c>
      <c r="AG43381" t="s">
        <v>774</v>
      </c>
      <c r="AL43381" t="s">
        <v>5442</v>
      </c>
      <c r="AM43381" t="s">
        <v>5443</v>
      </c>
      <c r="AN43381" t="s">
        <v>5444</v>
      </c>
      <c r="AO43381" t="s">
        <v>3494</v>
      </c>
      <c r="AQ43381">
        <f>IF(ISBLANK(AP43381), IFERROR(IF(VLOOKUP(AO43381, Ellens_additions!$A$2:$B$252, 2, FALSE) = "", "", VLOOKUP(AO43381, Ellens_additions!$A$2:$B$252, 2, FALSE)), 0), AP43381)</f>
        <v>0</v>
      </c>
    </row>
    <row r="43382" spans="1:43" ht="14.4" x14ac:dyDescent="0.3"/>
    <row r="43383" spans="1:43" ht="14.4" x14ac:dyDescent="0.3"/>
    <row r="43384" spans="1:43" ht="14.4" x14ac:dyDescent="0.3"/>
    <row r="43385" spans="1:43" ht="14.4" x14ac:dyDescent="0.3"/>
    <row r="43386" spans="1:43" ht="14.4" x14ac:dyDescent="0.3"/>
    <row r="43387" spans="1:43" ht="14.4" x14ac:dyDescent="0.3"/>
    <row r="43388" spans="1:43" ht="14.4" x14ac:dyDescent="0.3"/>
    <row r="43389" spans="1:43" ht="14.4" x14ac:dyDescent="0.3"/>
    <row r="43390" spans="1:43" ht="14.4" x14ac:dyDescent="0.3"/>
    <row r="43391" spans="1:43" ht="14.4" x14ac:dyDescent="0.3"/>
    <row r="43392" spans="1:43" ht="14.4" x14ac:dyDescent="0.3"/>
    <row r="43393" ht="14.4" x14ac:dyDescent="0.3"/>
    <row r="43394" ht="14.4" x14ac:dyDescent="0.3"/>
    <row r="43395" ht="14.4" x14ac:dyDescent="0.3"/>
    <row r="43396" ht="14.4" x14ac:dyDescent="0.3"/>
    <row r="43397" ht="14.4" x14ac:dyDescent="0.3"/>
    <row r="43398" ht="14.4" x14ac:dyDescent="0.3"/>
    <row r="43399" ht="14.4" x14ac:dyDescent="0.3"/>
    <row r="43400" ht="14.4" x14ac:dyDescent="0.3"/>
    <row r="43401" ht="14.4" x14ac:dyDescent="0.3"/>
    <row r="43402" ht="14.4" x14ac:dyDescent="0.3"/>
    <row r="43403" ht="14.4" x14ac:dyDescent="0.3"/>
    <row r="43404" ht="14.4" x14ac:dyDescent="0.3"/>
    <row r="43405" ht="14.4" x14ac:dyDescent="0.3"/>
    <row r="43406" ht="14.4" x14ac:dyDescent="0.3"/>
    <row r="43407" ht="14.4" x14ac:dyDescent="0.3"/>
    <row r="43408" ht="14.4" x14ac:dyDescent="0.3"/>
    <row r="43409" ht="14.4" x14ac:dyDescent="0.3"/>
    <row r="43410" ht="14.4" x14ac:dyDescent="0.3"/>
    <row r="43411" ht="14.4" x14ac:dyDescent="0.3"/>
    <row r="43412" ht="14.4" x14ac:dyDescent="0.3"/>
    <row r="43413" ht="14.4" x14ac:dyDescent="0.3"/>
    <row r="43414" ht="14.4" x14ac:dyDescent="0.3"/>
    <row r="43415" ht="14.4" x14ac:dyDescent="0.3"/>
    <row r="43416" ht="14.4" x14ac:dyDescent="0.3"/>
    <row r="43417" ht="14.4" x14ac:dyDescent="0.3"/>
    <row r="43418" ht="14.4" x14ac:dyDescent="0.3"/>
    <row r="43419" ht="14.4" x14ac:dyDescent="0.3"/>
    <row r="43420" ht="14.4" x14ac:dyDescent="0.3"/>
    <row r="43421" ht="14.4" x14ac:dyDescent="0.3"/>
    <row r="43422" ht="14.4" x14ac:dyDescent="0.3"/>
    <row r="43423" ht="14.4" x14ac:dyDescent="0.3"/>
    <row r="43424" ht="14.4" x14ac:dyDescent="0.3"/>
    <row r="43425" spans="1:43" ht="14.4" x14ac:dyDescent="0.3"/>
    <row r="43426" spans="1:43" ht="14.4" x14ac:dyDescent="0.3"/>
    <row r="43427" spans="1:43" ht="14.4" x14ac:dyDescent="0.3"/>
    <row r="43428" spans="1:43" ht="14.4" x14ac:dyDescent="0.3"/>
    <row r="43429" spans="1:43" ht="14.4" x14ac:dyDescent="0.3"/>
    <row r="43430" spans="1:43" ht="14.4" x14ac:dyDescent="0.3"/>
    <row r="43431" spans="1:43" ht="14.4" x14ac:dyDescent="0.3"/>
    <row r="43432" spans="1:43" ht="14.4" x14ac:dyDescent="0.3"/>
    <row r="43433" spans="1:43" ht="14.4" x14ac:dyDescent="0.3"/>
    <row r="43434" spans="1:43" ht="14.4" x14ac:dyDescent="0.3"/>
    <row r="43435" spans="1:43" ht="14.4" hidden="1" x14ac:dyDescent="0.3">
      <c r="A43435" t="s">
        <v>5447</v>
      </c>
      <c r="B43435">
        <v>4893254</v>
      </c>
      <c r="C43435" t="s">
        <v>842</v>
      </c>
      <c r="D43435" t="s">
        <v>843</v>
      </c>
      <c r="E43435" t="s">
        <v>864</v>
      </c>
      <c r="F43435" t="s">
        <v>865</v>
      </c>
      <c r="H43435" t="s">
        <v>487</v>
      </c>
      <c r="J43435" t="s">
        <v>140</v>
      </c>
      <c r="K43435">
        <v>160912.59</v>
      </c>
      <c r="L43435">
        <v>383382.79</v>
      </c>
      <c r="M43435">
        <v>1</v>
      </c>
      <c r="N43435" t="s">
        <v>1095</v>
      </c>
      <c r="O43435" t="s">
        <v>1096</v>
      </c>
      <c r="P43435" t="s">
        <v>632</v>
      </c>
      <c r="Q43435" t="s">
        <v>264</v>
      </c>
      <c r="S43435">
        <v>18</v>
      </c>
      <c r="T43435">
        <v>1200</v>
      </c>
      <c r="V43435" t="s">
        <v>1097</v>
      </c>
      <c r="W43435" t="s">
        <v>273</v>
      </c>
      <c r="X43435" t="s">
        <v>7</v>
      </c>
      <c r="Y43435" t="s">
        <v>1098</v>
      </c>
      <c r="Z43435" t="s">
        <v>1096</v>
      </c>
      <c r="AA43435" t="s">
        <v>1099</v>
      </c>
      <c r="AB43435">
        <v>80</v>
      </c>
      <c r="AE43435" t="s">
        <v>1100</v>
      </c>
      <c r="AF43435" t="s">
        <v>1096</v>
      </c>
      <c r="AG43435" t="s">
        <v>1099</v>
      </c>
      <c r="AL43435" t="s">
        <v>5448</v>
      </c>
      <c r="AM43435" t="s">
        <v>5449</v>
      </c>
      <c r="AN43435" t="s">
        <v>5450</v>
      </c>
      <c r="AO43435" t="s">
        <v>1095</v>
      </c>
      <c r="AP43435" t="s">
        <v>158</v>
      </c>
      <c r="AQ43435" t="str">
        <f>IF(ISBLANK(AP43435), IFERROR(IF(VLOOKUP(AO43435, Ellens_additions!$A$2:$B$252, 2, FALSE) = "", "", VLOOKUP(AO43435, Ellens_additions!$A$2:$B$252, 2, FALSE)), 0), AP43435)</f>
        <v>3000</v>
      </c>
    </row>
    <row r="43436" spans="1:43" ht="14.4" hidden="1" x14ac:dyDescent="0.3">
      <c r="A43436" t="s">
        <v>5451</v>
      </c>
      <c r="B43436">
        <v>4893258</v>
      </c>
      <c r="C43436" t="s">
        <v>842</v>
      </c>
      <c r="D43436" t="s">
        <v>843</v>
      </c>
      <c r="E43436" t="s">
        <v>864</v>
      </c>
      <c r="F43436" t="s">
        <v>959</v>
      </c>
      <c r="H43436" t="s">
        <v>5452</v>
      </c>
      <c r="J43436" t="s">
        <v>140</v>
      </c>
      <c r="K43436">
        <v>161001.87</v>
      </c>
      <c r="L43436">
        <v>383321.03</v>
      </c>
      <c r="M43436">
        <v>1</v>
      </c>
      <c r="N43436" t="s">
        <v>1139</v>
      </c>
      <c r="O43436" t="s">
        <v>1020</v>
      </c>
      <c r="P43436" t="s">
        <v>475</v>
      </c>
      <c r="Q43436" t="s">
        <v>144</v>
      </c>
      <c r="S43436">
        <v>37</v>
      </c>
      <c r="T43436">
        <v>13210</v>
      </c>
      <c r="V43436" t="s">
        <v>146</v>
      </c>
      <c r="W43436" t="s">
        <v>415</v>
      </c>
      <c r="X43436" t="s">
        <v>7</v>
      </c>
      <c r="Y43436" t="s">
        <v>1140</v>
      </c>
      <c r="Z43436" t="s">
        <v>1020</v>
      </c>
      <c r="AA43436" t="s">
        <v>1141</v>
      </c>
      <c r="AB43436">
        <v>0</v>
      </c>
      <c r="AE43436" t="s">
        <v>1142</v>
      </c>
      <c r="AF43436" t="s">
        <v>1020</v>
      </c>
      <c r="AG43436" t="s">
        <v>1012</v>
      </c>
      <c r="AL43436" t="s">
        <v>5453</v>
      </c>
      <c r="AM43436" t="s">
        <v>5454</v>
      </c>
      <c r="AN43436" t="s">
        <v>5455</v>
      </c>
      <c r="AO43436" t="s">
        <v>1139</v>
      </c>
      <c r="AQ43436" t="str">
        <f>IF(ISBLANK(AP43436), IFERROR(IF(VLOOKUP(AO43436, Ellens_additions!$A$2:$B$252, 2, FALSE) = "", "", VLOOKUP(AO43436, Ellens_additions!$A$2:$B$252, 2, FALSE)), 0), AP43436)</f>
        <v/>
      </c>
    </row>
    <row r="43437" spans="1:43" ht="14.4" hidden="1" x14ac:dyDescent="0.3">
      <c r="A43437" t="s">
        <v>5456</v>
      </c>
      <c r="B43437">
        <v>4893262</v>
      </c>
      <c r="C43437" t="s">
        <v>842</v>
      </c>
      <c r="D43437" t="s">
        <v>843</v>
      </c>
      <c r="E43437" t="s">
        <v>864</v>
      </c>
      <c r="F43437" t="s">
        <v>959</v>
      </c>
      <c r="H43437" t="s">
        <v>5457</v>
      </c>
      <c r="J43437" t="s">
        <v>140</v>
      </c>
      <c r="K43437">
        <v>161029.57</v>
      </c>
      <c r="L43437">
        <v>383318.39</v>
      </c>
      <c r="M43437">
        <v>1</v>
      </c>
      <c r="N43437" t="s">
        <v>1139</v>
      </c>
      <c r="O43437" t="s">
        <v>1020</v>
      </c>
      <c r="P43437" t="s">
        <v>475</v>
      </c>
      <c r="Q43437" t="s">
        <v>144</v>
      </c>
      <c r="S43437">
        <v>37</v>
      </c>
      <c r="T43437">
        <v>13210</v>
      </c>
      <c r="V43437" t="s">
        <v>146</v>
      </c>
      <c r="W43437" t="s">
        <v>415</v>
      </c>
      <c r="X43437" t="s">
        <v>7</v>
      </c>
      <c r="Y43437" t="s">
        <v>1140</v>
      </c>
      <c r="Z43437" t="s">
        <v>1020</v>
      </c>
      <c r="AA43437" t="s">
        <v>1141</v>
      </c>
      <c r="AB43437">
        <v>0</v>
      </c>
      <c r="AE43437" t="s">
        <v>1142</v>
      </c>
      <c r="AF43437" t="s">
        <v>1020</v>
      </c>
      <c r="AG43437" t="s">
        <v>1012</v>
      </c>
      <c r="AL43437" t="s">
        <v>5458</v>
      </c>
      <c r="AM43437" t="s">
        <v>5459</v>
      </c>
      <c r="AN43437" t="s">
        <v>5460</v>
      </c>
      <c r="AO43437" t="s">
        <v>1139</v>
      </c>
      <c r="AQ43437" t="str">
        <f>IF(ISBLANK(AP43437), IFERROR(IF(VLOOKUP(AO43437, Ellens_additions!$A$2:$B$252, 2, FALSE) = "", "", VLOOKUP(AO43437, Ellens_additions!$A$2:$B$252, 2, FALSE)), 0), AP43437)</f>
        <v/>
      </c>
    </row>
    <row r="43438" spans="1:43" ht="14.4" hidden="1" x14ac:dyDescent="0.3">
      <c r="A43438" t="s">
        <v>5461</v>
      </c>
      <c r="B43438">
        <v>4893266</v>
      </c>
      <c r="C43438" t="s">
        <v>842</v>
      </c>
      <c r="D43438" t="s">
        <v>843</v>
      </c>
      <c r="E43438" t="s">
        <v>864</v>
      </c>
      <c r="F43438" t="s">
        <v>959</v>
      </c>
      <c r="H43438" t="s">
        <v>5462</v>
      </c>
      <c r="J43438" t="s">
        <v>140</v>
      </c>
      <c r="K43438">
        <v>161057.06</v>
      </c>
      <c r="L43438">
        <v>383309.54</v>
      </c>
      <c r="M43438">
        <v>1</v>
      </c>
      <c r="N43438" t="s">
        <v>1139</v>
      </c>
      <c r="O43438" t="s">
        <v>1020</v>
      </c>
      <c r="P43438" t="s">
        <v>475</v>
      </c>
      <c r="Q43438" t="s">
        <v>144</v>
      </c>
      <c r="S43438">
        <v>37</v>
      </c>
      <c r="T43438">
        <v>13210</v>
      </c>
      <c r="V43438" t="s">
        <v>146</v>
      </c>
      <c r="W43438" t="s">
        <v>415</v>
      </c>
      <c r="X43438" t="s">
        <v>7</v>
      </c>
      <c r="Y43438" t="s">
        <v>1140</v>
      </c>
      <c r="Z43438" t="s">
        <v>1020</v>
      </c>
      <c r="AA43438" t="s">
        <v>1141</v>
      </c>
      <c r="AB43438">
        <v>0</v>
      </c>
      <c r="AE43438" t="s">
        <v>1142</v>
      </c>
      <c r="AF43438" t="s">
        <v>1020</v>
      </c>
      <c r="AG43438" t="s">
        <v>1012</v>
      </c>
      <c r="AL43438" t="s">
        <v>5463</v>
      </c>
      <c r="AM43438" t="s">
        <v>5464</v>
      </c>
      <c r="AN43438" t="s">
        <v>5465</v>
      </c>
      <c r="AO43438" t="s">
        <v>1139</v>
      </c>
      <c r="AQ43438" t="str">
        <f>IF(ISBLANK(AP43438), IFERROR(IF(VLOOKUP(AO43438, Ellens_additions!$A$2:$B$252, 2, FALSE) = "", "", VLOOKUP(AO43438, Ellens_additions!$A$2:$B$252, 2, FALSE)), 0), AP43438)</f>
        <v/>
      </c>
    </row>
    <row r="43439" spans="1:43" ht="14.4" hidden="1" x14ac:dyDescent="0.3">
      <c r="A43439" t="s">
        <v>5466</v>
      </c>
      <c r="B43439">
        <v>4893270</v>
      </c>
      <c r="C43439" t="s">
        <v>842</v>
      </c>
      <c r="D43439" t="s">
        <v>843</v>
      </c>
      <c r="E43439" t="s">
        <v>864</v>
      </c>
      <c r="F43439" t="s">
        <v>1173</v>
      </c>
      <c r="H43439" t="s">
        <v>5467</v>
      </c>
      <c r="J43439" t="s">
        <v>140</v>
      </c>
      <c r="K43439">
        <v>161073.28</v>
      </c>
      <c r="L43439">
        <v>383312.51</v>
      </c>
      <c r="M43439">
        <v>1</v>
      </c>
      <c r="N43439" t="s">
        <v>1139</v>
      </c>
      <c r="O43439" t="s">
        <v>1020</v>
      </c>
      <c r="P43439" t="s">
        <v>475</v>
      </c>
      <c r="Q43439" t="s">
        <v>144</v>
      </c>
      <c r="S43439">
        <v>37</v>
      </c>
      <c r="T43439">
        <v>13210</v>
      </c>
      <c r="V43439" t="s">
        <v>146</v>
      </c>
      <c r="W43439" t="s">
        <v>415</v>
      </c>
      <c r="X43439" t="s">
        <v>7</v>
      </c>
      <c r="Y43439" t="s">
        <v>1140</v>
      </c>
      <c r="Z43439" t="s">
        <v>1020</v>
      </c>
      <c r="AA43439" t="s">
        <v>1141</v>
      </c>
      <c r="AB43439">
        <v>0</v>
      </c>
      <c r="AE43439" t="s">
        <v>1142</v>
      </c>
      <c r="AF43439" t="s">
        <v>1020</v>
      </c>
      <c r="AG43439" t="s">
        <v>1012</v>
      </c>
      <c r="AL43439" t="s">
        <v>5468</v>
      </c>
      <c r="AM43439" t="s">
        <v>5469</v>
      </c>
      <c r="AN43439" t="s">
        <v>5470</v>
      </c>
      <c r="AO43439" t="s">
        <v>1139</v>
      </c>
      <c r="AQ43439" t="str">
        <f>IF(ISBLANK(AP43439), IFERROR(IF(VLOOKUP(AO43439, Ellens_additions!$A$2:$B$252, 2, FALSE) = "", "", VLOOKUP(AO43439, Ellens_additions!$A$2:$B$252, 2, FALSE)), 0), AP43439)</f>
        <v/>
      </c>
    </row>
    <row r="43440" spans="1:43" ht="14.4" hidden="1" x14ac:dyDescent="0.3">
      <c r="A43440" t="s">
        <v>5471</v>
      </c>
      <c r="B43440">
        <v>4893272</v>
      </c>
      <c r="C43440" t="s">
        <v>842</v>
      </c>
      <c r="D43440" t="s">
        <v>843</v>
      </c>
      <c r="E43440" t="s">
        <v>864</v>
      </c>
      <c r="F43440" t="s">
        <v>1173</v>
      </c>
      <c r="H43440" t="s">
        <v>5472</v>
      </c>
      <c r="J43440" t="s">
        <v>140</v>
      </c>
      <c r="K43440">
        <v>161075.89000000001</v>
      </c>
      <c r="L43440">
        <v>383326.54</v>
      </c>
      <c r="M43440">
        <v>1</v>
      </c>
      <c r="N43440" t="s">
        <v>1139</v>
      </c>
      <c r="O43440" t="s">
        <v>1020</v>
      </c>
      <c r="P43440" t="s">
        <v>475</v>
      </c>
      <c r="Q43440" t="s">
        <v>144</v>
      </c>
      <c r="S43440">
        <v>37</v>
      </c>
      <c r="T43440">
        <v>13210</v>
      </c>
      <c r="V43440" t="s">
        <v>146</v>
      </c>
      <c r="W43440" t="s">
        <v>415</v>
      </c>
      <c r="X43440" t="s">
        <v>7</v>
      </c>
      <c r="Y43440" t="s">
        <v>1140</v>
      </c>
      <c r="Z43440" t="s">
        <v>1020</v>
      </c>
      <c r="AA43440" t="s">
        <v>1141</v>
      </c>
      <c r="AB43440">
        <v>0</v>
      </c>
      <c r="AE43440" t="s">
        <v>1142</v>
      </c>
      <c r="AF43440" t="s">
        <v>1020</v>
      </c>
      <c r="AG43440" t="s">
        <v>1012</v>
      </c>
      <c r="AL43440" t="s">
        <v>5473</v>
      </c>
      <c r="AM43440" t="s">
        <v>5474</v>
      </c>
      <c r="AN43440" t="s">
        <v>5475</v>
      </c>
      <c r="AO43440" t="s">
        <v>1139</v>
      </c>
      <c r="AQ43440" t="str">
        <f>IF(ISBLANK(AP43440), IFERROR(IF(VLOOKUP(AO43440, Ellens_additions!$A$2:$B$252, 2, FALSE) = "", "", VLOOKUP(AO43440, Ellens_additions!$A$2:$B$252, 2, FALSE)), 0), AP43440)</f>
        <v/>
      </c>
    </row>
    <row r="43441" spans="1:43" ht="14.4" hidden="1" x14ac:dyDescent="0.3">
      <c r="A43441" t="s">
        <v>5476</v>
      </c>
      <c r="B43441">
        <v>4893273</v>
      </c>
      <c r="C43441" t="s">
        <v>842</v>
      </c>
      <c r="D43441" t="s">
        <v>843</v>
      </c>
      <c r="E43441" t="s">
        <v>864</v>
      </c>
      <c r="F43441" t="s">
        <v>1173</v>
      </c>
      <c r="H43441" t="s">
        <v>5477</v>
      </c>
      <c r="J43441" t="s">
        <v>140</v>
      </c>
      <c r="K43441">
        <v>161077.6</v>
      </c>
      <c r="L43441">
        <v>383334.49</v>
      </c>
      <c r="M43441">
        <v>1</v>
      </c>
      <c r="N43441" t="s">
        <v>1139</v>
      </c>
      <c r="O43441" t="s">
        <v>1020</v>
      </c>
      <c r="P43441" t="s">
        <v>475</v>
      </c>
      <c r="Q43441" t="s">
        <v>144</v>
      </c>
      <c r="S43441">
        <v>37</v>
      </c>
      <c r="T43441">
        <v>13210</v>
      </c>
      <c r="V43441" t="s">
        <v>146</v>
      </c>
      <c r="W43441" t="s">
        <v>415</v>
      </c>
      <c r="X43441" t="s">
        <v>7</v>
      </c>
      <c r="Y43441" t="s">
        <v>1140</v>
      </c>
      <c r="Z43441" t="s">
        <v>1020</v>
      </c>
      <c r="AA43441" t="s">
        <v>1141</v>
      </c>
      <c r="AB43441">
        <v>0</v>
      </c>
      <c r="AE43441" t="s">
        <v>1142</v>
      </c>
      <c r="AF43441" t="s">
        <v>1020</v>
      </c>
      <c r="AG43441" t="s">
        <v>1012</v>
      </c>
      <c r="AL43441" t="s">
        <v>5478</v>
      </c>
      <c r="AM43441" t="s">
        <v>5479</v>
      </c>
      <c r="AN43441" t="s">
        <v>5480</v>
      </c>
      <c r="AO43441" t="s">
        <v>1139</v>
      </c>
      <c r="AQ43441" t="str">
        <f>IF(ISBLANK(AP43441), IFERROR(IF(VLOOKUP(AO43441, Ellens_additions!$A$2:$B$252, 2, FALSE) = "", "", VLOOKUP(AO43441, Ellens_additions!$A$2:$B$252, 2, FALSE)), 0), AP43441)</f>
        <v/>
      </c>
    </row>
    <row r="43442" spans="1:43" ht="14.4" hidden="1" x14ac:dyDescent="0.3">
      <c r="A43442" t="s">
        <v>5481</v>
      </c>
      <c r="B43442">
        <v>4893274</v>
      </c>
      <c r="C43442" t="s">
        <v>842</v>
      </c>
      <c r="D43442" t="s">
        <v>843</v>
      </c>
      <c r="E43442" t="s">
        <v>864</v>
      </c>
      <c r="F43442" t="s">
        <v>1173</v>
      </c>
      <c r="H43442" t="s">
        <v>5482</v>
      </c>
      <c r="J43442" t="s">
        <v>140</v>
      </c>
      <c r="K43442">
        <v>161079.63</v>
      </c>
      <c r="L43442">
        <v>383340.81</v>
      </c>
      <c r="M43442">
        <v>1</v>
      </c>
      <c r="N43442" t="s">
        <v>1139</v>
      </c>
      <c r="O43442" t="s">
        <v>1020</v>
      </c>
      <c r="P43442" t="s">
        <v>475</v>
      </c>
      <c r="Q43442" t="s">
        <v>144</v>
      </c>
      <c r="S43442">
        <v>37</v>
      </c>
      <c r="T43442">
        <v>13210</v>
      </c>
      <c r="V43442" t="s">
        <v>146</v>
      </c>
      <c r="W43442" t="s">
        <v>415</v>
      </c>
      <c r="X43442" t="s">
        <v>7</v>
      </c>
      <c r="Y43442" t="s">
        <v>1140</v>
      </c>
      <c r="Z43442" t="s">
        <v>1020</v>
      </c>
      <c r="AA43442" t="s">
        <v>1141</v>
      </c>
      <c r="AB43442">
        <v>0</v>
      </c>
      <c r="AE43442" t="s">
        <v>1142</v>
      </c>
      <c r="AF43442" t="s">
        <v>1020</v>
      </c>
      <c r="AG43442" t="s">
        <v>1012</v>
      </c>
      <c r="AL43442" t="s">
        <v>5483</v>
      </c>
      <c r="AM43442" t="s">
        <v>5484</v>
      </c>
      <c r="AN43442" t="s">
        <v>5485</v>
      </c>
      <c r="AO43442" t="s">
        <v>1139</v>
      </c>
      <c r="AQ43442" t="str">
        <f>IF(ISBLANK(AP43442), IFERROR(IF(VLOOKUP(AO43442, Ellens_additions!$A$2:$B$252, 2, FALSE) = "", "", VLOOKUP(AO43442, Ellens_additions!$A$2:$B$252, 2, FALSE)), 0), AP43442)</f>
        <v/>
      </c>
    </row>
    <row r="43443" spans="1:43" ht="14.4" hidden="1" x14ac:dyDescent="0.3">
      <c r="A43443" t="s">
        <v>5486</v>
      </c>
      <c r="B43443">
        <v>4893281</v>
      </c>
      <c r="C43443" t="s">
        <v>842</v>
      </c>
      <c r="D43443" t="s">
        <v>843</v>
      </c>
      <c r="E43443" t="s">
        <v>864</v>
      </c>
      <c r="F43443" t="s">
        <v>1173</v>
      </c>
      <c r="H43443" t="s">
        <v>5487</v>
      </c>
      <c r="J43443" t="s">
        <v>140</v>
      </c>
      <c r="K43443">
        <v>161095.32999999999</v>
      </c>
      <c r="L43443">
        <v>383388.63</v>
      </c>
      <c r="M43443">
        <v>1</v>
      </c>
      <c r="N43443" t="s">
        <v>1139</v>
      </c>
      <c r="O43443" t="s">
        <v>1020</v>
      </c>
      <c r="P43443" t="s">
        <v>475</v>
      </c>
      <c r="Q43443" t="s">
        <v>144</v>
      </c>
      <c r="S43443">
        <v>37</v>
      </c>
      <c r="T43443">
        <v>13210</v>
      </c>
      <c r="V43443" t="s">
        <v>146</v>
      </c>
      <c r="W43443" t="s">
        <v>415</v>
      </c>
      <c r="X43443" t="s">
        <v>7</v>
      </c>
      <c r="Y43443" t="s">
        <v>1140</v>
      </c>
      <c r="Z43443" t="s">
        <v>1020</v>
      </c>
      <c r="AA43443" t="s">
        <v>1141</v>
      </c>
      <c r="AB43443">
        <v>0</v>
      </c>
      <c r="AE43443" t="s">
        <v>1142</v>
      </c>
      <c r="AF43443" t="s">
        <v>1200</v>
      </c>
      <c r="AG43443" t="s">
        <v>1201</v>
      </c>
      <c r="AL43443" t="s">
        <v>5488</v>
      </c>
      <c r="AM43443" t="s">
        <v>5489</v>
      </c>
      <c r="AN43443" t="s">
        <v>5490</v>
      </c>
      <c r="AO43443" t="s">
        <v>1139</v>
      </c>
      <c r="AQ43443" t="str">
        <f>IF(ISBLANK(AP43443), IFERROR(IF(VLOOKUP(AO43443, Ellens_additions!$A$2:$B$252, 2, FALSE) = "", "", VLOOKUP(AO43443, Ellens_additions!$A$2:$B$252, 2, FALSE)), 0), AP43443)</f>
        <v/>
      </c>
    </row>
    <row r="43444" spans="1:43" ht="14.4" hidden="1" x14ac:dyDescent="0.3">
      <c r="A43444" t="s">
        <v>5491</v>
      </c>
      <c r="B43444">
        <v>4893284</v>
      </c>
      <c r="C43444" t="s">
        <v>842</v>
      </c>
      <c r="D43444" t="s">
        <v>843</v>
      </c>
      <c r="E43444" t="s">
        <v>864</v>
      </c>
      <c r="F43444" t="s">
        <v>1173</v>
      </c>
      <c r="H43444" t="s">
        <v>5492</v>
      </c>
      <c r="J43444" t="s">
        <v>140</v>
      </c>
      <c r="K43444">
        <v>161101.92000000001</v>
      </c>
      <c r="L43444">
        <v>383409.23</v>
      </c>
      <c r="M43444">
        <v>1</v>
      </c>
      <c r="N43444" t="s">
        <v>1139</v>
      </c>
      <c r="O43444" t="s">
        <v>1020</v>
      </c>
      <c r="P43444" t="s">
        <v>475</v>
      </c>
      <c r="Q43444" t="s">
        <v>144</v>
      </c>
      <c r="S43444">
        <v>37</v>
      </c>
      <c r="T43444">
        <v>13210</v>
      </c>
      <c r="V43444" t="s">
        <v>146</v>
      </c>
      <c r="W43444" t="s">
        <v>415</v>
      </c>
      <c r="X43444" t="s">
        <v>7</v>
      </c>
      <c r="Y43444" t="s">
        <v>1140</v>
      </c>
      <c r="Z43444" t="s">
        <v>1020</v>
      </c>
      <c r="AA43444" t="s">
        <v>1141</v>
      </c>
      <c r="AB43444">
        <v>0</v>
      </c>
      <c r="AE43444" t="s">
        <v>1142</v>
      </c>
      <c r="AF43444" t="s">
        <v>1200</v>
      </c>
      <c r="AG43444" t="s">
        <v>1201</v>
      </c>
      <c r="AL43444" t="s">
        <v>5493</v>
      </c>
      <c r="AM43444" t="s">
        <v>5494</v>
      </c>
      <c r="AN43444" t="s">
        <v>5495</v>
      </c>
      <c r="AO43444" t="s">
        <v>1139</v>
      </c>
      <c r="AQ43444" t="str">
        <f>IF(ISBLANK(AP43444), IFERROR(IF(VLOOKUP(AO43444, Ellens_additions!$A$2:$B$252, 2, FALSE) = "", "", VLOOKUP(AO43444, Ellens_additions!$A$2:$B$252, 2, FALSE)), 0), AP43444)</f>
        <v/>
      </c>
    </row>
    <row r="43445" spans="1:43" ht="14.4" hidden="1" x14ac:dyDescent="0.3">
      <c r="A43445" t="s">
        <v>5496</v>
      </c>
      <c r="B43445">
        <v>4893288</v>
      </c>
      <c r="C43445" t="s">
        <v>842</v>
      </c>
      <c r="D43445" t="s">
        <v>843</v>
      </c>
      <c r="E43445" t="s">
        <v>864</v>
      </c>
      <c r="F43445" t="s">
        <v>1173</v>
      </c>
      <c r="H43445" t="s">
        <v>5497</v>
      </c>
      <c r="J43445" t="s">
        <v>140</v>
      </c>
      <c r="K43445">
        <v>161109.68</v>
      </c>
      <c r="L43445">
        <v>383436.68</v>
      </c>
      <c r="M43445">
        <v>1</v>
      </c>
      <c r="N43445" t="s">
        <v>1139</v>
      </c>
      <c r="O43445" t="s">
        <v>1020</v>
      </c>
      <c r="P43445" t="s">
        <v>475</v>
      </c>
      <c r="Q43445" t="s">
        <v>144</v>
      </c>
      <c r="S43445">
        <v>37</v>
      </c>
      <c r="T43445">
        <v>13210</v>
      </c>
      <c r="V43445" t="s">
        <v>146</v>
      </c>
      <c r="W43445" t="s">
        <v>415</v>
      </c>
      <c r="X43445" t="s">
        <v>7</v>
      </c>
      <c r="Y43445" t="s">
        <v>1140</v>
      </c>
      <c r="Z43445" t="s">
        <v>1020</v>
      </c>
      <c r="AA43445" t="s">
        <v>1141</v>
      </c>
      <c r="AB43445">
        <v>0</v>
      </c>
      <c r="AE43445" t="s">
        <v>1142</v>
      </c>
      <c r="AF43445" t="s">
        <v>1020</v>
      </c>
      <c r="AG43445" t="s">
        <v>1012</v>
      </c>
      <c r="AL43445" t="s">
        <v>5498</v>
      </c>
      <c r="AM43445" t="s">
        <v>5499</v>
      </c>
      <c r="AN43445" t="s">
        <v>5500</v>
      </c>
      <c r="AO43445" t="s">
        <v>1139</v>
      </c>
      <c r="AQ43445" t="str">
        <f>IF(ISBLANK(AP43445), IFERROR(IF(VLOOKUP(AO43445, Ellens_additions!$A$2:$B$252, 2, FALSE) = "", "", VLOOKUP(AO43445, Ellens_additions!$A$2:$B$252, 2, FALSE)), 0), AP43445)</f>
        <v/>
      </c>
    </row>
    <row r="43446" spans="1:43" ht="14.4" x14ac:dyDescent="0.3"/>
    <row r="43447" spans="1:43" ht="14.4" x14ac:dyDescent="0.3"/>
    <row r="43448" spans="1:43" ht="14.4" x14ac:dyDescent="0.3"/>
    <row r="43449" spans="1:43" ht="14.4" x14ac:dyDescent="0.3"/>
    <row r="43450" spans="1:43" ht="14.4" x14ac:dyDescent="0.3"/>
    <row r="43451" spans="1:43" ht="14.4" x14ac:dyDescent="0.3"/>
    <row r="43452" spans="1:43" ht="14.4" x14ac:dyDescent="0.3"/>
    <row r="43453" spans="1:43" ht="14.4" x14ac:dyDescent="0.3"/>
    <row r="43454" spans="1:43" ht="14.4" x14ac:dyDescent="0.3"/>
    <row r="43455" spans="1:43" ht="14.4" x14ac:dyDescent="0.3"/>
    <row r="43456" spans="1:43" ht="14.4" x14ac:dyDescent="0.3"/>
    <row r="43457" ht="14.4" x14ac:dyDescent="0.3"/>
    <row r="43458" ht="14.4" x14ac:dyDescent="0.3"/>
    <row r="43459" ht="14.4" x14ac:dyDescent="0.3"/>
    <row r="43460" ht="14.4" x14ac:dyDescent="0.3"/>
    <row r="43461" ht="14.4" x14ac:dyDescent="0.3"/>
    <row r="43462" ht="14.4" x14ac:dyDescent="0.3"/>
    <row r="43463" ht="14.4" x14ac:dyDescent="0.3"/>
    <row r="43464" ht="14.4" x14ac:dyDescent="0.3"/>
    <row r="43465" ht="14.4" x14ac:dyDescent="0.3"/>
    <row r="43466" ht="14.4" x14ac:dyDescent="0.3"/>
    <row r="43467" ht="14.4" x14ac:dyDescent="0.3"/>
    <row r="43468" ht="14.4" x14ac:dyDescent="0.3"/>
    <row r="43469" ht="14.4" x14ac:dyDescent="0.3"/>
    <row r="43470" ht="14.4" x14ac:dyDescent="0.3"/>
    <row r="43471" ht="14.4" x14ac:dyDescent="0.3"/>
    <row r="43472" ht="14.4" x14ac:dyDescent="0.3"/>
    <row r="43473" ht="14.4" x14ac:dyDescent="0.3"/>
    <row r="43474" ht="14.4" x14ac:dyDescent="0.3"/>
    <row r="43475" ht="14.4" x14ac:dyDescent="0.3"/>
    <row r="43476" ht="14.4" x14ac:dyDescent="0.3"/>
    <row r="43477" ht="14.4" x14ac:dyDescent="0.3"/>
    <row r="43478" ht="14.4" x14ac:dyDescent="0.3"/>
    <row r="43479" ht="14.4" x14ac:dyDescent="0.3"/>
    <row r="43480" ht="14.4" x14ac:dyDescent="0.3"/>
    <row r="43481" ht="14.4" x14ac:dyDescent="0.3"/>
    <row r="43482" ht="14.4" x14ac:dyDescent="0.3"/>
    <row r="43483" ht="14.4" x14ac:dyDescent="0.3"/>
    <row r="43484" ht="14.4" x14ac:dyDescent="0.3"/>
    <row r="43485" ht="14.4" x14ac:dyDescent="0.3"/>
    <row r="43486" ht="14.4" x14ac:dyDescent="0.3"/>
    <row r="43487" ht="14.4" x14ac:dyDescent="0.3"/>
    <row r="43488" ht="14.4" x14ac:dyDescent="0.3"/>
    <row r="43489" ht="14.4" x14ac:dyDescent="0.3"/>
    <row r="43490" ht="14.4" x14ac:dyDescent="0.3"/>
    <row r="43491" ht="14.4" x14ac:dyDescent="0.3"/>
    <row r="43492" ht="14.4" x14ac:dyDescent="0.3"/>
    <row r="43493" ht="14.4" x14ac:dyDescent="0.3"/>
    <row r="43494" ht="14.4" x14ac:dyDescent="0.3"/>
    <row r="43495" ht="14.4" x14ac:dyDescent="0.3"/>
    <row r="43496" ht="14.4" x14ac:dyDescent="0.3"/>
    <row r="43497" ht="14.4" x14ac:dyDescent="0.3"/>
    <row r="43498" ht="14.4" x14ac:dyDescent="0.3"/>
    <row r="43499" ht="14.4" x14ac:dyDescent="0.3"/>
    <row r="43500" ht="14.4" x14ac:dyDescent="0.3"/>
    <row r="43501" ht="14.4" x14ac:dyDescent="0.3"/>
    <row r="43502" ht="14.4" x14ac:dyDescent="0.3"/>
    <row r="43503" ht="14.4" x14ac:dyDescent="0.3"/>
    <row r="43504" ht="14.4" x14ac:dyDescent="0.3"/>
    <row r="43505" ht="14.4" x14ac:dyDescent="0.3"/>
    <row r="43506" ht="14.4" x14ac:dyDescent="0.3"/>
    <row r="43507" ht="14.4" x14ac:dyDescent="0.3"/>
    <row r="43508" ht="14.4" x14ac:dyDescent="0.3"/>
    <row r="43509" ht="14.4" x14ac:dyDescent="0.3"/>
    <row r="43510" ht="14.4" x14ac:dyDescent="0.3"/>
    <row r="43511" ht="14.4" x14ac:dyDescent="0.3"/>
    <row r="43512" ht="14.4" x14ac:dyDescent="0.3"/>
    <row r="43513" ht="14.4" x14ac:dyDescent="0.3"/>
    <row r="43514" ht="14.4" x14ac:dyDescent="0.3"/>
    <row r="43515" ht="14.4" x14ac:dyDescent="0.3"/>
    <row r="43516" ht="14.4" x14ac:dyDescent="0.3"/>
    <row r="43517" ht="14.4" x14ac:dyDescent="0.3"/>
    <row r="43518" ht="14.4" x14ac:dyDescent="0.3"/>
    <row r="43519" ht="14.4" x14ac:dyDescent="0.3"/>
    <row r="43520" ht="14.4" x14ac:dyDescent="0.3"/>
    <row r="43521" ht="14.4" x14ac:dyDescent="0.3"/>
    <row r="43522" ht="14.4" x14ac:dyDescent="0.3"/>
    <row r="43523" ht="14.4" x14ac:dyDescent="0.3"/>
    <row r="43524" ht="14.4" x14ac:dyDescent="0.3"/>
    <row r="43525" ht="14.4" x14ac:dyDescent="0.3"/>
    <row r="43526" ht="14.4" x14ac:dyDescent="0.3"/>
    <row r="43527" ht="14.4" x14ac:dyDescent="0.3"/>
    <row r="43528" ht="14.4" x14ac:dyDescent="0.3"/>
    <row r="43529" ht="14.4" x14ac:dyDescent="0.3"/>
    <row r="43530" ht="14.4" x14ac:dyDescent="0.3"/>
    <row r="43531" ht="14.4" x14ac:dyDescent="0.3"/>
    <row r="43532" ht="14.4" x14ac:dyDescent="0.3"/>
    <row r="43533" ht="14.4" x14ac:dyDescent="0.3"/>
    <row r="43534" ht="14.4" x14ac:dyDescent="0.3"/>
    <row r="43535" ht="14.4" x14ac:dyDescent="0.3"/>
    <row r="43536" ht="14.4" x14ac:dyDescent="0.3"/>
    <row r="43537" ht="14.4" x14ac:dyDescent="0.3"/>
    <row r="43538" ht="14.4" x14ac:dyDescent="0.3"/>
    <row r="43539" ht="14.4" x14ac:dyDescent="0.3"/>
    <row r="43540" ht="14.4" x14ac:dyDescent="0.3"/>
    <row r="43541" ht="14.4" x14ac:dyDescent="0.3"/>
    <row r="43542" ht="14.4" x14ac:dyDescent="0.3"/>
    <row r="43543" ht="14.4" x14ac:dyDescent="0.3"/>
    <row r="43544" ht="14.4" x14ac:dyDescent="0.3"/>
    <row r="43545" ht="14.4" x14ac:dyDescent="0.3"/>
    <row r="43546" ht="14.4" x14ac:dyDescent="0.3"/>
    <row r="43547" ht="14.4" x14ac:dyDescent="0.3"/>
    <row r="43548" ht="14.4" x14ac:dyDescent="0.3"/>
    <row r="43549" ht="14.4" x14ac:dyDescent="0.3"/>
    <row r="43550" ht="14.4" x14ac:dyDescent="0.3"/>
    <row r="43551" ht="14.4" x14ac:dyDescent="0.3"/>
    <row r="43552" ht="14.4" x14ac:dyDescent="0.3"/>
    <row r="43553" ht="14.4" x14ac:dyDescent="0.3"/>
    <row r="43554" ht="14.4" x14ac:dyDescent="0.3"/>
    <row r="43555" ht="14.4" x14ac:dyDescent="0.3"/>
    <row r="43556" ht="14.4" x14ac:dyDescent="0.3"/>
    <row r="43557" ht="14.4" x14ac:dyDescent="0.3"/>
    <row r="43558" ht="14.4" x14ac:dyDescent="0.3"/>
    <row r="43559" ht="14.4" x14ac:dyDescent="0.3"/>
    <row r="43560" ht="14.4" x14ac:dyDescent="0.3"/>
    <row r="43561" ht="14.4" x14ac:dyDescent="0.3"/>
    <row r="43562" ht="14.4" x14ac:dyDescent="0.3"/>
    <row r="43563" ht="14.4" x14ac:dyDescent="0.3"/>
    <row r="43564" ht="14.4" x14ac:dyDescent="0.3"/>
    <row r="43565" ht="14.4" x14ac:dyDescent="0.3"/>
    <row r="43566" ht="14.4" x14ac:dyDescent="0.3"/>
    <row r="43567" ht="14.4" x14ac:dyDescent="0.3"/>
    <row r="43568" ht="14.4" x14ac:dyDescent="0.3"/>
    <row r="43569" ht="14.4" x14ac:dyDescent="0.3"/>
    <row r="43570" ht="14.4" x14ac:dyDescent="0.3"/>
    <row r="43571" ht="14.4" x14ac:dyDescent="0.3"/>
    <row r="43572" ht="14.4" x14ac:dyDescent="0.3"/>
    <row r="43573" ht="14.4" x14ac:dyDescent="0.3"/>
    <row r="43574" ht="14.4" x14ac:dyDescent="0.3"/>
    <row r="43575" ht="14.4" x14ac:dyDescent="0.3"/>
    <row r="43576" ht="14.4" x14ac:dyDescent="0.3"/>
    <row r="43577" ht="14.4" x14ac:dyDescent="0.3"/>
    <row r="43578" ht="14.4" x14ac:dyDescent="0.3"/>
    <row r="43579" ht="14.4" x14ac:dyDescent="0.3"/>
    <row r="43580" ht="14.4" x14ac:dyDescent="0.3"/>
    <row r="43581" ht="14.4" x14ac:dyDescent="0.3"/>
    <row r="43582" ht="14.4" x14ac:dyDescent="0.3"/>
    <row r="43583" ht="14.4" x14ac:dyDescent="0.3"/>
    <row r="43584" ht="14.4" x14ac:dyDescent="0.3"/>
    <row r="43585" ht="14.4" x14ac:dyDescent="0.3"/>
    <row r="43586" ht="14.4" x14ac:dyDescent="0.3"/>
    <row r="43587" ht="14.4" x14ac:dyDescent="0.3"/>
    <row r="43588" ht="14.4" x14ac:dyDescent="0.3"/>
    <row r="43589" ht="14.4" x14ac:dyDescent="0.3"/>
    <row r="43590" ht="14.4" x14ac:dyDescent="0.3"/>
    <row r="43591" ht="14.4" x14ac:dyDescent="0.3"/>
    <row r="43592" ht="14.4" x14ac:dyDescent="0.3"/>
    <row r="43593" ht="14.4" x14ac:dyDescent="0.3"/>
    <row r="43594" ht="14.4" x14ac:dyDescent="0.3"/>
    <row r="43595" ht="14.4" x14ac:dyDescent="0.3"/>
    <row r="43596" ht="14.4" x14ac:dyDescent="0.3"/>
    <row r="43597" ht="14.4" x14ac:dyDescent="0.3"/>
    <row r="43598" ht="14.4" x14ac:dyDescent="0.3"/>
    <row r="43599" ht="14.4" x14ac:dyDescent="0.3"/>
    <row r="43600" ht="14.4" x14ac:dyDescent="0.3"/>
    <row r="43601" ht="14.4" x14ac:dyDescent="0.3"/>
    <row r="43602" ht="14.4" x14ac:dyDescent="0.3"/>
    <row r="43603" ht="14.4" x14ac:dyDescent="0.3"/>
    <row r="43604" ht="14.4" x14ac:dyDescent="0.3"/>
    <row r="43605" ht="14.4" x14ac:dyDescent="0.3"/>
    <row r="43606" ht="14.4" x14ac:dyDescent="0.3"/>
    <row r="43607" ht="14.4" x14ac:dyDescent="0.3"/>
    <row r="43608" ht="14.4" x14ac:dyDescent="0.3"/>
    <row r="43609" ht="14.4" x14ac:dyDescent="0.3"/>
    <row r="43610" ht="14.4" x14ac:dyDescent="0.3"/>
    <row r="43611" ht="14.4" x14ac:dyDescent="0.3"/>
    <row r="43612" ht="14.4" x14ac:dyDescent="0.3"/>
    <row r="43613" ht="14.4" x14ac:dyDescent="0.3"/>
    <row r="43614" ht="14.4" x14ac:dyDescent="0.3"/>
    <row r="43615" ht="14.4" x14ac:dyDescent="0.3"/>
    <row r="43616" ht="14.4" x14ac:dyDescent="0.3"/>
    <row r="43617" ht="14.4" x14ac:dyDescent="0.3"/>
    <row r="43618" ht="14.4" x14ac:dyDescent="0.3"/>
    <row r="43619" ht="14.4" x14ac:dyDescent="0.3"/>
    <row r="43620" ht="14.4" x14ac:dyDescent="0.3"/>
    <row r="43621" ht="14.4" x14ac:dyDescent="0.3"/>
    <row r="43622" ht="14.4" x14ac:dyDescent="0.3"/>
    <row r="43623" ht="14.4" x14ac:dyDescent="0.3"/>
    <row r="43624" ht="14.4" x14ac:dyDescent="0.3"/>
    <row r="43625" ht="14.4" x14ac:dyDescent="0.3"/>
    <row r="43626" ht="14.4" x14ac:dyDescent="0.3"/>
    <row r="43627" ht="14.4" x14ac:dyDescent="0.3"/>
    <row r="43628" ht="14.4" x14ac:dyDescent="0.3"/>
    <row r="43629" ht="14.4" x14ac:dyDescent="0.3"/>
    <row r="43630" ht="14.4" x14ac:dyDescent="0.3"/>
    <row r="43631" ht="14.4" x14ac:dyDescent="0.3"/>
    <row r="43632" ht="14.4" x14ac:dyDescent="0.3"/>
    <row r="43633" ht="14.4" x14ac:dyDescent="0.3"/>
    <row r="43634" ht="14.4" x14ac:dyDescent="0.3"/>
    <row r="43635" ht="14.4" x14ac:dyDescent="0.3"/>
    <row r="43636" ht="14.4" x14ac:dyDescent="0.3"/>
    <row r="43637" ht="14.4" x14ac:dyDescent="0.3"/>
    <row r="43638" ht="14.4" x14ac:dyDescent="0.3"/>
    <row r="43639" ht="14.4" x14ac:dyDescent="0.3"/>
    <row r="43640" ht="14.4" x14ac:dyDescent="0.3"/>
    <row r="43641" ht="14.4" x14ac:dyDescent="0.3"/>
    <row r="43642" ht="14.4" x14ac:dyDescent="0.3"/>
    <row r="43643" ht="14.4" x14ac:dyDescent="0.3"/>
    <row r="43644" ht="14.4" x14ac:dyDescent="0.3"/>
    <row r="43645" ht="14.4" x14ac:dyDescent="0.3"/>
    <row r="43646" ht="14.4" x14ac:dyDescent="0.3"/>
    <row r="43647" ht="14.4" x14ac:dyDescent="0.3"/>
    <row r="43648" ht="14.4" x14ac:dyDescent="0.3"/>
    <row r="43649" ht="14.4" x14ac:dyDescent="0.3"/>
    <row r="43650" ht="14.4" x14ac:dyDescent="0.3"/>
    <row r="43651" ht="14.4" x14ac:dyDescent="0.3"/>
    <row r="43652" ht="14.4" x14ac:dyDescent="0.3"/>
    <row r="43653" ht="14.4" x14ac:dyDescent="0.3"/>
    <row r="43654" ht="14.4" x14ac:dyDescent="0.3"/>
    <row r="43655" ht="14.4" x14ac:dyDescent="0.3"/>
    <row r="43656" ht="14.4" x14ac:dyDescent="0.3"/>
    <row r="43657" ht="14.4" x14ac:dyDescent="0.3"/>
    <row r="43658" ht="14.4" x14ac:dyDescent="0.3"/>
    <row r="43659" ht="14.4" x14ac:dyDescent="0.3"/>
    <row r="43660" ht="14.4" x14ac:dyDescent="0.3"/>
    <row r="43661" ht="14.4" x14ac:dyDescent="0.3"/>
    <row r="43662" ht="14.4" x14ac:dyDescent="0.3"/>
    <row r="43663" ht="14.4" x14ac:dyDescent="0.3"/>
    <row r="43664" ht="14.4" x14ac:dyDescent="0.3"/>
    <row r="43665" ht="14.4" x14ac:dyDescent="0.3"/>
    <row r="43666" ht="14.4" x14ac:dyDescent="0.3"/>
    <row r="43667" ht="14.4" x14ac:dyDescent="0.3"/>
    <row r="43668" ht="14.4" x14ac:dyDescent="0.3"/>
    <row r="43669" ht="14.4" x14ac:dyDescent="0.3"/>
    <row r="43670" ht="14.4" x14ac:dyDescent="0.3"/>
    <row r="43671" ht="14.4" x14ac:dyDescent="0.3"/>
    <row r="43672" ht="14.4" x14ac:dyDescent="0.3"/>
    <row r="43673" ht="14.4" x14ac:dyDescent="0.3"/>
    <row r="43674" ht="14.4" x14ac:dyDescent="0.3"/>
    <row r="43675" ht="14.4" x14ac:dyDescent="0.3"/>
    <row r="43676" ht="14.4" x14ac:dyDescent="0.3"/>
    <row r="43677" ht="14.4" x14ac:dyDescent="0.3"/>
    <row r="43678" ht="14.4" x14ac:dyDescent="0.3"/>
    <row r="43679" ht="14.4" x14ac:dyDescent="0.3"/>
    <row r="43680" ht="14.4" x14ac:dyDescent="0.3"/>
    <row r="43681" ht="14.4" x14ac:dyDescent="0.3"/>
    <row r="43682" ht="14.4" x14ac:dyDescent="0.3"/>
    <row r="43683" ht="14.4" x14ac:dyDescent="0.3"/>
    <row r="43684" ht="14.4" x14ac:dyDescent="0.3"/>
    <row r="43685" ht="14.4" x14ac:dyDescent="0.3"/>
    <row r="43686" ht="14.4" x14ac:dyDescent="0.3"/>
    <row r="43687" ht="14.4" x14ac:dyDescent="0.3"/>
    <row r="43688" ht="14.4" x14ac:dyDescent="0.3"/>
    <row r="43689" ht="14.4" x14ac:dyDescent="0.3"/>
    <row r="43690" ht="14.4" x14ac:dyDescent="0.3"/>
    <row r="43691" ht="14.4" x14ac:dyDescent="0.3"/>
    <row r="43692" ht="14.4" x14ac:dyDescent="0.3"/>
    <row r="43693" ht="14.4" x14ac:dyDescent="0.3"/>
    <row r="43694" ht="14.4" x14ac:dyDescent="0.3"/>
    <row r="43695" ht="14.4" x14ac:dyDescent="0.3"/>
    <row r="43696" ht="14.4" x14ac:dyDescent="0.3"/>
    <row r="43697" ht="14.4" x14ac:dyDescent="0.3"/>
    <row r="43698" ht="14.4" x14ac:dyDescent="0.3"/>
    <row r="43699" ht="14.4" x14ac:dyDescent="0.3"/>
    <row r="43700" ht="14.4" x14ac:dyDescent="0.3"/>
    <row r="43701" ht="14.4" x14ac:dyDescent="0.3"/>
    <row r="43702" ht="14.4" x14ac:dyDescent="0.3"/>
    <row r="43703" ht="14.4" x14ac:dyDescent="0.3"/>
    <row r="43704" ht="14.4" x14ac:dyDescent="0.3"/>
    <row r="43705" ht="14.4" x14ac:dyDescent="0.3"/>
    <row r="43706" ht="14.4" x14ac:dyDescent="0.3"/>
    <row r="43707" ht="14.4" x14ac:dyDescent="0.3"/>
    <row r="43708" ht="14.4" x14ac:dyDescent="0.3"/>
    <row r="43709" ht="14.4" x14ac:dyDescent="0.3"/>
    <row r="43710" ht="14.4" x14ac:dyDescent="0.3"/>
    <row r="43711" ht="14.4" x14ac:dyDescent="0.3"/>
    <row r="43712" ht="14.4" x14ac:dyDescent="0.3"/>
    <row r="43713" ht="14.4" x14ac:dyDescent="0.3"/>
    <row r="43714" ht="14.4" x14ac:dyDescent="0.3"/>
    <row r="43715" ht="14.4" x14ac:dyDescent="0.3"/>
    <row r="43716" ht="14.4" x14ac:dyDescent="0.3"/>
    <row r="43717" ht="14.4" x14ac:dyDescent="0.3"/>
    <row r="43718" ht="14.4" x14ac:dyDescent="0.3"/>
    <row r="43719" ht="14.4" x14ac:dyDescent="0.3"/>
    <row r="43720" ht="14.4" x14ac:dyDescent="0.3"/>
    <row r="43721" ht="14.4" x14ac:dyDescent="0.3"/>
    <row r="43722" ht="14.4" x14ac:dyDescent="0.3"/>
    <row r="43723" ht="14.4" x14ac:dyDescent="0.3"/>
    <row r="43724" ht="14.4" x14ac:dyDescent="0.3"/>
    <row r="43725" ht="14.4" x14ac:dyDescent="0.3"/>
    <row r="43726" ht="14.4" x14ac:dyDescent="0.3"/>
    <row r="43727" ht="14.4" x14ac:dyDescent="0.3"/>
    <row r="43728" ht="14.4" x14ac:dyDescent="0.3"/>
    <row r="43729" ht="14.4" x14ac:dyDescent="0.3"/>
    <row r="43730" ht="14.4" x14ac:dyDescent="0.3"/>
    <row r="43731" ht="14.4" x14ac:dyDescent="0.3"/>
    <row r="43732" ht="14.4" x14ac:dyDescent="0.3"/>
    <row r="43733" ht="14.4" x14ac:dyDescent="0.3"/>
    <row r="43734" ht="14.4" x14ac:dyDescent="0.3"/>
    <row r="43735" ht="14.4" x14ac:dyDescent="0.3"/>
    <row r="43736" ht="14.4" x14ac:dyDescent="0.3"/>
    <row r="43737" ht="14.4" x14ac:dyDescent="0.3"/>
    <row r="43738" ht="14.4" x14ac:dyDescent="0.3"/>
    <row r="43739" ht="14.4" x14ac:dyDescent="0.3"/>
    <row r="43740" ht="14.4" x14ac:dyDescent="0.3"/>
    <row r="43741" ht="14.4" x14ac:dyDescent="0.3"/>
    <row r="43742" ht="14.4" x14ac:dyDescent="0.3"/>
    <row r="43743" ht="14.4" x14ac:dyDescent="0.3"/>
    <row r="43744" ht="14.4" x14ac:dyDescent="0.3"/>
    <row r="43745" ht="14.4" x14ac:dyDescent="0.3"/>
    <row r="43746" ht="14.4" x14ac:dyDescent="0.3"/>
    <row r="43747" ht="14.4" x14ac:dyDescent="0.3"/>
    <row r="43748" ht="14.4" x14ac:dyDescent="0.3"/>
    <row r="43749" ht="14.4" x14ac:dyDescent="0.3"/>
    <row r="43750" ht="14.4" x14ac:dyDescent="0.3"/>
    <row r="43751" ht="14.4" x14ac:dyDescent="0.3"/>
    <row r="43752" ht="14.4" x14ac:dyDescent="0.3"/>
    <row r="43753" ht="14.4" x14ac:dyDescent="0.3"/>
    <row r="43754" ht="14.4" x14ac:dyDescent="0.3"/>
    <row r="43755" ht="14.4" x14ac:dyDescent="0.3"/>
    <row r="43756" ht="14.4" x14ac:dyDescent="0.3"/>
    <row r="43757" ht="14.4" x14ac:dyDescent="0.3"/>
    <row r="43758" ht="14.4" x14ac:dyDescent="0.3"/>
    <row r="43759" ht="14.4" x14ac:dyDescent="0.3"/>
    <row r="43760" ht="14.4" x14ac:dyDescent="0.3"/>
    <row r="43761" ht="14.4" x14ac:dyDescent="0.3"/>
    <row r="43762" ht="14.4" x14ac:dyDescent="0.3"/>
    <row r="43763" ht="14.4" x14ac:dyDescent="0.3"/>
    <row r="43764" ht="14.4" x14ac:dyDescent="0.3"/>
    <row r="43765" ht="14.4" x14ac:dyDescent="0.3"/>
    <row r="43766" ht="14.4" x14ac:dyDescent="0.3"/>
    <row r="43767" ht="14.4" x14ac:dyDescent="0.3"/>
    <row r="43768" ht="14.4" x14ac:dyDescent="0.3"/>
    <row r="43769" ht="14.4" x14ac:dyDescent="0.3"/>
    <row r="43770" ht="14.4" x14ac:dyDescent="0.3"/>
    <row r="43771" ht="14.4" x14ac:dyDescent="0.3"/>
    <row r="43772" ht="14.4" x14ac:dyDescent="0.3"/>
    <row r="43773" ht="14.4" x14ac:dyDescent="0.3"/>
    <row r="43774" ht="14.4" x14ac:dyDescent="0.3"/>
    <row r="43775" ht="14.4" x14ac:dyDescent="0.3"/>
    <row r="43776" ht="14.4" x14ac:dyDescent="0.3"/>
    <row r="43777" ht="14.4" x14ac:dyDescent="0.3"/>
    <row r="43778" ht="14.4" x14ac:dyDescent="0.3"/>
    <row r="43779" ht="14.4" x14ac:dyDescent="0.3"/>
    <row r="43780" ht="14.4" x14ac:dyDescent="0.3"/>
    <row r="43781" ht="14.4" x14ac:dyDescent="0.3"/>
    <row r="43782" ht="14.4" x14ac:dyDescent="0.3"/>
    <row r="43783" ht="14.4" x14ac:dyDescent="0.3"/>
    <row r="43784" ht="14.4" x14ac:dyDescent="0.3"/>
    <row r="43785" ht="14.4" x14ac:dyDescent="0.3"/>
    <row r="43786" ht="14.4" x14ac:dyDescent="0.3"/>
    <row r="43787" ht="14.4" x14ac:dyDescent="0.3"/>
    <row r="43788" ht="14.4" x14ac:dyDescent="0.3"/>
    <row r="43789" ht="14.4" x14ac:dyDescent="0.3"/>
    <row r="43790" ht="14.4" x14ac:dyDescent="0.3"/>
    <row r="43791" ht="14.4" x14ac:dyDescent="0.3"/>
    <row r="43792" ht="14.4" x14ac:dyDescent="0.3"/>
    <row r="43793" ht="14.4" x14ac:dyDescent="0.3"/>
    <row r="43794" ht="14.4" x14ac:dyDescent="0.3"/>
    <row r="43795" ht="14.4" x14ac:dyDescent="0.3"/>
    <row r="43796" ht="14.4" x14ac:dyDescent="0.3"/>
    <row r="43797" ht="14.4" x14ac:dyDescent="0.3"/>
    <row r="43798" ht="14.4" x14ac:dyDescent="0.3"/>
    <row r="43799" ht="14.4" x14ac:dyDescent="0.3"/>
    <row r="43800" ht="14.4" x14ac:dyDescent="0.3"/>
    <row r="43801" ht="14.4" x14ac:dyDescent="0.3"/>
    <row r="43802" ht="14.4" x14ac:dyDescent="0.3"/>
    <row r="43803" ht="14.4" x14ac:dyDescent="0.3"/>
    <row r="43804" ht="14.4" x14ac:dyDescent="0.3"/>
    <row r="43805" ht="14.4" x14ac:dyDescent="0.3"/>
    <row r="43806" ht="14.4" x14ac:dyDescent="0.3"/>
    <row r="43807" ht="14.4" x14ac:dyDescent="0.3"/>
    <row r="43808" ht="14.4" x14ac:dyDescent="0.3"/>
    <row r="43809" ht="14.4" x14ac:dyDescent="0.3"/>
    <row r="43810" ht="14.4" x14ac:dyDescent="0.3"/>
    <row r="43811" ht="14.4" x14ac:dyDescent="0.3"/>
    <row r="43812" ht="14.4" x14ac:dyDescent="0.3"/>
    <row r="43813" ht="14.4" x14ac:dyDescent="0.3"/>
    <row r="43814" ht="14.4" x14ac:dyDescent="0.3"/>
    <row r="43815" ht="14.4" x14ac:dyDescent="0.3"/>
    <row r="43816" ht="14.4" x14ac:dyDescent="0.3"/>
    <row r="43817" ht="14.4" x14ac:dyDescent="0.3"/>
    <row r="43818" ht="14.4" x14ac:dyDescent="0.3"/>
    <row r="43819" ht="14.4" x14ac:dyDescent="0.3"/>
    <row r="43820" ht="14.4" x14ac:dyDescent="0.3"/>
    <row r="43821" ht="14.4" x14ac:dyDescent="0.3"/>
    <row r="43822" ht="14.4" x14ac:dyDescent="0.3"/>
    <row r="43823" ht="14.4" x14ac:dyDescent="0.3"/>
    <row r="43824" ht="14.4" x14ac:dyDescent="0.3"/>
    <row r="43825" ht="14.4" x14ac:dyDescent="0.3"/>
    <row r="43826" ht="14.4" x14ac:dyDescent="0.3"/>
    <row r="43827" ht="14.4" x14ac:dyDescent="0.3"/>
    <row r="43828" ht="14.4" x14ac:dyDescent="0.3"/>
    <row r="43829" ht="14.4" x14ac:dyDescent="0.3"/>
    <row r="43830" ht="14.4" x14ac:dyDescent="0.3"/>
    <row r="43831" ht="14.4" x14ac:dyDescent="0.3"/>
    <row r="43832" ht="14.4" x14ac:dyDescent="0.3"/>
    <row r="43833" ht="14.4" x14ac:dyDescent="0.3"/>
    <row r="43834" ht="14.4" x14ac:dyDescent="0.3"/>
    <row r="43835" ht="14.4" x14ac:dyDescent="0.3"/>
    <row r="43836" ht="14.4" x14ac:dyDescent="0.3"/>
    <row r="43837" ht="14.4" x14ac:dyDescent="0.3"/>
    <row r="43838" ht="14.4" x14ac:dyDescent="0.3"/>
    <row r="43839" ht="14.4" x14ac:dyDescent="0.3"/>
    <row r="43840" ht="14.4" x14ac:dyDescent="0.3"/>
    <row r="43841" ht="14.4" x14ac:dyDescent="0.3"/>
    <row r="43842" ht="14.4" x14ac:dyDescent="0.3"/>
    <row r="43843" ht="14.4" x14ac:dyDescent="0.3"/>
    <row r="43844" ht="14.4" x14ac:dyDescent="0.3"/>
    <row r="43845" ht="14.4" x14ac:dyDescent="0.3"/>
    <row r="43846" ht="14.4" x14ac:dyDescent="0.3"/>
    <row r="43847" ht="14.4" x14ac:dyDescent="0.3"/>
    <row r="43848" ht="14.4" x14ac:dyDescent="0.3"/>
    <row r="43849" ht="14.4" x14ac:dyDescent="0.3"/>
    <row r="43850" ht="14.4" x14ac:dyDescent="0.3"/>
    <row r="43851" ht="14.4" x14ac:dyDescent="0.3"/>
    <row r="43852" ht="14.4" x14ac:dyDescent="0.3"/>
    <row r="43853" ht="14.4" x14ac:dyDescent="0.3"/>
    <row r="43854" ht="14.4" x14ac:dyDescent="0.3"/>
    <row r="43855" ht="14.4" x14ac:dyDescent="0.3"/>
    <row r="43856" ht="14.4" x14ac:dyDescent="0.3"/>
    <row r="43857" ht="14.4" x14ac:dyDescent="0.3"/>
    <row r="43858" ht="14.4" x14ac:dyDescent="0.3"/>
    <row r="43859" ht="14.4" x14ac:dyDescent="0.3"/>
    <row r="43860" ht="14.4" x14ac:dyDescent="0.3"/>
    <row r="43861" ht="14.4" x14ac:dyDescent="0.3"/>
    <row r="43862" ht="14.4" x14ac:dyDescent="0.3"/>
    <row r="43863" ht="14.4" x14ac:dyDescent="0.3"/>
    <row r="43864" ht="14.4" x14ac:dyDescent="0.3"/>
    <row r="43865" ht="14.4" x14ac:dyDescent="0.3"/>
    <row r="43866" ht="14.4" x14ac:dyDescent="0.3"/>
    <row r="43867" ht="14.4" x14ac:dyDescent="0.3"/>
    <row r="43868" ht="14.4" x14ac:dyDescent="0.3"/>
    <row r="43869" ht="14.4" x14ac:dyDescent="0.3"/>
    <row r="43870" ht="14.4" x14ac:dyDescent="0.3"/>
    <row r="43871" ht="14.4" x14ac:dyDescent="0.3"/>
    <row r="43872" ht="14.4" x14ac:dyDescent="0.3"/>
    <row r="43873" ht="14.4" x14ac:dyDescent="0.3"/>
    <row r="43874" ht="14.4" x14ac:dyDescent="0.3"/>
    <row r="43875" ht="14.4" x14ac:dyDescent="0.3"/>
    <row r="43876" ht="14.4" x14ac:dyDescent="0.3"/>
    <row r="43877" ht="14.4" x14ac:dyDescent="0.3"/>
    <row r="43878" ht="14.4" x14ac:dyDescent="0.3"/>
    <row r="43879" ht="14.4" x14ac:dyDescent="0.3"/>
    <row r="43880" ht="14.4" x14ac:dyDescent="0.3"/>
    <row r="43881" ht="14.4" x14ac:dyDescent="0.3"/>
    <row r="43882" ht="14.4" x14ac:dyDescent="0.3"/>
    <row r="43883" ht="14.4" x14ac:dyDescent="0.3"/>
    <row r="43884" ht="14.4" x14ac:dyDescent="0.3"/>
    <row r="43885" ht="14.4" x14ac:dyDescent="0.3"/>
    <row r="43886" ht="14.4" x14ac:dyDescent="0.3"/>
    <row r="43887" ht="14.4" x14ac:dyDescent="0.3"/>
    <row r="43888" ht="14.4" x14ac:dyDescent="0.3"/>
    <row r="43889" ht="14.4" x14ac:dyDescent="0.3"/>
    <row r="43890" ht="14.4" x14ac:dyDescent="0.3"/>
    <row r="43891" ht="14.4" x14ac:dyDescent="0.3"/>
    <row r="43892" ht="14.4" x14ac:dyDescent="0.3"/>
    <row r="43893" ht="14.4" x14ac:dyDescent="0.3"/>
    <row r="43894" ht="14.4" x14ac:dyDescent="0.3"/>
    <row r="43895" ht="14.4" x14ac:dyDescent="0.3"/>
    <row r="43896" ht="14.4" x14ac:dyDescent="0.3"/>
    <row r="43897" ht="14.4" x14ac:dyDescent="0.3"/>
    <row r="43898" ht="14.4" x14ac:dyDescent="0.3"/>
    <row r="43899" ht="14.4" x14ac:dyDescent="0.3"/>
    <row r="43900" ht="14.4" x14ac:dyDescent="0.3"/>
    <row r="43901" ht="14.4" x14ac:dyDescent="0.3"/>
    <row r="43902" ht="14.4" x14ac:dyDescent="0.3"/>
    <row r="43903" ht="14.4" x14ac:dyDescent="0.3"/>
    <row r="43904" ht="14.4" x14ac:dyDescent="0.3"/>
    <row r="43905" ht="14.4" x14ac:dyDescent="0.3"/>
    <row r="43906" ht="14.4" x14ac:dyDescent="0.3"/>
    <row r="43907" ht="14.4" x14ac:dyDescent="0.3"/>
    <row r="43908" ht="14.4" x14ac:dyDescent="0.3"/>
    <row r="43909" ht="14.4" x14ac:dyDescent="0.3"/>
    <row r="43910" ht="14.4" x14ac:dyDescent="0.3"/>
    <row r="43911" ht="14.4" x14ac:dyDescent="0.3"/>
    <row r="43912" ht="14.4" x14ac:dyDescent="0.3"/>
    <row r="43913" ht="14.4" x14ac:dyDescent="0.3"/>
    <row r="43914" ht="14.4" x14ac:dyDescent="0.3"/>
    <row r="43915" ht="14.4" x14ac:dyDescent="0.3"/>
    <row r="43916" ht="14.4" x14ac:dyDescent="0.3"/>
    <row r="43917" ht="14.4" x14ac:dyDescent="0.3"/>
    <row r="43918" ht="14.4" x14ac:dyDescent="0.3"/>
    <row r="43919" ht="14.4" x14ac:dyDescent="0.3"/>
    <row r="43920" ht="14.4" x14ac:dyDescent="0.3"/>
    <row r="43921" ht="14.4" x14ac:dyDescent="0.3"/>
    <row r="43922" ht="14.4" x14ac:dyDescent="0.3"/>
    <row r="43923" ht="14.4" x14ac:dyDescent="0.3"/>
    <row r="43924" ht="14.4" x14ac:dyDescent="0.3"/>
    <row r="43925" ht="14.4" x14ac:dyDescent="0.3"/>
    <row r="43926" ht="14.4" x14ac:dyDescent="0.3"/>
    <row r="43927" ht="14.4" x14ac:dyDescent="0.3"/>
    <row r="43928" ht="14.4" x14ac:dyDescent="0.3"/>
    <row r="43929" ht="14.4" x14ac:dyDescent="0.3"/>
    <row r="43930" ht="14.4" x14ac:dyDescent="0.3"/>
    <row r="43931" ht="14.4" x14ac:dyDescent="0.3"/>
    <row r="43932" ht="14.4" x14ac:dyDescent="0.3"/>
    <row r="43933" ht="14.4" x14ac:dyDescent="0.3"/>
    <row r="43934" ht="14.4" x14ac:dyDescent="0.3"/>
    <row r="43935" ht="14.4" x14ac:dyDescent="0.3"/>
    <row r="43936" ht="14.4" x14ac:dyDescent="0.3"/>
    <row r="43937" ht="14.4" x14ac:dyDescent="0.3"/>
    <row r="43938" ht="14.4" x14ac:dyDescent="0.3"/>
    <row r="43939" ht="14.4" x14ac:dyDescent="0.3"/>
    <row r="43940" ht="14.4" x14ac:dyDescent="0.3"/>
    <row r="43941" ht="14.4" x14ac:dyDescent="0.3"/>
    <row r="43942" ht="14.4" x14ac:dyDescent="0.3"/>
    <row r="43943" ht="14.4" x14ac:dyDescent="0.3"/>
    <row r="43944" ht="14.4" x14ac:dyDescent="0.3"/>
    <row r="43945" ht="14.4" x14ac:dyDescent="0.3"/>
    <row r="43946" ht="14.4" x14ac:dyDescent="0.3"/>
    <row r="43947" ht="14.4" x14ac:dyDescent="0.3"/>
    <row r="43948" ht="14.4" x14ac:dyDescent="0.3"/>
    <row r="43949" ht="14.4" x14ac:dyDescent="0.3"/>
    <row r="43950" ht="14.4" x14ac:dyDescent="0.3"/>
    <row r="43951" ht="14.4" x14ac:dyDescent="0.3"/>
    <row r="43952" ht="14.4" x14ac:dyDescent="0.3"/>
    <row r="43953" ht="14.4" x14ac:dyDescent="0.3"/>
    <row r="43954" ht="14.4" x14ac:dyDescent="0.3"/>
    <row r="43955" ht="14.4" x14ac:dyDescent="0.3"/>
    <row r="43956" ht="14.4" x14ac:dyDescent="0.3"/>
    <row r="43957" ht="14.4" x14ac:dyDescent="0.3"/>
    <row r="43958" ht="14.4" x14ac:dyDescent="0.3"/>
    <row r="43959" ht="14.4" x14ac:dyDescent="0.3"/>
    <row r="43960" ht="14.4" x14ac:dyDescent="0.3"/>
    <row r="43961" ht="14.4" x14ac:dyDescent="0.3"/>
    <row r="43962" ht="14.4" x14ac:dyDescent="0.3"/>
    <row r="43963" ht="14.4" x14ac:dyDescent="0.3"/>
    <row r="43964" ht="14.4" x14ac:dyDescent="0.3"/>
    <row r="43965" ht="14.4" x14ac:dyDescent="0.3"/>
    <row r="43966" ht="14.4" x14ac:dyDescent="0.3"/>
    <row r="43967" ht="14.4" x14ac:dyDescent="0.3"/>
    <row r="43968" ht="14.4" x14ac:dyDescent="0.3"/>
    <row r="43969" ht="14.4" x14ac:dyDescent="0.3"/>
    <row r="43970" ht="14.4" x14ac:dyDescent="0.3"/>
    <row r="43971" ht="14.4" x14ac:dyDescent="0.3"/>
    <row r="43972" ht="14.4" x14ac:dyDescent="0.3"/>
    <row r="43973" ht="14.4" x14ac:dyDescent="0.3"/>
    <row r="43974" ht="14.4" x14ac:dyDescent="0.3"/>
    <row r="43975" ht="14.4" x14ac:dyDescent="0.3"/>
    <row r="43976" ht="14.4" x14ac:dyDescent="0.3"/>
    <row r="43977" ht="14.4" x14ac:dyDescent="0.3"/>
    <row r="43978" ht="14.4" x14ac:dyDescent="0.3"/>
    <row r="43979" ht="14.4" x14ac:dyDescent="0.3"/>
    <row r="43980" ht="14.4" x14ac:dyDescent="0.3"/>
    <row r="43981" ht="14.4" x14ac:dyDescent="0.3"/>
    <row r="43982" ht="14.4" x14ac:dyDescent="0.3"/>
    <row r="43983" ht="14.4" x14ac:dyDescent="0.3"/>
    <row r="43984" ht="14.4" x14ac:dyDescent="0.3"/>
    <row r="43985" ht="14.4" x14ac:dyDescent="0.3"/>
    <row r="43986" ht="14.4" x14ac:dyDescent="0.3"/>
    <row r="43987" ht="14.4" x14ac:dyDescent="0.3"/>
    <row r="43988" ht="14.4" x14ac:dyDescent="0.3"/>
    <row r="43989" ht="14.4" x14ac:dyDescent="0.3"/>
    <row r="43990" ht="14.4" x14ac:dyDescent="0.3"/>
    <row r="43991" ht="14.4" x14ac:dyDescent="0.3"/>
    <row r="43992" ht="14.4" x14ac:dyDescent="0.3"/>
    <row r="43993" ht="14.4" x14ac:dyDescent="0.3"/>
    <row r="43994" ht="14.4" x14ac:dyDescent="0.3"/>
    <row r="43995" ht="14.4" x14ac:dyDescent="0.3"/>
    <row r="43996" ht="14.4" x14ac:dyDescent="0.3"/>
    <row r="43997" ht="14.4" x14ac:dyDescent="0.3"/>
    <row r="43998" ht="14.4" x14ac:dyDescent="0.3"/>
    <row r="43999" ht="14.4" x14ac:dyDescent="0.3"/>
    <row r="44000" ht="14.4" x14ac:dyDescent="0.3"/>
    <row r="44001" spans="1:43" ht="14.4" hidden="1" x14ac:dyDescent="0.3">
      <c r="A44001" t="s">
        <v>5511</v>
      </c>
      <c r="B44001">
        <v>4893426</v>
      </c>
      <c r="C44001" t="s">
        <v>842</v>
      </c>
      <c r="D44001" t="s">
        <v>843</v>
      </c>
      <c r="E44001" t="s">
        <v>844</v>
      </c>
      <c r="F44001" t="s">
        <v>1270</v>
      </c>
      <c r="H44001" t="s">
        <v>5512</v>
      </c>
      <c r="J44001" t="s">
        <v>140</v>
      </c>
      <c r="K44001">
        <v>161383.35879999999</v>
      </c>
      <c r="L44001">
        <v>383062.05790000001</v>
      </c>
      <c r="N44001" t="s">
        <v>382</v>
      </c>
      <c r="O44001" t="s">
        <v>479</v>
      </c>
      <c r="P44001" t="s">
        <v>1272</v>
      </c>
      <c r="Q44001" t="s">
        <v>358</v>
      </c>
      <c r="R44001" t="s">
        <v>145</v>
      </c>
      <c r="S44001">
        <v>35</v>
      </c>
      <c r="T44001">
        <v>3300</v>
      </c>
      <c r="V44001" t="s">
        <v>359</v>
      </c>
      <c r="W44001" t="s">
        <v>415</v>
      </c>
      <c r="X44001" t="s">
        <v>7</v>
      </c>
      <c r="Y44001" t="s">
        <v>1273</v>
      </c>
      <c r="Z44001" t="s">
        <v>479</v>
      </c>
      <c r="AA44001" t="s">
        <v>737</v>
      </c>
      <c r="AB44001">
        <v>0</v>
      </c>
      <c r="AE44001" t="s">
        <v>550</v>
      </c>
      <c r="AF44001" t="s">
        <v>479</v>
      </c>
      <c r="AG44001" t="s">
        <v>737</v>
      </c>
      <c r="AL44001" t="s">
        <v>5513</v>
      </c>
      <c r="AM44001" t="s">
        <v>5514</v>
      </c>
      <c r="AN44001" t="s">
        <v>5515</v>
      </c>
      <c r="AO44001" t="s">
        <v>382</v>
      </c>
      <c r="AQ44001" t="str">
        <f>IF(ISBLANK(AP44001), IFERROR(IF(VLOOKUP(AO44001, Ellens_additions!$A$2:$B$252, 2, FALSE) = "", "", VLOOKUP(AO44001, Ellens_additions!$A$2:$B$252, 2, FALSE)), 0), AP44001)</f>
        <v/>
      </c>
    </row>
    <row r="44002" spans="1:43" ht="14.4" hidden="1" x14ac:dyDescent="0.3">
      <c r="A44002" t="s">
        <v>5516</v>
      </c>
      <c r="B44002">
        <v>4893427</v>
      </c>
      <c r="C44002" t="s">
        <v>842</v>
      </c>
      <c r="D44002" t="s">
        <v>843</v>
      </c>
      <c r="E44002" t="s">
        <v>844</v>
      </c>
      <c r="F44002" t="s">
        <v>1270</v>
      </c>
      <c r="H44002" t="s">
        <v>5517</v>
      </c>
      <c r="J44002" t="s">
        <v>140</v>
      </c>
      <c r="K44002">
        <v>161378.18539999999</v>
      </c>
      <c r="L44002">
        <v>383064.38329999999</v>
      </c>
      <c r="N44002" t="s">
        <v>382</v>
      </c>
      <c r="O44002" t="s">
        <v>479</v>
      </c>
      <c r="P44002" t="s">
        <v>1272</v>
      </c>
      <c r="Q44002" t="s">
        <v>358</v>
      </c>
      <c r="R44002" t="s">
        <v>145</v>
      </c>
      <c r="S44002">
        <v>35</v>
      </c>
      <c r="T44002">
        <v>3300</v>
      </c>
      <c r="V44002" t="s">
        <v>359</v>
      </c>
      <c r="W44002" t="s">
        <v>415</v>
      </c>
      <c r="X44002" t="s">
        <v>7</v>
      </c>
      <c r="Y44002" t="s">
        <v>1273</v>
      </c>
      <c r="Z44002" t="s">
        <v>479</v>
      </c>
      <c r="AA44002" t="s">
        <v>737</v>
      </c>
      <c r="AB44002">
        <v>0</v>
      </c>
      <c r="AE44002" t="s">
        <v>550</v>
      </c>
      <c r="AF44002" t="s">
        <v>479</v>
      </c>
      <c r="AG44002" t="s">
        <v>737</v>
      </c>
      <c r="AL44002" t="s">
        <v>5518</v>
      </c>
      <c r="AM44002" t="s">
        <v>5519</v>
      </c>
      <c r="AN44002" t="s">
        <v>5520</v>
      </c>
      <c r="AO44002" t="s">
        <v>382</v>
      </c>
      <c r="AQ44002" t="str">
        <f>IF(ISBLANK(AP44002), IFERROR(IF(VLOOKUP(AO44002, Ellens_additions!$A$2:$B$252, 2, FALSE) = "", "", VLOOKUP(AO44002, Ellens_additions!$A$2:$B$252, 2, FALSE)), 0), AP44002)</f>
        <v/>
      </c>
    </row>
    <row r="44003" spans="1:43" ht="14.4" hidden="1" x14ac:dyDescent="0.3">
      <c r="A44003" t="s">
        <v>5521</v>
      </c>
      <c r="B44003">
        <v>4893428</v>
      </c>
      <c r="C44003" t="s">
        <v>842</v>
      </c>
      <c r="D44003" t="s">
        <v>843</v>
      </c>
      <c r="E44003" t="s">
        <v>844</v>
      </c>
      <c r="F44003" t="s">
        <v>1270</v>
      </c>
      <c r="H44003" t="s">
        <v>5522</v>
      </c>
      <c r="J44003" t="s">
        <v>140</v>
      </c>
      <c r="K44003">
        <v>161374.22810000001</v>
      </c>
      <c r="L44003">
        <v>383066.19770000002</v>
      </c>
      <c r="N44003" t="s">
        <v>382</v>
      </c>
      <c r="O44003" t="s">
        <v>479</v>
      </c>
      <c r="P44003" t="s">
        <v>1272</v>
      </c>
      <c r="Q44003" t="s">
        <v>358</v>
      </c>
      <c r="R44003" t="s">
        <v>145</v>
      </c>
      <c r="S44003">
        <v>35</v>
      </c>
      <c r="T44003">
        <v>3300</v>
      </c>
      <c r="V44003" t="s">
        <v>359</v>
      </c>
      <c r="W44003" t="s">
        <v>415</v>
      </c>
      <c r="X44003" t="s">
        <v>7</v>
      </c>
      <c r="Y44003" t="s">
        <v>1273</v>
      </c>
      <c r="Z44003" t="s">
        <v>479</v>
      </c>
      <c r="AA44003" t="s">
        <v>737</v>
      </c>
      <c r="AB44003">
        <v>0</v>
      </c>
      <c r="AE44003" t="s">
        <v>550</v>
      </c>
      <c r="AF44003" t="s">
        <v>479</v>
      </c>
      <c r="AG44003" t="s">
        <v>737</v>
      </c>
      <c r="AL44003" t="s">
        <v>5523</v>
      </c>
      <c r="AM44003" t="s">
        <v>5524</v>
      </c>
      <c r="AN44003" t="s">
        <v>5525</v>
      </c>
      <c r="AO44003" t="s">
        <v>382</v>
      </c>
      <c r="AQ44003" t="str">
        <f>IF(ISBLANK(AP44003), IFERROR(IF(VLOOKUP(AO44003, Ellens_additions!$A$2:$B$252, 2, FALSE) = "", "", VLOOKUP(AO44003, Ellens_additions!$A$2:$B$252, 2, FALSE)), 0), AP44003)</f>
        <v/>
      </c>
    </row>
    <row r="44004" spans="1:43" ht="14.4" hidden="1" x14ac:dyDescent="0.3">
      <c r="A44004" t="s">
        <v>5526</v>
      </c>
      <c r="B44004">
        <v>4893438</v>
      </c>
      <c r="C44004" t="s">
        <v>842</v>
      </c>
      <c r="D44004" t="s">
        <v>843</v>
      </c>
      <c r="E44004" t="s">
        <v>844</v>
      </c>
      <c r="F44004" t="s">
        <v>1278</v>
      </c>
      <c r="H44004" t="s">
        <v>5527</v>
      </c>
      <c r="J44004" t="s">
        <v>140</v>
      </c>
      <c r="K44004">
        <v>161399.93659999999</v>
      </c>
      <c r="L44004">
        <v>383119.4045</v>
      </c>
      <c r="N44004" t="s">
        <v>382</v>
      </c>
      <c r="O44004" t="s">
        <v>479</v>
      </c>
      <c r="P44004" t="s">
        <v>1272</v>
      </c>
      <c r="Q44004" t="s">
        <v>358</v>
      </c>
      <c r="R44004" t="s">
        <v>145</v>
      </c>
      <c r="S44004">
        <v>35</v>
      </c>
      <c r="T44004">
        <v>3300</v>
      </c>
      <c r="V44004" t="s">
        <v>359</v>
      </c>
      <c r="W44004" t="s">
        <v>415</v>
      </c>
      <c r="Y44004" t="s">
        <v>1273</v>
      </c>
      <c r="Z44004" t="s">
        <v>479</v>
      </c>
      <c r="AA44004" t="s">
        <v>737</v>
      </c>
      <c r="AB44004">
        <v>0</v>
      </c>
      <c r="AE44004" t="s">
        <v>550</v>
      </c>
      <c r="AF44004" t="s">
        <v>479</v>
      </c>
      <c r="AG44004" t="s">
        <v>737</v>
      </c>
      <c r="AL44004" t="s">
        <v>5528</v>
      </c>
      <c r="AM44004" t="s">
        <v>5529</v>
      </c>
      <c r="AN44004" t="s">
        <v>5530</v>
      </c>
      <c r="AO44004" t="s">
        <v>382</v>
      </c>
      <c r="AQ44004" t="str">
        <f>IF(ISBLANK(AP44004), IFERROR(IF(VLOOKUP(AO44004, Ellens_additions!$A$2:$B$252, 2, FALSE) = "", "", VLOOKUP(AO44004, Ellens_additions!$A$2:$B$252, 2, FALSE)), 0), AP44004)</f>
        <v/>
      </c>
    </row>
    <row r="44005" spans="1:43" ht="14.4" x14ac:dyDescent="0.3"/>
    <row r="44006" spans="1:43" ht="14.4" x14ac:dyDescent="0.3"/>
    <row r="44007" spans="1:43" ht="14.4" x14ac:dyDescent="0.3"/>
    <row r="44008" spans="1:43" ht="14.4" x14ac:dyDescent="0.3"/>
    <row r="44009" spans="1:43" ht="14.4" x14ac:dyDescent="0.3"/>
    <row r="44010" spans="1:43" ht="14.4" x14ac:dyDescent="0.3"/>
    <row r="44011" spans="1:43" ht="14.4" x14ac:dyDescent="0.3"/>
    <row r="44012" spans="1:43" ht="14.4" hidden="1" x14ac:dyDescent="0.3">
      <c r="A44012" t="s">
        <v>5531</v>
      </c>
      <c r="B44012">
        <v>4893463</v>
      </c>
      <c r="C44012" t="s">
        <v>842</v>
      </c>
      <c r="D44012" t="s">
        <v>843</v>
      </c>
      <c r="E44012" t="s">
        <v>844</v>
      </c>
      <c r="F44012" t="s">
        <v>1278</v>
      </c>
      <c r="H44012" t="s">
        <v>5532</v>
      </c>
      <c r="J44012" t="s">
        <v>140</v>
      </c>
      <c r="K44012">
        <v>161370.2789</v>
      </c>
      <c r="L44012">
        <v>383093.88760000002</v>
      </c>
      <c r="N44012" t="s">
        <v>382</v>
      </c>
      <c r="O44012" t="s">
        <v>479</v>
      </c>
      <c r="P44012" t="s">
        <v>1272</v>
      </c>
      <c r="Q44012" t="s">
        <v>358</v>
      </c>
      <c r="R44012" t="s">
        <v>145</v>
      </c>
      <c r="S44012">
        <v>35</v>
      </c>
      <c r="T44012">
        <v>3300</v>
      </c>
      <c r="V44012" t="s">
        <v>359</v>
      </c>
      <c r="W44012" t="s">
        <v>415</v>
      </c>
      <c r="Y44012" t="s">
        <v>2873</v>
      </c>
      <c r="Z44012" t="s">
        <v>479</v>
      </c>
      <c r="AA44012" t="s">
        <v>737</v>
      </c>
      <c r="AB44012">
        <v>0</v>
      </c>
      <c r="AE44012" t="s">
        <v>1496</v>
      </c>
      <c r="AF44012" t="s">
        <v>479</v>
      </c>
      <c r="AG44012" t="s">
        <v>737</v>
      </c>
      <c r="AL44012" t="s">
        <v>5533</v>
      </c>
      <c r="AM44012" t="s">
        <v>5534</v>
      </c>
      <c r="AN44012" t="s">
        <v>5535</v>
      </c>
      <c r="AO44012" t="s">
        <v>382</v>
      </c>
      <c r="AQ44012" t="str">
        <f>IF(ISBLANK(AP44012), IFERROR(IF(VLOOKUP(AO44012, Ellens_additions!$A$2:$B$252, 2, FALSE) = "", "", VLOOKUP(AO44012, Ellens_additions!$A$2:$B$252, 2, FALSE)), 0), AP44012)</f>
        <v/>
      </c>
    </row>
    <row r="44013" spans="1:43" ht="14.4" hidden="1" x14ac:dyDescent="0.3">
      <c r="A44013" t="s">
        <v>5536</v>
      </c>
      <c r="B44013">
        <v>4893464</v>
      </c>
      <c r="C44013" t="s">
        <v>842</v>
      </c>
      <c r="D44013" t="s">
        <v>843</v>
      </c>
      <c r="E44013" t="s">
        <v>844</v>
      </c>
      <c r="F44013" t="s">
        <v>1278</v>
      </c>
      <c r="H44013" t="s">
        <v>5537</v>
      </c>
      <c r="J44013" t="s">
        <v>140</v>
      </c>
      <c r="K44013">
        <v>161372.84450000001</v>
      </c>
      <c r="L44013">
        <v>383091.44179999997</v>
      </c>
      <c r="N44013" t="s">
        <v>146</v>
      </c>
      <c r="O44013" t="s">
        <v>479</v>
      </c>
      <c r="P44013" t="s">
        <v>479</v>
      </c>
      <c r="Q44013" t="s">
        <v>144</v>
      </c>
      <c r="R44013" t="s">
        <v>145</v>
      </c>
      <c r="S44013">
        <v>0</v>
      </c>
      <c r="T44013">
        <v>0</v>
      </c>
      <c r="V44013" t="s">
        <v>146</v>
      </c>
      <c r="W44013" t="s">
        <v>415</v>
      </c>
      <c r="Y44013" t="s">
        <v>1334</v>
      </c>
      <c r="Z44013" t="s">
        <v>479</v>
      </c>
      <c r="AA44013" t="s">
        <v>519</v>
      </c>
      <c r="AB44013">
        <v>0</v>
      </c>
      <c r="AE44013" t="s">
        <v>1335</v>
      </c>
      <c r="AF44013" t="s">
        <v>479</v>
      </c>
      <c r="AG44013" t="s">
        <v>737</v>
      </c>
      <c r="AL44013" t="s">
        <v>5538</v>
      </c>
      <c r="AM44013" t="s">
        <v>5539</v>
      </c>
      <c r="AN44013" t="s">
        <v>5540</v>
      </c>
      <c r="AO44013" t="s">
        <v>146</v>
      </c>
      <c r="AQ44013" t="str">
        <f>IF(ISBLANK(AP44013), IFERROR(IF(VLOOKUP(AO44013, Ellens_additions!$A$2:$B$252, 2, FALSE) = "", "", VLOOKUP(AO44013, Ellens_additions!$A$2:$B$252, 2, FALSE)), 0), AP44013)</f>
        <v/>
      </c>
    </row>
    <row r="44014" spans="1:43" ht="14.4" hidden="1" x14ac:dyDescent="0.3">
      <c r="A44014" t="s">
        <v>5541</v>
      </c>
      <c r="B44014">
        <v>4893466</v>
      </c>
      <c r="C44014" t="s">
        <v>842</v>
      </c>
      <c r="D44014" t="s">
        <v>843</v>
      </c>
      <c r="E44014" t="s">
        <v>844</v>
      </c>
      <c r="F44014" t="s">
        <v>1278</v>
      </c>
      <c r="H44014" t="s">
        <v>5542</v>
      </c>
      <c r="J44014" t="s">
        <v>140</v>
      </c>
      <c r="K44014">
        <v>161382.74489999999</v>
      </c>
      <c r="L44014">
        <v>383105.6312</v>
      </c>
      <c r="N44014" t="s">
        <v>382</v>
      </c>
      <c r="O44014" t="s">
        <v>479</v>
      </c>
      <c r="P44014" t="s">
        <v>1272</v>
      </c>
      <c r="Q44014" t="s">
        <v>358</v>
      </c>
      <c r="R44014" t="s">
        <v>145</v>
      </c>
      <c r="S44014">
        <v>35</v>
      </c>
      <c r="T44014">
        <v>3300</v>
      </c>
      <c r="V44014" t="s">
        <v>359</v>
      </c>
      <c r="W44014" t="s">
        <v>415</v>
      </c>
      <c r="Y44014" t="s">
        <v>1273</v>
      </c>
      <c r="Z44014" t="s">
        <v>479</v>
      </c>
      <c r="AA44014" t="s">
        <v>737</v>
      </c>
      <c r="AB44014">
        <v>0</v>
      </c>
      <c r="AE44014" t="s">
        <v>550</v>
      </c>
      <c r="AF44014" t="s">
        <v>479</v>
      </c>
      <c r="AG44014" t="s">
        <v>737</v>
      </c>
      <c r="AL44014" t="s">
        <v>5543</v>
      </c>
      <c r="AM44014" t="s">
        <v>5544</v>
      </c>
      <c r="AN44014" t="s">
        <v>5545</v>
      </c>
      <c r="AO44014" t="s">
        <v>382</v>
      </c>
      <c r="AQ44014" t="str">
        <f>IF(ISBLANK(AP44014), IFERROR(IF(VLOOKUP(AO44014, Ellens_additions!$A$2:$B$252, 2, FALSE) = "", "", VLOOKUP(AO44014, Ellens_additions!$A$2:$B$252, 2, FALSE)), 0), AP44014)</f>
        <v/>
      </c>
    </row>
    <row r="44015" spans="1:43" ht="14.4" hidden="1" x14ac:dyDescent="0.3">
      <c r="A44015" t="s">
        <v>5546</v>
      </c>
      <c r="B44015">
        <v>4893469</v>
      </c>
      <c r="C44015" t="s">
        <v>842</v>
      </c>
      <c r="D44015" t="s">
        <v>843</v>
      </c>
      <c r="E44015" t="s">
        <v>844</v>
      </c>
      <c r="F44015" t="s">
        <v>1270</v>
      </c>
      <c r="H44015" t="s">
        <v>5547</v>
      </c>
      <c r="J44015" t="s">
        <v>140</v>
      </c>
      <c r="K44015">
        <v>161413.18100000001</v>
      </c>
      <c r="L44015">
        <v>383087.55699999997</v>
      </c>
      <c r="N44015" t="s">
        <v>1134</v>
      </c>
      <c r="O44015" t="s">
        <v>479</v>
      </c>
      <c r="P44015" t="s">
        <v>1341</v>
      </c>
      <c r="Q44015" t="s">
        <v>358</v>
      </c>
      <c r="R44015" t="s">
        <v>145</v>
      </c>
      <c r="S44015">
        <v>70</v>
      </c>
      <c r="T44015">
        <v>6600</v>
      </c>
      <c r="V44015" t="s">
        <v>359</v>
      </c>
      <c r="W44015" t="s">
        <v>415</v>
      </c>
      <c r="X44015" t="s">
        <v>7</v>
      </c>
      <c r="Y44015" t="s">
        <v>1342</v>
      </c>
      <c r="Z44015" t="s">
        <v>479</v>
      </c>
      <c r="AA44015" t="s">
        <v>737</v>
      </c>
      <c r="AB44015">
        <v>0</v>
      </c>
      <c r="AE44015" t="s">
        <v>550</v>
      </c>
      <c r="AF44015" t="s">
        <v>479</v>
      </c>
      <c r="AG44015" t="s">
        <v>737</v>
      </c>
      <c r="AL44015" t="s">
        <v>5548</v>
      </c>
      <c r="AM44015" t="s">
        <v>5549</v>
      </c>
      <c r="AN44015" t="s">
        <v>5550</v>
      </c>
      <c r="AO44015" t="s">
        <v>1134</v>
      </c>
      <c r="AQ44015" t="str">
        <f>IF(ISBLANK(AP44015), IFERROR(IF(VLOOKUP(AO44015, Ellens_additions!$A$2:$B$252, 2, FALSE) = "", "", VLOOKUP(AO44015, Ellens_additions!$A$2:$B$252, 2, FALSE)), 0), AP44015)</f>
        <v/>
      </c>
    </row>
    <row r="44016" spans="1:43" ht="14.4" hidden="1" x14ac:dyDescent="0.3">
      <c r="A44016" t="s">
        <v>5551</v>
      </c>
      <c r="B44016">
        <v>4893471</v>
      </c>
      <c r="C44016" t="s">
        <v>842</v>
      </c>
      <c r="D44016" t="s">
        <v>843</v>
      </c>
      <c r="E44016" t="s">
        <v>844</v>
      </c>
      <c r="F44016" t="s">
        <v>1278</v>
      </c>
      <c r="H44016" t="s">
        <v>5552</v>
      </c>
      <c r="J44016" t="s">
        <v>140</v>
      </c>
      <c r="K44016">
        <v>161385.2414</v>
      </c>
      <c r="L44016">
        <v>383104.64559999999</v>
      </c>
      <c r="N44016" t="s">
        <v>357</v>
      </c>
      <c r="O44016" t="s">
        <v>479</v>
      </c>
      <c r="P44016" t="s">
        <v>5553</v>
      </c>
      <c r="Q44016" t="s">
        <v>358</v>
      </c>
      <c r="R44016" t="s">
        <v>145</v>
      </c>
      <c r="S44016">
        <v>150</v>
      </c>
      <c r="T44016">
        <v>14000</v>
      </c>
      <c r="V44016" t="s">
        <v>359</v>
      </c>
      <c r="W44016" t="s">
        <v>415</v>
      </c>
      <c r="Y44016" t="s">
        <v>1085</v>
      </c>
      <c r="Z44016" t="s">
        <v>479</v>
      </c>
      <c r="AA44016" t="s">
        <v>737</v>
      </c>
      <c r="AB44016">
        <v>0</v>
      </c>
      <c r="AE44016" t="s">
        <v>550</v>
      </c>
      <c r="AF44016" t="s">
        <v>479</v>
      </c>
      <c r="AG44016" t="s">
        <v>737</v>
      </c>
      <c r="AL44016" t="s">
        <v>5554</v>
      </c>
      <c r="AM44016" t="s">
        <v>5555</v>
      </c>
      <c r="AN44016" t="s">
        <v>5556</v>
      </c>
      <c r="AO44016" t="s">
        <v>357</v>
      </c>
      <c r="AQ44016" t="str">
        <f>IF(ISBLANK(AP44016), IFERROR(IF(VLOOKUP(AO44016, Ellens_additions!$A$2:$B$252, 2, FALSE) = "", "", VLOOKUP(AO44016, Ellens_additions!$A$2:$B$252, 2, FALSE)), 0), AP44016)</f>
        <v/>
      </c>
    </row>
    <row r="44017" spans="1:43" ht="14.4" hidden="1" x14ac:dyDescent="0.3">
      <c r="A44017" t="s">
        <v>5557</v>
      </c>
      <c r="B44017">
        <v>4893473</v>
      </c>
      <c r="C44017" t="s">
        <v>842</v>
      </c>
      <c r="D44017" t="s">
        <v>843</v>
      </c>
      <c r="E44017" t="s">
        <v>844</v>
      </c>
      <c r="F44017" t="s">
        <v>1278</v>
      </c>
      <c r="H44017" t="s">
        <v>5558</v>
      </c>
      <c r="J44017" t="s">
        <v>140</v>
      </c>
      <c r="K44017">
        <v>161416.69089999999</v>
      </c>
      <c r="L44017">
        <v>383119.90120000002</v>
      </c>
      <c r="N44017" t="s">
        <v>146</v>
      </c>
      <c r="O44017" t="s">
        <v>479</v>
      </c>
      <c r="P44017" t="s">
        <v>479</v>
      </c>
      <c r="Q44017" t="s">
        <v>144</v>
      </c>
      <c r="R44017" t="s">
        <v>145</v>
      </c>
      <c r="S44017">
        <v>0</v>
      </c>
      <c r="T44017">
        <v>0</v>
      </c>
      <c r="V44017" t="s">
        <v>146</v>
      </c>
      <c r="W44017" t="s">
        <v>415</v>
      </c>
      <c r="Y44017" t="s">
        <v>1301</v>
      </c>
      <c r="Z44017" t="s">
        <v>479</v>
      </c>
      <c r="AA44017" t="s">
        <v>519</v>
      </c>
      <c r="AB44017">
        <v>0</v>
      </c>
      <c r="AE44017" t="s">
        <v>550</v>
      </c>
      <c r="AF44017" t="s">
        <v>479</v>
      </c>
      <c r="AG44017" t="s">
        <v>737</v>
      </c>
      <c r="AL44017" t="s">
        <v>5559</v>
      </c>
      <c r="AM44017" t="s">
        <v>5560</v>
      </c>
      <c r="AN44017" t="s">
        <v>5561</v>
      </c>
      <c r="AO44017" t="s">
        <v>146</v>
      </c>
      <c r="AQ44017" t="str">
        <f>IF(ISBLANK(AP44017), IFERROR(IF(VLOOKUP(AO44017, Ellens_additions!$A$2:$B$252, 2, FALSE) = "", "", VLOOKUP(AO44017, Ellens_additions!$A$2:$B$252, 2, FALSE)), 0), AP44017)</f>
        <v/>
      </c>
    </row>
    <row r="44018" spans="1:43" ht="14.4" hidden="1" x14ac:dyDescent="0.3">
      <c r="A44018" t="s">
        <v>5562</v>
      </c>
      <c r="B44018">
        <v>4893478</v>
      </c>
      <c r="C44018" t="s">
        <v>842</v>
      </c>
      <c r="D44018" t="s">
        <v>843</v>
      </c>
      <c r="E44018" t="s">
        <v>844</v>
      </c>
      <c r="F44018" t="s">
        <v>1299</v>
      </c>
      <c r="H44018" t="s">
        <v>5563</v>
      </c>
      <c r="J44018" t="s">
        <v>140</v>
      </c>
      <c r="K44018">
        <v>161421.78529999999</v>
      </c>
      <c r="L44018">
        <v>383120.19900000002</v>
      </c>
      <c r="N44018" t="s">
        <v>146</v>
      </c>
      <c r="O44018" t="s">
        <v>479</v>
      </c>
      <c r="P44018" t="s">
        <v>479</v>
      </c>
      <c r="Q44018" t="s">
        <v>144</v>
      </c>
      <c r="R44018" t="s">
        <v>145</v>
      </c>
      <c r="S44018">
        <v>0</v>
      </c>
      <c r="T44018">
        <v>0</v>
      </c>
      <c r="V44018" t="s">
        <v>146</v>
      </c>
      <c r="W44018" t="s">
        <v>415</v>
      </c>
      <c r="Y44018" t="s">
        <v>1301</v>
      </c>
      <c r="Z44018" t="s">
        <v>479</v>
      </c>
      <c r="AA44018" t="s">
        <v>519</v>
      </c>
      <c r="AB44018">
        <v>0</v>
      </c>
      <c r="AE44018" t="s">
        <v>550</v>
      </c>
      <c r="AF44018" t="s">
        <v>479</v>
      </c>
      <c r="AG44018" t="s">
        <v>737</v>
      </c>
      <c r="AL44018" t="s">
        <v>5564</v>
      </c>
      <c r="AM44018" t="s">
        <v>5565</v>
      </c>
      <c r="AN44018" t="s">
        <v>5566</v>
      </c>
      <c r="AO44018" t="s">
        <v>146</v>
      </c>
      <c r="AQ44018" t="str">
        <f>IF(ISBLANK(AP44018), IFERROR(IF(VLOOKUP(AO44018, Ellens_additions!$A$2:$B$252, 2, FALSE) = "", "", VLOOKUP(AO44018, Ellens_additions!$A$2:$B$252, 2, FALSE)), 0), AP44018)</f>
        <v/>
      </c>
    </row>
    <row r="44019" spans="1:43" ht="14.4" hidden="1" x14ac:dyDescent="0.3">
      <c r="A44019" t="s">
        <v>5567</v>
      </c>
      <c r="B44019">
        <v>4893484</v>
      </c>
      <c r="C44019" t="s">
        <v>842</v>
      </c>
      <c r="D44019" t="s">
        <v>843</v>
      </c>
      <c r="E44019" t="s">
        <v>844</v>
      </c>
      <c r="F44019" t="s">
        <v>1278</v>
      </c>
      <c r="H44019" t="s">
        <v>5568</v>
      </c>
      <c r="J44019" t="s">
        <v>140</v>
      </c>
      <c r="K44019">
        <v>161416.0913</v>
      </c>
      <c r="L44019">
        <v>383119.45689999999</v>
      </c>
      <c r="N44019" t="s">
        <v>146</v>
      </c>
      <c r="O44019" t="s">
        <v>479</v>
      </c>
      <c r="P44019" t="s">
        <v>479</v>
      </c>
      <c r="Q44019" t="s">
        <v>144</v>
      </c>
      <c r="R44019" t="s">
        <v>145</v>
      </c>
      <c r="S44019">
        <v>0</v>
      </c>
      <c r="T44019">
        <v>0</v>
      </c>
      <c r="V44019" t="s">
        <v>146</v>
      </c>
      <c r="W44019" t="s">
        <v>415</v>
      </c>
      <c r="Y44019" t="s">
        <v>1323</v>
      </c>
      <c r="Z44019" t="s">
        <v>479</v>
      </c>
      <c r="AA44019" t="s">
        <v>519</v>
      </c>
      <c r="AB44019">
        <v>0</v>
      </c>
      <c r="AE44019" t="s">
        <v>550</v>
      </c>
      <c r="AF44019" t="s">
        <v>479</v>
      </c>
      <c r="AG44019" t="s">
        <v>737</v>
      </c>
      <c r="AL44019" t="s">
        <v>5569</v>
      </c>
      <c r="AM44019" t="s">
        <v>5570</v>
      </c>
      <c r="AN44019" t="s">
        <v>5571</v>
      </c>
      <c r="AO44019" t="s">
        <v>146</v>
      </c>
      <c r="AQ44019" t="str">
        <f>IF(ISBLANK(AP44019), IFERROR(IF(VLOOKUP(AO44019, Ellens_additions!$A$2:$B$252, 2, FALSE) = "", "", VLOOKUP(AO44019, Ellens_additions!$A$2:$B$252, 2, FALSE)), 0), AP44019)</f>
        <v/>
      </c>
    </row>
    <row r="44020" spans="1:43" ht="14.4" x14ac:dyDescent="0.3"/>
    <row r="44021" spans="1:43" ht="14.4" hidden="1" x14ac:dyDescent="0.3">
      <c r="A44021" t="s">
        <v>5572</v>
      </c>
      <c r="B44021">
        <v>4893489</v>
      </c>
      <c r="C44021" t="s">
        <v>842</v>
      </c>
      <c r="D44021" t="s">
        <v>843</v>
      </c>
      <c r="E44021" t="s">
        <v>844</v>
      </c>
      <c r="F44021" t="s">
        <v>1299</v>
      </c>
      <c r="H44021" t="s">
        <v>5573</v>
      </c>
      <c r="J44021" t="s">
        <v>140</v>
      </c>
      <c r="K44021">
        <v>161431.80970000001</v>
      </c>
      <c r="L44021">
        <v>383106.13199999998</v>
      </c>
      <c r="N44021" t="s">
        <v>146</v>
      </c>
      <c r="O44021" t="s">
        <v>479</v>
      </c>
      <c r="P44021" t="s">
        <v>479</v>
      </c>
      <c r="Q44021" t="s">
        <v>144</v>
      </c>
      <c r="R44021" t="s">
        <v>145</v>
      </c>
      <c r="S44021">
        <v>0</v>
      </c>
      <c r="T44021">
        <v>0</v>
      </c>
      <c r="V44021" t="s">
        <v>146</v>
      </c>
      <c r="W44021" t="s">
        <v>415</v>
      </c>
      <c r="Y44021" t="s">
        <v>1323</v>
      </c>
      <c r="Z44021" t="s">
        <v>479</v>
      </c>
      <c r="AA44021" t="s">
        <v>519</v>
      </c>
      <c r="AB44021">
        <v>0</v>
      </c>
      <c r="AE44021" t="s">
        <v>550</v>
      </c>
      <c r="AF44021" t="s">
        <v>479</v>
      </c>
      <c r="AG44021" t="s">
        <v>737</v>
      </c>
      <c r="AL44021" t="s">
        <v>5574</v>
      </c>
      <c r="AM44021" t="s">
        <v>5575</v>
      </c>
      <c r="AN44021" t="s">
        <v>5576</v>
      </c>
      <c r="AO44021" t="s">
        <v>146</v>
      </c>
      <c r="AQ44021" t="str">
        <f>IF(ISBLANK(AP44021), IFERROR(IF(VLOOKUP(AO44021, Ellens_additions!$A$2:$B$252, 2, FALSE) = "", "", VLOOKUP(AO44021, Ellens_additions!$A$2:$B$252, 2, FALSE)), 0), AP44021)</f>
        <v/>
      </c>
    </row>
    <row r="44022" spans="1:43" ht="14.4" hidden="1" x14ac:dyDescent="0.3">
      <c r="A44022" t="s">
        <v>5577</v>
      </c>
      <c r="B44022">
        <v>4893491</v>
      </c>
      <c r="C44022" t="s">
        <v>842</v>
      </c>
      <c r="D44022" t="s">
        <v>843</v>
      </c>
      <c r="E44022" t="s">
        <v>844</v>
      </c>
      <c r="F44022" t="s">
        <v>1299</v>
      </c>
      <c r="H44022" t="s">
        <v>5578</v>
      </c>
      <c r="J44022" t="s">
        <v>140</v>
      </c>
      <c r="K44022">
        <v>161432.82829999999</v>
      </c>
      <c r="L44022">
        <v>383105.76799999998</v>
      </c>
      <c r="N44022" t="s">
        <v>146</v>
      </c>
      <c r="O44022" t="s">
        <v>479</v>
      </c>
      <c r="P44022" t="s">
        <v>479</v>
      </c>
      <c r="Q44022" t="s">
        <v>144</v>
      </c>
      <c r="R44022" t="s">
        <v>145</v>
      </c>
      <c r="S44022">
        <v>0</v>
      </c>
      <c r="T44022">
        <v>0</v>
      </c>
      <c r="V44022" t="s">
        <v>146</v>
      </c>
      <c r="W44022" t="s">
        <v>415</v>
      </c>
      <c r="Y44022" t="s">
        <v>1323</v>
      </c>
      <c r="Z44022" t="s">
        <v>479</v>
      </c>
      <c r="AA44022" t="s">
        <v>519</v>
      </c>
      <c r="AB44022">
        <v>0</v>
      </c>
      <c r="AE44022" t="s">
        <v>550</v>
      </c>
      <c r="AF44022" t="s">
        <v>479</v>
      </c>
      <c r="AG44022" t="s">
        <v>737</v>
      </c>
      <c r="AL44022" t="s">
        <v>5579</v>
      </c>
      <c r="AM44022" t="s">
        <v>5580</v>
      </c>
      <c r="AN44022" t="s">
        <v>5581</v>
      </c>
      <c r="AO44022" t="s">
        <v>146</v>
      </c>
      <c r="AQ44022" t="str">
        <f>IF(ISBLANK(AP44022), IFERROR(IF(VLOOKUP(AO44022, Ellens_additions!$A$2:$B$252, 2, FALSE) = "", "", VLOOKUP(AO44022, Ellens_additions!$A$2:$B$252, 2, FALSE)), 0), AP44022)</f>
        <v/>
      </c>
    </row>
    <row r="44023" spans="1:43" ht="14.4" hidden="1" x14ac:dyDescent="0.3">
      <c r="A44023" t="s">
        <v>5582</v>
      </c>
      <c r="B44023">
        <v>4893493</v>
      </c>
      <c r="C44023" t="s">
        <v>842</v>
      </c>
      <c r="D44023" t="s">
        <v>843</v>
      </c>
      <c r="E44023" t="s">
        <v>844</v>
      </c>
      <c r="F44023" t="s">
        <v>1299</v>
      </c>
      <c r="H44023" t="s">
        <v>5583</v>
      </c>
      <c r="J44023" t="s">
        <v>140</v>
      </c>
      <c r="K44023">
        <v>161425.69959999999</v>
      </c>
      <c r="L44023">
        <v>383111.95919999998</v>
      </c>
      <c r="N44023" t="s">
        <v>357</v>
      </c>
      <c r="O44023" t="s">
        <v>479</v>
      </c>
      <c r="P44023" t="s">
        <v>5553</v>
      </c>
      <c r="Q44023" t="s">
        <v>358</v>
      </c>
      <c r="R44023" t="s">
        <v>145</v>
      </c>
      <c r="S44023">
        <v>150</v>
      </c>
      <c r="T44023">
        <v>14000</v>
      </c>
      <c r="V44023" t="s">
        <v>359</v>
      </c>
      <c r="W44023" t="s">
        <v>415</v>
      </c>
      <c r="X44023" t="s">
        <v>7</v>
      </c>
      <c r="Y44023" t="s">
        <v>1085</v>
      </c>
      <c r="Z44023" t="s">
        <v>479</v>
      </c>
      <c r="AA44023" t="s">
        <v>737</v>
      </c>
      <c r="AB44023">
        <v>0</v>
      </c>
      <c r="AE44023" t="s">
        <v>550</v>
      </c>
      <c r="AF44023" t="s">
        <v>479</v>
      </c>
      <c r="AG44023" t="s">
        <v>737</v>
      </c>
      <c r="AL44023" t="s">
        <v>5584</v>
      </c>
      <c r="AM44023" t="s">
        <v>5585</v>
      </c>
      <c r="AN44023" t="s">
        <v>5586</v>
      </c>
      <c r="AO44023" t="s">
        <v>357</v>
      </c>
      <c r="AQ44023" t="str">
        <f>IF(ISBLANK(AP44023), IFERROR(IF(VLOOKUP(AO44023, Ellens_additions!$A$2:$B$252, 2, FALSE) = "", "", VLOOKUP(AO44023, Ellens_additions!$A$2:$B$252, 2, FALSE)), 0), AP44023)</f>
        <v/>
      </c>
    </row>
    <row r="44024" spans="1:43" ht="14.4" hidden="1" x14ac:dyDescent="0.3">
      <c r="A44024" t="s">
        <v>5587</v>
      </c>
      <c r="B44024">
        <v>4893494</v>
      </c>
      <c r="C44024" t="s">
        <v>842</v>
      </c>
      <c r="D44024" t="s">
        <v>843</v>
      </c>
      <c r="E44024" t="s">
        <v>844</v>
      </c>
      <c r="F44024" t="s">
        <v>1278</v>
      </c>
      <c r="H44024" t="s">
        <v>5588</v>
      </c>
      <c r="J44024" t="s">
        <v>140</v>
      </c>
      <c r="K44024">
        <v>161366.17619999999</v>
      </c>
      <c r="L44024">
        <v>383126.3075</v>
      </c>
      <c r="N44024" t="s">
        <v>797</v>
      </c>
      <c r="O44024" t="s">
        <v>479</v>
      </c>
      <c r="P44024" t="s">
        <v>5509</v>
      </c>
      <c r="Q44024" t="s">
        <v>798</v>
      </c>
      <c r="R44024" t="s">
        <v>145</v>
      </c>
      <c r="S44024">
        <v>150</v>
      </c>
      <c r="T44024">
        <v>13250</v>
      </c>
      <c r="V44024" t="s">
        <v>799</v>
      </c>
      <c r="W44024" t="s">
        <v>415</v>
      </c>
      <c r="Y44024" t="s">
        <v>5510</v>
      </c>
      <c r="Z44024" t="s">
        <v>479</v>
      </c>
      <c r="AA44024" t="s">
        <v>737</v>
      </c>
      <c r="AB44024">
        <v>0</v>
      </c>
      <c r="AE44024" t="s">
        <v>550</v>
      </c>
      <c r="AF44024" t="s">
        <v>479</v>
      </c>
      <c r="AG44024" t="s">
        <v>737</v>
      </c>
      <c r="AL44024" t="s">
        <v>5589</v>
      </c>
      <c r="AM44024" t="s">
        <v>5590</v>
      </c>
      <c r="AN44024" t="s">
        <v>5591</v>
      </c>
      <c r="AO44024" t="s">
        <v>797</v>
      </c>
      <c r="AQ44024" t="str">
        <f>IF(ISBLANK(AP44024), IFERROR(IF(VLOOKUP(AO44024, Ellens_additions!$A$2:$B$252, 2, FALSE) = "", "", VLOOKUP(AO44024, Ellens_additions!$A$2:$B$252, 2, FALSE)), 0), AP44024)</f>
        <v/>
      </c>
    </row>
    <row r="44025" spans="1:43" ht="14.4" hidden="1" x14ac:dyDescent="0.3">
      <c r="A44025" t="s">
        <v>5592</v>
      </c>
      <c r="B44025">
        <v>4893495</v>
      </c>
      <c r="C44025" t="s">
        <v>842</v>
      </c>
      <c r="D44025" t="s">
        <v>843</v>
      </c>
      <c r="E44025" t="s">
        <v>844</v>
      </c>
      <c r="F44025" t="s">
        <v>1278</v>
      </c>
      <c r="H44025" t="s">
        <v>5593</v>
      </c>
      <c r="J44025" t="s">
        <v>140</v>
      </c>
      <c r="K44025">
        <v>161388.09580000001</v>
      </c>
      <c r="L44025">
        <v>383145.84850000002</v>
      </c>
      <c r="N44025" t="s">
        <v>797</v>
      </c>
      <c r="O44025" t="s">
        <v>479</v>
      </c>
      <c r="P44025" t="s">
        <v>5509</v>
      </c>
      <c r="Q44025" t="s">
        <v>798</v>
      </c>
      <c r="R44025" t="s">
        <v>145</v>
      </c>
      <c r="S44025">
        <v>150</v>
      </c>
      <c r="T44025">
        <v>13250</v>
      </c>
      <c r="V44025" t="s">
        <v>799</v>
      </c>
      <c r="W44025" t="s">
        <v>415</v>
      </c>
      <c r="Y44025" t="s">
        <v>5510</v>
      </c>
      <c r="Z44025" t="s">
        <v>479</v>
      </c>
      <c r="AA44025" t="s">
        <v>737</v>
      </c>
      <c r="AB44025">
        <v>0</v>
      </c>
      <c r="AE44025" t="s">
        <v>550</v>
      </c>
      <c r="AF44025" t="s">
        <v>479</v>
      </c>
      <c r="AG44025" t="s">
        <v>737</v>
      </c>
      <c r="AL44025" t="s">
        <v>5594</v>
      </c>
      <c r="AM44025" t="s">
        <v>5595</v>
      </c>
      <c r="AN44025" t="s">
        <v>5596</v>
      </c>
      <c r="AO44025" t="s">
        <v>797</v>
      </c>
      <c r="AQ44025" t="str">
        <f>IF(ISBLANK(AP44025), IFERROR(IF(VLOOKUP(AO44025, Ellens_additions!$A$2:$B$252, 2, FALSE) = "", "", VLOOKUP(AO44025, Ellens_additions!$A$2:$B$252, 2, FALSE)), 0), AP44025)</f>
        <v/>
      </c>
    </row>
    <row r="44026" spans="1:43" ht="14.4" hidden="1" x14ac:dyDescent="0.3">
      <c r="A44026" t="s">
        <v>5597</v>
      </c>
      <c r="B44026">
        <v>4893499</v>
      </c>
      <c r="C44026" t="s">
        <v>842</v>
      </c>
      <c r="D44026" t="s">
        <v>843</v>
      </c>
      <c r="E44026" t="s">
        <v>844</v>
      </c>
      <c r="F44026" t="s">
        <v>1299</v>
      </c>
      <c r="H44026" t="s">
        <v>5598</v>
      </c>
      <c r="J44026" t="s">
        <v>140</v>
      </c>
      <c r="K44026">
        <v>161452.29730000001</v>
      </c>
      <c r="L44026">
        <v>383127.73440000002</v>
      </c>
      <c r="N44026" t="s">
        <v>1134</v>
      </c>
      <c r="O44026" t="s">
        <v>479</v>
      </c>
      <c r="P44026" t="s">
        <v>1341</v>
      </c>
      <c r="Q44026" t="s">
        <v>358</v>
      </c>
      <c r="R44026" t="s">
        <v>145</v>
      </c>
      <c r="S44026">
        <v>70</v>
      </c>
      <c r="T44026">
        <v>6600</v>
      </c>
      <c r="V44026" t="s">
        <v>359</v>
      </c>
      <c r="W44026" t="s">
        <v>415</v>
      </c>
      <c r="X44026" t="s">
        <v>7</v>
      </c>
      <c r="Y44026" t="s">
        <v>1342</v>
      </c>
      <c r="Z44026" t="s">
        <v>479</v>
      </c>
      <c r="AA44026" t="s">
        <v>737</v>
      </c>
      <c r="AB44026">
        <v>0</v>
      </c>
      <c r="AE44026" t="s">
        <v>1335</v>
      </c>
      <c r="AF44026" t="s">
        <v>479</v>
      </c>
      <c r="AG44026" t="s">
        <v>737</v>
      </c>
      <c r="AL44026" t="s">
        <v>5599</v>
      </c>
      <c r="AM44026" t="s">
        <v>5600</v>
      </c>
      <c r="AN44026" t="s">
        <v>5601</v>
      </c>
      <c r="AO44026" t="s">
        <v>1134</v>
      </c>
      <c r="AQ44026" t="str">
        <f>IF(ISBLANK(AP44026), IFERROR(IF(VLOOKUP(AO44026, Ellens_additions!$A$2:$B$252, 2, FALSE) = "", "", VLOOKUP(AO44026, Ellens_additions!$A$2:$B$252, 2, FALSE)), 0), AP44026)</f>
        <v/>
      </c>
    </row>
    <row r="44027" spans="1:43" ht="14.4" hidden="1" x14ac:dyDescent="0.3">
      <c r="A44027" t="s">
        <v>5602</v>
      </c>
      <c r="B44027">
        <v>4893502</v>
      </c>
      <c r="C44027" t="s">
        <v>842</v>
      </c>
      <c r="D44027" t="s">
        <v>843</v>
      </c>
      <c r="E44027" t="s">
        <v>844</v>
      </c>
      <c r="F44027" t="s">
        <v>1278</v>
      </c>
      <c r="H44027" t="s">
        <v>5603</v>
      </c>
      <c r="J44027" t="s">
        <v>140</v>
      </c>
      <c r="K44027">
        <v>161388.484</v>
      </c>
      <c r="L44027">
        <v>383146.16350000002</v>
      </c>
      <c r="N44027" t="s">
        <v>3640</v>
      </c>
      <c r="O44027" t="s">
        <v>479</v>
      </c>
      <c r="P44027" t="s">
        <v>3641</v>
      </c>
      <c r="Q44027" t="s">
        <v>474</v>
      </c>
      <c r="R44027" t="s">
        <v>145</v>
      </c>
      <c r="S44027">
        <v>250</v>
      </c>
      <c r="T44027">
        <v>28300</v>
      </c>
      <c r="V44027" t="s">
        <v>202</v>
      </c>
      <c r="W44027" t="s">
        <v>415</v>
      </c>
      <c r="Y44027" t="s">
        <v>5604</v>
      </c>
      <c r="Z44027" t="s">
        <v>479</v>
      </c>
      <c r="AA44027" t="s">
        <v>737</v>
      </c>
      <c r="AB44027">
        <v>0</v>
      </c>
      <c r="AE44027" t="s">
        <v>550</v>
      </c>
      <c r="AF44027" t="s">
        <v>479</v>
      </c>
      <c r="AG44027" t="s">
        <v>737</v>
      </c>
      <c r="AL44027" t="s">
        <v>5605</v>
      </c>
      <c r="AM44027" t="s">
        <v>5606</v>
      </c>
      <c r="AN44027" t="s">
        <v>5607</v>
      </c>
      <c r="AO44027" t="s">
        <v>3640</v>
      </c>
      <c r="AQ44027">
        <f>IF(ISBLANK(AP44027), IFERROR(IF(VLOOKUP(AO44027, Ellens_additions!$A$2:$B$252, 2, FALSE) = "", "", VLOOKUP(AO44027, Ellens_additions!$A$2:$B$252, 2, FALSE)), 0), AP44027)</f>
        <v>0</v>
      </c>
    </row>
    <row r="44028" spans="1:43" ht="14.4" x14ac:dyDescent="0.3"/>
    <row r="44029" spans="1:43" ht="14.4" x14ac:dyDescent="0.3"/>
    <row r="44030" spans="1:43" ht="14.4" x14ac:dyDescent="0.3"/>
    <row r="44031" spans="1:43" ht="14.4" x14ac:dyDescent="0.3"/>
    <row r="44032" spans="1:43" ht="14.4" x14ac:dyDescent="0.3"/>
    <row r="44033" ht="14.4" x14ac:dyDescent="0.3"/>
    <row r="44034" ht="14.4" x14ac:dyDescent="0.3"/>
    <row r="44035" ht="14.4" x14ac:dyDescent="0.3"/>
    <row r="44036" ht="14.4" x14ac:dyDescent="0.3"/>
    <row r="44037" ht="14.4" x14ac:dyDescent="0.3"/>
    <row r="44038" ht="14.4" x14ac:dyDescent="0.3"/>
    <row r="44039" ht="14.4" x14ac:dyDescent="0.3"/>
    <row r="44040" ht="14.4" x14ac:dyDescent="0.3"/>
    <row r="44041" ht="14.4" x14ac:dyDescent="0.3"/>
    <row r="44042" ht="14.4" x14ac:dyDescent="0.3"/>
    <row r="44043" ht="14.4" x14ac:dyDescent="0.3"/>
    <row r="44044" ht="14.4" x14ac:dyDescent="0.3"/>
    <row r="44045" ht="14.4" x14ac:dyDescent="0.3"/>
    <row r="44046" ht="14.4" x14ac:dyDescent="0.3"/>
    <row r="44047" ht="14.4" x14ac:dyDescent="0.3"/>
    <row r="44048" ht="14.4" x14ac:dyDescent="0.3"/>
    <row r="44049" ht="14.4" x14ac:dyDescent="0.3"/>
    <row r="44050" ht="14.4" x14ac:dyDescent="0.3"/>
    <row r="44051" ht="14.4" x14ac:dyDescent="0.3"/>
    <row r="44052" ht="14.4" x14ac:dyDescent="0.3"/>
    <row r="44053" ht="14.4" x14ac:dyDescent="0.3"/>
    <row r="44054" ht="14.4" x14ac:dyDescent="0.3"/>
    <row r="44055" ht="14.4" x14ac:dyDescent="0.3"/>
    <row r="44056" ht="14.4" x14ac:dyDescent="0.3"/>
    <row r="44057" ht="14.4" x14ac:dyDescent="0.3"/>
    <row r="44058" ht="14.4" x14ac:dyDescent="0.3"/>
    <row r="44059" ht="14.4" x14ac:dyDescent="0.3"/>
    <row r="44060" ht="14.4" x14ac:dyDescent="0.3"/>
    <row r="44061" ht="14.4" x14ac:dyDescent="0.3"/>
    <row r="44062" ht="14.4" x14ac:dyDescent="0.3"/>
    <row r="44063" ht="14.4" x14ac:dyDescent="0.3"/>
    <row r="44064" ht="14.4" x14ac:dyDescent="0.3"/>
    <row r="44065" ht="14.4" x14ac:dyDescent="0.3"/>
    <row r="44066" ht="14.4" x14ac:dyDescent="0.3"/>
    <row r="44067" ht="14.4" x14ac:dyDescent="0.3"/>
    <row r="44068" ht="14.4" x14ac:dyDescent="0.3"/>
    <row r="44069" ht="14.4" x14ac:dyDescent="0.3"/>
    <row r="44070" ht="14.4" x14ac:dyDescent="0.3"/>
    <row r="44071" ht="14.4" x14ac:dyDescent="0.3"/>
    <row r="44072" ht="14.4" x14ac:dyDescent="0.3"/>
    <row r="44073" ht="14.4" x14ac:dyDescent="0.3"/>
    <row r="44074" ht="14.4" x14ac:dyDescent="0.3"/>
    <row r="44075" ht="14.4" x14ac:dyDescent="0.3"/>
    <row r="44076" ht="14.4" x14ac:dyDescent="0.3"/>
    <row r="44077" ht="14.4" x14ac:dyDescent="0.3"/>
    <row r="44078" ht="14.4" x14ac:dyDescent="0.3"/>
    <row r="44079" ht="14.4" x14ac:dyDescent="0.3"/>
    <row r="44080" ht="14.4" x14ac:dyDescent="0.3"/>
    <row r="44081" ht="14.4" x14ac:dyDescent="0.3"/>
    <row r="44082" ht="14.4" x14ac:dyDescent="0.3"/>
    <row r="44083" ht="14.4" x14ac:dyDescent="0.3"/>
    <row r="44084" ht="14.4" x14ac:dyDescent="0.3"/>
    <row r="44085" ht="14.4" x14ac:dyDescent="0.3"/>
    <row r="44086" ht="14.4" x14ac:dyDescent="0.3"/>
    <row r="44087" ht="14.4" x14ac:dyDescent="0.3"/>
    <row r="44088" ht="14.4" x14ac:dyDescent="0.3"/>
    <row r="44089" ht="14.4" x14ac:dyDescent="0.3"/>
    <row r="44090" ht="14.4" x14ac:dyDescent="0.3"/>
    <row r="44091" ht="14.4" x14ac:dyDescent="0.3"/>
    <row r="44092" ht="14.4" x14ac:dyDescent="0.3"/>
    <row r="44093" ht="14.4" x14ac:dyDescent="0.3"/>
    <row r="44094" ht="14.4" x14ac:dyDescent="0.3"/>
    <row r="44095" ht="14.4" x14ac:dyDescent="0.3"/>
    <row r="44096" ht="14.4" x14ac:dyDescent="0.3"/>
    <row r="44097" spans="1:43" ht="14.4" x14ac:dyDescent="0.3"/>
    <row r="44098" spans="1:43" ht="14.4" x14ac:dyDescent="0.3"/>
    <row r="44099" spans="1:43" ht="14.4" x14ac:dyDescent="0.3"/>
    <row r="44100" spans="1:43" ht="14.4" x14ac:dyDescent="0.3"/>
    <row r="44101" spans="1:43" ht="14.4" x14ac:dyDescent="0.3"/>
    <row r="44102" spans="1:43" ht="14.4" x14ac:dyDescent="0.3"/>
    <row r="44103" spans="1:43" ht="14.4" x14ac:dyDescent="0.3"/>
    <row r="44104" spans="1:43" ht="14.4" x14ac:dyDescent="0.3"/>
    <row r="44105" spans="1:43" ht="14.4" x14ac:dyDescent="0.3"/>
    <row r="44106" spans="1:43" ht="14.4" hidden="1" x14ac:dyDescent="0.3">
      <c r="A44106" t="s">
        <v>5609</v>
      </c>
      <c r="B44106">
        <v>4893753</v>
      </c>
      <c r="C44106" t="s">
        <v>1045</v>
      </c>
      <c r="D44106" t="s">
        <v>1059</v>
      </c>
      <c r="E44106" t="s">
        <v>1060</v>
      </c>
      <c r="F44106" t="s">
        <v>1355</v>
      </c>
      <c r="H44106" t="s">
        <v>734</v>
      </c>
      <c r="J44106" t="s">
        <v>140</v>
      </c>
      <c r="K44106">
        <v>158674.32699999999</v>
      </c>
      <c r="L44106">
        <v>381114.06</v>
      </c>
      <c r="M44106">
        <v>1</v>
      </c>
      <c r="N44106" t="s">
        <v>1356</v>
      </c>
      <c r="O44106" t="s">
        <v>877</v>
      </c>
      <c r="P44106" t="s">
        <v>1357</v>
      </c>
      <c r="Q44106" t="s">
        <v>761</v>
      </c>
      <c r="R44106" t="s">
        <v>145</v>
      </c>
      <c r="S44106">
        <v>8</v>
      </c>
      <c r="T44106">
        <v>340</v>
      </c>
      <c r="V44106" t="s">
        <v>1358</v>
      </c>
      <c r="W44106" t="s">
        <v>184</v>
      </c>
      <c r="X44106" t="s">
        <v>7</v>
      </c>
      <c r="Y44106" t="s">
        <v>1359</v>
      </c>
      <c r="Z44106" t="s">
        <v>1061</v>
      </c>
      <c r="AA44106" t="s">
        <v>1360</v>
      </c>
      <c r="AB44106">
        <v>40</v>
      </c>
      <c r="AC44106" t="s">
        <v>150</v>
      </c>
      <c r="AE44106" t="s">
        <v>550</v>
      </c>
      <c r="AF44106" t="s">
        <v>1061</v>
      </c>
      <c r="AG44106" t="s">
        <v>1086</v>
      </c>
      <c r="AL44106" t="s">
        <v>5610</v>
      </c>
      <c r="AM44106" t="s">
        <v>5611</v>
      </c>
      <c r="AN44106" t="s">
        <v>5612</v>
      </c>
      <c r="AO44106" t="s">
        <v>1356</v>
      </c>
      <c r="AQ44106">
        <f>IF(ISBLANK(AP44106), IFERROR(IF(VLOOKUP(AO44106, Ellens_additions!$A$2:$B$252, 2, FALSE) = "", "", VLOOKUP(AO44106, Ellens_additions!$A$2:$B$252, 2, FALSE)), 0), AP44106)</f>
        <v>0</v>
      </c>
    </row>
    <row r="44107" spans="1:43" ht="14.4" hidden="1" x14ac:dyDescent="0.3">
      <c r="A44107" t="s">
        <v>5613</v>
      </c>
      <c r="B44107">
        <v>4893754</v>
      </c>
      <c r="C44107" t="s">
        <v>1045</v>
      </c>
      <c r="D44107" t="s">
        <v>1059</v>
      </c>
      <c r="E44107" t="s">
        <v>1060</v>
      </c>
      <c r="F44107" t="s">
        <v>1355</v>
      </c>
      <c r="H44107" t="s">
        <v>822</v>
      </c>
      <c r="J44107" t="s">
        <v>140</v>
      </c>
      <c r="K44107">
        <v>158673.22500000001</v>
      </c>
      <c r="L44107">
        <v>381113.837</v>
      </c>
      <c r="M44107">
        <v>1</v>
      </c>
      <c r="N44107" t="s">
        <v>1356</v>
      </c>
      <c r="O44107" t="s">
        <v>877</v>
      </c>
      <c r="P44107" t="s">
        <v>1357</v>
      </c>
      <c r="Q44107" t="s">
        <v>761</v>
      </c>
      <c r="R44107" t="s">
        <v>145</v>
      </c>
      <c r="S44107">
        <v>8</v>
      </c>
      <c r="T44107">
        <v>340</v>
      </c>
      <c r="V44107" t="s">
        <v>1358</v>
      </c>
      <c r="W44107" t="s">
        <v>184</v>
      </c>
      <c r="X44107" t="s">
        <v>7</v>
      </c>
      <c r="Y44107" t="s">
        <v>1359</v>
      </c>
      <c r="Z44107" t="s">
        <v>1061</v>
      </c>
      <c r="AA44107" t="s">
        <v>1360</v>
      </c>
      <c r="AB44107">
        <v>40</v>
      </c>
      <c r="AC44107" t="s">
        <v>150</v>
      </c>
      <c r="AE44107" t="s">
        <v>550</v>
      </c>
      <c r="AF44107" t="s">
        <v>1061</v>
      </c>
      <c r="AG44107" t="s">
        <v>1086</v>
      </c>
      <c r="AL44107" t="s">
        <v>5614</v>
      </c>
      <c r="AM44107" t="s">
        <v>5615</v>
      </c>
      <c r="AN44107" t="s">
        <v>5616</v>
      </c>
      <c r="AO44107" t="s">
        <v>1356</v>
      </c>
      <c r="AQ44107">
        <f>IF(ISBLANK(AP44107), IFERROR(IF(VLOOKUP(AO44107, Ellens_additions!$A$2:$B$252, 2, FALSE) = "", "", VLOOKUP(AO44107, Ellens_additions!$A$2:$B$252, 2, FALSE)), 0), AP44107)</f>
        <v>0</v>
      </c>
    </row>
    <row r="44108" spans="1:43" ht="14.4" x14ac:dyDescent="0.3"/>
    <row r="44109" spans="1:43" ht="14.4" x14ac:dyDescent="0.3"/>
    <row r="44110" spans="1:43" ht="14.4" x14ac:dyDescent="0.3"/>
    <row r="44111" spans="1:43" ht="14.4" x14ac:dyDescent="0.3"/>
    <row r="44112" spans="1:43" ht="14.4" x14ac:dyDescent="0.3"/>
    <row r="44113" ht="14.4" x14ac:dyDescent="0.3"/>
    <row r="44114" ht="14.4" x14ac:dyDescent="0.3"/>
    <row r="44115" ht="14.4" x14ac:dyDescent="0.3"/>
    <row r="44116" ht="14.4" x14ac:dyDescent="0.3"/>
    <row r="44117" ht="14.4" x14ac:dyDescent="0.3"/>
    <row r="44118" ht="14.4" x14ac:dyDescent="0.3"/>
    <row r="44119" ht="14.4" x14ac:dyDescent="0.3"/>
    <row r="44120" ht="14.4" x14ac:dyDescent="0.3"/>
    <row r="44121" ht="14.4" x14ac:dyDescent="0.3"/>
    <row r="44122" ht="14.4" x14ac:dyDescent="0.3"/>
    <row r="44123" ht="14.4" x14ac:dyDescent="0.3"/>
    <row r="44124" ht="14.4" x14ac:dyDescent="0.3"/>
    <row r="44125" ht="14.4" x14ac:dyDescent="0.3"/>
    <row r="44126" ht="14.4" x14ac:dyDescent="0.3"/>
    <row r="44127" ht="14.4" x14ac:dyDescent="0.3"/>
    <row r="44128" ht="14.4" x14ac:dyDescent="0.3"/>
    <row r="44129" ht="14.4" x14ac:dyDescent="0.3"/>
    <row r="44130" ht="14.4" x14ac:dyDescent="0.3"/>
    <row r="44131" ht="14.4" x14ac:dyDescent="0.3"/>
    <row r="44132" ht="14.4" x14ac:dyDescent="0.3"/>
    <row r="44133" ht="14.4" x14ac:dyDescent="0.3"/>
    <row r="44134" ht="14.4" x14ac:dyDescent="0.3"/>
    <row r="44135" ht="14.4" x14ac:dyDescent="0.3"/>
    <row r="44136" ht="14.4" x14ac:dyDescent="0.3"/>
    <row r="44137" ht="14.4" x14ac:dyDescent="0.3"/>
    <row r="44138" ht="14.4" x14ac:dyDescent="0.3"/>
    <row r="44139" ht="14.4" x14ac:dyDescent="0.3"/>
    <row r="44140" ht="14.4" x14ac:dyDescent="0.3"/>
    <row r="44141" ht="14.4" x14ac:dyDescent="0.3"/>
    <row r="44142" ht="14.4" x14ac:dyDescent="0.3"/>
    <row r="44143" ht="14.4" x14ac:dyDescent="0.3"/>
    <row r="44144" ht="14.4" x14ac:dyDescent="0.3"/>
    <row r="44145" ht="14.4" x14ac:dyDescent="0.3"/>
    <row r="44146" ht="14.4" x14ac:dyDescent="0.3"/>
    <row r="44147" ht="14.4" x14ac:dyDescent="0.3"/>
    <row r="44148" ht="14.4" x14ac:dyDescent="0.3"/>
    <row r="44149" ht="14.4" x14ac:dyDescent="0.3"/>
    <row r="44150" ht="14.4" x14ac:dyDescent="0.3"/>
    <row r="44151" ht="14.4" x14ac:dyDescent="0.3"/>
    <row r="44152" ht="14.4" x14ac:dyDescent="0.3"/>
    <row r="44153" ht="14.4" x14ac:dyDescent="0.3"/>
    <row r="44154" ht="14.4" x14ac:dyDescent="0.3"/>
    <row r="44155" ht="14.4" x14ac:dyDescent="0.3"/>
    <row r="44156" ht="14.4" x14ac:dyDescent="0.3"/>
    <row r="44157" ht="14.4" x14ac:dyDescent="0.3"/>
    <row r="44158" ht="14.4" x14ac:dyDescent="0.3"/>
    <row r="44159" ht="14.4" x14ac:dyDescent="0.3"/>
    <row r="44160" ht="14.4" x14ac:dyDescent="0.3"/>
    <row r="44161" ht="14.4" x14ac:dyDescent="0.3"/>
    <row r="44162" ht="14.4" x14ac:dyDescent="0.3"/>
    <row r="44163" ht="14.4" x14ac:dyDescent="0.3"/>
    <row r="44164" ht="14.4" x14ac:dyDescent="0.3"/>
    <row r="44165" ht="14.4" x14ac:dyDescent="0.3"/>
    <row r="44166" ht="14.4" x14ac:dyDescent="0.3"/>
    <row r="44167" ht="14.4" x14ac:dyDescent="0.3"/>
    <row r="44168" ht="14.4" x14ac:dyDescent="0.3"/>
    <row r="44169" ht="14.4" x14ac:dyDescent="0.3"/>
    <row r="44170" ht="14.4" x14ac:dyDescent="0.3"/>
    <row r="44171" ht="14.4" x14ac:dyDescent="0.3"/>
    <row r="44172" ht="14.4" x14ac:dyDescent="0.3"/>
    <row r="44173" ht="14.4" x14ac:dyDescent="0.3"/>
    <row r="44174" ht="14.4" x14ac:dyDescent="0.3"/>
    <row r="44175" ht="14.4" x14ac:dyDescent="0.3"/>
    <row r="44176" ht="14.4" x14ac:dyDescent="0.3"/>
    <row r="44177" ht="14.4" x14ac:dyDescent="0.3"/>
    <row r="44178" ht="14.4" x14ac:dyDescent="0.3"/>
    <row r="44179" ht="14.4" x14ac:dyDescent="0.3"/>
    <row r="44180" ht="14.4" x14ac:dyDescent="0.3"/>
    <row r="44181" ht="14.4" x14ac:dyDescent="0.3"/>
    <row r="44182" ht="14.4" x14ac:dyDescent="0.3"/>
    <row r="44183" ht="14.4" x14ac:dyDescent="0.3"/>
    <row r="44184" ht="14.4" x14ac:dyDescent="0.3"/>
    <row r="44185" ht="14.4" x14ac:dyDescent="0.3"/>
    <row r="44186" ht="14.4" x14ac:dyDescent="0.3"/>
    <row r="44187" ht="14.4" x14ac:dyDescent="0.3"/>
    <row r="44188" ht="14.4" x14ac:dyDescent="0.3"/>
    <row r="44189" ht="14.4" x14ac:dyDescent="0.3"/>
    <row r="44190" ht="14.4" x14ac:dyDescent="0.3"/>
    <row r="44191" ht="14.4" x14ac:dyDescent="0.3"/>
    <row r="44192" ht="14.4" x14ac:dyDescent="0.3"/>
    <row r="44193" ht="14.4" x14ac:dyDescent="0.3"/>
    <row r="44194" ht="14.4" x14ac:dyDescent="0.3"/>
    <row r="44195" ht="14.4" x14ac:dyDescent="0.3"/>
    <row r="44196" ht="14.4" x14ac:dyDescent="0.3"/>
    <row r="44197" ht="14.4" x14ac:dyDescent="0.3"/>
    <row r="44198" ht="14.4" x14ac:dyDescent="0.3"/>
    <row r="44199" ht="14.4" x14ac:dyDescent="0.3"/>
    <row r="44200" ht="14.4" x14ac:dyDescent="0.3"/>
    <row r="44201" ht="14.4" x14ac:dyDescent="0.3"/>
    <row r="44202" ht="14.4" x14ac:dyDescent="0.3"/>
    <row r="44203" ht="14.4" x14ac:dyDescent="0.3"/>
    <row r="44204" ht="14.4" x14ac:dyDescent="0.3"/>
    <row r="44205" ht="14.4" x14ac:dyDescent="0.3"/>
    <row r="44206" ht="14.4" x14ac:dyDescent="0.3"/>
    <row r="44207" ht="14.4" x14ac:dyDescent="0.3"/>
    <row r="44208" ht="14.4" x14ac:dyDescent="0.3"/>
    <row r="44209" ht="14.4" x14ac:dyDescent="0.3"/>
    <row r="44210" ht="14.4" x14ac:dyDescent="0.3"/>
    <row r="44211" ht="14.4" x14ac:dyDescent="0.3"/>
    <row r="44212" ht="14.4" x14ac:dyDescent="0.3"/>
    <row r="44213" ht="14.4" x14ac:dyDescent="0.3"/>
    <row r="44214" ht="14.4" x14ac:dyDescent="0.3"/>
    <row r="44215" ht="14.4" x14ac:dyDescent="0.3"/>
    <row r="44216" ht="14.4" x14ac:dyDescent="0.3"/>
    <row r="44217" ht="14.4" x14ac:dyDescent="0.3"/>
    <row r="44218" ht="14.4" x14ac:dyDescent="0.3"/>
    <row r="44219" ht="14.4" x14ac:dyDescent="0.3"/>
    <row r="44220" ht="14.4" x14ac:dyDescent="0.3"/>
    <row r="44221" ht="14.4" x14ac:dyDescent="0.3"/>
    <row r="44222" ht="14.4" x14ac:dyDescent="0.3"/>
    <row r="44223" ht="14.4" x14ac:dyDescent="0.3"/>
    <row r="44224" ht="14.4" x14ac:dyDescent="0.3"/>
    <row r="44225" ht="14.4" x14ac:dyDescent="0.3"/>
    <row r="44226" ht="14.4" x14ac:dyDescent="0.3"/>
    <row r="44227" ht="14.4" x14ac:dyDescent="0.3"/>
    <row r="44228" ht="14.4" x14ac:dyDescent="0.3"/>
    <row r="44229" ht="14.4" x14ac:dyDescent="0.3"/>
    <row r="44230" ht="14.4" x14ac:dyDescent="0.3"/>
    <row r="44231" ht="14.4" x14ac:dyDescent="0.3"/>
    <row r="44232" ht="14.4" x14ac:dyDescent="0.3"/>
    <row r="44233" ht="14.4" x14ac:dyDescent="0.3"/>
    <row r="44234" ht="14.4" x14ac:dyDescent="0.3"/>
    <row r="44235" ht="14.4" x14ac:dyDescent="0.3"/>
    <row r="44236" ht="14.4" x14ac:dyDescent="0.3"/>
    <row r="44237" ht="14.4" x14ac:dyDescent="0.3"/>
    <row r="44238" ht="14.4" x14ac:dyDescent="0.3"/>
    <row r="44239" ht="14.4" x14ac:dyDescent="0.3"/>
    <row r="44240" ht="14.4" x14ac:dyDescent="0.3"/>
    <row r="44241" ht="14.4" x14ac:dyDescent="0.3"/>
    <row r="44242" ht="14.4" x14ac:dyDescent="0.3"/>
    <row r="44243" ht="14.4" x14ac:dyDescent="0.3"/>
    <row r="44244" ht="14.4" x14ac:dyDescent="0.3"/>
    <row r="44245" ht="14.4" x14ac:dyDescent="0.3"/>
    <row r="44246" ht="14.4" x14ac:dyDescent="0.3"/>
    <row r="44247" ht="14.4" x14ac:dyDescent="0.3"/>
    <row r="44248" ht="14.4" x14ac:dyDescent="0.3"/>
    <row r="44249" ht="14.4" x14ac:dyDescent="0.3"/>
    <row r="44250" ht="14.4" x14ac:dyDescent="0.3"/>
    <row r="44251" ht="14.4" x14ac:dyDescent="0.3"/>
    <row r="44252" ht="14.4" x14ac:dyDescent="0.3"/>
    <row r="44253" ht="14.4" x14ac:dyDescent="0.3"/>
    <row r="44254" ht="14.4" x14ac:dyDescent="0.3"/>
    <row r="44255" ht="14.4" x14ac:dyDescent="0.3"/>
    <row r="44256" ht="14.4" x14ac:dyDescent="0.3"/>
    <row r="44257" ht="14.4" x14ac:dyDescent="0.3"/>
    <row r="44258" ht="14.4" x14ac:dyDescent="0.3"/>
    <row r="44259" ht="14.4" x14ac:dyDescent="0.3"/>
    <row r="44260" ht="14.4" x14ac:dyDescent="0.3"/>
    <row r="44261" ht="14.4" x14ac:dyDescent="0.3"/>
    <row r="44262" ht="14.4" x14ac:dyDescent="0.3"/>
    <row r="44263" ht="14.4" x14ac:dyDescent="0.3"/>
    <row r="44264" ht="14.4" x14ac:dyDescent="0.3"/>
    <row r="44265" ht="14.4" x14ac:dyDescent="0.3"/>
    <row r="44266" ht="14.4" x14ac:dyDescent="0.3"/>
    <row r="44267" ht="14.4" x14ac:dyDescent="0.3"/>
    <row r="44268" ht="14.4" x14ac:dyDescent="0.3"/>
    <row r="44269" ht="14.4" x14ac:dyDescent="0.3"/>
    <row r="44270" ht="14.4" x14ac:dyDescent="0.3"/>
    <row r="44271" ht="14.4" x14ac:dyDescent="0.3"/>
    <row r="44272" ht="14.4" x14ac:dyDescent="0.3"/>
    <row r="44273" ht="14.4" x14ac:dyDescent="0.3"/>
    <row r="44274" ht="14.4" x14ac:dyDescent="0.3"/>
    <row r="44275" ht="14.4" x14ac:dyDescent="0.3"/>
    <row r="44276" ht="14.4" x14ac:dyDescent="0.3"/>
    <row r="44277" ht="14.4" x14ac:dyDescent="0.3"/>
    <row r="44278" ht="14.4" x14ac:dyDescent="0.3"/>
    <row r="44279" ht="14.4" x14ac:dyDescent="0.3"/>
    <row r="44280" ht="14.4" x14ac:dyDescent="0.3"/>
    <row r="44281" ht="14.4" x14ac:dyDescent="0.3"/>
    <row r="44282" ht="14.4" x14ac:dyDescent="0.3"/>
    <row r="44283" ht="14.4" x14ac:dyDescent="0.3"/>
    <row r="44284" ht="14.4" x14ac:dyDescent="0.3"/>
    <row r="44285" ht="14.4" x14ac:dyDescent="0.3"/>
    <row r="44286" ht="14.4" x14ac:dyDescent="0.3"/>
    <row r="44287" ht="14.4" x14ac:dyDescent="0.3"/>
    <row r="44288" ht="14.4" x14ac:dyDescent="0.3"/>
    <row r="44289" ht="14.4" x14ac:dyDescent="0.3"/>
    <row r="44290" ht="14.4" x14ac:dyDescent="0.3"/>
    <row r="44291" ht="14.4" x14ac:dyDescent="0.3"/>
    <row r="44292" ht="14.4" x14ac:dyDescent="0.3"/>
    <row r="44293" ht="14.4" x14ac:dyDescent="0.3"/>
    <row r="44294" ht="14.4" x14ac:dyDescent="0.3"/>
    <row r="44295" ht="14.4" x14ac:dyDescent="0.3"/>
    <row r="44296" ht="14.4" x14ac:dyDescent="0.3"/>
    <row r="44297" ht="14.4" x14ac:dyDescent="0.3"/>
    <row r="44298" ht="14.4" x14ac:dyDescent="0.3"/>
    <row r="44299" ht="14.4" x14ac:dyDescent="0.3"/>
    <row r="44300" ht="14.4" x14ac:dyDescent="0.3"/>
    <row r="44301" ht="14.4" x14ac:dyDescent="0.3"/>
    <row r="44302" ht="14.4" x14ac:dyDescent="0.3"/>
    <row r="44303" ht="14.4" x14ac:dyDescent="0.3"/>
    <row r="44304" ht="14.4" x14ac:dyDescent="0.3"/>
    <row r="44305" ht="14.4" x14ac:dyDescent="0.3"/>
    <row r="44306" ht="14.4" x14ac:dyDescent="0.3"/>
    <row r="44307" ht="14.4" x14ac:dyDescent="0.3"/>
    <row r="44308" ht="14.4" x14ac:dyDescent="0.3"/>
    <row r="44309" ht="14.4" x14ac:dyDescent="0.3"/>
    <row r="44310" ht="14.4" x14ac:dyDescent="0.3"/>
    <row r="44311" ht="14.4" x14ac:dyDescent="0.3"/>
    <row r="44312" ht="14.4" x14ac:dyDescent="0.3"/>
    <row r="44313" ht="14.4" x14ac:dyDescent="0.3"/>
    <row r="44314" ht="14.4" x14ac:dyDescent="0.3"/>
    <row r="44315" ht="14.4" x14ac:dyDescent="0.3"/>
    <row r="44316" ht="14.4" x14ac:dyDescent="0.3"/>
    <row r="44317" ht="14.4" x14ac:dyDescent="0.3"/>
    <row r="44318" ht="14.4" x14ac:dyDescent="0.3"/>
    <row r="44319" ht="14.4" x14ac:dyDescent="0.3"/>
    <row r="44320" ht="14.4" x14ac:dyDescent="0.3"/>
    <row r="44321" ht="14.4" x14ac:dyDescent="0.3"/>
    <row r="44322" ht="14.4" x14ac:dyDescent="0.3"/>
    <row r="44323" ht="14.4" x14ac:dyDescent="0.3"/>
    <row r="44324" ht="14.4" x14ac:dyDescent="0.3"/>
    <row r="44325" ht="14.4" x14ac:dyDescent="0.3"/>
    <row r="44326" ht="14.4" x14ac:dyDescent="0.3"/>
    <row r="44327" ht="14.4" x14ac:dyDescent="0.3"/>
    <row r="44328" ht="14.4" x14ac:dyDescent="0.3"/>
    <row r="44329" ht="14.4" x14ac:dyDescent="0.3"/>
    <row r="44330" ht="14.4" x14ac:dyDescent="0.3"/>
    <row r="44331" ht="14.4" x14ac:dyDescent="0.3"/>
    <row r="44332" ht="14.4" x14ac:dyDescent="0.3"/>
    <row r="44333" ht="14.4" x14ac:dyDescent="0.3"/>
    <row r="44334" ht="14.4" x14ac:dyDescent="0.3"/>
    <row r="44335" ht="14.4" x14ac:dyDescent="0.3"/>
    <row r="44336" ht="14.4" x14ac:dyDescent="0.3"/>
    <row r="44337" ht="14.4" x14ac:dyDescent="0.3"/>
    <row r="44338" ht="14.4" x14ac:dyDescent="0.3"/>
    <row r="44339" ht="14.4" x14ac:dyDescent="0.3"/>
    <row r="44340" ht="14.4" x14ac:dyDescent="0.3"/>
    <row r="44341" ht="14.4" x14ac:dyDescent="0.3"/>
    <row r="44342" ht="14.4" x14ac:dyDescent="0.3"/>
    <row r="44343" ht="14.4" x14ac:dyDescent="0.3"/>
    <row r="44344" ht="14.4" x14ac:dyDescent="0.3"/>
    <row r="44345" ht="14.4" x14ac:dyDescent="0.3"/>
    <row r="44346" ht="14.4" x14ac:dyDescent="0.3"/>
    <row r="44347" ht="14.4" x14ac:dyDescent="0.3"/>
    <row r="44348" ht="14.4" x14ac:dyDescent="0.3"/>
    <row r="44349" ht="14.4" x14ac:dyDescent="0.3"/>
    <row r="44350" ht="14.4" x14ac:dyDescent="0.3"/>
    <row r="44351" ht="14.4" x14ac:dyDescent="0.3"/>
    <row r="44352" ht="14.4" x14ac:dyDescent="0.3"/>
    <row r="44353" ht="14.4" x14ac:dyDescent="0.3"/>
    <row r="44354" ht="14.4" x14ac:dyDescent="0.3"/>
    <row r="44355" ht="14.4" x14ac:dyDescent="0.3"/>
    <row r="44356" ht="14.4" x14ac:dyDescent="0.3"/>
    <row r="44357" ht="14.4" x14ac:dyDescent="0.3"/>
    <row r="44358" ht="14.4" x14ac:dyDescent="0.3"/>
    <row r="44359" ht="14.4" x14ac:dyDescent="0.3"/>
    <row r="44360" ht="14.4" x14ac:dyDescent="0.3"/>
    <row r="44361" ht="14.4" x14ac:dyDescent="0.3"/>
    <row r="44362" ht="14.4" x14ac:dyDescent="0.3"/>
    <row r="44363" ht="14.4" x14ac:dyDescent="0.3"/>
    <row r="44364" ht="14.4" x14ac:dyDescent="0.3"/>
    <row r="44365" ht="14.4" x14ac:dyDescent="0.3"/>
    <row r="44366" ht="14.4" x14ac:dyDescent="0.3"/>
    <row r="44367" ht="14.4" x14ac:dyDescent="0.3"/>
    <row r="44368" ht="14.4" x14ac:dyDescent="0.3"/>
    <row r="44369" ht="14.4" x14ac:dyDescent="0.3"/>
    <row r="44370" ht="14.4" x14ac:dyDescent="0.3"/>
    <row r="44371" ht="14.4" x14ac:dyDescent="0.3"/>
    <row r="44372" ht="14.4" x14ac:dyDescent="0.3"/>
    <row r="44373" ht="14.4" x14ac:dyDescent="0.3"/>
    <row r="44374" ht="14.4" x14ac:dyDescent="0.3"/>
    <row r="44375" ht="14.4" x14ac:dyDescent="0.3"/>
    <row r="44376" ht="14.4" x14ac:dyDescent="0.3"/>
    <row r="44377" ht="14.4" x14ac:dyDescent="0.3"/>
    <row r="44378" ht="14.4" x14ac:dyDescent="0.3"/>
    <row r="44379" ht="14.4" x14ac:dyDescent="0.3"/>
    <row r="44380" ht="14.4" x14ac:dyDescent="0.3"/>
    <row r="44381" ht="14.4" x14ac:dyDescent="0.3"/>
    <row r="44382" ht="14.4" x14ac:dyDescent="0.3"/>
    <row r="44383" ht="14.4" x14ac:dyDescent="0.3"/>
    <row r="44384" ht="14.4" x14ac:dyDescent="0.3"/>
    <row r="44385" ht="14.4" x14ac:dyDescent="0.3"/>
    <row r="44386" ht="14.4" x14ac:dyDescent="0.3"/>
    <row r="44387" ht="14.4" x14ac:dyDescent="0.3"/>
    <row r="44388" ht="14.4" x14ac:dyDescent="0.3"/>
    <row r="44389" ht="14.4" x14ac:dyDescent="0.3"/>
    <row r="44390" ht="14.4" x14ac:dyDescent="0.3"/>
    <row r="44391" ht="14.4" x14ac:dyDescent="0.3"/>
    <row r="44392" ht="14.4" x14ac:dyDescent="0.3"/>
    <row r="44393" ht="14.4" x14ac:dyDescent="0.3"/>
    <row r="44394" ht="14.4" x14ac:dyDescent="0.3"/>
    <row r="44395" ht="14.4" x14ac:dyDescent="0.3"/>
    <row r="44396" ht="14.4" x14ac:dyDescent="0.3"/>
    <row r="44397" ht="14.4" x14ac:dyDescent="0.3"/>
    <row r="44398" ht="14.4" x14ac:dyDescent="0.3"/>
    <row r="44399" ht="14.4" x14ac:dyDescent="0.3"/>
    <row r="44400" ht="14.4" x14ac:dyDescent="0.3"/>
    <row r="44401" ht="14.4" x14ac:dyDescent="0.3"/>
    <row r="44402" ht="14.4" x14ac:dyDescent="0.3"/>
    <row r="44403" ht="14.4" x14ac:dyDescent="0.3"/>
    <row r="44404" ht="14.4" x14ac:dyDescent="0.3"/>
    <row r="44405" ht="14.4" x14ac:dyDescent="0.3"/>
    <row r="44406" ht="14.4" x14ac:dyDescent="0.3"/>
    <row r="44407" ht="14.4" x14ac:dyDescent="0.3"/>
    <row r="44408" ht="14.4" x14ac:dyDescent="0.3"/>
    <row r="44409" ht="14.4" x14ac:dyDescent="0.3"/>
    <row r="44410" ht="14.4" x14ac:dyDescent="0.3"/>
    <row r="44411" ht="14.4" x14ac:dyDescent="0.3"/>
    <row r="44412" ht="14.4" x14ac:dyDescent="0.3"/>
    <row r="44413" ht="14.4" x14ac:dyDescent="0.3"/>
    <row r="44414" ht="14.4" x14ac:dyDescent="0.3"/>
    <row r="44415" ht="14.4" x14ac:dyDescent="0.3"/>
    <row r="44416" ht="14.4" x14ac:dyDescent="0.3"/>
    <row r="44417" ht="14.4" x14ac:dyDescent="0.3"/>
    <row r="44418" ht="14.4" x14ac:dyDescent="0.3"/>
    <row r="44419" ht="14.4" x14ac:dyDescent="0.3"/>
    <row r="44420" ht="14.4" x14ac:dyDescent="0.3"/>
    <row r="44421" ht="14.4" x14ac:dyDescent="0.3"/>
    <row r="44422" ht="14.4" x14ac:dyDescent="0.3"/>
    <row r="44423" ht="14.4" x14ac:dyDescent="0.3"/>
    <row r="44424" ht="14.4" x14ac:dyDescent="0.3"/>
    <row r="44425" ht="14.4" x14ac:dyDescent="0.3"/>
    <row r="44426" ht="14.4" x14ac:dyDescent="0.3"/>
    <row r="44427" ht="14.4" x14ac:dyDescent="0.3"/>
    <row r="44428" ht="14.4" x14ac:dyDescent="0.3"/>
    <row r="44429" ht="14.4" x14ac:dyDescent="0.3"/>
    <row r="44430" ht="14.4" x14ac:dyDescent="0.3"/>
    <row r="44431" ht="14.4" x14ac:dyDescent="0.3"/>
    <row r="44432" ht="14.4" x14ac:dyDescent="0.3"/>
    <row r="44433" ht="14.4" x14ac:dyDescent="0.3"/>
    <row r="44434" ht="14.4" x14ac:dyDescent="0.3"/>
    <row r="44435" ht="14.4" x14ac:dyDescent="0.3"/>
    <row r="44436" ht="14.4" x14ac:dyDescent="0.3"/>
    <row r="44437" ht="14.4" x14ac:dyDescent="0.3"/>
    <row r="44438" ht="14.4" x14ac:dyDescent="0.3"/>
    <row r="44439" ht="14.4" x14ac:dyDescent="0.3"/>
    <row r="44440" ht="14.4" x14ac:dyDescent="0.3"/>
    <row r="44441" ht="14.4" x14ac:dyDescent="0.3"/>
    <row r="44442" ht="14.4" x14ac:dyDescent="0.3"/>
    <row r="44443" ht="14.4" x14ac:dyDescent="0.3"/>
    <row r="44444" ht="14.4" x14ac:dyDescent="0.3"/>
    <row r="44445" ht="14.4" x14ac:dyDescent="0.3"/>
    <row r="44446" ht="14.4" x14ac:dyDescent="0.3"/>
    <row r="44447" ht="14.4" x14ac:dyDescent="0.3"/>
    <row r="44448" ht="14.4" x14ac:dyDescent="0.3"/>
    <row r="44449" spans="1:43" ht="14.4" x14ac:dyDescent="0.3"/>
    <row r="44450" spans="1:43" ht="14.4" x14ac:dyDescent="0.3"/>
    <row r="44451" spans="1:43" ht="14.4" x14ac:dyDescent="0.3"/>
    <row r="44452" spans="1:43" ht="14.4" x14ac:dyDescent="0.3"/>
    <row r="44453" spans="1:43" ht="14.4" x14ac:dyDescent="0.3"/>
    <row r="44454" spans="1:43" ht="14.4" x14ac:dyDescent="0.3"/>
    <row r="44455" spans="1:43" ht="14.4" hidden="1" x14ac:dyDescent="0.3">
      <c r="A44455" t="s">
        <v>5621</v>
      </c>
      <c r="B44455">
        <v>4908853</v>
      </c>
      <c r="C44455" t="s">
        <v>135</v>
      </c>
      <c r="D44455" t="s">
        <v>209</v>
      </c>
      <c r="E44455" t="s">
        <v>210</v>
      </c>
      <c r="F44455" t="s">
        <v>1455</v>
      </c>
      <c r="H44455" t="s">
        <v>300</v>
      </c>
      <c r="J44455" t="s">
        <v>140</v>
      </c>
      <c r="K44455">
        <v>159720.26</v>
      </c>
      <c r="L44455">
        <v>383560.09</v>
      </c>
      <c r="M44455">
        <v>1</v>
      </c>
      <c r="N44455" t="s">
        <v>1456</v>
      </c>
      <c r="O44455" t="s">
        <v>1457</v>
      </c>
      <c r="P44455" t="s">
        <v>829</v>
      </c>
      <c r="Q44455" t="s">
        <v>144</v>
      </c>
      <c r="S44455">
        <v>9</v>
      </c>
      <c r="T44455">
        <v>630</v>
      </c>
      <c r="V44455" t="s">
        <v>146</v>
      </c>
      <c r="W44455" t="s">
        <v>415</v>
      </c>
      <c r="X44455" t="s">
        <v>7</v>
      </c>
      <c r="Y44455" t="s">
        <v>1458</v>
      </c>
      <c r="Z44455" t="s">
        <v>1457</v>
      </c>
      <c r="AA44455" t="s">
        <v>1459</v>
      </c>
      <c r="AB44455">
        <v>0</v>
      </c>
      <c r="AE44455" t="s">
        <v>1460</v>
      </c>
      <c r="AF44455" t="s">
        <v>1457</v>
      </c>
      <c r="AG44455" t="s">
        <v>1459</v>
      </c>
      <c r="AL44455" t="s">
        <v>5622</v>
      </c>
      <c r="AM44455" t="s">
        <v>5623</v>
      </c>
      <c r="AN44455" t="s">
        <v>5624</v>
      </c>
      <c r="AO44455" t="s">
        <v>1456</v>
      </c>
      <c r="AQ44455">
        <f>IF(ISBLANK(AP44455), IFERROR(IF(VLOOKUP(AO44455, Ellens_additions!$A$2:$B$252, 2, FALSE) = "", "", VLOOKUP(AO44455, Ellens_additions!$A$2:$B$252, 2, FALSE)), 0), AP44455)</f>
        <v>0</v>
      </c>
    </row>
    <row r="44456" spans="1:43" ht="14.4" hidden="1" x14ac:dyDescent="0.3">
      <c r="A44456" t="s">
        <v>5625</v>
      </c>
      <c r="B44456">
        <v>4908855</v>
      </c>
      <c r="C44456" t="s">
        <v>135</v>
      </c>
      <c r="D44456" t="s">
        <v>209</v>
      </c>
      <c r="E44456" t="s">
        <v>210</v>
      </c>
      <c r="F44456" t="s">
        <v>1455</v>
      </c>
      <c r="H44456" t="s">
        <v>262</v>
      </c>
      <c r="J44456" t="s">
        <v>140</v>
      </c>
      <c r="K44456">
        <v>159709.91</v>
      </c>
      <c r="L44456">
        <v>383559.19</v>
      </c>
      <c r="M44456">
        <v>1</v>
      </c>
      <c r="N44456" t="s">
        <v>1456</v>
      </c>
      <c r="O44456" t="s">
        <v>1457</v>
      </c>
      <c r="P44456" t="s">
        <v>829</v>
      </c>
      <c r="Q44456" t="s">
        <v>144</v>
      </c>
      <c r="S44456">
        <v>9</v>
      </c>
      <c r="T44456">
        <v>630</v>
      </c>
      <c r="V44456" t="s">
        <v>146</v>
      </c>
      <c r="W44456" t="s">
        <v>415</v>
      </c>
      <c r="X44456" t="s">
        <v>7</v>
      </c>
      <c r="Y44456" t="s">
        <v>1458</v>
      </c>
      <c r="Z44456" t="s">
        <v>1457</v>
      </c>
      <c r="AA44456" t="s">
        <v>1459</v>
      </c>
      <c r="AB44456">
        <v>0</v>
      </c>
      <c r="AE44456" t="s">
        <v>1460</v>
      </c>
      <c r="AF44456" t="s">
        <v>1457</v>
      </c>
      <c r="AG44456" t="s">
        <v>1459</v>
      </c>
      <c r="AL44456" t="s">
        <v>5626</v>
      </c>
      <c r="AM44456" t="s">
        <v>5627</v>
      </c>
      <c r="AN44456" t="s">
        <v>5628</v>
      </c>
      <c r="AO44456" t="s">
        <v>1456</v>
      </c>
      <c r="AQ44456">
        <f>IF(ISBLANK(AP44456), IFERROR(IF(VLOOKUP(AO44456, Ellens_additions!$A$2:$B$252, 2, FALSE) = "", "", VLOOKUP(AO44456, Ellens_additions!$A$2:$B$252, 2, FALSE)), 0), AP44456)</f>
        <v>0</v>
      </c>
    </row>
    <row r="44457" spans="1:43" ht="14.4" hidden="1" x14ac:dyDescent="0.3">
      <c r="A44457" t="s">
        <v>5629</v>
      </c>
      <c r="B44457">
        <v>4908856</v>
      </c>
      <c r="C44457" t="s">
        <v>135</v>
      </c>
      <c r="D44457" t="s">
        <v>209</v>
      </c>
      <c r="E44457" t="s">
        <v>210</v>
      </c>
      <c r="F44457" t="s">
        <v>1455</v>
      </c>
      <c r="H44457" t="s">
        <v>177</v>
      </c>
      <c r="J44457" t="s">
        <v>140</v>
      </c>
      <c r="K44457">
        <v>159704.82999999999</v>
      </c>
      <c r="L44457">
        <v>383558.76</v>
      </c>
      <c r="M44457">
        <v>1</v>
      </c>
      <c r="N44457" t="s">
        <v>1456</v>
      </c>
      <c r="O44457" t="s">
        <v>1457</v>
      </c>
      <c r="P44457" t="s">
        <v>829</v>
      </c>
      <c r="Q44457" t="s">
        <v>144</v>
      </c>
      <c r="S44457">
        <v>9</v>
      </c>
      <c r="T44457">
        <v>630</v>
      </c>
      <c r="V44457" t="s">
        <v>146</v>
      </c>
      <c r="W44457" t="s">
        <v>415</v>
      </c>
      <c r="X44457" t="s">
        <v>7</v>
      </c>
      <c r="Y44457" t="s">
        <v>1458</v>
      </c>
      <c r="Z44457" t="s">
        <v>1457</v>
      </c>
      <c r="AA44457" t="s">
        <v>1459</v>
      </c>
      <c r="AB44457">
        <v>0</v>
      </c>
      <c r="AE44457" t="s">
        <v>1460</v>
      </c>
      <c r="AF44457" t="s">
        <v>1457</v>
      </c>
      <c r="AG44457" t="s">
        <v>1459</v>
      </c>
      <c r="AL44457" t="s">
        <v>5630</v>
      </c>
      <c r="AM44457" t="s">
        <v>5631</v>
      </c>
      <c r="AN44457" t="s">
        <v>5632</v>
      </c>
      <c r="AO44457" t="s">
        <v>1456</v>
      </c>
      <c r="AQ44457">
        <f>IF(ISBLANK(AP44457), IFERROR(IF(VLOOKUP(AO44457, Ellens_additions!$A$2:$B$252, 2, FALSE) = "", "", VLOOKUP(AO44457, Ellens_additions!$A$2:$B$252, 2, FALSE)), 0), AP44457)</f>
        <v>0</v>
      </c>
    </row>
    <row r="44458" spans="1:43" ht="14.4" hidden="1" x14ac:dyDescent="0.3">
      <c r="A44458" t="s">
        <v>5633</v>
      </c>
      <c r="B44458">
        <v>4908865</v>
      </c>
      <c r="C44458" t="s">
        <v>135</v>
      </c>
      <c r="D44458" t="s">
        <v>174</v>
      </c>
      <c r="E44458" t="s">
        <v>316</v>
      </c>
      <c r="F44458" t="s">
        <v>288</v>
      </c>
      <c r="H44458" t="s">
        <v>5634</v>
      </c>
      <c r="J44458" t="s">
        <v>140</v>
      </c>
      <c r="K44458">
        <v>159375.99</v>
      </c>
      <c r="L44458">
        <v>383593.47</v>
      </c>
      <c r="N44458" t="s">
        <v>1494</v>
      </c>
      <c r="O44458" t="s">
        <v>448</v>
      </c>
      <c r="P44458" t="s">
        <v>1495</v>
      </c>
      <c r="Q44458" t="s">
        <v>144</v>
      </c>
      <c r="S44458">
        <v>0</v>
      </c>
      <c r="T44458">
        <v>0</v>
      </c>
      <c r="V44458" t="s">
        <v>146</v>
      </c>
      <c r="W44458" t="s">
        <v>184</v>
      </c>
      <c r="X44458" t="s">
        <v>7</v>
      </c>
      <c r="Y44458" t="s">
        <v>1494</v>
      </c>
      <c r="Z44458" t="s">
        <v>448</v>
      </c>
      <c r="AA44458" t="s">
        <v>456</v>
      </c>
      <c r="AB44458">
        <v>0</v>
      </c>
      <c r="AE44458" t="s">
        <v>1496</v>
      </c>
      <c r="AF44458" t="s">
        <v>448</v>
      </c>
      <c r="AG44458" t="s">
        <v>560</v>
      </c>
      <c r="AL44458" t="s">
        <v>5635</v>
      </c>
      <c r="AM44458" t="s">
        <v>5636</v>
      </c>
      <c r="AN44458" t="s">
        <v>5637</v>
      </c>
      <c r="AO44458" t="s">
        <v>1494</v>
      </c>
      <c r="AQ44458">
        <f>IF(ISBLANK(AP44458), IFERROR(IF(VLOOKUP(AO44458, Ellens_additions!$A$2:$B$252, 2, FALSE) = "", "", VLOOKUP(AO44458, Ellens_additions!$A$2:$B$252, 2, FALSE)), 0), AP44458)</f>
        <v>0</v>
      </c>
    </row>
    <row r="44459" spans="1:43" ht="14.4" hidden="1" x14ac:dyDescent="0.3">
      <c r="A44459" t="s">
        <v>5638</v>
      </c>
      <c r="B44459">
        <v>4908872</v>
      </c>
      <c r="C44459" t="s">
        <v>135</v>
      </c>
      <c r="D44459" t="s">
        <v>174</v>
      </c>
      <c r="E44459" t="s">
        <v>316</v>
      </c>
      <c r="F44459" t="s">
        <v>288</v>
      </c>
      <c r="H44459" t="s">
        <v>5639</v>
      </c>
      <c r="J44459" t="s">
        <v>140</v>
      </c>
      <c r="K44459">
        <v>159353.99</v>
      </c>
      <c r="L44459">
        <v>383611.61</v>
      </c>
      <c r="N44459" t="s">
        <v>1494</v>
      </c>
      <c r="O44459" t="s">
        <v>448</v>
      </c>
      <c r="P44459" t="s">
        <v>1495</v>
      </c>
      <c r="Q44459" t="s">
        <v>144</v>
      </c>
      <c r="S44459">
        <v>0</v>
      </c>
      <c r="T44459">
        <v>0</v>
      </c>
      <c r="V44459" t="s">
        <v>146</v>
      </c>
      <c r="W44459" t="s">
        <v>184</v>
      </c>
      <c r="X44459" t="s">
        <v>7</v>
      </c>
      <c r="Y44459" t="s">
        <v>1494</v>
      </c>
      <c r="Z44459" t="s">
        <v>448</v>
      </c>
      <c r="AA44459" t="s">
        <v>456</v>
      </c>
      <c r="AB44459">
        <v>0</v>
      </c>
      <c r="AE44459" t="s">
        <v>1496</v>
      </c>
      <c r="AF44459" t="s">
        <v>448</v>
      </c>
      <c r="AG44459" t="s">
        <v>560</v>
      </c>
      <c r="AL44459" t="s">
        <v>5640</v>
      </c>
      <c r="AM44459" t="s">
        <v>5641</v>
      </c>
      <c r="AN44459" t="s">
        <v>5642</v>
      </c>
      <c r="AO44459" t="s">
        <v>1494</v>
      </c>
      <c r="AQ44459">
        <f>IF(ISBLANK(AP44459), IFERROR(IF(VLOOKUP(AO44459, Ellens_additions!$A$2:$B$252, 2, FALSE) = "", "", VLOOKUP(AO44459, Ellens_additions!$A$2:$B$252, 2, FALSE)), 0), AP44459)</f>
        <v>0</v>
      </c>
    </row>
    <row r="44460" spans="1:43" ht="14.4" hidden="1" x14ac:dyDescent="0.3">
      <c r="A44460" t="s">
        <v>5643</v>
      </c>
      <c r="B44460">
        <v>4908876</v>
      </c>
      <c r="C44460" t="s">
        <v>135</v>
      </c>
      <c r="D44460" t="s">
        <v>174</v>
      </c>
      <c r="E44460" t="s">
        <v>316</v>
      </c>
      <c r="F44460" t="s">
        <v>288</v>
      </c>
      <c r="H44460" t="s">
        <v>5644</v>
      </c>
      <c r="J44460" t="s">
        <v>140</v>
      </c>
      <c r="K44460">
        <v>159335.89000000001</v>
      </c>
      <c r="L44460">
        <v>383613.5</v>
      </c>
      <c r="N44460" t="s">
        <v>1494</v>
      </c>
      <c r="O44460" t="s">
        <v>448</v>
      </c>
      <c r="P44460" t="s">
        <v>1495</v>
      </c>
      <c r="Q44460" t="s">
        <v>144</v>
      </c>
      <c r="S44460">
        <v>0</v>
      </c>
      <c r="T44460">
        <v>0</v>
      </c>
      <c r="V44460" t="s">
        <v>146</v>
      </c>
      <c r="W44460" t="s">
        <v>184</v>
      </c>
      <c r="X44460" t="s">
        <v>7</v>
      </c>
      <c r="Y44460" t="s">
        <v>1494</v>
      </c>
      <c r="Z44460" t="s">
        <v>448</v>
      </c>
      <c r="AA44460" t="s">
        <v>456</v>
      </c>
      <c r="AB44460">
        <v>0</v>
      </c>
      <c r="AE44460" t="s">
        <v>1496</v>
      </c>
      <c r="AF44460" t="s">
        <v>448</v>
      </c>
      <c r="AG44460" t="s">
        <v>560</v>
      </c>
      <c r="AL44460" t="s">
        <v>5645</v>
      </c>
      <c r="AM44460" t="s">
        <v>5646</v>
      </c>
      <c r="AN44460" t="s">
        <v>5647</v>
      </c>
      <c r="AO44460" t="s">
        <v>1494</v>
      </c>
      <c r="AQ44460">
        <f>IF(ISBLANK(AP44460), IFERROR(IF(VLOOKUP(AO44460, Ellens_additions!$A$2:$B$252, 2, FALSE) = "", "", VLOOKUP(AO44460, Ellens_additions!$A$2:$B$252, 2, FALSE)), 0), AP44460)</f>
        <v>0</v>
      </c>
    </row>
    <row r="44461" spans="1:43" ht="14.4" hidden="1" x14ac:dyDescent="0.3">
      <c r="A44461" t="s">
        <v>5648</v>
      </c>
      <c r="B44461">
        <v>4908879</v>
      </c>
      <c r="C44461" t="s">
        <v>135</v>
      </c>
      <c r="D44461" t="s">
        <v>174</v>
      </c>
      <c r="E44461" t="s">
        <v>316</v>
      </c>
      <c r="F44461" t="s">
        <v>288</v>
      </c>
      <c r="H44461" t="s">
        <v>5649</v>
      </c>
      <c r="J44461" t="s">
        <v>140</v>
      </c>
      <c r="K44461">
        <v>159357.29</v>
      </c>
      <c r="L44461">
        <v>383538.1</v>
      </c>
      <c r="N44461" t="s">
        <v>1494</v>
      </c>
      <c r="O44461" t="s">
        <v>448</v>
      </c>
      <c r="P44461" t="s">
        <v>1495</v>
      </c>
      <c r="Q44461" t="s">
        <v>144</v>
      </c>
      <c r="S44461">
        <v>0</v>
      </c>
      <c r="T44461">
        <v>0</v>
      </c>
      <c r="V44461" t="s">
        <v>146</v>
      </c>
      <c r="W44461" t="s">
        <v>184</v>
      </c>
      <c r="X44461" t="s">
        <v>7</v>
      </c>
      <c r="Y44461" t="s">
        <v>1494</v>
      </c>
      <c r="Z44461" t="s">
        <v>448</v>
      </c>
      <c r="AA44461" t="s">
        <v>456</v>
      </c>
      <c r="AB44461">
        <v>0</v>
      </c>
      <c r="AE44461" t="s">
        <v>1496</v>
      </c>
      <c r="AF44461" t="s">
        <v>448</v>
      </c>
      <c r="AG44461" t="s">
        <v>560</v>
      </c>
      <c r="AL44461" t="s">
        <v>5650</v>
      </c>
      <c r="AM44461" t="s">
        <v>5651</v>
      </c>
      <c r="AN44461" t="s">
        <v>5652</v>
      </c>
      <c r="AO44461" t="s">
        <v>1494</v>
      </c>
      <c r="AQ44461">
        <f>IF(ISBLANK(AP44461), IFERROR(IF(VLOOKUP(AO44461, Ellens_additions!$A$2:$B$252, 2, FALSE) = "", "", VLOOKUP(AO44461, Ellens_additions!$A$2:$B$252, 2, FALSE)), 0), AP44461)</f>
        <v>0</v>
      </c>
    </row>
    <row r="44462" spans="1:43" ht="14.4" hidden="1" x14ac:dyDescent="0.3">
      <c r="A44462" t="s">
        <v>5653</v>
      </c>
      <c r="B44462">
        <v>4908880</v>
      </c>
      <c r="C44462" t="s">
        <v>135</v>
      </c>
      <c r="D44462" t="s">
        <v>174</v>
      </c>
      <c r="E44462" t="s">
        <v>316</v>
      </c>
      <c r="F44462" t="s">
        <v>288</v>
      </c>
      <c r="H44462" t="s">
        <v>5654</v>
      </c>
      <c r="J44462" t="s">
        <v>140</v>
      </c>
      <c r="K44462">
        <v>159359.85</v>
      </c>
      <c r="L44462">
        <v>383539.33</v>
      </c>
      <c r="N44462" t="s">
        <v>1494</v>
      </c>
      <c r="O44462" t="s">
        <v>448</v>
      </c>
      <c r="P44462" t="s">
        <v>1495</v>
      </c>
      <c r="Q44462" t="s">
        <v>144</v>
      </c>
      <c r="S44462">
        <v>0</v>
      </c>
      <c r="T44462">
        <v>0</v>
      </c>
      <c r="V44462" t="s">
        <v>146</v>
      </c>
      <c r="W44462" t="s">
        <v>184</v>
      </c>
      <c r="X44462" t="s">
        <v>7</v>
      </c>
      <c r="Y44462" t="s">
        <v>1494</v>
      </c>
      <c r="Z44462" t="s">
        <v>448</v>
      </c>
      <c r="AA44462" t="s">
        <v>456</v>
      </c>
      <c r="AB44462">
        <v>0</v>
      </c>
      <c r="AE44462" t="s">
        <v>1496</v>
      </c>
      <c r="AF44462" t="s">
        <v>448</v>
      </c>
      <c r="AG44462" t="s">
        <v>560</v>
      </c>
      <c r="AL44462" t="s">
        <v>5655</v>
      </c>
      <c r="AM44462" t="s">
        <v>5656</v>
      </c>
      <c r="AN44462" t="s">
        <v>5657</v>
      </c>
      <c r="AO44462" t="s">
        <v>1494</v>
      </c>
      <c r="AQ44462">
        <f>IF(ISBLANK(AP44462), IFERROR(IF(VLOOKUP(AO44462, Ellens_additions!$A$2:$B$252, 2, FALSE) = "", "", VLOOKUP(AO44462, Ellens_additions!$A$2:$B$252, 2, FALSE)), 0), AP44462)</f>
        <v>0</v>
      </c>
    </row>
    <row r="44463" spans="1:43" ht="14.4" x14ac:dyDescent="0.3"/>
    <row r="44464" spans="1:43" ht="14.4" x14ac:dyDescent="0.3"/>
    <row r="44465" ht="14.4" x14ac:dyDescent="0.3"/>
    <row r="44466" ht="14.4" x14ac:dyDescent="0.3"/>
    <row r="44467" ht="14.4" x14ac:dyDescent="0.3"/>
    <row r="44468" ht="14.4" x14ac:dyDescent="0.3"/>
    <row r="44469" ht="14.4" x14ac:dyDescent="0.3"/>
    <row r="44470" ht="14.4" x14ac:dyDescent="0.3"/>
    <row r="44471" ht="14.4" x14ac:dyDescent="0.3"/>
    <row r="44472" ht="14.4" x14ac:dyDescent="0.3"/>
    <row r="44473" ht="14.4" x14ac:dyDescent="0.3"/>
    <row r="44474" ht="14.4" x14ac:dyDescent="0.3"/>
    <row r="44475" ht="14.4" x14ac:dyDescent="0.3"/>
    <row r="44476" ht="14.4" x14ac:dyDescent="0.3"/>
    <row r="44477" ht="14.4" x14ac:dyDescent="0.3"/>
    <row r="44478" ht="14.4" x14ac:dyDescent="0.3"/>
    <row r="44479" ht="14.4" x14ac:dyDescent="0.3"/>
    <row r="44480" ht="14.4" x14ac:dyDescent="0.3"/>
    <row r="44481" ht="14.4" x14ac:dyDescent="0.3"/>
    <row r="44482" ht="14.4" x14ac:dyDescent="0.3"/>
    <row r="44483" ht="14.4" x14ac:dyDescent="0.3"/>
    <row r="44484" ht="14.4" x14ac:dyDescent="0.3"/>
    <row r="44485" ht="14.4" x14ac:dyDescent="0.3"/>
    <row r="44486" ht="14.4" x14ac:dyDescent="0.3"/>
    <row r="44487" ht="14.4" x14ac:dyDescent="0.3"/>
    <row r="44488" ht="14.4" x14ac:dyDescent="0.3"/>
    <row r="44489" ht="14.4" x14ac:dyDescent="0.3"/>
    <row r="44490" ht="14.4" x14ac:dyDescent="0.3"/>
    <row r="44491" ht="14.4" x14ac:dyDescent="0.3"/>
    <row r="44492" ht="14.4" x14ac:dyDescent="0.3"/>
    <row r="44493" ht="14.4" x14ac:dyDescent="0.3"/>
    <row r="44494" ht="14.4" x14ac:dyDescent="0.3"/>
    <row r="44495" ht="14.4" x14ac:dyDescent="0.3"/>
    <row r="44496" ht="14.4" x14ac:dyDescent="0.3"/>
    <row r="44497" ht="14.4" x14ac:dyDescent="0.3"/>
    <row r="44498" ht="14.4" x14ac:dyDescent="0.3"/>
    <row r="44499" ht="14.4" x14ac:dyDescent="0.3"/>
    <row r="44500" ht="14.4" x14ac:dyDescent="0.3"/>
    <row r="44501" ht="14.4" x14ac:dyDescent="0.3"/>
    <row r="44502" ht="14.4" x14ac:dyDescent="0.3"/>
    <row r="44503" ht="14.4" x14ac:dyDescent="0.3"/>
    <row r="44504" ht="14.4" x14ac:dyDescent="0.3"/>
    <row r="44505" ht="14.4" x14ac:dyDescent="0.3"/>
    <row r="44506" ht="14.4" x14ac:dyDescent="0.3"/>
    <row r="44507" ht="14.4" x14ac:dyDescent="0.3"/>
    <row r="44508" ht="14.4" x14ac:dyDescent="0.3"/>
    <row r="44509" ht="14.4" x14ac:dyDescent="0.3"/>
    <row r="44510" ht="14.4" x14ac:dyDescent="0.3"/>
    <row r="44511" ht="14.4" x14ac:dyDescent="0.3"/>
    <row r="44512" ht="14.4" x14ac:dyDescent="0.3"/>
    <row r="44513" ht="14.4" x14ac:dyDescent="0.3"/>
    <row r="44514" ht="14.4" x14ac:dyDescent="0.3"/>
    <row r="44515" ht="14.4" x14ac:dyDescent="0.3"/>
    <row r="44516" ht="14.4" x14ac:dyDescent="0.3"/>
    <row r="44517" ht="14.4" x14ac:dyDescent="0.3"/>
    <row r="44518" ht="14.4" x14ac:dyDescent="0.3"/>
    <row r="44519" ht="14.4" x14ac:dyDescent="0.3"/>
    <row r="44520" ht="14.4" x14ac:dyDescent="0.3"/>
    <row r="44521" ht="14.4" x14ac:dyDescent="0.3"/>
    <row r="44522" ht="14.4" x14ac:dyDescent="0.3"/>
    <row r="44523" ht="14.4" x14ac:dyDescent="0.3"/>
    <row r="44524" ht="14.4" x14ac:dyDescent="0.3"/>
    <row r="44525" ht="14.4" x14ac:dyDescent="0.3"/>
    <row r="44526" ht="14.4" x14ac:dyDescent="0.3"/>
    <row r="44527" ht="14.4" x14ac:dyDescent="0.3"/>
    <row r="44528" ht="14.4" x14ac:dyDescent="0.3"/>
    <row r="44529" ht="14.4" x14ac:dyDescent="0.3"/>
    <row r="44530" ht="14.4" x14ac:dyDescent="0.3"/>
    <row r="44531" ht="14.4" x14ac:dyDescent="0.3"/>
    <row r="44532" ht="14.4" x14ac:dyDescent="0.3"/>
    <row r="44533" ht="14.4" x14ac:dyDescent="0.3"/>
    <row r="44534" ht="14.4" x14ac:dyDescent="0.3"/>
    <row r="44535" ht="14.4" x14ac:dyDescent="0.3"/>
    <row r="44536" ht="14.4" x14ac:dyDescent="0.3"/>
    <row r="44537" ht="14.4" x14ac:dyDescent="0.3"/>
    <row r="44538" ht="14.4" x14ac:dyDescent="0.3"/>
    <row r="44539" ht="14.4" x14ac:dyDescent="0.3"/>
    <row r="44540" ht="14.4" x14ac:dyDescent="0.3"/>
    <row r="44541" ht="14.4" x14ac:dyDescent="0.3"/>
    <row r="44542" ht="14.4" x14ac:dyDescent="0.3"/>
    <row r="44543" ht="14.4" x14ac:dyDescent="0.3"/>
    <row r="44544" ht="14.4" x14ac:dyDescent="0.3"/>
    <row r="44545" ht="14.4" x14ac:dyDescent="0.3"/>
    <row r="44546" ht="14.4" x14ac:dyDescent="0.3"/>
    <row r="44547" ht="14.4" x14ac:dyDescent="0.3"/>
    <row r="44548" ht="14.4" x14ac:dyDescent="0.3"/>
    <row r="44549" ht="14.4" x14ac:dyDescent="0.3"/>
    <row r="44550" ht="14.4" x14ac:dyDescent="0.3"/>
    <row r="44551" ht="14.4" x14ac:dyDescent="0.3"/>
    <row r="44552" ht="14.4" x14ac:dyDescent="0.3"/>
    <row r="44553" ht="14.4" x14ac:dyDescent="0.3"/>
    <row r="44554" ht="14.4" x14ac:dyDescent="0.3"/>
    <row r="44555" ht="14.4" x14ac:dyDescent="0.3"/>
    <row r="44556" ht="14.4" x14ac:dyDescent="0.3"/>
    <row r="44557" ht="14.4" x14ac:dyDescent="0.3"/>
    <row r="44558" ht="14.4" x14ac:dyDescent="0.3"/>
    <row r="44559" ht="14.4" x14ac:dyDescent="0.3"/>
    <row r="44560" ht="14.4" x14ac:dyDescent="0.3"/>
    <row r="44561" ht="14.4" x14ac:dyDescent="0.3"/>
    <row r="44562" ht="14.4" x14ac:dyDescent="0.3"/>
    <row r="44563" ht="14.4" x14ac:dyDescent="0.3"/>
    <row r="44564" ht="14.4" x14ac:dyDescent="0.3"/>
    <row r="44565" ht="14.4" x14ac:dyDescent="0.3"/>
    <row r="44566" ht="14.4" x14ac:dyDescent="0.3"/>
    <row r="44567" ht="14.4" x14ac:dyDescent="0.3"/>
    <row r="44568" ht="14.4" x14ac:dyDescent="0.3"/>
    <row r="44569" ht="14.4" x14ac:dyDescent="0.3"/>
    <row r="44570" ht="14.4" x14ac:dyDescent="0.3"/>
    <row r="44571" ht="14.4" x14ac:dyDescent="0.3"/>
    <row r="44572" ht="14.4" x14ac:dyDescent="0.3"/>
    <row r="44573" ht="14.4" x14ac:dyDescent="0.3"/>
    <row r="44574" ht="14.4" x14ac:dyDescent="0.3"/>
    <row r="44575" ht="14.4" x14ac:dyDescent="0.3"/>
    <row r="44576" ht="14.4" x14ac:dyDescent="0.3"/>
    <row r="44577" ht="14.4" x14ac:dyDescent="0.3"/>
    <row r="44578" ht="14.4" x14ac:dyDescent="0.3"/>
    <row r="44579" ht="14.4" x14ac:dyDescent="0.3"/>
    <row r="44580" ht="14.4" x14ac:dyDescent="0.3"/>
    <row r="44581" ht="14.4" x14ac:dyDescent="0.3"/>
    <row r="44582" ht="14.4" x14ac:dyDescent="0.3"/>
    <row r="44583" ht="14.4" x14ac:dyDescent="0.3"/>
    <row r="44584" ht="14.4" x14ac:dyDescent="0.3"/>
    <row r="44585" ht="14.4" x14ac:dyDescent="0.3"/>
    <row r="44586" ht="14.4" x14ac:dyDescent="0.3"/>
    <row r="44587" ht="14.4" x14ac:dyDescent="0.3"/>
    <row r="44588" ht="14.4" x14ac:dyDescent="0.3"/>
    <row r="44589" ht="14.4" x14ac:dyDescent="0.3"/>
    <row r="44590" ht="14.4" x14ac:dyDescent="0.3"/>
    <row r="44591" ht="14.4" x14ac:dyDescent="0.3"/>
    <row r="44592" ht="14.4" x14ac:dyDescent="0.3"/>
    <row r="44593" ht="14.4" x14ac:dyDescent="0.3"/>
    <row r="44594" ht="14.4" x14ac:dyDescent="0.3"/>
    <row r="44595" ht="14.4" x14ac:dyDescent="0.3"/>
    <row r="44596" ht="14.4" x14ac:dyDescent="0.3"/>
    <row r="44597" ht="14.4" x14ac:dyDescent="0.3"/>
    <row r="44598" ht="14.4" x14ac:dyDescent="0.3"/>
    <row r="44599" ht="14.4" x14ac:dyDescent="0.3"/>
    <row r="44600" ht="14.4" x14ac:dyDescent="0.3"/>
    <row r="44601" ht="14.4" x14ac:dyDescent="0.3"/>
    <row r="44602" ht="14.4" x14ac:dyDescent="0.3"/>
    <row r="44603" ht="14.4" x14ac:dyDescent="0.3"/>
    <row r="44604" ht="14.4" x14ac:dyDescent="0.3"/>
    <row r="44605" ht="14.4" x14ac:dyDescent="0.3"/>
    <row r="44606" ht="14.4" x14ac:dyDescent="0.3"/>
    <row r="44607" ht="14.4" x14ac:dyDescent="0.3"/>
    <row r="44608" ht="14.4" x14ac:dyDescent="0.3"/>
    <row r="44609" ht="14.4" x14ac:dyDescent="0.3"/>
    <row r="44610" ht="14.4" x14ac:dyDescent="0.3"/>
    <row r="44611" ht="14.4" x14ac:dyDescent="0.3"/>
    <row r="44612" ht="14.4" x14ac:dyDescent="0.3"/>
    <row r="44613" ht="14.4" x14ac:dyDescent="0.3"/>
    <row r="44614" ht="14.4" x14ac:dyDescent="0.3"/>
    <row r="44615" ht="14.4" x14ac:dyDescent="0.3"/>
    <row r="44616" ht="14.4" x14ac:dyDescent="0.3"/>
    <row r="44617" ht="14.4" x14ac:dyDescent="0.3"/>
    <row r="44618" ht="14.4" x14ac:dyDescent="0.3"/>
    <row r="44619" ht="14.4" x14ac:dyDescent="0.3"/>
    <row r="44620" ht="14.4" x14ac:dyDescent="0.3"/>
    <row r="44621" ht="14.4" x14ac:dyDescent="0.3"/>
    <row r="44622" ht="14.4" x14ac:dyDescent="0.3"/>
    <row r="44623" ht="14.4" x14ac:dyDescent="0.3"/>
    <row r="44624" ht="14.4" x14ac:dyDescent="0.3"/>
    <row r="44625" ht="14.4" x14ac:dyDescent="0.3"/>
    <row r="44626" ht="14.4" x14ac:dyDescent="0.3"/>
    <row r="44627" ht="14.4" x14ac:dyDescent="0.3"/>
    <row r="44628" ht="14.4" x14ac:dyDescent="0.3"/>
    <row r="44629" ht="14.4" x14ac:dyDescent="0.3"/>
    <row r="44630" ht="14.4" x14ac:dyDescent="0.3"/>
    <row r="44631" ht="14.4" x14ac:dyDescent="0.3"/>
    <row r="44632" ht="14.4" x14ac:dyDescent="0.3"/>
    <row r="44633" ht="14.4" x14ac:dyDescent="0.3"/>
    <row r="44634" ht="14.4" x14ac:dyDescent="0.3"/>
    <row r="44635" ht="14.4" x14ac:dyDescent="0.3"/>
    <row r="44636" ht="14.4" x14ac:dyDescent="0.3"/>
    <row r="44637" ht="14.4" x14ac:dyDescent="0.3"/>
    <row r="44638" ht="14.4" x14ac:dyDescent="0.3"/>
    <row r="44639" ht="14.4" x14ac:dyDescent="0.3"/>
    <row r="44640" ht="14.4" x14ac:dyDescent="0.3"/>
    <row r="44641" ht="14.4" x14ac:dyDescent="0.3"/>
    <row r="44642" ht="14.4" x14ac:dyDescent="0.3"/>
    <row r="44643" ht="14.4" x14ac:dyDescent="0.3"/>
    <row r="44644" ht="14.4" x14ac:dyDescent="0.3"/>
    <row r="44645" ht="14.4" x14ac:dyDescent="0.3"/>
    <row r="44646" ht="14.4" x14ac:dyDescent="0.3"/>
    <row r="44647" ht="14.4" x14ac:dyDescent="0.3"/>
    <row r="44648" ht="14.4" x14ac:dyDescent="0.3"/>
    <row r="44649" ht="14.4" x14ac:dyDescent="0.3"/>
    <row r="44650" ht="14.4" x14ac:dyDescent="0.3"/>
    <row r="44651" ht="14.4" x14ac:dyDescent="0.3"/>
    <row r="44652" ht="14.4" x14ac:dyDescent="0.3"/>
    <row r="44653" ht="14.4" x14ac:dyDescent="0.3"/>
    <row r="44654" ht="14.4" x14ac:dyDescent="0.3"/>
    <row r="44655" ht="14.4" x14ac:dyDescent="0.3"/>
    <row r="44656" ht="14.4" x14ac:dyDescent="0.3"/>
    <row r="44657" ht="14.4" x14ac:dyDescent="0.3"/>
    <row r="44658" ht="14.4" x14ac:dyDescent="0.3"/>
    <row r="44659" ht="14.4" x14ac:dyDescent="0.3"/>
    <row r="44660" ht="14.4" x14ac:dyDescent="0.3"/>
    <row r="44661" ht="14.4" x14ac:dyDescent="0.3"/>
    <row r="44662" ht="14.4" x14ac:dyDescent="0.3"/>
    <row r="44663" ht="14.4" x14ac:dyDescent="0.3"/>
    <row r="44664" ht="14.4" x14ac:dyDescent="0.3"/>
    <row r="44665" ht="14.4" x14ac:dyDescent="0.3"/>
    <row r="44666" ht="14.4" x14ac:dyDescent="0.3"/>
    <row r="44667" ht="14.4" x14ac:dyDescent="0.3"/>
    <row r="44668" ht="14.4" x14ac:dyDescent="0.3"/>
    <row r="44669" ht="14.4" x14ac:dyDescent="0.3"/>
    <row r="44670" ht="14.4" x14ac:dyDescent="0.3"/>
    <row r="44671" ht="14.4" x14ac:dyDescent="0.3"/>
    <row r="44672" ht="14.4" x14ac:dyDescent="0.3"/>
    <row r="44673" ht="14.4" x14ac:dyDescent="0.3"/>
    <row r="44674" ht="14.4" x14ac:dyDescent="0.3"/>
    <row r="44675" ht="14.4" x14ac:dyDescent="0.3"/>
    <row r="44676" ht="14.4" x14ac:dyDescent="0.3"/>
    <row r="44677" ht="14.4" x14ac:dyDescent="0.3"/>
    <row r="44678" ht="14.4" x14ac:dyDescent="0.3"/>
    <row r="44679" ht="14.4" x14ac:dyDescent="0.3"/>
    <row r="44680" ht="14.4" x14ac:dyDescent="0.3"/>
    <row r="44681" ht="14.4" x14ac:dyDescent="0.3"/>
    <row r="44682" ht="14.4" x14ac:dyDescent="0.3"/>
    <row r="44683" ht="14.4" x14ac:dyDescent="0.3"/>
    <row r="44684" ht="14.4" x14ac:dyDescent="0.3"/>
    <row r="44685" ht="14.4" x14ac:dyDescent="0.3"/>
    <row r="44686" ht="14.4" x14ac:dyDescent="0.3"/>
    <row r="44687" ht="14.4" x14ac:dyDescent="0.3"/>
    <row r="44688" ht="14.4" x14ac:dyDescent="0.3"/>
    <row r="44689" ht="14.4" x14ac:dyDescent="0.3"/>
    <row r="44690" ht="14.4" x14ac:dyDescent="0.3"/>
    <row r="44691" ht="14.4" x14ac:dyDescent="0.3"/>
    <row r="44692" ht="14.4" x14ac:dyDescent="0.3"/>
    <row r="44693" ht="14.4" x14ac:dyDescent="0.3"/>
    <row r="44694" ht="14.4" x14ac:dyDescent="0.3"/>
    <row r="44695" ht="14.4" x14ac:dyDescent="0.3"/>
    <row r="44696" ht="14.4" x14ac:dyDescent="0.3"/>
    <row r="44697" ht="14.4" x14ac:dyDescent="0.3"/>
    <row r="44698" ht="14.4" x14ac:dyDescent="0.3"/>
    <row r="44699" ht="14.4" x14ac:dyDescent="0.3"/>
    <row r="44700" ht="14.4" x14ac:dyDescent="0.3"/>
    <row r="44701" ht="14.4" x14ac:dyDescent="0.3"/>
    <row r="44702" ht="14.4" x14ac:dyDescent="0.3"/>
    <row r="44703" ht="14.4" x14ac:dyDescent="0.3"/>
    <row r="44704" ht="14.4" x14ac:dyDescent="0.3"/>
    <row r="44705" ht="14.4" x14ac:dyDescent="0.3"/>
    <row r="44706" ht="14.4" x14ac:dyDescent="0.3"/>
    <row r="44707" ht="14.4" x14ac:dyDescent="0.3"/>
    <row r="44708" ht="14.4" x14ac:dyDescent="0.3"/>
    <row r="44709" ht="14.4" x14ac:dyDescent="0.3"/>
    <row r="44710" ht="14.4" x14ac:dyDescent="0.3"/>
    <row r="44711" ht="14.4" x14ac:dyDescent="0.3"/>
    <row r="44712" ht="14.4" x14ac:dyDescent="0.3"/>
    <row r="44713" ht="14.4" x14ac:dyDescent="0.3"/>
    <row r="44714" ht="14.4" x14ac:dyDescent="0.3"/>
    <row r="44715" ht="14.4" x14ac:dyDescent="0.3"/>
    <row r="44716" ht="14.4" x14ac:dyDescent="0.3"/>
    <row r="44717" ht="14.4" x14ac:dyDescent="0.3"/>
    <row r="44718" ht="14.4" x14ac:dyDescent="0.3"/>
    <row r="44719" ht="14.4" x14ac:dyDescent="0.3"/>
    <row r="44720" ht="14.4" x14ac:dyDescent="0.3"/>
    <row r="44721" ht="14.4" x14ac:dyDescent="0.3"/>
    <row r="44722" ht="14.4" x14ac:dyDescent="0.3"/>
    <row r="44723" ht="14.4" x14ac:dyDescent="0.3"/>
    <row r="44724" ht="14.4" x14ac:dyDescent="0.3"/>
    <row r="44725" ht="14.4" x14ac:dyDescent="0.3"/>
    <row r="44726" ht="14.4" x14ac:dyDescent="0.3"/>
    <row r="44727" ht="14.4" x14ac:dyDescent="0.3"/>
    <row r="44728" ht="14.4" x14ac:dyDescent="0.3"/>
    <row r="44729" ht="14.4" x14ac:dyDescent="0.3"/>
    <row r="44730" ht="14.4" x14ac:dyDescent="0.3"/>
    <row r="44731" ht="14.4" x14ac:dyDescent="0.3"/>
    <row r="44732" ht="14.4" x14ac:dyDescent="0.3"/>
    <row r="44733" ht="14.4" x14ac:dyDescent="0.3"/>
    <row r="44734" ht="14.4" x14ac:dyDescent="0.3"/>
    <row r="44735" ht="14.4" x14ac:dyDescent="0.3"/>
    <row r="44736" ht="14.4" x14ac:dyDescent="0.3"/>
    <row r="44737" ht="14.4" x14ac:dyDescent="0.3"/>
    <row r="44738" ht="14.4" x14ac:dyDescent="0.3"/>
    <row r="44739" ht="14.4" x14ac:dyDescent="0.3"/>
    <row r="44740" ht="14.4" x14ac:dyDescent="0.3"/>
    <row r="44741" ht="14.4" x14ac:dyDescent="0.3"/>
    <row r="44742" ht="14.4" x14ac:dyDescent="0.3"/>
    <row r="44743" ht="14.4" x14ac:dyDescent="0.3"/>
    <row r="44744" ht="14.4" x14ac:dyDescent="0.3"/>
    <row r="44745" ht="14.4" x14ac:dyDescent="0.3"/>
    <row r="44746" ht="14.4" x14ac:dyDescent="0.3"/>
    <row r="44747" ht="14.4" x14ac:dyDescent="0.3"/>
    <row r="44748" ht="14.4" x14ac:dyDescent="0.3"/>
    <row r="44749" ht="14.4" x14ac:dyDescent="0.3"/>
    <row r="44750" ht="14.4" x14ac:dyDescent="0.3"/>
    <row r="44751" ht="14.4" x14ac:dyDescent="0.3"/>
    <row r="44752" ht="14.4" x14ac:dyDescent="0.3"/>
    <row r="44753" ht="14.4" x14ac:dyDescent="0.3"/>
    <row r="44754" ht="14.4" x14ac:dyDescent="0.3"/>
    <row r="44755" ht="14.4" x14ac:dyDescent="0.3"/>
    <row r="44756" ht="14.4" x14ac:dyDescent="0.3"/>
    <row r="44757" ht="14.4" x14ac:dyDescent="0.3"/>
    <row r="44758" ht="14.4" x14ac:dyDescent="0.3"/>
    <row r="44759" ht="14.4" x14ac:dyDescent="0.3"/>
    <row r="44760" ht="14.4" x14ac:dyDescent="0.3"/>
    <row r="44761" ht="14.4" x14ac:dyDescent="0.3"/>
    <row r="44762" ht="14.4" x14ac:dyDescent="0.3"/>
    <row r="44763" ht="14.4" x14ac:dyDescent="0.3"/>
    <row r="44764" ht="14.4" x14ac:dyDescent="0.3"/>
    <row r="44765" ht="14.4" x14ac:dyDescent="0.3"/>
    <row r="44766" ht="14.4" x14ac:dyDescent="0.3"/>
    <row r="44767" ht="14.4" x14ac:dyDescent="0.3"/>
    <row r="44768" ht="14.4" x14ac:dyDescent="0.3"/>
    <row r="44769" ht="14.4" x14ac:dyDescent="0.3"/>
    <row r="44770" ht="14.4" x14ac:dyDescent="0.3"/>
    <row r="44771" ht="14.4" x14ac:dyDescent="0.3"/>
    <row r="44772" ht="14.4" x14ac:dyDescent="0.3"/>
    <row r="44773" ht="14.4" x14ac:dyDescent="0.3"/>
    <row r="44774" ht="14.4" x14ac:dyDescent="0.3"/>
    <row r="44775" ht="14.4" x14ac:dyDescent="0.3"/>
    <row r="44776" ht="14.4" x14ac:dyDescent="0.3"/>
    <row r="44777" ht="14.4" x14ac:dyDescent="0.3"/>
    <row r="44778" ht="14.4" x14ac:dyDescent="0.3"/>
    <row r="44779" ht="14.4" x14ac:dyDescent="0.3"/>
    <row r="44780" ht="14.4" x14ac:dyDescent="0.3"/>
    <row r="44781" ht="14.4" x14ac:dyDescent="0.3"/>
    <row r="44782" ht="14.4" x14ac:dyDescent="0.3"/>
    <row r="44783" ht="14.4" x14ac:dyDescent="0.3"/>
    <row r="44784" ht="14.4" x14ac:dyDescent="0.3"/>
    <row r="44785" ht="14.4" x14ac:dyDescent="0.3"/>
    <row r="44786" ht="14.4" x14ac:dyDescent="0.3"/>
    <row r="44787" ht="14.4" x14ac:dyDescent="0.3"/>
    <row r="44788" ht="14.4" x14ac:dyDescent="0.3"/>
    <row r="44789" ht="14.4" x14ac:dyDescent="0.3"/>
    <row r="44790" ht="14.4" x14ac:dyDescent="0.3"/>
    <row r="44791" ht="14.4" x14ac:dyDescent="0.3"/>
    <row r="44792" ht="14.4" x14ac:dyDescent="0.3"/>
    <row r="44793" ht="14.4" x14ac:dyDescent="0.3"/>
    <row r="44794" ht="14.4" x14ac:dyDescent="0.3"/>
    <row r="44795" ht="14.4" x14ac:dyDescent="0.3"/>
    <row r="44796" ht="14.4" x14ac:dyDescent="0.3"/>
    <row r="44797" ht="14.4" x14ac:dyDescent="0.3"/>
    <row r="44798" ht="14.4" x14ac:dyDescent="0.3"/>
    <row r="44799" ht="14.4" x14ac:dyDescent="0.3"/>
    <row r="44800" ht="14.4" x14ac:dyDescent="0.3"/>
    <row r="44801" ht="14.4" x14ac:dyDescent="0.3"/>
    <row r="44802" ht="14.4" x14ac:dyDescent="0.3"/>
    <row r="44803" ht="14.4" x14ac:dyDescent="0.3"/>
    <row r="44804" ht="14.4" x14ac:dyDescent="0.3"/>
    <row r="44805" ht="14.4" x14ac:dyDescent="0.3"/>
    <row r="44806" ht="14.4" x14ac:dyDescent="0.3"/>
    <row r="44807" ht="14.4" x14ac:dyDescent="0.3"/>
    <row r="44808" ht="14.4" x14ac:dyDescent="0.3"/>
    <row r="44809" ht="14.4" x14ac:dyDescent="0.3"/>
    <row r="44810" ht="14.4" x14ac:dyDescent="0.3"/>
    <row r="44811" ht="14.4" x14ac:dyDescent="0.3"/>
    <row r="44812" ht="14.4" x14ac:dyDescent="0.3"/>
    <row r="44813" ht="14.4" x14ac:dyDescent="0.3"/>
    <row r="44814" ht="14.4" x14ac:dyDescent="0.3"/>
    <row r="44815" ht="14.4" x14ac:dyDescent="0.3"/>
    <row r="44816" ht="14.4" x14ac:dyDescent="0.3"/>
    <row r="44817" ht="14.4" x14ac:dyDescent="0.3"/>
    <row r="44818" ht="14.4" x14ac:dyDescent="0.3"/>
    <row r="44819" ht="14.4" x14ac:dyDescent="0.3"/>
    <row r="44820" ht="14.4" x14ac:dyDescent="0.3"/>
    <row r="44821" ht="14.4" x14ac:dyDescent="0.3"/>
    <row r="44822" ht="14.4" x14ac:dyDescent="0.3"/>
    <row r="44823" ht="14.4" x14ac:dyDescent="0.3"/>
    <row r="44824" ht="14.4" x14ac:dyDescent="0.3"/>
    <row r="44825" ht="14.4" x14ac:dyDescent="0.3"/>
    <row r="44826" ht="14.4" x14ac:dyDescent="0.3"/>
    <row r="44827" ht="14.4" x14ac:dyDescent="0.3"/>
    <row r="44828" ht="14.4" x14ac:dyDescent="0.3"/>
    <row r="44829" ht="14.4" x14ac:dyDescent="0.3"/>
    <row r="44830" ht="14.4" x14ac:dyDescent="0.3"/>
    <row r="44831" ht="14.4" x14ac:dyDescent="0.3"/>
    <row r="44832" ht="14.4" x14ac:dyDescent="0.3"/>
    <row r="44833" ht="14.4" x14ac:dyDescent="0.3"/>
    <row r="44834" ht="14.4" x14ac:dyDescent="0.3"/>
    <row r="44835" ht="14.4" x14ac:dyDescent="0.3"/>
    <row r="44836" ht="14.4" x14ac:dyDescent="0.3"/>
    <row r="44837" ht="14.4" x14ac:dyDescent="0.3"/>
    <row r="44838" ht="14.4" x14ac:dyDescent="0.3"/>
    <row r="44839" ht="14.4" x14ac:dyDescent="0.3"/>
    <row r="44840" ht="14.4" x14ac:dyDescent="0.3"/>
    <row r="44841" ht="14.4" x14ac:dyDescent="0.3"/>
    <row r="44842" ht="14.4" x14ac:dyDescent="0.3"/>
    <row r="44843" ht="14.4" x14ac:dyDescent="0.3"/>
    <row r="44844" ht="14.4" x14ac:dyDescent="0.3"/>
    <row r="44845" ht="14.4" x14ac:dyDescent="0.3"/>
    <row r="44846" ht="14.4" x14ac:dyDescent="0.3"/>
    <row r="44847" ht="14.4" x14ac:dyDescent="0.3"/>
    <row r="44848" ht="14.4" x14ac:dyDescent="0.3"/>
    <row r="44849" ht="14.4" x14ac:dyDescent="0.3"/>
    <row r="44850" ht="14.4" x14ac:dyDescent="0.3"/>
    <row r="44851" ht="14.4" x14ac:dyDescent="0.3"/>
    <row r="44852" ht="14.4" x14ac:dyDescent="0.3"/>
    <row r="44853" ht="14.4" x14ac:dyDescent="0.3"/>
    <row r="44854" ht="14.4" x14ac:dyDescent="0.3"/>
    <row r="44855" ht="14.4" x14ac:dyDescent="0.3"/>
    <row r="44856" ht="14.4" x14ac:dyDescent="0.3"/>
    <row r="44857" ht="14.4" x14ac:dyDescent="0.3"/>
    <row r="44858" ht="14.4" x14ac:dyDescent="0.3"/>
    <row r="44859" ht="14.4" x14ac:dyDescent="0.3"/>
    <row r="44860" ht="14.4" x14ac:dyDescent="0.3"/>
    <row r="44861" ht="14.4" x14ac:dyDescent="0.3"/>
    <row r="44862" ht="14.4" x14ac:dyDescent="0.3"/>
    <row r="44863" ht="14.4" x14ac:dyDescent="0.3"/>
    <row r="44864" ht="14.4" x14ac:dyDescent="0.3"/>
    <row r="44865" ht="14.4" x14ac:dyDescent="0.3"/>
    <row r="44866" ht="14.4" x14ac:dyDescent="0.3"/>
    <row r="44867" ht="14.4" x14ac:dyDescent="0.3"/>
    <row r="44868" ht="14.4" x14ac:dyDescent="0.3"/>
    <row r="44869" ht="14.4" x14ac:dyDescent="0.3"/>
    <row r="44870" ht="14.4" x14ac:dyDescent="0.3"/>
    <row r="44871" ht="14.4" x14ac:dyDescent="0.3"/>
    <row r="44872" ht="14.4" x14ac:dyDescent="0.3"/>
    <row r="44873" ht="14.4" x14ac:dyDescent="0.3"/>
    <row r="44874" ht="14.4" x14ac:dyDescent="0.3"/>
    <row r="44875" ht="14.4" x14ac:dyDescent="0.3"/>
    <row r="44876" ht="14.4" x14ac:dyDescent="0.3"/>
    <row r="44877" ht="14.4" x14ac:dyDescent="0.3"/>
    <row r="44878" ht="14.4" x14ac:dyDescent="0.3"/>
    <row r="44879" ht="14.4" x14ac:dyDescent="0.3"/>
    <row r="44880" ht="14.4" x14ac:dyDescent="0.3"/>
    <row r="44881" ht="14.4" x14ac:dyDescent="0.3"/>
    <row r="44882" ht="14.4" x14ac:dyDescent="0.3"/>
    <row r="44883" ht="14.4" x14ac:dyDescent="0.3"/>
    <row r="44884" ht="14.4" x14ac:dyDescent="0.3"/>
    <row r="44885" ht="14.4" x14ac:dyDescent="0.3"/>
    <row r="44886" ht="14.4" x14ac:dyDescent="0.3"/>
    <row r="44887" ht="14.4" x14ac:dyDescent="0.3"/>
    <row r="44888" ht="14.4" x14ac:dyDescent="0.3"/>
    <row r="44889" ht="14.4" x14ac:dyDescent="0.3"/>
    <row r="44890" ht="14.4" x14ac:dyDescent="0.3"/>
    <row r="44891" ht="14.4" x14ac:dyDescent="0.3"/>
    <row r="44892" ht="14.4" x14ac:dyDescent="0.3"/>
    <row r="44893" ht="14.4" x14ac:dyDescent="0.3"/>
    <row r="44894" ht="14.4" x14ac:dyDescent="0.3"/>
    <row r="44895" ht="14.4" x14ac:dyDescent="0.3"/>
    <row r="44896" ht="14.4" x14ac:dyDescent="0.3"/>
    <row r="44897" ht="14.4" x14ac:dyDescent="0.3"/>
    <row r="44898" ht="14.4" x14ac:dyDescent="0.3"/>
    <row r="44899" ht="14.4" x14ac:dyDescent="0.3"/>
    <row r="44900" ht="14.4" x14ac:dyDescent="0.3"/>
    <row r="44901" ht="14.4" x14ac:dyDescent="0.3"/>
    <row r="44902" ht="14.4" x14ac:dyDescent="0.3"/>
    <row r="44903" ht="14.4" x14ac:dyDescent="0.3"/>
    <row r="44904" ht="14.4" x14ac:dyDescent="0.3"/>
    <row r="44905" ht="14.4" x14ac:dyDescent="0.3"/>
    <row r="44906" ht="14.4" x14ac:dyDescent="0.3"/>
    <row r="44907" ht="14.4" x14ac:dyDescent="0.3"/>
    <row r="44908" ht="14.4" x14ac:dyDescent="0.3"/>
    <row r="44909" ht="14.4" x14ac:dyDescent="0.3"/>
    <row r="44910" ht="14.4" x14ac:dyDescent="0.3"/>
    <row r="44911" ht="14.4" x14ac:dyDescent="0.3"/>
    <row r="44912" ht="14.4" x14ac:dyDescent="0.3"/>
    <row r="44913" ht="14.4" x14ac:dyDescent="0.3"/>
    <row r="44914" ht="14.4" x14ac:dyDescent="0.3"/>
    <row r="44915" ht="14.4" x14ac:dyDescent="0.3"/>
    <row r="44916" ht="14.4" x14ac:dyDescent="0.3"/>
    <row r="44917" ht="14.4" x14ac:dyDescent="0.3"/>
    <row r="44918" ht="14.4" x14ac:dyDescent="0.3"/>
    <row r="44919" ht="14.4" x14ac:dyDescent="0.3"/>
    <row r="44920" ht="14.4" x14ac:dyDescent="0.3"/>
    <row r="44921" ht="14.4" x14ac:dyDescent="0.3"/>
    <row r="44922" ht="14.4" x14ac:dyDescent="0.3"/>
    <row r="44923" ht="14.4" x14ac:dyDescent="0.3"/>
    <row r="44924" ht="14.4" x14ac:dyDescent="0.3"/>
    <row r="44925" ht="14.4" x14ac:dyDescent="0.3"/>
    <row r="44926" ht="14.4" x14ac:dyDescent="0.3"/>
    <row r="44927" ht="14.4" x14ac:dyDescent="0.3"/>
    <row r="44928" ht="14.4" x14ac:dyDescent="0.3"/>
    <row r="44929" ht="14.4" x14ac:dyDescent="0.3"/>
    <row r="44930" ht="14.4" x14ac:dyDescent="0.3"/>
    <row r="44931" ht="14.4" x14ac:dyDescent="0.3"/>
    <row r="44932" ht="14.4" x14ac:dyDescent="0.3"/>
    <row r="44933" ht="14.4" x14ac:dyDescent="0.3"/>
    <row r="44934" ht="14.4" x14ac:dyDescent="0.3"/>
    <row r="44935" ht="14.4" x14ac:dyDescent="0.3"/>
    <row r="44936" ht="14.4" x14ac:dyDescent="0.3"/>
    <row r="44937" ht="14.4" x14ac:dyDescent="0.3"/>
    <row r="44938" ht="14.4" x14ac:dyDescent="0.3"/>
    <row r="44939" ht="14.4" x14ac:dyDescent="0.3"/>
    <row r="44940" ht="14.4" x14ac:dyDescent="0.3"/>
    <row r="44941" ht="14.4" x14ac:dyDescent="0.3"/>
    <row r="44942" ht="14.4" x14ac:dyDescent="0.3"/>
    <row r="44943" ht="14.4" x14ac:dyDescent="0.3"/>
    <row r="44944" ht="14.4" x14ac:dyDescent="0.3"/>
    <row r="44945" ht="14.4" x14ac:dyDescent="0.3"/>
    <row r="44946" ht="14.4" x14ac:dyDescent="0.3"/>
    <row r="44947" ht="14.4" x14ac:dyDescent="0.3"/>
    <row r="44948" ht="14.4" x14ac:dyDescent="0.3"/>
    <row r="44949" ht="14.4" x14ac:dyDescent="0.3"/>
    <row r="44950" ht="14.4" x14ac:dyDescent="0.3"/>
    <row r="44951" ht="14.4" x14ac:dyDescent="0.3"/>
    <row r="44952" ht="14.4" x14ac:dyDescent="0.3"/>
    <row r="44953" ht="14.4" x14ac:dyDescent="0.3"/>
    <row r="44954" ht="14.4" x14ac:dyDescent="0.3"/>
    <row r="44955" ht="14.4" x14ac:dyDescent="0.3"/>
    <row r="44956" ht="14.4" x14ac:dyDescent="0.3"/>
    <row r="44957" ht="14.4" x14ac:dyDescent="0.3"/>
    <row r="44958" ht="14.4" x14ac:dyDescent="0.3"/>
    <row r="44959" ht="14.4" x14ac:dyDescent="0.3"/>
    <row r="44960" ht="14.4" x14ac:dyDescent="0.3"/>
    <row r="44961" ht="14.4" x14ac:dyDescent="0.3"/>
    <row r="44962" ht="14.4" x14ac:dyDescent="0.3"/>
    <row r="44963" ht="14.4" x14ac:dyDescent="0.3"/>
    <row r="44964" ht="14.4" x14ac:dyDescent="0.3"/>
    <row r="44965" ht="14.4" x14ac:dyDescent="0.3"/>
    <row r="44966" ht="14.4" x14ac:dyDescent="0.3"/>
    <row r="44967" ht="14.4" x14ac:dyDescent="0.3"/>
    <row r="44968" ht="14.4" x14ac:dyDescent="0.3"/>
    <row r="44969" ht="14.4" x14ac:dyDescent="0.3"/>
    <row r="44970" ht="14.4" x14ac:dyDescent="0.3"/>
    <row r="44971" ht="14.4" x14ac:dyDescent="0.3"/>
    <row r="44972" ht="14.4" x14ac:dyDescent="0.3"/>
    <row r="44973" ht="14.4" x14ac:dyDescent="0.3"/>
    <row r="44974" ht="14.4" x14ac:dyDescent="0.3"/>
    <row r="44975" ht="14.4" x14ac:dyDescent="0.3"/>
    <row r="44976" ht="14.4" x14ac:dyDescent="0.3"/>
    <row r="44977" ht="14.4" x14ac:dyDescent="0.3"/>
    <row r="44978" ht="14.4" x14ac:dyDescent="0.3"/>
    <row r="44979" ht="14.4" x14ac:dyDescent="0.3"/>
    <row r="44980" ht="14.4" x14ac:dyDescent="0.3"/>
    <row r="44981" ht="14.4" x14ac:dyDescent="0.3"/>
    <row r="44982" ht="14.4" x14ac:dyDescent="0.3"/>
    <row r="44983" ht="14.4" x14ac:dyDescent="0.3"/>
    <row r="44984" ht="14.4" x14ac:dyDescent="0.3"/>
    <row r="44985" ht="14.4" x14ac:dyDescent="0.3"/>
    <row r="44986" ht="14.4" x14ac:dyDescent="0.3"/>
    <row r="44987" ht="14.4" x14ac:dyDescent="0.3"/>
    <row r="44988" ht="14.4" x14ac:dyDescent="0.3"/>
    <row r="44989" ht="14.4" x14ac:dyDescent="0.3"/>
    <row r="44990" ht="14.4" x14ac:dyDescent="0.3"/>
    <row r="44991" ht="14.4" x14ac:dyDescent="0.3"/>
    <row r="44992" ht="14.4" x14ac:dyDescent="0.3"/>
    <row r="44993" ht="14.4" x14ac:dyDescent="0.3"/>
    <row r="44994" ht="14.4" x14ac:dyDescent="0.3"/>
    <row r="44995" ht="14.4" x14ac:dyDescent="0.3"/>
    <row r="44996" ht="14.4" x14ac:dyDescent="0.3"/>
    <row r="44997" ht="14.4" x14ac:dyDescent="0.3"/>
    <row r="44998" ht="14.4" x14ac:dyDescent="0.3"/>
    <row r="44999" ht="14.4" x14ac:dyDescent="0.3"/>
    <row r="45000" ht="14.4" x14ac:dyDescent="0.3"/>
    <row r="45001" ht="14.4" x14ac:dyDescent="0.3"/>
    <row r="45002" ht="14.4" x14ac:dyDescent="0.3"/>
    <row r="45003" ht="14.4" x14ac:dyDescent="0.3"/>
    <row r="45004" ht="14.4" x14ac:dyDescent="0.3"/>
    <row r="45005" ht="14.4" x14ac:dyDescent="0.3"/>
    <row r="45006" ht="14.4" x14ac:dyDescent="0.3"/>
    <row r="45007" ht="14.4" x14ac:dyDescent="0.3"/>
    <row r="45008" ht="14.4" x14ac:dyDescent="0.3"/>
    <row r="45009" ht="14.4" x14ac:dyDescent="0.3"/>
    <row r="45010" ht="14.4" x14ac:dyDescent="0.3"/>
    <row r="45011" ht="14.4" x14ac:dyDescent="0.3"/>
    <row r="45012" ht="14.4" x14ac:dyDescent="0.3"/>
    <row r="45013" ht="14.4" x14ac:dyDescent="0.3"/>
    <row r="45014" ht="14.4" x14ac:dyDescent="0.3"/>
    <row r="45015" ht="14.4" x14ac:dyDescent="0.3"/>
    <row r="45016" ht="14.4" x14ac:dyDescent="0.3"/>
    <row r="45017" ht="14.4" x14ac:dyDescent="0.3"/>
    <row r="45018" ht="14.4" x14ac:dyDescent="0.3"/>
    <row r="45019" ht="14.4" x14ac:dyDescent="0.3"/>
    <row r="45020" ht="14.4" x14ac:dyDescent="0.3"/>
    <row r="45021" ht="14.4" x14ac:dyDescent="0.3"/>
    <row r="45022" ht="14.4" x14ac:dyDescent="0.3"/>
    <row r="45023" ht="14.4" x14ac:dyDescent="0.3"/>
    <row r="45024" ht="14.4" x14ac:dyDescent="0.3"/>
    <row r="45025" ht="14.4" x14ac:dyDescent="0.3"/>
    <row r="45026" ht="14.4" x14ac:dyDescent="0.3"/>
    <row r="45027" ht="14.4" x14ac:dyDescent="0.3"/>
    <row r="45028" ht="14.4" x14ac:dyDescent="0.3"/>
    <row r="45029" ht="14.4" x14ac:dyDescent="0.3"/>
    <row r="45030" ht="14.4" x14ac:dyDescent="0.3"/>
    <row r="45031" ht="14.4" x14ac:dyDescent="0.3"/>
    <row r="45032" ht="14.4" x14ac:dyDescent="0.3"/>
    <row r="45033" ht="14.4" x14ac:dyDescent="0.3"/>
    <row r="45034" ht="14.4" x14ac:dyDescent="0.3"/>
    <row r="45035" ht="14.4" x14ac:dyDescent="0.3"/>
    <row r="45036" ht="14.4" x14ac:dyDescent="0.3"/>
    <row r="45037" ht="14.4" x14ac:dyDescent="0.3"/>
    <row r="45038" ht="14.4" x14ac:dyDescent="0.3"/>
    <row r="45039" ht="14.4" x14ac:dyDescent="0.3"/>
    <row r="45040" ht="14.4" x14ac:dyDescent="0.3"/>
    <row r="45041" ht="14.4" x14ac:dyDescent="0.3"/>
    <row r="45042" ht="14.4" x14ac:dyDescent="0.3"/>
    <row r="45043" ht="14.4" x14ac:dyDescent="0.3"/>
    <row r="45044" ht="14.4" x14ac:dyDescent="0.3"/>
    <row r="45045" ht="14.4" x14ac:dyDescent="0.3"/>
    <row r="45046" ht="14.4" x14ac:dyDescent="0.3"/>
    <row r="45047" ht="14.4" x14ac:dyDescent="0.3"/>
    <row r="45048" ht="14.4" x14ac:dyDescent="0.3"/>
    <row r="45049" ht="14.4" x14ac:dyDescent="0.3"/>
    <row r="45050" ht="14.4" x14ac:dyDescent="0.3"/>
    <row r="45051" ht="14.4" x14ac:dyDescent="0.3"/>
    <row r="45052" ht="14.4" x14ac:dyDescent="0.3"/>
    <row r="45053" ht="14.4" x14ac:dyDescent="0.3"/>
    <row r="45054" ht="14.4" x14ac:dyDescent="0.3"/>
    <row r="45055" ht="14.4" x14ac:dyDescent="0.3"/>
    <row r="45056" ht="14.4" x14ac:dyDescent="0.3"/>
    <row r="45057" ht="14.4" x14ac:dyDescent="0.3"/>
    <row r="45058" ht="14.4" x14ac:dyDescent="0.3"/>
    <row r="45059" ht="14.4" x14ac:dyDescent="0.3"/>
    <row r="45060" ht="14.4" x14ac:dyDescent="0.3"/>
    <row r="45061" ht="14.4" x14ac:dyDescent="0.3"/>
    <row r="45062" ht="14.4" x14ac:dyDescent="0.3"/>
    <row r="45063" ht="14.4" x14ac:dyDescent="0.3"/>
    <row r="45064" ht="14.4" x14ac:dyDescent="0.3"/>
    <row r="45065" ht="14.4" x14ac:dyDescent="0.3"/>
    <row r="45066" ht="14.4" x14ac:dyDescent="0.3"/>
    <row r="45067" ht="14.4" x14ac:dyDescent="0.3"/>
    <row r="45068" ht="14.4" x14ac:dyDescent="0.3"/>
    <row r="45069" ht="14.4" x14ac:dyDescent="0.3"/>
    <row r="45070" ht="14.4" x14ac:dyDescent="0.3"/>
    <row r="45071" ht="14.4" x14ac:dyDescent="0.3"/>
    <row r="45072" ht="14.4" x14ac:dyDescent="0.3"/>
    <row r="45073" ht="14.4" x14ac:dyDescent="0.3"/>
    <row r="45074" ht="14.4" x14ac:dyDescent="0.3"/>
    <row r="45075" ht="14.4" x14ac:dyDescent="0.3"/>
    <row r="45076" ht="14.4" x14ac:dyDescent="0.3"/>
    <row r="45077" ht="14.4" x14ac:dyDescent="0.3"/>
    <row r="45078" ht="14.4" x14ac:dyDescent="0.3"/>
    <row r="45079" ht="14.4" x14ac:dyDescent="0.3"/>
    <row r="45080" ht="14.4" x14ac:dyDescent="0.3"/>
    <row r="45081" ht="14.4" x14ac:dyDescent="0.3"/>
    <row r="45082" ht="14.4" x14ac:dyDescent="0.3"/>
    <row r="45083" ht="14.4" x14ac:dyDescent="0.3"/>
    <row r="45084" ht="14.4" x14ac:dyDescent="0.3"/>
    <row r="45085" ht="14.4" x14ac:dyDescent="0.3"/>
    <row r="45086" ht="14.4" x14ac:dyDescent="0.3"/>
    <row r="45087" ht="14.4" x14ac:dyDescent="0.3"/>
    <row r="45088" ht="14.4" x14ac:dyDescent="0.3"/>
    <row r="45089" ht="14.4" x14ac:dyDescent="0.3"/>
    <row r="45090" ht="14.4" x14ac:dyDescent="0.3"/>
    <row r="45091" ht="14.4" x14ac:dyDescent="0.3"/>
    <row r="45092" ht="14.4" x14ac:dyDescent="0.3"/>
    <row r="45093" ht="14.4" x14ac:dyDescent="0.3"/>
    <row r="45094" ht="14.4" x14ac:dyDescent="0.3"/>
    <row r="45095" ht="14.4" x14ac:dyDescent="0.3"/>
    <row r="45096" ht="14.4" x14ac:dyDescent="0.3"/>
    <row r="45097" ht="14.4" x14ac:dyDescent="0.3"/>
    <row r="45098" ht="14.4" x14ac:dyDescent="0.3"/>
    <row r="45099" ht="14.4" x14ac:dyDescent="0.3"/>
    <row r="45100" ht="14.4" x14ac:dyDescent="0.3"/>
    <row r="45101" ht="14.4" x14ac:dyDescent="0.3"/>
    <row r="45102" ht="14.4" x14ac:dyDescent="0.3"/>
    <row r="45103" ht="14.4" x14ac:dyDescent="0.3"/>
    <row r="45104" ht="14.4" x14ac:dyDescent="0.3"/>
    <row r="45105" ht="14.4" x14ac:dyDescent="0.3"/>
    <row r="45106" ht="14.4" x14ac:dyDescent="0.3"/>
    <row r="45107" ht="14.4" x14ac:dyDescent="0.3"/>
    <row r="45108" ht="14.4" x14ac:dyDescent="0.3"/>
    <row r="45109" ht="14.4" x14ac:dyDescent="0.3"/>
    <row r="45110" ht="14.4" x14ac:dyDescent="0.3"/>
    <row r="45111" ht="14.4" x14ac:dyDescent="0.3"/>
    <row r="45112" ht="14.4" x14ac:dyDescent="0.3"/>
    <row r="45113" ht="14.4" x14ac:dyDescent="0.3"/>
    <row r="45114" ht="14.4" x14ac:dyDescent="0.3"/>
    <row r="45115" ht="14.4" x14ac:dyDescent="0.3"/>
    <row r="45116" ht="14.4" x14ac:dyDescent="0.3"/>
    <row r="45117" ht="14.4" x14ac:dyDescent="0.3"/>
    <row r="45118" ht="14.4" x14ac:dyDescent="0.3"/>
    <row r="45119" ht="14.4" x14ac:dyDescent="0.3"/>
    <row r="45120" ht="14.4" x14ac:dyDescent="0.3"/>
    <row r="45121" ht="14.4" x14ac:dyDescent="0.3"/>
    <row r="45122" ht="14.4" x14ac:dyDescent="0.3"/>
    <row r="45123" ht="14.4" x14ac:dyDescent="0.3"/>
    <row r="45124" ht="14.4" x14ac:dyDescent="0.3"/>
    <row r="45125" ht="14.4" x14ac:dyDescent="0.3"/>
    <row r="45126" ht="14.4" x14ac:dyDescent="0.3"/>
    <row r="45127" ht="14.4" x14ac:dyDescent="0.3"/>
    <row r="45128" ht="14.4" x14ac:dyDescent="0.3"/>
    <row r="45129" ht="14.4" x14ac:dyDescent="0.3"/>
    <row r="45130" ht="14.4" x14ac:dyDescent="0.3"/>
    <row r="45131" ht="14.4" x14ac:dyDescent="0.3"/>
    <row r="45132" ht="14.4" x14ac:dyDescent="0.3"/>
    <row r="45133" ht="14.4" x14ac:dyDescent="0.3"/>
    <row r="45134" ht="14.4" x14ac:dyDescent="0.3"/>
    <row r="45135" ht="14.4" x14ac:dyDescent="0.3"/>
    <row r="45136" ht="14.4" x14ac:dyDescent="0.3"/>
    <row r="45137" ht="14.4" x14ac:dyDescent="0.3"/>
    <row r="45138" ht="14.4" x14ac:dyDescent="0.3"/>
    <row r="45139" ht="14.4" x14ac:dyDescent="0.3"/>
    <row r="45140" ht="14.4" x14ac:dyDescent="0.3"/>
    <row r="45141" ht="14.4" x14ac:dyDescent="0.3"/>
    <row r="45142" ht="14.4" x14ac:dyDescent="0.3"/>
    <row r="45143" ht="14.4" x14ac:dyDescent="0.3"/>
    <row r="45144" ht="14.4" x14ac:dyDescent="0.3"/>
    <row r="45145" ht="14.4" x14ac:dyDescent="0.3"/>
    <row r="45146" ht="14.4" x14ac:dyDescent="0.3"/>
    <row r="45147" ht="14.4" x14ac:dyDescent="0.3"/>
    <row r="45148" ht="14.4" x14ac:dyDescent="0.3"/>
    <row r="45149" ht="14.4" x14ac:dyDescent="0.3"/>
    <row r="45150" ht="14.4" x14ac:dyDescent="0.3"/>
    <row r="45151" ht="14.4" x14ac:dyDescent="0.3"/>
    <row r="45152" ht="14.4" x14ac:dyDescent="0.3"/>
    <row r="45153" ht="14.4" x14ac:dyDescent="0.3"/>
    <row r="45154" ht="14.4" x14ac:dyDescent="0.3"/>
    <row r="45155" ht="14.4" x14ac:dyDescent="0.3"/>
    <row r="45156" ht="14.4" x14ac:dyDescent="0.3"/>
    <row r="45157" ht="14.4" x14ac:dyDescent="0.3"/>
    <row r="45158" ht="14.4" x14ac:dyDescent="0.3"/>
    <row r="45159" ht="14.4" x14ac:dyDescent="0.3"/>
    <row r="45160" ht="14.4" x14ac:dyDescent="0.3"/>
    <row r="45161" ht="14.4" x14ac:dyDescent="0.3"/>
    <row r="45162" ht="14.4" x14ac:dyDescent="0.3"/>
    <row r="45163" ht="14.4" x14ac:dyDescent="0.3"/>
    <row r="45164" ht="14.4" x14ac:dyDescent="0.3"/>
    <row r="45165" ht="14.4" x14ac:dyDescent="0.3"/>
    <row r="45166" ht="14.4" x14ac:dyDescent="0.3"/>
    <row r="45167" ht="14.4" x14ac:dyDescent="0.3"/>
    <row r="45168" ht="14.4" x14ac:dyDescent="0.3"/>
    <row r="45169" ht="14.4" x14ac:dyDescent="0.3"/>
    <row r="45170" ht="14.4" x14ac:dyDescent="0.3"/>
    <row r="45171" ht="14.4" x14ac:dyDescent="0.3"/>
    <row r="45172" ht="14.4" x14ac:dyDescent="0.3"/>
    <row r="45173" ht="14.4" x14ac:dyDescent="0.3"/>
    <row r="45174" ht="14.4" x14ac:dyDescent="0.3"/>
    <row r="45175" ht="14.4" x14ac:dyDescent="0.3"/>
    <row r="45176" ht="14.4" x14ac:dyDescent="0.3"/>
    <row r="45177" ht="14.4" x14ac:dyDescent="0.3"/>
    <row r="45178" ht="14.4" x14ac:dyDescent="0.3"/>
    <row r="45179" ht="14.4" x14ac:dyDescent="0.3"/>
    <row r="45180" ht="14.4" x14ac:dyDescent="0.3"/>
    <row r="45181" ht="14.4" x14ac:dyDescent="0.3"/>
    <row r="45182" ht="14.4" x14ac:dyDescent="0.3"/>
    <row r="45183" ht="14.4" x14ac:dyDescent="0.3"/>
    <row r="45184" ht="14.4" x14ac:dyDescent="0.3"/>
    <row r="45185" ht="14.4" x14ac:dyDescent="0.3"/>
    <row r="45186" ht="14.4" x14ac:dyDescent="0.3"/>
    <row r="45187" ht="14.4" x14ac:dyDescent="0.3"/>
    <row r="45188" ht="14.4" x14ac:dyDescent="0.3"/>
    <row r="45189" ht="14.4" x14ac:dyDescent="0.3"/>
    <row r="45190" ht="14.4" x14ac:dyDescent="0.3"/>
    <row r="45191" ht="14.4" x14ac:dyDescent="0.3"/>
    <row r="45192" ht="14.4" x14ac:dyDescent="0.3"/>
    <row r="45193" ht="14.4" x14ac:dyDescent="0.3"/>
    <row r="45194" ht="14.4" x14ac:dyDescent="0.3"/>
    <row r="45195" ht="14.4" x14ac:dyDescent="0.3"/>
    <row r="45196" ht="14.4" x14ac:dyDescent="0.3"/>
    <row r="45197" ht="14.4" x14ac:dyDescent="0.3"/>
    <row r="45198" ht="14.4" x14ac:dyDescent="0.3"/>
    <row r="45199" ht="14.4" x14ac:dyDescent="0.3"/>
    <row r="45200" ht="14.4" x14ac:dyDescent="0.3"/>
    <row r="45201" ht="14.4" x14ac:dyDescent="0.3"/>
    <row r="45202" ht="14.4" x14ac:dyDescent="0.3"/>
    <row r="45203" ht="14.4" x14ac:dyDescent="0.3"/>
    <row r="45204" ht="14.4" x14ac:dyDescent="0.3"/>
    <row r="45205" ht="14.4" x14ac:dyDescent="0.3"/>
    <row r="45206" ht="14.4" x14ac:dyDescent="0.3"/>
    <row r="45207" ht="14.4" x14ac:dyDescent="0.3"/>
    <row r="45208" ht="14.4" x14ac:dyDescent="0.3"/>
    <row r="45209" ht="14.4" x14ac:dyDescent="0.3"/>
    <row r="45210" ht="14.4" x14ac:dyDescent="0.3"/>
    <row r="45211" ht="14.4" x14ac:dyDescent="0.3"/>
    <row r="45212" ht="14.4" x14ac:dyDescent="0.3"/>
    <row r="45213" ht="14.4" x14ac:dyDescent="0.3"/>
    <row r="45214" ht="14.4" x14ac:dyDescent="0.3"/>
    <row r="45215" ht="14.4" x14ac:dyDescent="0.3"/>
    <row r="45216" ht="14.4" x14ac:dyDescent="0.3"/>
    <row r="45217" ht="14.4" x14ac:dyDescent="0.3"/>
    <row r="45218" ht="14.4" x14ac:dyDescent="0.3"/>
    <row r="45219" ht="14.4" x14ac:dyDescent="0.3"/>
    <row r="45220" ht="14.4" x14ac:dyDescent="0.3"/>
    <row r="45221" ht="14.4" x14ac:dyDescent="0.3"/>
    <row r="45222" ht="14.4" x14ac:dyDescent="0.3"/>
    <row r="45223" ht="14.4" x14ac:dyDescent="0.3"/>
    <row r="45224" ht="14.4" x14ac:dyDescent="0.3"/>
    <row r="45225" ht="14.4" x14ac:dyDescent="0.3"/>
    <row r="45226" ht="14.4" x14ac:dyDescent="0.3"/>
    <row r="45227" ht="14.4" x14ac:dyDescent="0.3"/>
    <row r="45228" ht="14.4" x14ac:dyDescent="0.3"/>
    <row r="45229" ht="14.4" x14ac:dyDescent="0.3"/>
    <row r="45230" ht="14.4" x14ac:dyDescent="0.3"/>
    <row r="45231" ht="14.4" x14ac:dyDescent="0.3"/>
    <row r="45232" ht="14.4" x14ac:dyDescent="0.3"/>
    <row r="45233" ht="14.4" x14ac:dyDescent="0.3"/>
    <row r="45234" ht="14.4" x14ac:dyDescent="0.3"/>
    <row r="45235" ht="14.4" x14ac:dyDescent="0.3"/>
    <row r="45236" ht="14.4" x14ac:dyDescent="0.3"/>
    <row r="45237" ht="14.4" x14ac:dyDescent="0.3"/>
    <row r="45238" ht="14.4" x14ac:dyDescent="0.3"/>
    <row r="45239" ht="14.4" x14ac:dyDescent="0.3"/>
    <row r="45240" ht="14.4" x14ac:dyDescent="0.3"/>
    <row r="45241" ht="14.4" x14ac:dyDescent="0.3"/>
    <row r="45242" ht="14.4" x14ac:dyDescent="0.3"/>
    <row r="45243" ht="14.4" x14ac:dyDescent="0.3"/>
    <row r="45244" ht="14.4" x14ac:dyDescent="0.3"/>
    <row r="45245" ht="14.4" x14ac:dyDescent="0.3"/>
    <row r="45246" ht="14.4" x14ac:dyDescent="0.3"/>
    <row r="45247" ht="14.4" x14ac:dyDescent="0.3"/>
    <row r="45248" ht="14.4" x14ac:dyDescent="0.3"/>
    <row r="45249" ht="14.4" x14ac:dyDescent="0.3"/>
    <row r="45250" ht="14.4" x14ac:dyDescent="0.3"/>
    <row r="45251" ht="14.4" x14ac:dyDescent="0.3"/>
    <row r="45252" ht="14.4" x14ac:dyDescent="0.3"/>
    <row r="45253" ht="14.4" x14ac:dyDescent="0.3"/>
    <row r="45254" ht="14.4" x14ac:dyDescent="0.3"/>
    <row r="45255" ht="14.4" x14ac:dyDescent="0.3"/>
    <row r="45256" ht="14.4" x14ac:dyDescent="0.3"/>
    <row r="45257" ht="14.4" x14ac:dyDescent="0.3"/>
    <row r="45258" ht="14.4" x14ac:dyDescent="0.3"/>
    <row r="45259" ht="14.4" x14ac:dyDescent="0.3"/>
    <row r="45260" ht="14.4" x14ac:dyDescent="0.3"/>
    <row r="45261" ht="14.4" x14ac:dyDescent="0.3"/>
    <row r="45262" ht="14.4" x14ac:dyDescent="0.3"/>
    <row r="45263" ht="14.4" x14ac:dyDescent="0.3"/>
    <row r="45264" ht="14.4" x14ac:dyDescent="0.3"/>
    <row r="45265" ht="14.4" x14ac:dyDescent="0.3"/>
    <row r="45266" ht="14.4" x14ac:dyDescent="0.3"/>
    <row r="45267" ht="14.4" x14ac:dyDescent="0.3"/>
    <row r="45268" ht="14.4" x14ac:dyDescent="0.3"/>
    <row r="45269" ht="14.4" x14ac:dyDescent="0.3"/>
    <row r="45270" ht="14.4" x14ac:dyDescent="0.3"/>
    <row r="45271" ht="14.4" x14ac:dyDescent="0.3"/>
    <row r="45272" ht="14.4" x14ac:dyDescent="0.3"/>
    <row r="45273" ht="14.4" x14ac:dyDescent="0.3"/>
    <row r="45274" ht="14.4" x14ac:dyDescent="0.3"/>
    <row r="45275" ht="14.4" x14ac:dyDescent="0.3"/>
    <row r="45276" ht="14.4" x14ac:dyDescent="0.3"/>
    <row r="45277" ht="14.4" x14ac:dyDescent="0.3"/>
    <row r="45278" ht="14.4" x14ac:dyDescent="0.3"/>
    <row r="45279" ht="14.4" x14ac:dyDescent="0.3"/>
    <row r="45280" ht="14.4" x14ac:dyDescent="0.3"/>
    <row r="45281" ht="14.4" x14ac:dyDescent="0.3"/>
    <row r="45282" ht="14.4" x14ac:dyDescent="0.3"/>
    <row r="45283" ht="14.4" x14ac:dyDescent="0.3"/>
    <row r="45284" ht="14.4" x14ac:dyDescent="0.3"/>
    <row r="45285" ht="14.4" x14ac:dyDescent="0.3"/>
    <row r="45286" ht="14.4" x14ac:dyDescent="0.3"/>
    <row r="45287" ht="14.4" x14ac:dyDescent="0.3"/>
    <row r="45288" ht="14.4" x14ac:dyDescent="0.3"/>
    <row r="45289" ht="14.4" x14ac:dyDescent="0.3"/>
    <row r="45290" ht="14.4" x14ac:dyDescent="0.3"/>
    <row r="45291" ht="14.4" x14ac:dyDescent="0.3"/>
    <row r="45292" ht="14.4" x14ac:dyDescent="0.3"/>
    <row r="45293" ht="14.4" x14ac:dyDescent="0.3"/>
    <row r="45294" ht="14.4" x14ac:dyDescent="0.3"/>
    <row r="45295" ht="14.4" x14ac:dyDescent="0.3"/>
    <row r="45296" ht="14.4" x14ac:dyDescent="0.3"/>
    <row r="45297" ht="14.4" x14ac:dyDescent="0.3"/>
    <row r="45298" ht="14.4" x14ac:dyDescent="0.3"/>
    <row r="45299" ht="14.4" x14ac:dyDescent="0.3"/>
    <row r="45300" ht="14.4" x14ac:dyDescent="0.3"/>
    <row r="45301" ht="14.4" x14ac:dyDescent="0.3"/>
    <row r="45302" ht="14.4" x14ac:dyDescent="0.3"/>
    <row r="45303" ht="14.4" x14ac:dyDescent="0.3"/>
    <row r="45304" ht="14.4" x14ac:dyDescent="0.3"/>
    <row r="45305" ht="14.4" x14ac:dyDescent="0.3"/>
    <row r="45306" ht="14.4" x14ac:dyDescent="0.3"/>
    <row r="45307" ht="14.4" x14ac:dyDescent="0.3"/>
    <row r="45308" ht="14.4" x14ac:dyDescent="0.3"/>
    <row r="45309" ht="14.4" x14ac:dyDescent="0.3"/>
    <row r="45310" ht="14.4" x14ac:dyDescent="0.3"/>
    <row r="45311" ht="14.4" x14ac:dyDescent="0.3"/>
    <row r="45312" ht="14.4" x14ac:dyDescent="0.3"/>
    <row r="45313" ht="14.4" x14ac:dyDescent="0.3"/>
    <row r="45314" ht="14.4" x14ac:dyDescent="0.3"/>
    <row r="45315" ht="14.4" x14ac:dyDescent="0.3"/>
    <row r="45316" ht="14.4" x14ac:dyDescent="0.3"/>
    <row r="45317" ht="14.4" x14ac:dyDescent="0.3"/>
    <row r="45318" ht="14.4" x14ac:dyDescent="0.3"/>
    <row r="45319" ht="14.4" x14ac:dyDescent="0.3"/>
    <row r="45320" ht="14.4" x14ac:dyDescent="0.3"/>
    <row r="45321" ht="14.4" x14ac:dyDescent="0.3"/>
    <row r="45322" ht="14.4" x14ac:dyDescent="0.3"/>
    <row r="45323" ht="14.4" x14ac:dyDescent="0.3"/>
    <row r="45324" ht="14.4" x14ac:dyDescent="0.3"/>
    <row r="45325" ht="14.4" x14ac:dyDescent="0.3"/>
    <row r="45326" ht="14.4" x14ac:dyDescent="0.3"/>
    <row r="45327" ht="14.4" x14ac:dyDescent="0.3"/>
    <row r="45328" ht="14.4" x14ac:dyDescent="0.3"/>
    <row r="45329" ht="14.4" x14ac:dyDescent="0.3"/>
    <row r="45330" ht="14.4" x14ac:dyDescent="0.3"/>
    <row r="45331" ht="14.4" x14ac:dyDescent="0.3"/>
    <row r="45332" ht="14.4" x14ac:dyDescent="0.3"/>
    <row r="45333" ht="14.4" x14ac:dyDescent="0.3"/>
    <row r="45334" ht="14.4" x14ac:dyDescent="0.3"/>
    <row r="45335" ht="14.4" x14ac:dyDescent="0.3"/>
    <row r="45336" ht="14.4" x14ac:dyDescent="0.3"/>
    <row r="45337" ht="14.4" x14ac:dyDescent="0.3"/>
    <row r="45338" ht="14.4" x14ac:dyDescent="0.3"/>
    <row r="45339" ht="14.4" x14ac:dyDescent="0.3"/>
    <row r="45340" ht="14.4" x14ac:dyDescent="0.3"/>
    <row r="45341" ht="14.4" x14ac:dyDescent="0.3"/>
    <row r="45342" ht="14.4" x14ac:dyDescent="0.3"/>
    <row r="45343" ht="14.4" x14ac:dyDescent="0.3"/>
    <row r="45344" ht="14.4" x14ac:dyDescent="0.3"/>
    <row r="45345" ht="14.4" x14ac:dyDescent="0.3"/>
    <row r="45346" ht="14.4" x14ac:dyDescent="0.3"/>
    <row r="45347" ht="14.4" x14ac:dyDescent="0.3"/>
    <row r="45348" ht="14.4" x14ac:dyDescent="0.3"/>
    <row r="45349" ht="14.4" x14ac:dyDescent="0.3"/>
    <row r="45350" ht="14.4" x14ac:dyDescent="0.3"/>
    <row r="45351" ht="14.4" x14ac:dyDescent="0.3"/>
    <row r="45352" ht="14.4" x14ac:dyDescent="0.3"/>
    <row r="45353" ht="14.4" x14ac:dyDescent="0.3"/>
    <row r="45354" ht="14.4" x14ac:dyDescent="0.3"/>
    <row r="45355" ht="14.4" x14ac:dyDescent="0.3"/>
    <row r="45356" ht="14.4" x14ac:dyDescent="0.3"/>
    <row r="45357" ht="14.4" x14ac:dyDescent="0.3"/>
    <row r="45358" ht="14.4" x14ac:dyDescent="0.3"/>
    <row r="45359" ht="14.4" x14ac:dyDescent="0.3"/>
    <row r="45360" ht="14.4" x14ac:dyDescent="0.3"/>
    <row r="45361" ht="14.4" x14ac:dyDescent="0.3"/>
    <row r="45362" ht="14.4" x14ac:dyDescent="0.3"/>
    <row r="45363" ht="14.4" x14ac:dyDescent="0.3"/>
    <row r="45364" ht="14.4" x14ac:dyDescent="0.3"/>
    <row r="45365" ht="14.4" x14ac:dyDescent="0.3"/>
    <row r="45366" ht="14.4" x14ac:dyDescent="0.3"/>
    <row r="45367" ht="14.4" x14ac:dyDescent="0.3"/>
    <row r="45368" ht="14.4" x14ac:dyDescent="0.3"/>
    <row r="45369" ht="14.4" x14ac:dyDescent="0.3"/>
    <row r="45370" ht="14.4" x14ac:dyDescent="0.3"/>
    <row r="45371" ht="14.4" x14ac:dyDescent="0.3"/>
    <row r="45372" ht="14.4" x14ac:dyDescent="0.3"/>
    <row r="45373" ht="14.4" x14ac:dyDescent="0.3"/>
    <row r="45374" ht="14.4" x14ac:dyDescent="0.3"/>
    <row r="45375" ht="14.4" x14ac:dyDescent="0.3"/>
    <row r="45376" ht="14.4" x14ac:dyDescent="0.3"/>
    <row r="45377" ht="14.4" x14ac:dyDescent="0.3"/>
    <row r="45378" ht="14.4" x14ac:dyDescent="0.3"/>
    <row r="45379" ht="14.4" x14ac:dyDescent="0.3"/>
    <row r="45380" ht="14.4" x14ac:dyDescent="0.3"/>
    <row r="45381" ht="14.4" x14ac:dyDescent="0.3"/>
    <row r="45382" ht="14.4" x14ac:dyDescent="0.3"/>
    <row r="45383" ht="14.4" x14ac:dyDescent="0.3"/>
    <row r="45384" ht="14.4" x14ac:dyDescent="0.3"/>
    <row r="45385" ht="14.4" x14ac:dyDescent="0.3"/>
    <row r="45386" ht="14.4" x14ac:dyDescent="0.3"/>
    <row r="45387" ht="14.4" x14ac:dyDescent="0.3"/>
    <row r="45388" ht="14.4" x14ac:dyDescent="0.3"/>
    <row r="45389" ht="14.4" x14ac:dyDescent="0.3"/>
    <row r="45390" ht="14.4" x14ac:dyDescent="0.3"/>
    <row r="45391" ht="14.4" x14ac:dyDescent="0.3"/>
    <row r="45392" ht="14.4" x14ac:dyDescent="0.3"/>
    <row r="45393" ht="14.4" x14ac:dyDescent="0.3"/>
    <row r="45394" ht="14.4" x14ac:dyDescent="0.3"/>
    <row r="45395" ht="14.4" x14ac:dyDescent="0.3"/>
    <row r="45396" ht="14.4" x14ac:dyDescent="0.3"/>
    <row r="45397" ht="14.4" x14ac:dyDescent="0.3"/>
    <row r="45398" ht="14.4" x14ac:dyDescent="0.3"/>
    <row r="45399" ht="14.4" x14ac:dyDescent="0.3"/>
    <row r="45400" ht="14.4" x14ac:dyDescent="0.3"/>
    <row r="45401" ht="14.4" x14ac:dyDescent="0.3"/>
    <row r="45402" ht="14.4" x14ac:dyDescent="0.3"/>
    <row r="45403" ht="14.4" x14ac:dyDescent="0.3"/>
    <row r="45404" ht="14.4" x14ac:dyDescent="0.3"/>
    <row r="45405" ht="14.4" x14ac:dyDescent="0.3"/>
    <row r="45406" ht="14.4" x14ac:dyDescent="0.3"/>
    <row r="45407" ht="14.4" x14ac:dyDescent="0.3"/>
    <row r="45408" ht="14.4" x14ac:dyDescent="0.3"/>
    <row r="45409" ht="14.4" x14ac:dyDescent="0.3"/>
    <row r="45410" ht="14.4" x14ac:dyDescent="0.3"/>
    <row r="45411" ht="14.4" x14ac:dyDescent="0.3"/>
    <row r="45412" ht="14.4" x14ac:dyDescent="0.3"/>
    <row r="45413" ht="14.4" x14ac:dyDescent="0.3"/>
    <row r="45414" ht="14.4" x14ac:dyDescent="0.3"/>
    <row r="45415" ht="14.4" x14ac:dyDescent="0.3"/>
    <row r="45416" ht="14.4" x14ac:dyDescent="0.3"/>
    <row r="45417" ht="14.4" x14ac:dyDescent="0.3"/>
    <row r="45418" ht="14.4" x14ac:dyDescent="0.3"/>
    <row r="45419" ht="14.4" x14ac:dyDescent="0.3"/>
    <row r="45420" ht="14.4" x14ac:dyDescent="0.3"/>
    <row r="45421" ht="14.4" x14ac:dyDescent="0.3"/>
    <row r="45422" ht="14.4" x14ac:dyDescent="0.3"/>
    <row r="45423" ht="14.4" x14ac:dyDescent="0.3"/>
    <row r="45424" ht="14.4" x14ac:dyDescent="0.3"/>
    <row r="45425" ht="14.4" x14ac:dyDescent="0.3"/>
    <row r="45426" ht="14.4" x14ac:dyDescent="0.3"/>
    <row r="45427" ht="14.4" x14ac:dyDescent="0.3"/>
    <row r="45428" ht="14.4" x14ac:dyDescent="0.3"/>
    <row r="45429" ht="14.4" x14ac:dyDescent="0.3"/>
    <row r="45430" ht="14.4" x14ac:dyDescent="0.3"/>
    <row r="45431" ht="14.4" x14ac:dyDescent="0.3"/>
    <row r="45432" ht="14.4" x14ac:dyDescent="0.3"/>
    <row r="45433" ht="14.4" x14ac:dyDescent="0.3"/>
    <row r="45434" ht="14.4" x14ac:dyDescent="0.3"/>
    <row r="45435" ht="14.4" x14ac:dyDescent="0.3"/>
    <row r="45436" ht="14.4" x14ac:dyDescent="0.3"/>
    <row r="45437" ht="14.4" x14ac:dyDescent="0.3"/>
    <row r="45438" ht="14.4" x14ac:dyDescent="0.3"/>
    <row r="45439" ht="14.4" x14ac:dyDescent="0.3"/>
    <row r="45440" ht="14.4" x14ac:dyDescent="0.3"/>
    <row r="45441" ht="14.4" x14ac:dyDescent="0.3"/>
    <row r="45442" ht="14.4" x14ac:dyDescent="0.3"/>
    <row r="45443" ht="14.4" x14ac:dyDescent="0.3"/>
    <row r="45444" ht="14.4" x14ac:dyDescent="0.3"/>
    <row r="45445" ht="14.4" x14ac:dyDescent="0.3"/>
    <row r="45446" ht="14.4" x14ac:dyDescent="0.3"/>
    <row r="45447" ht="14.4" x14ac:dyDescent="0.3"/>
    <row r="45448" ht="14.4" x14ac:dyDescent="0.3"/>
    <row r="45449" ht="14.4" x14ac:dyDescent="0.3"/>
    <row r="45450" ht="14.4" x14ac:dyDescent="0.3"/>
    <row r="45451" ht="14.4" x14ac:dyDescent="0.3"/>
    <row r="45452" ht="14.4" x14ac:dyDescent="0.3"/>
    <row r="45453" ht="14.4" x14ac:dyDescent="0.3"/>
    <row r="45454" ht="14.4" x14ac:dyDescent="0.3"/>
    <row r="45455" ht="14.4" x14ac:dyDescent="0.3"/>
    <row r="45456" ht="14.4" x14ac:dyDescent="0.3"/>
    <row r="45457" ht="14.4" x14ac:dyDescent="0.3"/>
    <row r="45458" ht="14.4" x14ac:dyDescent="0.3"/>
    <row r="45459" ht="14.4" x14ac:dyDescent="0.3"/>
    <row r="45460" ht="14.4" x14ac:dyDescent="0.3"/>
    <row r="45461" ht="14.4" x14ac:dyDescent="0.3"/>
    <row r="45462" ht="14.4" x14ac:dyDescent="0.3"/>
    <row r="45463" ht="14.4" x14ac:dyDescent="0.3"/>
    <row r="45464" ht="14.4" x14ac:dyDescent="0.3"/>
    <row r="45465" ht="14.4" x14ac:dyDescent="0.3"/>
    <row r="45466" ht="14.4" x14ac:dyDescent="0.3"/>
    <row r="45467" ht="14.4" x14ac:dyDescent="0.3"/>
    <row r="45468" ht="14.4" x14ac:dyDescent="0.3"/>
    <row r="45469" ht="14.4" x14ac:dyDescent="0.3"/>
    <row r="45470" ht="14.4" x14ac:dyDescent="0.3"/>
    <row r="45471" ht="14.4" x14ac:dyDescent="0.3"/>
    <row r="45472" ht="14.4" x14ac:dyDescent="0.3"/>
    <row r="45473" ht="14.4" x14ac:dyDescent="0.3"/>
    <row r="45474" ht="14.4" x14ac:dyDescent="0.3"/>
    <row r="45475" ht="14.4" x14ac:dyDescent="0.3"/>
    <row r="45476" ht="14.4" x14ac:dyDescent="0.3"/>
    <row r="45477" ht="14.4" x14ac:dyDescent="0.3"/>
    <row r="45478" ht="14.4" x14ac:dyDescent="0.3"/>
    <row r="45479" ht="14.4" x14ac:dyDescent="0.3"/>
    <row r="45480" ht="14.4" x14ac:dyDescent="0.3"/>
    <row r="45481" ht="14.4" x14ac:dyDescent="0.3"/>
    <row r="45482" ht="14.4" x14ac:dyDescent="0.3"/>
    <row r="45483" ht="14.4" x14ac:dyDescent="0.3"/>
    <row r="45484" ht="14.4" x14ac:dyDescent="0.3"/>
    <row r="45485" ht="14.4" x14ac:dyDescent="0.3"/>
    <row r="45486" ht="14.4" x14ac:dyDescent="0.3"/>
    <row r="45487" ht="14.4" x14ac:dyDescent="0.3"/>
    <row r="45488" ht="14.4" x14ac:dyDescent="0.3"/>
    <row r="45489" ht="14.4" x14ac:dyDescent="0.3"/>
    <row r="45490" ht="14.4" x14ac:dyDescent="0.3"/>
    <row r="45491" ht="14.4" x14ac:dyDescent="0.3"/>
    <row r="45492" ht="14.4" x14ac:dyDescent="0.3"/>
    <row r="45493" ht="14.4" x14ac:dyDescent="0.3"/>
    <row r="45494" ht="14.4" x14ac:dyDescent="0.3"/>
    <row r="45495" ht="14.4" x14ac:dyDescent="0.3"/>
    <row r="45496" ht="14.4" x14ac:dyDescent="0.3"/>
    <row r="45497" ht="14.4" x14ac:dyDescent="0.3"/>
    <row r="45498" ht="14.4" x14ac:dyDescent="0.3"/>
    <row r="45499" ht="14.4" x14ac:dyDescent="0.3"/>
    <row r="45500" ht="14.4" x14ac:dyDescent="0.3"/>
    <row r="45501" ht="14.4" x14ac:dyDescent="0.3"/>
    <row r="45502" ht="14.4" x14ac:dyDescent="0.3"/>
    <row r="45503" ht="14.4" x14ac:dyDescent="0.3"/>
    <row r="45504" ht="14.4" x14ac:dyDescent="0.3"/>
    <row r="45505" ht="14.4" x14ac:dyDescent="0.3"/>
    <row r="45506" ht="14.4" x14ac:dyDescent="0.3"/>
    <row r="45507" ht="14.4" x14ac:dyDescent="0.3"/>
    <row r="45508" ht="14.4" x14ac:dyDescent="0.3"/>
    <row r="45509" ht="14.4" x14ac:dyDescent="0.3"/>
    <row r="45510" ht="14.4" x14ac:dyDescent="0.3"/>
    <row r="45511" ht="14.4" x14ac:dyDescent="0.3"/>
    <row r="45512" ht="14.4" x14ac:dyDescent="0.3"/>
    <row r="45513" ht="14.4" x14ac:dyDescent="0.3"/>
    <row r="45514" ht="14.4" x14ac:dyDescent="0.3"/>
    <row r="45515" ht="14.4" x14ac:dyDescent="0.3"/>
    <row r="45516" ht="14.4" x14ac:dyDescent="0.3"/>
    <row r="45517" ht="14.4" x14ac:dyDescent="0.3"/>
    <row r="45518" ht="14.4" x14ac:dyDescent="0.3"/>
    <row r="45519" ht="14.4" x14ac:dyDescent="0.3"/>
    <row r="45520" ht="14.4" x14ac:dyDescent="0.3"/>
    <row r="45521" ht="14.4" x14ac:dyDescent="0.3"/>
    <row r="45522" ht="14.4" x14ac:dyDescent="0.3"/>
    <row r="45523" ht="14.4" x14ac:dyDescent="0.3"/>
    <row r="45524" ht="14.4" x14ac:dyDescent="0.3"/>
    <row r="45525" ht="14.4" x14ac:dyDescent="0.3"/>
    <row r="45526" ht="14.4" x14ac:dyDescent="0.3"/>
    <row r="45527" ht="14.4" x14ac:dyDescent="0.3"/>
    <row r="45528" ht="14.4" x14ac:dyDescent="0.3"/>
    <row r="45529" ht="14.4" x14ac:dyDescent="0.3"/>
    <row r="45530" ht="14.4" x14ac:dyDescent="0.3"/>
    <row r="45531" ht="14.4" x14ac:dyDescent="0.3"/>
    <row r="45532" ht="14.4" x14ac:dyDescent="0.3"/>
    <row r="45533" ht="14.4" x14ac:dyDescent="0.3"/>
    <row r="45534" ht="14.4" x14ac:dyDescent="0.3"/>
    <row r="45535" ht="14.4" x14ac:dyDescent="0.3"/>
    <row r="45536" ht="14.4" x14ac:dyDescent="0.3"/>
    <row r="45537" ht="14.4" x14ac:dyDescent="0.3"/>
    <row r="45538" ht="14.4" x14ac:dyDescent="0.3"/>
    <row r="45539" ht="14.4" x14ac:dyDescent="0.3"/>
    <row r="45540" ht="14.4" x14ac:dyDescent="0.3"/>
    <row r="45541" ht="14.4" x14ac:dyDescent="0.3"/>
    <row r="45542" ht="14.4" x14ac:dyDescent="0.3"/>
    <row r="45543" ht="14.4" x14ac:dyDescent="0.3"/>
    <row r="45544" ht="14.4" x14ac:dyDescent="0.3"/>
    <row r="45545" ht="14.4" x14ac:dyDescent="0.3"/>
    <row r="45546" ht="14.4" x14ac:dyDescent="0.3"/>
    <row r="45547" ht="14.4" x14ac:dyDescent="0.3"/>
    <row r="45548" ht="14.4" x14ac:dyDescent="0.3"/>
    <row r="45549" ht="14.4" x14ac:dyDescent="0.3"/>
    <row r="45550" ht="14.4" x14ac:dyDescent="0.3"/>
    <row r="45551" ht="14.4" x14ac:dyDescent="0.3"/>
    <row r="45552" ht="14.4" x14ac:dyDescent="0.3"/>
    <row r="45553" ht="14.4" x14ac:dyDescent="0.3"/>
    <row r="45554" ht="14.4" x14ac:dyDescent="0.3"/>
    <row r="45555" ht="14.4" x14ac:dyDescent="0.3"/>
    <row r="45556" ht="14.4" x14ac:dyDescent="0.3"/>
    <row r="45557" ht="14.4" x14ac:dyDescent="0.3"/>
    <row r="45558" ht="14.4" x14ac:dyDescent="0.3"/>
    <row r="45559" ht="14.4" x14ac:dyDescent="0.3"/>
    <row r="45560" ht="14.4" x14ac:dyDescent="0.3"/>
    <row r="45561" ht="14.4" x14ac:dyDescent="0.3"/>
    <row r="45562" ht="14.4" x14ac:dyDescent="0.3"/>
    <row r="45563" ht="14.4" x14ac:dyDescent="0.3"/>
    <row r="45564" ht="14.4" x14ac:dyDescent="0.3"/>
    <row r="45565" ht="14.4" x14ac:dyDescent="0.3"/>
    <row r="45566" ht="14.4" x14ac:dyDescent="0.3"/>
    <row r="45567" ht="14.4" x14ac:dyDescent="0.3"/>
    <row r="45568" ht="14.4" x14ac:dyDescent="0.3"/>
    <row r="45569" ht="14.4" x14ac:dyDescent="0.3"/>
    <row r="45570" ht="14.4" x14ac:dyDescent="0.3"/>
    <row r="45571" ht="14.4" x14ac:dyDescent="0.3"/>
    <row r="45572" ht="14.4" x14ac:dyDescent="0.3"/>
    <row r="45573" ht="14.4" x14ac:dyDescent="0.3"/>
    <row r="45574" ht="14.4" x14ac:dyDescent="0.3"/>
    <row r="45575" ht="14.4" x14ac:dyDescent="0.3"/>
    <row r="45576" ht="14.4" x14ac:dyDescent="0.3"/>
    <row r="45577" ht="14.4" x14ac:dyDescent="0.3"/>
    <row r="45578" ht="14.4" x14ac:dyDescent="0.3"/>
    <row r="45579" ht="14.4" x14ac:dyDescent="0.3"/>
    <row r="45580" ht="14.4" x14ac:dyDescent="0.3"/>
    <row r="45581" ht="14.4" x14ac:dyDescent="0.3"/>
    <row r="45582" ht="14.4" x14ac:dyDescent="0.3"/>
    <row r="45583" ht="14.4" x14ac:dyDescent="0.3"/>
    <row r="45584" ht="14.4" x14ac:dyDescent="0.3"/>
    <row r="45585" ht="14.4" x14ac:dyDescent="0.3"/>
    <row r="45586" ht="14.4" x14ac:dyDescent="0.3"/>
    <row r="45587" ht="14.4" x14ac:dyDescent="0.3"/>
    <row r="45588" ht="14.4" x14ac:dyDescent="0.3"/>
    <row r="45589" ht="14.4" x14ac:dyDescent="0.3"/>
    <row r="45590" ht="14.4" x14ac:dyDescent="0.3"/>
    <row r="45591" ht="14.4" x14ac:dyDescent="0.3"/>
    <row r="45592" ht="14.4" x14ac:dyDescent="0.3"/>
    <row r="45593" ht="14.4" x14ac:dyDescent="0.3"/>
    <row r="45594" ht="14.4" x14ac:dyDescent="0.3"/>
    <row r="45595" ht="14.4" x14ac:dyDescent="0.3"/>
    <row r="45596" ht="14.4" x14ac:dyDescent="0.3"/>
    <row r="45597" ht="14.4" x14ac:dyDescent="0.3"/>
    <row r="45598" ht="14.4" x14ac:dyDescent="0.3"/>
    <row r="45599" ht="14.4" x14ac:dyDescent="0.3"/>
    <row r="45600" ht="14.4" x14ac:dyDescent="0.3"/>
    <row r="45601" ht="14.4" x14ac:dyDescent="0.3"/>
    <row r="45602" ht="14.4" x14ac:dyDescent="0.3"/>
    <row r="45603" ht="14.4" x14ac:dyDescent="0.3"/>
    <row r="45604" ht="14.4" x14ac:dyDescent="0.3"/>
    <row r="45605" ht="14.4" x14ac:dyDescent="0.3"/>
    <row r="45606" ht="14.4" x14ac:dyDescent="0.3"/>
    <row r="45607" ht="14.4" x14ac:dyDescent="0.3"/>
    <row r="45608" ht="14.4" x14ac:dyDescent="0.3"/>
    <row r="45609" ht="14.4" x14ac:dyDescent="0.3"/>
    <row r="45610" ht="14.4" x14ac:dyDescent="0.3"/>
    <row r="45611" ht="14.4" x14ac:dyDescent="0.3"/>
    <row r="45612" ht="14.4" x14ac:dyDescent="0.3"/>
    <row r="45613" ht="14.4" x14ac:dyDescent="0.3"/>
    <row r="45614" ht="14.4" x14ac:dyDescent="0.3"/>
    <row r="45615" ht="14.4" x14ac:dyDescent="0.3"/>
    <row r="45616" ht="14.4" x14ac:dyDescent="0.3"/>
    <row r="45617" ht="14.4" x14ac:dyDescent="0.3"/>
    <row r="45618" ht="14.4" x14ac:dyDescent="0.3"/>
    <row r="45619" ht="14.4" x14ac:dyDescent="0.3"/>
    <row r="45620" ht="14.4" x14ac:dyDescent="0.3"/>
    <row r="45621" ht="14.4" x14ac:dyDescent="0.3"/>
    <row r="45622" ht="14.4" x14ac:dyDescent="0.3"/>
    <row r="45623" ht="14.4" x14ac:dyDescent="0.3"/>
    <row r="45624" ht="14.4" x14ac:dyDescent="0.3"/>
    <row r="45625" ht="14.4" x14ac:dyDescent="0.3"/>
    <row r="45626" ht="14.4" x14ac:dyDescent="0.3"/>
    <row r="45627" ht="14.4" x14ac:dyDescent="0.3"/>
    <row r="45628" ht="14.4" x14ac:dyDescent="0.3"/>
    <row r="45629" ht="14.4" x14ac:dyDescent="0.3"/>
    <row r="45630" ht="14.4" x14ac:dyDescent="0.3"/>
    <row r="45631" ht="14.4" x14ac:dyDescent="0.3"/>
    <row r="45632" ht="14.4" x14ac:dyDescent="0.3"/>
    <row r="45633" ht="14.4" x14ac:dyDescent="0.3"/>
    <row r="45634" ht="14.4" x14ac:dyDescent="0.3"/>
    <row r="45635" ht="14.4" x14ac:dyDescent="0.3"/>
    <row r="45636" ht="14.4" x14ac:dyDescent="0.3"/>
    <row r="45637" ht="14.4" x14ac:dyDescent="0.3"/>
    <row r="45638" ht="14.4" x14ac:dyDescent="0.3"/>
    <row r="45639" ht="14.4" x14ac:dyDescent="0.3"/>
    <row r="45640" ht="14.4" x14ac:dyDescent="0.3"/>
    <row r="45641" ht="14.4" x14ac:dyDescent="0.3"/>
    <row r="45642" ht="14.4" x14ac:dyDescent="0.3"/>
    <row r="45643" ht="14.4" x14ac:dyDescent="0.3"/>
    <row r="45644" ht="14.4" x14ac:dyDescent="0.3"/>
    <row r="45645" ht="14.4" x14ac:dyDescent="0.3"/>
    <row r="45646" ht="14.4" x14ac:dyDescent="0.3"/>
    <row r="45647" ht="14.4" x14ac:dyDescent="0.3"/>
    <row r="45648" ht="14.4" x14ac:dyDescent="0.3"/>
    <row r="45649" ht="14.4" x14ac:dyDescent="0.3"/>
    <row r="45650" ht="14.4" x14ac:dyDescent="0.3"/>
    <row r="45651" ht="14.4" x14ac:dyDescent="0.3"/>
    <row r="45652" ht="14.4" x14ac:dyDescent="0.3"/>
    <row r="45653" ht="14.4" x14ac:dyDescent="0.3"/>
    <row r="45654" ht="14.4" x14ac:dyDescent="0.3"/>
    <row r="45655" ht="14.4" x14ac:dyDescent="0.3"/>
    <row r="45656" ht="14.4" x14ac:dyDescent="0.3"/>
    <row r="45657" ht="14.4" x14ac:dyDescent="0.3"/>
    <row r="45658" ht="14.4" x14ac:dyDescent="0.3"/>
    <row r="45659" ht="14.4" x14ac:dyDescent="0.3"/>
    <row r="45660" ht="14.4" x14ac:dyDescent="0.3"/>
    <row r="45661" ht="14.4" x14ac:dyDescent="0.3"/>
    <row r="45662" ht="14.4" x14ac:dyDescent="0.3"/>
    <row r="45663" ht="14.4" x14ac:dyDescent="0.3"/>
    <row r="45664" ht="14.4" x14ac:dyDescent="0.3"/>
    <row r="45665" ht="14.4" x14ac:dyDescent="0.3"/>
    <row r="45666" ht="14.4" x14ac:dyDescent="0.3"/>
    <row r="45667" ht="14.4" x14ac:dyDescent="0.3"/>
    <row r="45668" ht="14.4" x14ac:dyDescent="0.3"/>
    <row r="45669" ht="14.4" x14ac:dyDescent="0.3"/>
    <row r="45670" ht="14.4" x14ac:dyDescent="0.3"/>
    <row r="45671" ht="14.4" x14ac:dyDescent="0.3"/>
    <row r="45672" ht="14.4" x14ac:dyDescent="0.3"/>
    <row r="45673" ht="14.4" x14ac:dyDescent="0.3"/>
    <row r="45674" ht="14.4" x14ac:dyDescent="0.3"/>
    <row r="45675" ht="14.4" x14ac:dyDescent="0.3"/>
    <row r="45676" ht="14.4" x14ac:dyDescent="0.3"/>
    <row r="45677" ht="14.4" x14ac:dyDescent="0.3"/>
    <row r="45678" ht="14.4" x14ac:dyDescent="0.3"/>
    <row r="45679" ht="14.4" x14ac:dyDescent="0.3"/>
    <row r="45680" ht="14.4" x14ac:dyDescent="0.3"/>
    <row r="45681" ht="14.4" x14ac:dyDescent="0.3"/>
    <row r="45682" ht="14.4" x14ac:dyDescent="0.3"/>
    <row r="45683" ht="14.4" x14ac:dyDescent="0.3"/>
    <row r="45684" ht="14.4" x14ac:dyDescent="0.3"/>
    <row r="45685" ht="14.4" x14ac:dyDescent="0.3"/>
    <row r="45686" ht="14.4" x14ac:dyDescent="0.3"/>
    <row r="45687" ht="14.4" x14ac:dyDescent="0.3"/>
    <row r="45688" ht="14.4" x14ac:dyDescent="0.3"/>
    <row r="45689" ht="14.4" x14ac:dyDescent="0.3"/>
    <row r="45690" ht="14.4" x14ac:dyDescent="0.3"/>
    <row r="45691" ht="14.4" x14ac:dyDescent="0.3"/>
    <row r="45692" ht="14.4" x14ac:dyDescent="0.3"/>
    <row r="45693" ht="14.4" x14ac:dyDescent="0.3"/>
    <row r="45694" ht="14.4" x14ac:dyDescent="0.3"/>
    <row r="45695" ht="14.4" x14ac:dyDescent="0.3"/>
    <row r="45696" ht="14.4" x14ac:dyDescent="0.3"/>
    <row r="45697" ht="14.4" x14ac:dyDescent="0.3"/>
    <row r="45698" ht="14.4" x14ac:dyDescent="0.3"/>
    <row r="45699" ht="14.4" x14ac:dyDescent="0.3"/>
    <row r="45700" ht="14.4" x14ac:dyDescent="0.3"/>
    <row r="45701" ht="14.4" x14ac:dyDescent="0.3"/>
    <row r="45702" ht="14.4" x14ac:dyDescent="0.3"/>
    <row r="45703" ht="14.4" x14ac:dyDescent="0.3"/>
    <row r="45704" ht="14.4" x14ac:dyDescent="0.3"/>
    <row r="45705" ht="14.4" x14ac:dyDescent="0.3"/>
    <row r="45706" ht="14.4" x14ac:dyDescent="0.3"/>
    <row r="45707" ht="14.4" x14ac:dyDescent="0.3"/>
    <row r="45708" ht="14.4" x14ac:dyDescent="0.3"/>
    <row r="45709" ht="14.4" x14ac:dyDescent="0.3"/>
    <row r="45710" ht="14.4" x14ac:dyDescent="0.3"/>
    <row r="45711" ht="14.4" x14ac:dyDescent="0.3"/>
    <row r="45712" ht="14.4" x14ac:dyDescent="0.3"/>
    <row r="45713" ht="14.4" x14ac:dyDescent="0.3"/>
    <row r="45714" ht="14.4" x14ac:dyDescent="0.3"/>
    <row r="45715" ht="14.4" x14ac:dyDescent="0.3"/>
    <row r="45716" ht="14.4" x14ac:dyDescent="0.3"/>
    <row r="45717" ht="14.4" x14ac:dyDescent="0.3"/>
    <row r="45718" ht="14.4" x14ac:dyDescent="0.3"/>
    <row r="45719" ht="14.4" x14ac:dyDescent="0.3"/>
    <row r="45720" ht="14.4" x14ac:dyDescent="0.3"/>
    <row r="45721" ht="14.4" x14ac:dyDescent="0.3"/>
    <row r="45722" ht="14.4" x14ac:dyDescent="0.3"/>
    <row r="45723" ht="14.4" x14ac:dyDescent="0.3"/>
    <row r="45724" ht="14.4" x14ac:dyDescent="0.3"/>
    <row r="45725" ht="14.4" x14ac:dyDescent="0.3"/>
    <row r="45726" ht="14.4" x14ac:dyDescent="0.3"/>
    <row r="45727" ht="14.4" x14ac:dyDescent="0.3"/>
    <row r="45728" ht="14.4" x14ac:dyDescent="0.3"/>
    <row r="45729" ht="14.4" x14ac:dyDescent="0.3"/>
    <row r="45730" ht="14.4" x14ac:dyDescent="0.3"/>
    <row r="45731" ht="14.4" x14ac:dyDescent="0.3"/>
    <row r="45732" ht="14.4" x14ac:dyDescent="0.3"/>
    <row r="45733" ht="14.4" x14ac:dyDescent="0.3"/>
    <row r="45734" ht="14.4" x14ac:dyDescent="0.3"/>
    <row r="45735" ht="14.4" x14ac:dyDescent="0.3"/>
    <row r="45736" ht="14.4" x14ac:dyDescent="0.3"/>
    <row r="45737" ht="14.4" x14ac:dyDescent="0.3"/>
    <row r="45738" ht="14.4" x14ac:dyDescent="0.3"/>
    <row r="45739" ht="14.4" x14ac:dyDescent="0.3"/>
    <row r="45740" ht="14.4" x14ac:dyDescent="0.3"/>
    <row r="45741" ht="14.4" x14ac:dyDescent="0.3"/>
    <row r="45742" ht="14.4" x14ac:dyDescent="0.3"/>
    <row r="45743" ht="14.4" x14ac:dyDescent="0.3"/>
    <row r="45744" ht="14.4" x14ac:dyDescent="0.3"/>
    <row r="45745" ht="14.4" x14ac:dyDescent="0.3"/>
    <row r="45746" ht="14.4" x14ac:dyDescent="0.3"/>
    <row r="45747" ht="14.4" x14ac:dyDescent="0.3"/>
    <row r="45748" ht="14.4" x14ac:dyDescent="0.3"/>
    <row r="45749" ht="14.4" x14ac:dyDescent="0.3"/>
    <row r="45750" ht="14.4" x14ac:dyDescent="0.3"/>
    <row r="45751" ht="14.4" x14ac:dyDescent="0.3"/>
    <row r="45752" ht="14.4" x14ac:dyDescent="0.3"/>
    <row r="45753" ht="14.4" x14ac:dyDescent="0.3"/>
    <row r="45754" ht="14.4" x14ac:dyDescent="0.3"/>
    <row r="45755" ht="14.4" x14ac:dyDescent="0.3"/>
    <row r="45756" ht="14.4" x14ac:dyDescent="0.3"/>
    <row r="45757" ht="14.4" x14ac:dyDescent="0.3"/>
    <row r="45758" ht="14.4" x14ac:dyDescent="0.3"/>
    <row r="45759" ht="14.4" x14ac:dyDescent="0.3"/>
    <row r="45760" ht="14.4" x14ac:dyDescent="0.3"/>
    <row r="45761" ht="14.4" x14ac:dyDescent="0.3"/>
    <row r="45762" ht="14.4" x14ac:dyDescent="0.3"/>
    <row r="45763" ht="14.4" x14ac:dyDescent="0.3"/>
    <row r="45764" ht="14.4" x14ac:dyDescent="0.3"/>
    <row r="45765" ht="14.4" x14ac:dyDescent="0.3"/>
    <row r="45766" ht="14.4" x14ac:dyDescent="0.3"/>
    <row r="45767" ht="14.4" x14ac:dyDescent="0.3"/>
    <row r="45768" ht="14.4" x14ac:dyDescent="0.3"/>
    <row r="45769" ht="14.4" x14ac:dyDescent="0.3"/>
    <row r="45770" ht="14.4" x14ac:dyDescent="0.3"/>
    <row r="45771" ht="14.4" x14ac:dyDescent="0.3"/>
    <row r="45772" ht="14.4" x14ac:dyDescent="0.3"/>
    <row r="45773" ht="14.4" x14ac:dyDescent="0.3"/>
    <row r="45774" ht="14.4" x14ac:dyDescent="0.3"/>
    <row r="45775" ht="14.4" x14ac:dyDescent="0.3"/>
    <row r="45776" ht="14.4" x14ac:dyDescent="0.3"/>
    <row r="45777" ht="14.4" x14ac:dyDescent="0.3"/>
    <row r="45778" ht="14.4" x14ac:dyDescent="0.3"/>
    <row r="45779" ht="14.4" x14ac:dyDescent="0.3"/>
    <row r="45780" ht="14.4" x14ac:dyDescent="0.3"/>
    <row r="45781" ht="14.4" x14ac:dyDescent="0.3"/>
    <row r="45782" ht="14.4" x14ac:dyDescent="0.3"/>
    <row r="45783" ht="14.4" x14ac:dyDescent="0.3"/>
    <row r="45784" ht="14.4" x14ac:dyDescent="0.3"/>
    <row r="45785" ht="14.4" x14ac:dyDescent="0.3"/>
    <row r="45786" ht="14.4" x14ac:dyDescent="0.3"/>
    <row r="45787" ht="14.4" x14ac:dyDescent="0.3"/>
    <row r="45788" ht="14.4" x14ac:dyDescent="0.3"/>
    <row r="45789" ht="14.4" x14ac:dyDescent="0.3"/>
    <row r="45790" ht="14.4" x14ac:dyDescent="0.3"/>
    <row r="45791" ht="14.4" x14ac:dyDescent="0.3"/>
    <row r="45792" ht="14.4" x14ac:dyDescent="0.3"/>
    <row r="45793" ht="14.4" x14ac:dyDescent="0.3"/>
    <row r="45794" ht="14.4" x14ac:dyDescent="0.3"/>
    <row r="45795" ht="14.4" x14ac:dyDescent="0.3"/>
    <row r="45796" ht="14.4" x14ac:dyDescent="0.3"/>
    <row r="45797" ht="14.4" x14ac:dyDescent="0.3"/>
    <row r="45798" ht="14.4" x14ac:dyDescent="0.3"/>
    <row r="45799" ht="14.4" x14ac:dyDescent="0.3"/>
    <row r="45800" ht="14.4" x14ac:dyDescent="0.3"/>
    <row r="45801" ht="14.4" x14ac:dyDescent="0.3"/>
    <row r="45802" ht="14.4" x14ac:dyDescent="0.3"/>
    <row r="45803" ht="14.4" x14ac:dyDescent="0.3"/>
    <row r="45804" ht="14.4" x14ac:dyDescent="0.3"/>
    <row r="45805" ht="14.4" x14ac:dyDescent="0.3"/>
    <row r="45806" ht="14.4" x14ac:dyDescent="0.3"/>
    <row r="45807" ht="14.4" x14ac:dyDescent="0.3"/>
    <row r="45808" ht="14.4" x14ac:dyDescent="0.3"/>
    <row r="45809" ht="14.4" x14ac:dyDescent="0.3"/>
    <row r="45810" ht="14.4" x14ac:dyDescent="0.3"/>
    <row r="45811" ht="14.4" x14ac:dyDescent="0.3"/>
    <row r="45812" ht="14.4" x14ac:dyDescent="0.3"/>
    <row r="45813" ht="14.4" x14ac:dyDescent="0.3"/>
    <row r="45814" ht="14.4" x14ac:dyDescent="0.3"/>
    <row r="45815" ht="14.4" x14ac:dyDescent="0.3"/>
    <row r="45816" ht="14.4" x14ac:dyDescent="0.3"/>
    <row r="45817" ht="14.4" x14ac:dyDescent="0.3"/>
    <row r="45818" ht="14.4" x14ac:dyDescent="0.3"/>
    <row r="45819" ht="14.4" x14ac:dyDescent="0.3"/>
    <row r="45820" ht="14.4" x14ac:dyDescent="0.3"/>
    <row r="45821" ht="14.4" x14ac:dyDescent="0.3"/>
    <row r="45822" ht="14.4" x14ac:dyDescent="0.3"/>
    <row r="45823" ht="14.4" x14ac:dyDescent="0.3"/>
    <row r="45824" ht="14.4" x14ac:dyDescent="0.3"/>
    <row r="45825" ht="14.4" x14ac:dyDescent="0.3"/>
    <row r="45826" ht="14.4" x14ac:dyDescent="0.3"/>
    <row r="45827" ht="14.4" x14ac:dyDescent="0.3"/>
    <row r="45828" ht="14.4" x14ac:dyDescent="0.3"/>
    <row r="45829" ht="14.4" x14ac:dyDescent="0.3"/>
    <row r="45830" ht="14.4" x14ac:dyDescent="0.3"/>
    <row r="45831" ht="14.4" x14ac:dyDescent="0.3"/>
    <row r="45832" ht="14.4" x14ac:dyDescent="0.3"/>
    <row r="45833" ht="14.4" x14ac:dyDescent="0.3"/>
    <row r="45834" ht="14.4" x14ac:dyDescent="0.3"/>
    <row r="45835" ht="14.4" x14ac:dyDescent="0.3"/>
    <row r="45836" ht="14.4" x14ac:dyDescent="0.3"/>
    <row r="45837" ht="14.4" x14ac:dyDescent="0.3"/>
    <row r="45838" ht="14.4" x14ac:dyDescent="0.3"/>
    <row r="45839" ht="14.4" x14ac:dyDescent="0.3"/>
    <row r="45840" ht="14.4" x14ac:dyDescent="0.3"/>
    <row r="45841" ht="14.4" x14ac:dyDescent="0.3"/>
    <row r="45842" ht="14.4" x14ac:dyDescent="0.3"/>
    <row r="45843" ht="14.4" x14ac:dyDescent="0.3"/>
    <row r="45844" ht="14.4" x14ac:dyDescent="0.3"/>
    <row r="45845" ht="14.4" x14ac:dyDescent="0.3"/>
    <row r="45846" ht="14.4" x14ac:dyDescent="0.3"/>
    <row r="45847" ht="14.4" x14ac:dyDescent="0.3"/>
    <row r="45848" ht="14.4" x14ac:dyDescent="0.3"/>
    <row r="45849" ht="14.4" x14ac:dyDescent="0.3"/>
    <row r="45850" ht="14.4" x14ac:dyDescent="0.3"/>
    <row r="45851" ht="14.4" x14ac:dyDescent="0.3"/>
    <row r="45852" ht="14.4" x14ac:dyDescent="0.3"/>
    <row r="45853" ht="14.4" x14ac:dyDescent="0.3"/>
    <row r="45854" ht="14.4" x14ac:dyDescent="0.3"/>
    <row r="45855" ht="14.4" x14ac:dyDescent="0.3"/>
    <row r="45856" ht="14.4" x14ac:dyDescent="0.3"/>
    <row r="45857" ht="14.4" x14ac:dyDescent="0.3"/>
    <row r="45858" ht="14.4" x14ac:dyDescent="0.3"/>
    <row r="45859" ht="14.4" x14ac:dyDescent="0.3"/>
    <row r="45860" ht="14.4" x14ac:dyDescent="0.3"/>
    <row r="45861" ht="14.4" x14ac:dyDescent="0.3"/>
    <row r="45862" ht="14.4" x14ac:dyDescent="0.3"/>
    <row r="45863" ht="14.4" x14ac:dyDescent="0.3"/>
    <row r="45864" ht="14.4" x14ac:dyDescent="0.3"/>
    <row r="45865" ht="14.4" x14ac:dyDescent="0.3"/>
    <row r="45866" ht="14.4" x14ac:dyDescent="0.3"/>
    <row r="45867" ht="14.4" x14ac:dyDescent="0.3"/>
    <row r="45868" ht="14.4" x14ac:dyDescent="0.3"/>
    <row r="45869" ht="14.4" x14ac:dyDescent="0.3"/>
    <row r="45870" ht="14.4" x14ac:dyDescent="0.3"/>
    <row r="45871" ht="14.4" x14ac:dyDescent="0.3"/>
    <row r="45872" ht="14.4" x14ac:dyDescent="0.3"/>
    <row r="45873" ht="14.4" x14ac:dyDescent="0.3"/>
    <row r="45874" ht="14.4" x14ac:dyDescent="0.3"/>
    <row r="45875" ht="14.4" x14ac:dyDescent="0.3"/>
    <row r="45876" ht="14.4" x14ac:dyDescent="0.3"/>
    <row r="45877" ht="14.4" x14ac:dyDescent="0.3"/>
    <row r="45878" ht="14.4" x14ac:dyDescent="0.3"/>
    <row r="45879" ht="14.4" x14ac:dyDescent="0.3"/>
    <row r="45880" ht="14.4" x14ac:dyDescent="0.3"/>
    <row r="45881" ht="14.4" x14ac:dyDescent="0.3"/>
    <row r="45882" ht="14.4" x14ac:dyDescent="0.3"/>
    <row r="45883" ht="14.4" x14ac:dyDescent="0.3"/>
    <row r="45884" ht="14.4" x14ac:dyDescent="0.3"/>
    <row r="45885" ht="14.4" x14ac:dyDescent="0.3"/>
    <row r="45886" ht="14.4" x14ac:dyDescent="0.3"/>
    <row r="45887" ht="14.4" x14ac:dyDescent="0.3"/>
    <row r="45888" ht="14.4" x14ac:dyDescent="0.3"/>
    <row r="45889" ht="14.4" x14ac:dyDescent="0.3"/>
    <row r="45890" ht="14.4" x14ac:dyDescent="0.3"/>
    <row r="45891" ht="14.4" x14ac:dyDescent="0.3"/>
    <row r="45892" ht="14.4" x14ac:dyDescent="0.3"/>
    <row r="45893" ht="14.4" x14ac:dyDescent="0.3"/>
    <row r="45894" ht="14.4" x14ac:dyDescent="0.3"/>
    <row r="45895" ht="14.4" x14ac:dyDescent="0.3"/>
    <row r="45896" ht="14.4" x14ac:dyDescent="0.3"/>
    <row r="45897" ht="14.4" x14ac:dyDescent="0.3"/>
    <row r="45898" ht="14.4" x14ac:dyDescent="0.3"/>
    <row r="45899" ht="14.4" x14ac:dyDescent="0.3"/>
    <row r="45900" ht="14.4" x14ac:dyDescent="0.3"/>
    <row r="45901" ht="14.4" x14ac:dyDescent="0.3"/>
    <row r="45902" ht="14.4" x14ac:dyDescent="0.3"/>
    <row r="45903" ht="14.4" x14ac:dyDescent="0.3"/>
    <row r="45904" ht="14.4" x14ac:dyDescent="0.3"/>
    <row r="45905" ht="14.4" x14ac:dyDescent="0.3"/>
    <row r="45906" ht="14.4" x14ac:dyDescent="0.3"/>
    <row r="45907" ht="14.4" x14ac:dyDescent="0.3"/>
    <row r="45908" ht="14.4" x14ac:dyDescent="0.3"/>
    <row r="45909" ht="14.4" x14ac:dyDescent="0.3"/>
    <row r="45910" ht="14.4" x14ac:dyDescent="0.3"/>
    <row r="45911" ht="14.4" x14ac:dyDescent="0.3"/>
    <row r="45912" ht="14.4" x14ac:dyDescent="0.3"/>
    <row r="45913" ht="14.4" x14ac:dyDescent="0.3"/>
    <row r="45914" ht="14.4" x14ac:dyDescent="0.3"/>
    <row r="45915" ht="14.4" x14ac:dyDescent="0.3"/>
    <row r="45916" ht="14.4" x14ac:dyDescent="0.3"/>
    <row r="45917" ht="14.4" x14ac:dyDescent="0.3"/>
    <row r="45918" ht="14.4" x14ac:dyDescent="0.3"/>
    <row r="45919" ht="14.4" x14ac:dyDescent="0.3"/>
    <row r="45920" ht="14.4" x14ac:dyDescent="0.3"/>
    <row r="45921" ht="14.4" x14ac:dyDescent="0.3"/>
    <row r="45922" ht="14.4" x14ac:dyDescent="0.3"/>
    <row r="45923" ht="14.4" x14ac:dyDescent="0.3"/>
    <row r="45924" ht="14.4" x14ac:dyDescent="0.3"/>
    <row r="45925" ht="14.4" x14ac:dyDescent="0.3"/>
    <row r="45926" ht="14.4" x14ac:dyDescent="0.3"/>
    <row r="45927" ht="14.4" x14ac:dyDescent="0.3"/>
    <row r="45928" ht="14.4" x14ac:dyDescent="0.3"/>
    <row r="45929" ht="14.4" x14ac:dyDescent="0.3"/>
    <row r="45930" ht="14.4" x14ac:dyDescent="0.3"/>
    <row r="45931" ht="14.4" x14ac:dyDescent="0.3"/>
    <row r="45932" ht="14.4" x14ac:dyDescent="0.3"/>
    <row r="45933" ht="14.4" x14ac:dyDescent="0.3"/>
    <row r="45934" ht="14.4" x14ac:dyDescent="0.3"/>
    <row r="45935" ht="14.4" x14ac:dyDescent="0.3"/>
    <row r="45936" ht="14.4" x14ac:dyDescent="0.3"/>
    <row r="45937" ht="14.4" x14ac:dyDescent="0.3"/>
    <row r="45938" ht="14.4" x14ac:dyDescent="0.3"/>
    <row r="45939" ht="14.4" x14ac:dyDescent="0.3"/>
    <row r="45940" ht="14.4" x14ac:dyDescent="0.3"/>
    <row r="45941" ht="14.4" x14ac:dyDescent="0.3"/>
    <row r="45942" ht="14.4" x14ac:dyDescent="0.3"/>
    <row r="45943" ht="14.4" x14ac:dyDescent="0.3"/>
    <row r="45944" ht="14.4" x14ac:dyDescent="0.3"/>
    <row r="45945" ht="14.4" x14ac:dyDescent="0.3"/>
    <row r="45946" ht="14.4" x14ac:dyDescent="0.3"/>
    <row r="45947" ht="14.4" x14ac:dyDescent="0.3"/>
    <row r="45948" ht="14.4" x14ac:dyDescent="0.3"/>
    <row r="45949" ht="14.4" x14ac:dyDescent="0.3"/>
    <row r="45950" ht="14.4" x14ac:dyDescent="0.3"/>
    <row r="45951" ht="14.4" x14ac:dyDescent="0.3"/>
    <row r="45952" ht="14.4" x14ac:dyDescent="0.3"/>
    <row r="45953" ht="14.4" x14ac:dyDescent="0.3"/>
    <row r="45954" ht="14.4" x14ac:dyDescent="0.3"/>
    <row r="45955" ht="14.4" x14ac:dyDescent="0.3"/>
    <row r="45956" ht="14.4" x14ac:dyDescent="0.3"/>
    <row r="45957" ht="14.4" x14ac:dyDescent="0.3"/>
    <row r="45958" ht="14.4" x14ac:dyDescent="0.3"/>
    <row r="45959" ht="14.4" x14ac:dyDescent="0.3"/>
    <row r="45960" ht="14.4" x14ac:dyDescent="0.3"/>
    <row r="45961" ht="14.4" x14ac:dyDescent="0.3"/>
    <row r="45962" ht="14.4" x14ac:dyDescent="0.3"/>
    <row r="45963" ht="14.4" x14ac:dyDescent="0.3"/>
    <row r="45964" ht="14.4" x14ac:dyDescent="0.3"/>
    <row r="45965" ht="14.4" x14ac:dyDescent="0.3"/>
    <row r="45966" ht="14.4" x14ac:dyDescent="0.3"/>
    <row r="45967" ht="14.4" x14ac:dyDescent="0.3"/>
    <row r="45968" ht="14.4" x14ac:dyDescent="0.3"/>
    <row r="45969" ht="14.4" x14ac:dyDescent="0.3"/>
    <row r="45970" ht="14.4" x14ac:dyDescent="0.3"/>
    <row r="45971" ht="14.4" x14ac:dyDescent="0.3"/>
    <row r="45972" ht="14.4" x14ac:dyDescent="0.3"/>
    <row r="45973" ht="14.4" x14ac:dyDescent="0.3"/>
    <row r="45974" ht="14.4" x14ac:dyDescent="0.3"/>
    <row r="45975" ht="14.4" x14ac:dyDescent="0.3"/>
    <row r="45976" ht="14.4" x14ac:dyDescent="0.3"/>
    <row r="45977" ht="14.4" x14ac:dyDescent="0.3"/>
    <row r="45978" ht="14.4" x14ac:dyDescent="0.3"/>
    <row r="45979" ht="14.4" x14ac:dyDescent="0.3"/>
    <row r="45980" ht="14.4" x14ac:dyDescent="0.3"/>
    <row r="45981" ht="14.4" x14ac:dyDescent="0.3"/>
    <row r="45982" ht="14.4" x14ac:dyDescent="0.3"/>
    <row r="45983" ht="14.4" x14ac:dyDescent="0.3"/>
    <row r="45984" ht="14.4" x14ac:dyDescent="0.3"/>
    <row r="45985" ht="14.4" x14ac:dyDescent="0.3"/>
    <row r="45986" ht="14.4" x14ac:dyDescent="0.3"/>
    <row r="45987" ht="14.4" x14ac:dyDescent="0.3"/>
    <row r="45988" ht="14.4" x14ac:dyDescent="0.3"/>
    <row r="45989" ht="14.4" x14ac:dyDescent="0.3"/>
    <row r="45990" ht="14.4" x14ac:dyDescent="0.3"/>
    <row r="45991" ht="14.4" x14ac:dyDescent="0.3"/>
    <row r="45992" ht="14.4" x14ac:dyDescent="0.3"/>
    <row r="45993" ht="14.4" x14ac:dyDescent="0.3"/>
    <row r="45994" ht="14.4" x14ac:dyDescent="0.3"/>
    <row r="45995" ht="14.4" x14ac:dyDescent="0.3"/>
    <row r="45996" ht="14.4" x14ac:dyDescent="0.3"/>
    <row r="45997" ht="14.4" x14ac:dyDescent="0.3"/>
    <row r="45998" ht="14.4" x14ac:dyDescent="0.3"/>
    <row r="45999" ht="14.4" x14ac:dyDescent="0.3"/>
    <row r="46000" ht="14.4" x14ac:dyDescent="0.3"/>
    <row r="46001" ht="14.4" x14ac:dyDescent="0.3"/>
    <row r="46002" ht="14.4" x14ac:dyDescent="0.3"/>
    <row r="46003" ht="14.4" x14ac:dyDescent="0.3"/>
    <row r="46004" ht="14.4" x14ac:dyDescent="0.3"/>
    <row r="46005" ht="14.4" x14ac:dyDescent="0.3"/>
    <row r="46006" ht="14.4" x14ac:dyDescent="0.3"/>
    <row r="46007" ht="14.4" x14ac:dyDescent="0.3"/>
    <row r="46008" ht="14.4" x14ac:dyDescent="0.3"/>
    <row r="46009" ht="14.4" x14ac:dyDescent="0.3"/>
    <row r="46010" ht="14.4" x14ac:dyDescent="0.3"/>
    <row r="46011" ht="14.4" x14ac:dyDescent="0.3"/>
    <row r="46012" ht="14.4" x14ac:dyDescent="0.3"/>
    <row r="46013" ht="14.4" x14ac:dyDescent="0.3"/>
    <row r="46014" ht="14.4" x14ac:dyDescent="0.3"/>
    <row r="46015" ht="14.4" x14ac:dyDescent="0.3"/>
    <row r="46016" ht="14.4" x14ac:dyDescent="0.3"/>
    <row r="46017" ht="14.4" x14ac:dyDescent="0.3"/>
    <row r="46018" ht="14.4" x14ac:dyDescent="0.3"/>
    <row r="46019" ht="14.4" x14ac:dyDescent="0.3"/>
    <row r="46020" ht="14.4" x14ac:dyDescent="0.3"/>
    <row r="46021" ht="14.4" x14ac:dyDescent="0.3"/>
    <row r="46022" ht="14.4" x14ac:dyDescent="0.3"/>
    <row r="46023" ht="14.4" x14ac:dyDescent="0.3"/>
    <row r="46024" ht="14.4" x14ac:dyDescent="0.3"/>
    <row r="46025" ht="14.4" x14ac:dyDescent="0.3"/>
    <row r="46026" ht="14.4" x14ac:dyDescent="0.3"/>
    <row r="46027" ht="14.4" x14ac:dyDescent="0.3"/>
    <row r="46028" ht="14.4" x14ac:dyDescent="0.3"/>
    <row r="46029" ht="14.4" x14ac:dyDescent="0.3"/>
    <row r="46030" ht="14.4" x14ac:dyDescent="0.3"/>
    <row r="46031" ht="14.4" x14ac:dyDescent="0.3"/>
    <row r="46032" ht="14.4" x14ac:dyDescent="0.3"/>
    <row r="46033" ht="14.4" x14ac:dyDescent="0.3"/>
    <row r="46034" ht="14.4" x14ac:dyDescent="0.3"/>
    <row r="46035" ht="14.4" x14ac:dyDescent="0.3"/>
    <row r="46036" ht="14.4" x14ac:dyDescent="0.3"/>
    <row r="46037" ht="14.4" x14ac:dyDescent="0.3"/>
    <row r="46038" ht="14.4" x14ac:dyDescent="0.3"/>
    <row r="46039" ht="14.4" x14ac:dyDescent="0.3"/>
    <row r="46040" ht="14.4" x14ac:dyDescent="0.3"/>
    <row r="46041" ht="14.4" x14ac:dyDescent="0.3"/>
    <row r="46042" ht="14.4" x14ac:dyDescent="0.3"/>
    <row r="46043" ht="14.4" x14ac:dyDescent="0.3"/>
    <row r="46044" ht="14.4" x14ac:dyDescent="0.3"/>
    <row r="46045" ht="14.4" x14ac:dyDescent="0.3"/>
    <row r="46046" ht="14.4" x14ac:dyDescent="0.3"/>
    <row r="46047" ht="14.4" x14ac:dyDescent="0.3"/>
    <row r="46048" ht="14.4" x14ac:dyDescent="0.3"/>
    <row r="46049" ht="14.4" x14ac:dyDescent="0.3"/>
    <row r="46050" ht="14.4" x14ac:dyDescent="0.3"/>
    <row r="46051" ht="14.4" x14ac:dyDescent="0.3"/>
    <row r="46052" ht="14.4" x14ac:dyDescent="0.3"/>
    <row r="46053" ht="14.4" x14ac:dyDescent="0.3"/>
    <row r="46054" ht="14.4" x14ac:dyDescent="0.3"/>
    <row r="46055" ht="14.4" x14ac:dyDescent="0.3"/>
    <row r="46056" ht="14.4" x14ac:dyDescent="0.3"/>
    <row r="46057" ht="14.4" x14ac:dyDescent="0.3"/>
    <row r="46058" ht="14.4" x14ac:dyDescent="0.3"/>
    <row r="46059" ht="14.4" x14ac:dyDescent="0.3"/>
    <row r="46060" ht="14.4" x14ac:dyDescent="0.3"/>
    <row r="46061" ht="14.4" x14ac:dyDescent="0.3"/>
    <row r="46062" ht="14.4" x14ac:dyDescent="0.3"/>
    <row r="46063" ht="14.4" x14ac:dyDescent="0.3"/>
    <row r="46064" ht="14.4" x14ac:dyDescent="0.3"/>
    <row r="46065" ht="14.4" x14ac:dyDescent="0.3"/>
    <row r="46066" ht="14.4" x14ac:dyDescent="0.3"/>
    <row r="46067" ht="14.4" x14ac:dyDescent="0.3"/>
    <row r="46068" ht="14.4" x14ac:dyDescent="0.3"/>
    <row r="46069" ht="14.4" x14ac:dyDescent="0.3"/>
    <row r="46070" ht="14.4" x14ac:dyDescent="0.3"/>
    <row r="46071" ht="14.4" x14ac:dyDescent="0.3"/>
    <row r="46072" ht="14.4" x14ac:dyDescent="0.3"/>
    <row r="46073" ht="14.4" x14ac:dyDescent="0.3"/>
    <row r="46074" ht="14.4" x14ac:dyDescent="0.3"/>
    <row r="46075" ht="14.4" x14ac:dyDescent="0.3"/>
    <row r="46076" ht="14.4" x14ac:dyDescent="0.3"/>
    <row r="46077" ht="14.4" x14ac:dyDescent="0.3"/>
    <row r="46078" ht="14.4" x14ac:dyDescent="0.3"/>
    <row r="46079" ht="14.4" x14ac:dyDescent="0.3"/>
    <row r="46080" ht="14.4" x14ac:dyDescent="0.3"/>
    <row r="46081" spans="1:43" ht="14.4" x14ac:dyDescent="0.3"/>
    <row r="46082" spans="1:43" ht="14.4" x14ac:dyDescent="0.3"/>
    <row r="46083" spans="1:43" ht="14.4" x14ac:dyDescent="0.3"/>
    <row r="46084" spans="1:43" ht="14.4" x14ac:dyDescent="0.3"/>
    <row r="46085" spans="1:43" ht="14.4" x14ac:dyDescent="0.3"/>
    <row r="46086" spans="1:43" ht="14.4" x14ac:dyDescent="0.3"/>
    <row r="46087" spans="1:43" ht="14.4" x14ac:dyDescent="0.3"/>
    <row r="46088" spans="1:43" ht="14.4" x14ac:dyDescent="0.3"/>
    <row r="46089" spans="1:43" ht="14.4" hidden="1" x14ac:dyDescent="0.3">
      <c r="A46089" t="s">
        <v>5672</v>
      </c>
      <c r="B46089">
        <v>4924084</v>
      </c>
      <c r="C46089" t="s">
        <v>424</v>
      </c>
      <c r="D46089" t="s">
        <v>433</v>
      </c>
      <c r="E46089" t="s">
        <v>803</v>
      </c>
      <c r="F46089" t="s">
        <v>876</v>
      </c>
      <c r="H46089" t="s">
        <v>197</v>
      </c>
      <c r="J46089" t="s">
        <v>140</v>
      </c>
      <c r="K46089">
        <v>160746.14000000001</v>
      </c>
      <c r="L46089">
        <v>387940.16</v>
      </c>
      <c r="M46089">
        <v>1</v>
      </c>
      <c r="N46089" t="s">
        <v>307</v>
      </c>
      <c r="O46089" t="s">
        <v>1557</v>
      </c>
      <c r="P46089" t="s">
        <v>1259</v>
      </c>
      <c r="Q46089" t="s">
        <v>264</v>
      </c>
      <c r="R46089" t="s">
        <v>145</v>
      </c>
      <c r="S46089">
        <v>36</v>
      </c>
      <c r="T46089">
        <v>2900</v>
      </c>
      <c r="V46089" t="s">
        <v>265</v>
      </c>
      <c r="W46089" t="s">
        <v>147</v>
      </c>
      <c r="X46089" t="s">
        <v>7</v>
      </c>
      <c r="Y46089" t="s">
        <v>549</v>
      </c>
      <c r="Z46089" t="s">
        <v>1557</v>
      </c>
      <c r="AA46089" t="s">
        <v>1453</v>
      </c>
      <c r="AB46089">
        <v>0</v>
      </c>
      <c r="AE46089" t="s">
        <v>615</v>
      </c>
      <c r="AF46089" t="s">
        <v>1557</v>
      </c>
      <c r="AG46089" t="s">
        <v>1453</v>
      </c>
      <c r="AL46089" t="s">
        <v>5673</v>
      </c>
      <c r="AM46089" t="s">
        <v>5674</v>
      </c>
      <c r="AN46089" t="s">
        <v>5675</v>
      </c>
      <c r="AO46089" t="s">
        <v>307</v>
      </c>
      <c r="AQ46089" t="str">
        <f>IF(ISBLANK(AP46089), IFERROR(IF(VLOOKUP(AO46089, Ellens_additions!$A$2:$B$252, 2, FALSE) = "", "", VLOOKUP(AO46089, Ellens_additions!$A$2:$B$252, 2, FALSE)), 0), AP46089)</f>
        <v/>
      </c>
    </row>
    <row r="46090" spans="1:43" ht="14.4" x14ac:dyDescent="0.3"/>
    <row r="46091" spans="1:43" ht="14.4" x14ac:dyDescent="0.3"/>
    <row r="46092" spans="1:43" ht="14.4" x14ac:dyDescent="0.3"/>
    <row r="46093" spans="1:43" ht="14.4" x14ac:dyDescent="0.3"/>
    <row r="46094" spans="1:43" ht="14.4" x14ac:dyDescent="0.3"/>
    <row r="46095" spans="1:43" ht="14.4" x14ac:dyDescent="0.3"/>
    <row r="46096" spans="1:43" ht="14.4" x14ac:dyDescent="0.3"/>
    <row r="46097" spans="1:43" ht="14.4" x14ac:dyDescent="0.3"/>
    <row r="46098" spans="1:43" ht="14.4" x14ac:dyDescent="0.3"/>
    <row r="46099" spans="1:43" ht="14.4" x14ac:dyDescent="0.3"/>
    <row r="46100" spans="1:43" ht="14.4" x14ac:dyDescent="0.3"/>
    <row r="46101" spans="1:43" ht="14.4" hidden="1" x14ac:dyDescent="0.3">
      <c r="A46101" t="s">
        <v>5676</v>
      </c>
      <c r="B46101">
        <v>4924125</v>
      </c>
      <c r="C46101" t="s">
        <v>424</v>
      </c>
      <c r="D46101" t="s">
        <v>428</v>
      </c>
      <c r="E46101" t="s">
        <v>750</v>
      </c>
      <c r="F46101" t="s">
        <v>620</v>
      </c>
      <c r="H46101" t="s">
        <v>5677</v>
      </c>
      <c r="J46101" t="s">
        <v>140</v>
      </c>
      <c r="K46101">
        <v>162524.18</v>
      </c>
      <c r="L46101">
        <v>388619.44</v>
      </c>
      <c r="N46101" t="s">
        <v>1494</v>
      </c>
      <c r="O46101" t="s">
        <v>1568</v>
      </c>
      <c r="P46101" t="s">
        <v>785</v>
      </c>
      <c r="Q46101" t="s">
        <v>144</v>
      </c>
      <c r="S46101">
        <v>0</v>
      </c>
      <c r="T46101">
        <v>0</v>
      </c>
      <c r="V46101" t="s">
        <v>146</v>
      </c>
      <c r="W46101" t="s">
        <v>184</v>
      </c>
      <c r="Y46101" t="s">
        <v>1569</v>
      </c>
      <c r="Z46101" t="s">
        <v>1568</v>
      </c>
      <c r="AA46101" t="s">
        <v>936</v>
      </c>
      <c r="AB46101">
        <v>0</v>
      </c>
      <c r="AE46101" t="s">
        <v>1496</v>
      </c>
      <c r="AF46101" t="s">
        <v>1568</v>
      </c>
      <c r="AG46101" t="s">
        <v>1570</v>
      </c>
      <c r="AL46101" t="s">
        <v>5678</v>
      </c>
      <c r="AM46101" t="s">
        <v>5679</v>
      </c>
      <c r="AN46101" t="s">
        <v>5680</v>
      </c>
      <c r="AO46101" t="s">
        <v>1494</v>
      </c>
      <c r="AQ46101">
        <f>IF(ISBLANK(AP46101), IFERROR(IF(VLOOKUP(AO46101, Ellens_additions!$A$2:$B$252, 2, FALSE) = "", "", VLOOKUP(AO46101, Ellens_additions!$A$2:$B$252, 2, FALSE)), 0), AP46101)</f>
        <v>0</v>
      </c>
    </row>
    <row r="46102" spans="1:43" ht="14.4" hidden="1" x14ac:dyDescent="0.3">
      <c r="A46102" t="s">
        <v>5681</v>
      </c>
      <c r="B46102">
        <v>4924128</v>
      </c>
      <c r="C46102" t="s">
        <v>424</v>
      </c>
      <c r="D46102" t="s">
        <v>428</v>
      </c>
      <c r="E46102" t="s">
        <v>750</v>
      </c>
      <c r="F46102" t="s">
        <v>620</v>
      </c>
      <c r="H46102" t="s">
        <v>5682</v>
      </c>
      <c r="J46102" t="s">
        <v>140</v>
      </c>
      <c r="K46102">
        <v>162515.17000000001</v>
      </c>
      <c r="L46102">
        <v>388616.87</v>
      </c>
      <c r="N46102" t="s">
        <v>1494</v>
      </c>
      <c r="O46102" t="s">
        <v>1568</v>
      </c>
      <c r="P46102" t="s">
        <v>785</v>
      </c>
      <c r="Q46102" t="s">
        <v>144</v>
      </c>
      <c r="S46102">
        <v>0</v>
      </c>
      <c r="T46102">
        <v>0</v>
      </c>
      <c r="V46102" t="s">
        <v>146</v>
      </c>
      <c r="W46102" t="s">
        <v>184</v>
      </c>
      <c r="Y46102" t="s">
        <v>1569</v>
      </c>
      <c r="Z46102" t="s">
        <v>1568</v>
      </c>
      <c r="AA46102" t="s">
        <v>936</v>
      </c>
      <c r="AB46102">
        <v>0</v>
      </c>
      <c r="AE46102" t="s">
        <v>1496</v>
      </c>
      <c r="AF46102" t="s">
        <v>1568</v>
      </c>
      <c r="AG46102" t="s">
        <v>1570</v>
      </c>
      <c r="AL46102" t="s">
        <v>5683</v>
      </c>
      <c r="AM46102" t="s">
        <v>5684</v>
      </c>
      <c r="AN46102" t="s">
        <v>5685</v>
      </c>
      <c r="AO46102" t="s">
        <v>1494</v>
      </c>
      <c r="AQ46102">
        <f>IF(ISBLANK(AP46102), IFERROR(IF(VLOOKUP(AO46102, Ellens_additions!$A$2:$B$252, 2, FALSE) = "", "", VLOOKUP(AO46102, Ellens_additions!$A$2:$B$252, 2, FALSE)), 0), AP46102)</f>
        <v>0</v>
      </c>
    </row>
    <row r="46103" spans="1:43" ht="14.4" hidden="1" x14ac:dyDescent="0.3">
      <c r="A46103" t="s">
        <v>5686</v>
      </c>
      <c r="B46103">
        <v>4924129</v>
      </c>
      <c r="C46103" t="s">
        <v>424</v>
      </c>
      <c r="D46103" t="s">
        <v>428</v>
      </c>
      <c r="E46103" t="s">
        <v>750</v>
      </c>
      <c r="F46103" t="s">
        <v>620</v>
      </c>
      <c r="H46103" t="s">
        <v>5687</v>
      </c>
      <c r="J46103" t="s">
        <v>140</v>
      </c>
      <c r="K46103">
        <v>162509.84</v>
      </c>
      <c r="L46103">
        <v>388617.11</v>
      </c>
      <c r="N46103" t="s">
        <v>1494</v>
      </c>
      <c r="O46103" t="s">
        <v>1568</v>
      </c>
      <c r="P46103" t="s">
        <v>785</v>
      </c>
      <c r="Q46103" t="s">
        <v>144</v>
      </c>
      <c r="S46103">
        <v>0</v>
      </c>
      <c r="T46103">
        <v>0</v>
      </c>
      <c r="V46103" t="s">
        <v>146</v>
      </c>
      <c r="W46103" t="s">
        <v>184</v>
      </c>
      <c r="Y46103" t="s">
        <v>1569</v>
      </c>
      <c r="Z46103" t="s">
        <v>1568</v>
      </c>
      <c r="AA46103" t="s">
        <v>936</v>
      </c>
      <c r="AB46103">
        <v>0</v>
      </c>
      <c r="AE46103" t="s">
        <v>1496</v>
      </c>
      <c r="AF46103" t="s">
        <v>1568</v>
      </c>
      <c r="AG46103" t="s">
        <v>1570</v>
      </c>
      <c r="AL46103" t="s">
        <v>5688</v>
      </c>
      <c r="AM46103" t="s">
        <v>5689</v>
      </c>
      <c r="AN46103" t="s">
        <v>5690</v>
      </c>
      <c r="AO46103" t="s">
        <v>1494</v>
      </c>
      <c r="AQ46103">
        <f>IF(ISBLANK(AP46103), IFERROR(IF(VLOOKUP(AO46103, Ellens_additions!$A$2:$B$252, 2, FALSE) = "", "", VLOOKUP(AO46103, Ellens_additions!$A$2:$B$252, 2, FALSE)), 0), AP46103)</f>
        <v>0</v>
      </c>
    </row>
    <row r="46104" spans="1:43" ht="14.4" hidden="1" x14ac:dyDescent="0.3">
      <c r="A46104" t="s">
        <v>5691</v>
      </c>
      <c r="B46104">
        <v>4924134</v>
      </c>
      <c r="C46104" t="s">
        <v>424</v>
      </c>
      <c r="D46104" t="s">
        <v>428</v>
      </c>
      <c r="E46104" t="s">
        <v>750</v>
      </c>
      <c r="F46104" t="s">
        <v>620</v>
      </c>
      <c r="H46104" t="s">
        <v>5692</v>
      </c>
      <c r="J46104" t="s">
        <v>140</v>
      </c>
      <c r="K46104">
        <v>162495.87</v>
      </c>
      <c r="L46104">
        <v>388624.56</v>
      </c>
      <c r="N46104" t="s">
        <v>1494</v>
      </c>
      <c r="O46104" t="s">
        <v>1568</v>
      </c>
      <c r="P46104" t="s">
        <v>785</v>
      </c>
      <c r="Q46104" t="s">
        <v>144</v>
      </c>
      <c r="S46104">
        <v>0</v>
      </c>
      <c r="T46104">
        <v>0</v>
      </c>
      <c r="V46104" t="s">
        <v>146</v>
      </c>
      <c r="W46104" t="s">
        <v>184</v>
      </c>
      <c r="Y46104" t="s">
        <v>1569</v>
      </c>
      <c r="Z46104" t="s">
        <v>1568</v>
      </c>
      <c r="AA46104" t="s">
        <v>936</v>
      </c>
      <c r="AB46104">
        <v>0</v>
      </c>
      <c r="AE46104" t="s">
        <v>1496</v>
      </c>
      <c r="AF46104" t="s">
        <v>1568</v>
      </c>
      <c r="AG46104" t="s">
        <v>1570</v>
      </c>
      <c r="AL46104" t="s">
        <v>5693</v>
      </c>
      <c r="AM46104" t="s">
        <v>5694</v>
      </c>
      <c r="AN46104" t="s">
        <v>5695</v>
      </c>
      <c r="AO46104" t="s">
        <v>1494</v>
      </c>
      <c r="AQ46104">
        <f>IF(ISBLANK(AP46104), IFERROR(IF(VLOOKUP(AO46104, Ellens_additions!$A$2:$B$252, 2, FALSE) = "", "", VLOOKUP(AO46104, Ellens_additions!$A$2:$B$252, 2, FALSE)), 0), AP46104)</f>
        <v>0</v>
      </c>
    </row>
    <row r="46105" spans="1:43" ht="14.4" hidden="1" x14ac:dyDescent="0.3">
      <c r="A46105" t="s">
        <v>5696</v>
      </c>
      <c r="B46105">
        <v>4924138</v>
      </c>
      <c r="C46105" t="s">
        <v>424</v>
      </c>
      <c r="D46105" t="s">
        <v>428</v>
      </c>
      <c r="E46105" t="s">
        <v>619</v>
      </c>
      <c r="F46105" t="s">
        <v>620</v>
      </c>
      <c r="H46105" t="s">
        <v>5697</v>
      </c>
      <c r="J46105" t="s">
        <v>140</v>
      </c>
      <c r="K46105">
        <v>162489.75</v>
      </c>
      <c r="L46105">
        <v>388636.42</v>
      </c>
      <c r="N46105" t="s">
        <v>1494</v>
      </c>
      <c r="O46105" t="s">
        <v>1568</v>
      </c>
      <c r="P46105" t="s">
        <v>785</v>
      </c>
      <c r="Q46105" t="s">
        <v>144</v>
      </c>
      <c r="S46105">
        <v>0</v>
      </c>
      <c r="T46105">
        <v>0</v>
      </c>
      <c r="V46105" t="s">
        <v>146</v>
      </c>
      <c r="W46105" t="s">
        <v>184</v>
      </c>
      <c r="Y46105" t="s">
        <v>1569</v>
      </c>
      <c r="Z46105" t="s">
        <v>1568</v>
      </c>
      <c r="AA46105" t="s">
        <v>936</v>
      </c>
      <c r="AB46105">
        <v>0</v>
      </c>
      <c r="AE46105" t="s">
        <v>1496</v>
      </c>
      <c r="AF46105" t="s">
        <v>1568</v>
      </c>
      <c r="AG46105" t="s">
        <v>1570</v>
      </c>
      <c r="AL46105" t="s">
        <v>5698</v>
      </c>
      <c r="AM46105" t="s">
        <v>5699</v>
      </c>
      <c r="AN46105" t="s">
        <v>5700</v>
      </c>
      <c r="AO46105" t="s">
        <v>1494</v>
      </c>
      <c r="AQ46105">
        <f>IF(ISBLANK(AP46105), IFERROR(IF(VLOOKUP(AO46105, Ellens_additions!$A$2:$B$252, 2, FALSE) = "", "", VLOOKUP(AO46105, Ellens_additions!$A$2:$B$252, 2, FALSE)), 0), AP46105)</f>
        <v>0</v>
      </c>
    </row>
    <row r="46106" spans="1:43" ht="14.4" hidden="1" x14ac:dyDescent="0.3">
      <c r="A46106" t="s">
        <v>5701</v>
      </c>
      <c r="B46106">
        <v>4924140</v>
      </c>
      <c r="C46106" t="s">
        <v>424</v>
      </c>
      <c r="D46106" t="s">
        <v>428</v>
      </c>
      <c r="E46106" t="s">
        <v>750</v>
      </c>
      <c r="F46106" t="s">
        <v>620</v>
      </c>
      <c r="H46106" t="s">
        <v>5702</v>
      </c>
      <c r="J46106" t="s">
        <v>140</v>
      </c>
      <c r="K46106">
        <v>162530.35</v>
      </c>
      <c r="L46106">
        <v>388623.82</v>
      </c>
      <c r="N46106" t="s">
        <v>1494</v>
      </c>
      <c r="O46106" t="s">
        <v>1568</v>
      </c>
      <c r="P46106" t="s">
        <v>785</v>
      </c>
      <c r="Q46106" t="s">
        <v>144</v>
      </c>
      <c r="S46106">
        <v>0</v>
      </c>
      <c r="T46106">
        <v>0</v>
      </c>
      <c r="V46106" t="s">
        <v>146</v>
      </c>
      <c r="W46106" t="s">
        <v>184</v>
      </c>
      <c r="Y46106" t="s">
        <v>1569</v>
      </c>
      <c r="Z46106" t="s">
        <v>1568</v>
      </c>
      <c r="AA46106" t="s">
        <v>936</v>
      </c>
      <c r="AB46106">
        <v>0</v>
      </c>
      <c r="AE46106" t="s">
        <v>1496</v>
      </c>
      <c r="AF46106" t="s">
        <v>1568</v>
      </c>
      <c r="AG46106" t="s">
        <v>1570</v>
      </c>
      <c r="AL46106" t="s">
        <v>5703</v>
      </c>
      <c r="AM46106" t="s">
        <v>5704</v>
      </c>
      <c r="AN46106" t="s">
        <v>5705</v>
      </c>
      <c r="AO46106" t="s">
        <v>1494</v>
      </c>
      <c r="AQ46106">
        <f>IF(ISBLANK(AP46106), IFERROR(IF(VLOOKUP(AO46106, Ellens_additions!$A$2:$B$252, 2, FALSE) = "", "", VLOOKUP(AO46106, Ellens_additions!$A$2:$B$252, 2, FALSE)), 0), AP46106)</f>
        <v>0</v>
      </c>
    </row>
    <row r="46107" spans="1:43" ht="14.4" hidden="1" x14ac:dyDescent="0.3">
      <c r="A46107" t="s">
        <v>5706</v>
      </c>
      <c r="B46107">
        <v>4924148</v>
      </c>
      <c r="C46107" t="s">
        <v>424</v>
      </c>
      <c r="D46107" t="s">
        <v>428</v>
      </c>
      <c r="E46107" t="s">
        <v>619</v>
      </c>
      <c r="F46107" t="s">
        <v>620</v>
      </c>
      <c r="H46107" t="s">
        <v>5707</v>
      </c>
      <c r="J46107" t="s">
        <v>140</v>
      </c>
      <c r="K46107">
        <v>162492.28</v>
      </c>
      <c r="L46107">
        <v>388652.11</v>
      </c>
      <c r="N46107" t="s">
        <v>1494</v>
      </c>
      <c r="O46107" t="s">
        <v>1568</v>
      </c>
      <c r="P46107" t="s">
        <v>785</v>
      </c>
      <c r="Q46107" t="s">
        <v>144</v>
      </c>
      <c r="S46107">
        <v>0</v>
      </c>
      <c r="T46107">
        <v>0</v>
      </c>
      <c r="V46107" t="s">
        <v>146</v>
      </c>
      <c r="W46107" t="s">
        <v>184</v>
      </c>
      <c r="Y46107" t="s">
        <v>1569</v>
      </c>
      <c r="Z46107" t="s">
        <v>1568</v>
      </c>
      <c r="AA46107" t="s">
        <v>936</v>
      </c>
      <c r="AB46107">
        <v>0</v>
      </c>
      <c r="AE46107" t="s">
        <v>1496</v>
      </c>
      <c r="AF46107" t="s">
        <v>1568</v>
      </c>
      <c r="AG46107" t="s">
        <v>1570</v>
      </c>
      <c r="AL46107" t="s">
        <v>5708</v>
      </c>
      <c r="AM46107" t="s">
        <v>5709</v>
      </c>
      <c r="AN46107" t="s">
        <v>5710</v>
      </c>
      <c r="AO46107" t="s">
        <v>1494</v>
      </c>
      <c r="AQ46107">
        <f>IF(ISBLANK(AP46107), IFERROR(IF(VLOOKUP(AO46107, Ellens_additions!$A$2:$B$252, 2, FALSE) = "", "", VLOOKUP(AO46107, Ellens_additions!$A$2:$B$252, 2, FALSE)), 0), AP46107)</f>
        <v>0</v>
      </c>
    </row>
    <row r="46108" spans="1:43" ht="14.4" hidden="1" x14ac:dyDescent="0.3">
      <c r="A46108" t="s">
        <v>5711</v>
      </c>
      <c r="B46108">
        <v>4924152</v>
      </c>
      <c r="C46108" t="s">
        <v>424</v>
      </c>
      <c r="D46108" t="s">
        <v>428</v>
      </c>
      <c r="E46108" t="s">
        <v>755</v>
      </c>
      <c r="F46108" t="s">
        <v>620</v>
      </c>
      <c r="H46108" t="s">
        <v>5712</v>
      </c>
      <c r="J46108" t="s">
        <v>140</v>
      </c>
      <c r="K46108">
        <v>162535.62</v>
      </c>
      <c r="L46108">
        <v>388649.93</v>
      </c>
      <c r="N46108" t="s">
        <v>1494</v>
      </c>
      <c r="O46108" t="s">
        <v>1568</v>
      </c>
      <c r="P46108" t="s">
        <v>785</v>
      </c>
      <c r="Q46108" t="s">
        <v>144</v>
      </c>
      <c r="S46108">
        <v>0</v>
      </c>
      <c r="T46108">
        <v>0</v>
      </c>
      <c r="V46108" t="s">
        <v>146</v>
      </c>
      <c r="W46108" t="s">
        <v>184</v>
      </c>
      <c r="Y46108" t="s">
        <v>1569</v>
      </c>
      <c r="Z46108" t="s">
        <v>1568</v>
      </c>
      <c r="AA46108" t="s">
        <v>936</v>
      </c>
      <c r="AB46108">
        <v>0</v>
      </c>
      <c r="AE46108" t="s">
        <v>1496</v>
      </c>
      <c r="AF46108" t="s">
        <v>1568</v>
      </c>
      <c r="AG46108" t="s">
        <v>1570</v>
      </c>
      <c r="AL46108" t="s">
        <v>5713</v>
      </c>
      <c r="AM46108" t="s">
        <v>5714</v>
      </c>
      <c r="AN46108" t="s">
        <v>5715</v>
      </c>
      <c r="AO46108" t="s">
        <v>1494</v>
      </c>
      <c r="AQ46108">
        <f>IF(ISBLANK(AP46108), IFERROR(IF(VLOOKUP(AO46108, Ellens_additions!$A$2:$B$252, 2, FALSE) = "", "", VLOOKUP(AO46108, Ellens_additions!$A$2:$B$252, 2, FALSE)), 0), AP46108)</f>
        <v>0</v>
      </c>
    </row>
    <row r="46109" spans="1:43" ht="14.4" hidden="1" x14ac:dyDescent="0.3">
      <c r="A46109" t="s">
        <v>5716</v>
      </c>
      <c r="B46109">
        <v>4924153</v>
      </c>
      <c r="C46109" t="s">
        <v>424</v>
      </c>
      <c r="D46109" t="s">
        <v>428</v>
      </c>
      <c r="E46109" t="s">
        <v>755</v>
      </c>
      <c r="F46109" t="s">
        <v>620</v>
      </c>
      <c r="H46109" t="s">
        <v>5717</v>
      </c>
      <c r="J46109" t="s">
        <v>140</v>
      </c>
      <c r="K46109">
        <v>162533.92000000001</v>
      </c>
      <c r="L46109">
        <v>388653.36</v>
      </c>
      <c r="N46109" t="s">
        <v>1494</v>
      </c>
      <c r="O46109" t="s">
        <v>1568</v>
      </c>
      <c r="P46109" t="s">
        <v>785</v>
      </c>
      <c r="Q46109" t="s">
        <v>144</v>
      </c>
      <c r="S46109">
        <v>0</v>
      </c>
      <c r="T46109">
        <v>0</v>
      </c>
      <c r="V46109" t="s">
        <v>146</v>
      </c>
      <c r="W46109" t="s">
        <v>184</v>
      </c>
      <c r="Y46109" t="s">
        <v>1569</v>
      </c>
      <c r="Z46109" t="s">
        <v>1568</v>
      </c>
      <c r="AA46109" t="s">
        <v>936</v>
      </c>
      <c r="AB46109">
        <v>0</v>
      </c>
      <c r="AE46109" t="s">
        <v>1496</v>
      </c>
      <c r="AF46109" t="s">
        <v>1568</v>
      </c>
      <c r="AG46109" t="s">
        <v>1570</v>
      </c>
      <c r="AL46109" t="s">
        <v>5718</v>
      </c>
      <c r="AM46109" t="s">
        <v>5719</v>
      </c>
      <c r="AN46109" t="s">
        <v>5720</v>
      </c>
      <c r="AO46109" t="s">
        <v>1494</v>
      </c>
      <c r="AQ46109">
        <f>IF(ISBLANK(AP46109), IFERROR(IF(VLOOKUP(AO46109, Ellens_additions!$A$2:$B$252, 2, FALSE) = "", "", VLOOKUP(AO46109, Ellens_additions!$A$2:$B$252, 2, FALSE)), 0), AP46109)</f>
        <v>0</v>
      </c>
    </row>
    <row r="46110" spans="1:43" ht="14.4" hidden="1" x14ac:dyDescent="0.3">
      <c r="A46110" t="s">
        <v>5721</v>
      </c>
      <c r="B46110">
        <v>4924155</v>
      </c>
      <c r="C46110" t="s">
        <v>424</v>
      </c>
      <c r="D46110" t="s">
        <v>428</v>
      </c>
      <c r="E46110" t="s">
        <v>755</v>
      </c>
      <c r="F46110" t="s">
        <v>620</v>
      </c>
      <c r="H46110" t="s">
        <v>5722</v>
      </c>
      <c r="J46110" t="s">
        <v>140</v>
      </c>
      <c r="K46110">
        <v>162528.75</v>
      </c>
      <c r="L46110">
        <v>388659.34</v>
      </c>
      <c r="N46110" t="s">
        <v>1494</v>
      </c>
      <c r="O46110" t="s">
        <v>1568</v>
      </c>
      <c r="P46110" t="s">
        <v>785</v>
      </c>
      <c r="Q46110" t="s">
        <v>144</v>
      </c>
      <c r="S46110">
        <v>0</v>
      </c>
      <c r="T46110">
        <v>0</v>
      </c>
      <c r="V46110" t="s">
        <v>146</v>
      </c>
      <c r="W46110" t="s">
        <v>184</v>
      </c>
      <c r="Y46110" t="s">
        <v>1569</v>
      </c>
      <c r="Z46110" t="s">
        <v>1568</v>
      </c>
      <c r="AA46110" t="s">
        <v>936</v>
      </c>
      <c r="AB46110">
        <v>0</v>
      </c>
      <c r="AE46110" t="s">
        <v>1496</v>
      </c>
      <c r="AF46110" t="s">
        <v>1568</v>
      </c>
      <c r="AG46110" t="s">
        <v>1570</v>
      </c>
      <c r="AL46110" t="s">
        <v>5723</v>
      </c>
      <c r="AM46110" t="s">
        <v>5724</v>
      </c>
      <c r="AN46110" t="s">
        <v>5725</v>
      </c>
      <c r="AO46110" t="s">
        <v>1494</v>
      </c>
      <c r="AQ46110">
        <f>IF(ISBLANK(AP46110), IFERROR(IF(VLOOKUP(AO46110, Ellens_additions!$A$2:$B$252, 2, FALSE) = "", "", VLOOKUP(AO46110, Ellens_additions!$A$2:$B$252, 2, FALSE)), 0), AP46110)</f>
        <v>0</v>
      </c>
    </row>
    <row r="46111" spans="1:43" ht="14.4" x14ac:dyDescent="0.3"/>
    <row r="46112" spans="1:43" ht="14.4" x14ac:dyDescent="0.3"/>
    <row r="46113" ht="14.4" x14ac:dyDescent="0.3"/>
    <row r="46114" ht="14.4" x14ac:dyDescent="0.3"/>
    <row r="46115" ht="14.4" x14ac:dyDescent="0.3"/>
    <row r="46116" ht="14.4" x14ac:dyDescent="0.3"/>
    <row r="46117" ht="14.4" x14ac:dyDescent="0.3"/>
    <row r="46118" ht="14.4" x14ac:dyDescent="0.3"/>
    <row r="46119" ht="14.4" x14ac:dyDescent="0.3"/>
    <row r="46120" ht="14.4" x14ac:dyDescent="0.3"/>
    <row r="46121" ht="14.4" x14ac:dyDescent="0.3"/>
    <row r="46122" ht="14.4" x14ac:dyDescent="0.3"/>
    <row r="46123" ht="14.4" x14ac:dyDescent="0.3"/>
    <row r="46124" ht="14.4" x14ac:dyDescent="0.3"/>
    <row r="46125" ht="14.4" x14ac:dyDescent="0.3"/>
    <row r="46126" ht="14.4" x14ac:dyDescent="0.3"/>
    <row r="46127" ht="14.4" x14ac:dyDescent="0.3"/>
    <row r="46128" ht="14.4" x14ac:dyDescent="0.3"/>
    <row r="46129" ht="14.4" x14ac:dyDescent="0.3"/>
    <row r="46130" ht="14.4" x14ac:dyDescent="0.3"/>
    <row r="46131" ht="14.4" x14ac:dyDescent="0.3"/>
    <row r="46132" ht="14.4" x14ac:dyDescent="0.3"/>
    <row r="46133" ht="14.4" x14ac:dyDescent="0.3"/>
    <row r="46134" ht="14.4" x14ac:dyDescent="0.3"/>
    <row r="46135" ht="14.4" x14ac:dyDescent="0.3"/>
    <row r="46136" ht="14.4" x14ac:dyDescent="0.3"/>
    <row r="46137" ht="14.4" x14ac:dyDescent="0.3"/>
    <row r="46138" ht="14.4" x14ac:dyDescent="0.3"/>
    <row r="46139" ht="14.4" x14ac:dyDescent="0.3"/>
    <row r="46140" ht="14.4" x14ac:dyDescent="0.3"/>
    <row r="46141" ht="14.4" x14ac:dyDescent="0.3"/>
    <row r="46142" ht="14.4" x14ac:dyDescent="0.3"/>
    <row r="46143" ht="14.4" x14ac:dyDescent="0.3"/>
    <row r="46144" ht="14.4" x14ac:dyDescent="0.3"/>
    <row r="46145" ht="14.4" x14ac:dyDescent="0.3"/>
    <row r="46146" ht="14.4" x14ac:dyDescent="0.3"/>
    <row r="46147" ht="14.4" x14ac:dyDescent="0.3"/>
    <row r="46148" ht="14.4" x14ac:dyDescent="0.3"/>
    <row r="46149" ht="14.4" x14ac:dyDescent="0.3"/>
    <row r="46150" ht="14.4" x14ac:dyDescent="0.3"/>
    <row r="46151" ht="14.4" x14ac:dyDescent="0.3"/>
    <row r="46152" ht="14.4" x14ac:dyDescent="0.3"/>
    <row r="46153" ht="14.4" x14ac:dyDescent="0.3"/>
    <row r="46154" ht="14.4" x14ac:dyDescent="0.3"/>
    <row r="46155" ht="14.4" x14ac:dyDescent="0.3"/>
    <row r="46156" ht="14.4" x14ac:dyDescent="0.3"/>
    <row r="46157" ht="14.4" x14ac:dyDescent="0.3"/>
    <row r="46158" ht="14.4" x14ac:dyDescent="0.3"/>
    <row r="46159" ht="14.4" x14ac:dyDescent="0.3"/>
    <row r="46160" ht="14.4" x14ac:dyDescent="0.3"/>
    <row r="46161" spans="1:43" ht="14.4" x14ac:dyDescent="0.3"/>
    <row r="46162" spans="1:43" ht="14.4" x14ac:dyDescent="0.3"/>
    <row r="46163" spans="1:43" ht="14.4" x14ac:dyDescent="0.3"/>
    <row r="46164" spans="1:43" ht="14.4" x14ac:dyDescent="0.3"/>
    <row r="46165" spans="1:43" ht="14.4" x14ac:dyDescent="0.3"/>
    <row r="46166" spans="1:43" ht="14.4" x14ac:dyDescent="0.3"/>
    <row r="46167" spans="1:43" ht="14.4" x14ac:dyDescent="0.3"/>
    <row r="46168" spans="1:43" ht="14.4" x14ac:dyDescent="0.3"/>
    <row r="46169" spans="1:43" ht="14.4" x14ac:dyDescent="0.3"/>
    <row r="46170" spans="1:43" ht="14.4" x14ac:dyDescent="0.3"/>
    <row r="46171" spans="1:43" ht="14.4" x14ac:dyDescent="0.3"/>
    <row r="46172" spans="1:43" ht="14.4" x14ac:dyDescent="0.3"/>
    <row r="46173" spans="1:43" ht="14.4" x14ac:dyDescent="0.3"/>
    <row r="46174" spans="1:43" ht="14.4" x14ac:dyDescent="0.3"/>
    <row r="46175" spans="1:43" ht="14.4" hidden="1" x14ac:dyDescent="0.3">
      <c r="A46175" t="s">
        <v>5726</v>
      </c>
      <c r="B46175">
        <v>4924350</v>
      </c>
      <c r="C46175" t="s">
        <v>424</v>
      </c>
      <c r="D46175" t="s">
        <v>425</v>
      </c>
      <c r="E46175" t="s">
        <v>436</v>
      </c>
      <c r="F46175" t="s">
        <v>775</v>
      </c>
      <c r="H46175" t="s">
        <v>5727</v>
      </c>
      <c r="J46175" t="s">
        <v>140</v>
      </c>
      <c r="K46175">
        <v>159895.46</v>
      </c>
      <c r="L46175">
        <v>387425.97</v>
      </c>
      <c r="M46175">
        <v>1</v>
      </c>
      <c r="N46175" t="s">
        <v>1631</v>
      </c>
      <c r="O46175" t="s">
        <v>548</v>
      </c>
      <c r="P46175" t="s">
        <v>709</v>
      </c>
      <c r="Q46175" t="s">
        <v>144</v>
      </c>
      <c r="R46175" t="s">
        <v>145</v>
      </c>
      <c r="S46175">
        <v>9.8000000000000007</v>
      </c>
      <c r="T46175">
        <v>1200</v>
      </c>
      <c r="V46175" t="s">
        <v>146</v>
      </c>
      <c r="W46175" t="s">
        <v>147</v>
      </c>
      <c r="X46175" t="s">
        <v>7</v>
      </c>
      <c r="Y46175" t="s">
        <v>815</v>
      </c>
      <c r="Z46175" t="s">
        <v>548</v>
      </c>
      <c r="AA46175" t="s">
        <v>710</v>
      </c>
      <c r="AB46175">
        <v>0</v>
      </c>
      <c r="AE46175" t="s">
        <v>763</v>
      </c>
      <c r="AF46175" t="s">
        <v>548</v>
      </c>
      <c r="AG46175" t="s">
        <v>1632</v>
      </c>
      <c r="AL46175" t="s">
        <v>5728</v>
      </c>
      <c r="AM46175" t="s">
        <v>5729</v>
      </c>
      <c r="AN46175" t="s">
        <v>5730</v>
      </c>
      <c r="AO46175" t="s">
        <v>1631</v>
      </c>
      <c r="AQ46175" t="str">
        <f>IF(ISBLANK(AP46175), IFERROR(IF(VLOOKUP(AO46175, Ellens_additions!$A$2:$B$252, 2, FALSE) = "", "", VLOOKUP(AO46175, Ellens_additions!$A$2:$B$252, 2, FALSE)), 0), AP46175)</f>
        <v/>
      </c>
    </row>
    <row r="46176" spans="1:43" ht="14.4" hidden="1" x14ac:dyDescent="0.3">
      <c r="A46176" t="s">
        <v>5731</v>
      </c>
      <c r="B46176">
        <v>4924354</v>
      </c>
      <c r="C46176" t="s">
        <v>424</v>
      </c>
      <c r="D46176" t="s">
        <v>425</v>
      </c>
      <c r="E46176" t="s">
        <v>436</v>
      </c>
      <c r="F46176" t="s">
        <v>775</v>
      </c>
      <c r="H46176" t="s">
        <v>5732</v>
      </c>
      <c r="J46176" t="s">
        <v>140</v>
      </c>
      <c r="K46176">
        <v>159878.9</v>
      </c>
      <c r="L46176">
        <v>387443.52</v>
      </c>
      <c r="M46176">
        <v>1</v>
      </c>
      <c r="N46176" t="s">
        <v>1631</v>
      </c>
      <c r="O46176" t="s">
        <v>548</v>
      </c>
      <c r="P46176" t="s">
        <v>709</v>
      </c>
      <c r="Q46176" t="s">
        <v>144</v>
      </c>
      <c r="R46176" t="s">
        <v>145</v>
      </c>
      <c r="S46176">
        <v>9.8000000000000007</v>
      </c>
      <c r="T46176">
        <v>1200</v>
      </c>
      <c r="V46176" t="s">
        <v>146</v>
      </c>
      <c r="W46176" t="s">
        <v>147</v>
      </c>
      <c r="X46176" t="s">
        <v>7</v>
      </c>
      <c r="Y46176" t="s">
        <v>815</v>
      </c>
      <c r="Z46176" t="s">
        <v>548</v>
      </c>
      <c r="AA46176" t="s">
        <v>710</v>
      </c>
      <c r="AB46176">
        <v>0</v>
      </c>
      <c r="AE46176" t="s">
        <v>763</v>
      </c>
      <c r="AF46176" t="s">
        <v>548</v>
      </c>
      <c r="AG46176" t="s">
        <v>1632</v>
      </c>
      <c r="AL46176" t="s">
        <v>5733</v>
      </c>
      <c r="AM46176" t="s">
        <v>5734</v>
      </c>
      <c r="AN46176" t="s">
        <v>5735</v>
      </c>
      <c r="AO46176" t="s">
        <v>1631</v>
      </c>
      <c r="AQ46176" t="str">
        <f>IF(ISBLANK(AP46176), IFERROR(IF(VLOOKUP(AO46176, Ellens_additions!$A$2:$B$252, 2, FALSE) = "", "", VLOOKUP(AO46176, Ellens_additions!$A$2:$B$252, 2, FALSE)), 0), AP46176)</f>
        <v/>
      </c>
    </row>
    <row r="46177" spans="1:43" ht="14.4" hidden="1" x14ac:dyDescent="0.3">
      <c r="A46177" t="s">
        <v>5736</v>
      </c>
      <c r="B46177">
        <v>4924358</v>
      </c>
      <c r="C46177" t="s">
        <v>424</v>
      </c>
      <c r="D46177" t="s">
        <v>425</v>
      </c>
      <c r="E46177" t="s">
        <v>436</v>
      </c>
      <c r="F46177" t="s">
        <v>775</v>
      </c>
      <c r="H46177" t="s">
        <v>5737</v>
      </c>
      <c r="J46177" t="s">
        <v>140</v>
      </c>
      <c r="K46177">
        <v>159867.85999999999</v>
      </c>
      <c r="L46177">
        <v>387454.53</v>
      </c>
      <c r="M46177">
        <v>1</v>
      </c>
      <c r="N46177" t="s">
        <v>1631</v>
      </c>
      <c r="O46177" t="s">
        <v>548</v>
      </c>
      <c r="P46177" t="s">
        <v>709</v>
      </c>
      <c r="Q46177" t="s">
        <v>144</v>
      </c>
      <c r="R46177" t="s">
        <v>145</v>
      </c>
      <c r="S46177">
        <v>9.8000000000000007</v>
      </c>
      <c r="T46177">
        <v>1200</v>
      </c>
      <c r="V46177" t="s">
        <v>146</v>
      </c>
      <c r="W46177" t="s">
        <v>147</v>
      </c>
      <c r="X46177" t="s">
        <v>7</v>
      </c>
      <c r="Y46177" t="s">
        <v>815</v>
      </c>
      <c r="Z46177" t="s">
        <v>548</v>
      </c>
      <c r="AA46177" t="s">
        <v>710</v>
      </c>
      <c r="AB46177">
        <v>0</v>
      </c>
      <c r="AE46177" t="s">
        <v>763</v>
      </c>
      <c r="AF46177" t="s">
        <v>548</v>
      </c>
      <c r="AG46177" t="s">
        <v>1632</v>
      </c>
      <c r="AL46177" t="s">
        <v>5738</v>
      </c>
      <c r="AM46177" t="s">
        <v>5739</v>
      </c>
      <c r="AN46177" t="s">
        <v>5740</v>
      </c>
      <c r="AO46177" t="s">
        <v>1631</v>
      </c>
      <c r="AQ46177" t="str">
        <f>IF(ISBLANK(AP46177), IFERROR(IF(VLOOKUP(AO46177, Ellens_additions!$A$2:$B$252, 2, FALSE) = "", "", VLOOKUP(AO46177, Ellens_additions!$A$2:$B$252, 2, FALSE)), 0), AP46177)</f>
        <v/>
      </c>
    </row>
    <row r="46178" spans="1:43" ht="14.4" hidden="1" x14ac:dyDescent="0.3">
      <c r="A46178" t="s">
        <v>5741</v>
      </c>
      <c r="B46178">
        <v>4924362</v>
      </c>
      <c r="C46178" t="s">
        <v>424</v>
      </c>
      <c r="D46178" t="s">
        <v>425</v>
      </c>
      <c r="E46178" t="s">
        <v>436</v>
      </c>
      <c r="F46178" t="s">
        <v>775</v>
      </c>
      <c r="H46178" t="s">
        <v>5742</v>
      </c>
      <c r="J46178" t="s">
        <v>140</v>
      </c>
      <c r="K46178">
        <v>159808.81</v>
      </c>
      <c r="L46178">
        <v>387493.72</v>
      </c>
      <c r="M46178">
        <v>1</v>
      </c>
      <c r="N46178" t="s">
        <v>1631</v>
      </c>
      <c r="O46178" t="s">
        <v>548</v>
      </c>
      <c r="P46178" t="s">
        <v>709</v>
      </c>
      <c r="Q46178" t="s">
        <v>144</v>
      </c>
      <c r="R46178" t="s">
        <v>145</v>
      </c>
      <c r="S46178">
        <v>9.8000000000000007</v>
      </c>
      <c r="T46178">
        <v>1200</v>
      </c>
      <c r="V46178" t="s">
        <v>146</v>
      </c>
      <c r="W46178" t="s">
        <v>147</v>
      </c>
      <c r="X46178" t="s">
        <v>7</v>
      </c>
      <c r="Y46178" t="s">
        <v>815</v>
      </c>
      <c r="Z46178" t="s">
        <v>548</v>
      </c>
      <c r="AA46178" t="s">
        <v>710</v>
      </c>
      <c r="AB46178">
        <v>0</v>
      </c>
      <c r="AE46178" t="s">
        <v>1366</v>
      </c>
      <c r="AF46178" t="s">
        <v>548</v>
      </c>
      <c r="AG46178" t="s">
        <v>711</v>
      </c>
      <c r="AL46178" t="s">
        <v>5743</v>
      </c>
      <c r="AM46178" t="s">
        <v>5744</v>
      </c>
      <c r="AN46178" t="s">
        <v>5745</v>
      </c>
      <c r="AO46178" t="s">
        <v>1631</v>
      </c>
      <c r="AQ46178" t="str">
        <f>IF(ISBLANK(AP46178), IFERROR(IF(VLOOKUP(AO46178, Ellens_additions!$A$2:$B$252, 2, FALSE) = "", "", VLOOKUP(AO46178, Ellens_additions!$A$2:$B$252, 2, FALSE)), 0), AP46178)</f>
        <v/>
      </c>
    </row>
    <row r="46179" spans="1:43" ht="14.4" hidden="1" x14ac:dyDescent="0.3">
      <c r="A46179" t="s">
        <v>5746</v>
      </c>
      <c r="B46179">
        <v>4924366</v>
      </c>
      <c r="C46179" t="s">
        <v>424</v>
      </c>
      <c r="D46179" t="s">
        <v>425</v>
      </c>
      <c r="E46179" t="s">
        <v>436</v>
      </c>
      <c r="F46179" t="s">
        <v>775</v>
      </c>
      <c r="H46179" t="s">
        <v>5747</v>
      </c>
      <c r="J46179" t="s">
        <v>140</v>
      </c>
      <c r="K46179">
        <v>159805.04</v>
      </c>
      <c r="L46179">
        <v>387509.18</v>
      </c>
      <c r="M46179">
        <v>1</v>
      </c>
      <c r="N46179" t="s">
        <v>1631</v>
      </c>
      <c r="O46179" t="s">
        <v>548</v>
      </c>
      <c r="P46179" t="s">
        <v>709</v>
      </c>
      <c r="Q46179" t="s">
        <v>144</v>
      </c>
      <c r="R46179" t="s">
        <v>145</v>
      </c>
      <c r="S46179">
        <v>9.8000000000000007</v>
      </c>
      <c r="T46179">
        <v>1200</v>
      </c>
      <c r="V46179" t="s">
        <v>146</v>
      </c>
      <c r="W46179" t="s">
        <v>147</v>
      </c>
      <c r="X46179" t="s">
        <v>7</v>
      </c>
      <c r="Y46179" t="s">
        <v>815</v>
      </c>
      <c r="Z46179" t="s">
        <v>548</v>
      </c>
      <c r="AA46179" t="s">
        <v>710</v>
      </c>
      <c r="AB46179">
        <v>0</v>
      </c>
      <c r="AE46179" t="s">
        <v>1366</v>
      </c>
      <c r="AF46179" t="s">
        <v>548</v>
      </c>
      <c r="AG46179" t="s">
        <v>711</v>
      </c>
      <c r="AL46179" t="s">
        <v>5748</v>
      </c>
      <c r="AM46179" t="s">
        <v>5749</v>
      </c>
      <c r="AN46179" t="s">
        <v>5750</v>
      </c>
      <c r="AO46179" t="s">
        <v>1631</v>
      </c>
      <c r="AQ46179" t="str">
        <f>IF(ISBLANK(AP46179), IFERROR(IF(VLOOKUP(AO46179, Ellens_additions!$A$2:$B$252, 2, FALSE) = "", "", VLOOKUP(AO46179, Ellens_additions!$A$2:$B$252, 2, FALSE)), 0), AP46179)</f>
        <v/>
      </c>
    </row>
    <row r="46180" spans="1:43" ht="14.4" x14ac:dyDescent="0.3"/>
    <row r="46181" spans="1:43" ht="14.4" x14ac:dyDescent="0.3"/>
    <row r="46182" spans="1:43" ht="14.4" x14ac:dyDescent="0.3"/>
    <row r="46183" spans="1:43" ht="14.4" x14ac:dyDescent="0.3"/>
    <row r="46184" spans="1:43" ht="14.4" x14ac:dyDescent="0.3"/>
    <row r="46185" spans="1:43" ht="14.4" x14ac:dyDescent="0.3"/>
    <row r="46186" spans="1:43" ht="14.4" x14ac:dyDescent="0.3"/>
    <row r="46187" spans="1:43" ht="14.4" x14ac:dyDescent="0.3"/>
    <row r="46188" spans="1:43" ht="14.4" x14ac:dyDescent="0.3"/>
    <row r="46189" spans="1:43" ht="14.4" x14ac:dyDescent="0.3"/>
    <row r="46190" spans="1:43" ht="14.4" x14ac:dyDescent="0.3"/>
    <row r="46191" spans="1:43" ht="14.4" x14ac:dyDescent="0.3"/>
    <row r="46192" spans="1:43" ht="14.4" x14ac:dyDescent="0.3"/>
    <row r="46193" ht="14.4" x14ac:dyDescent="0.3"/>
    <row r="46194" ht="14.4" x14ac:dyDescent="0.3"/>
    <row r="46195" ht="14.4" x14ac:dyDescent="0.3"/>
    <row r="46196" ht="14.4" x14ac:dyDescent="0.3"/>
    <row r="46197" ht="14.4" x14ac:dyDescent="0.3"/>
    <row r="46198" ht="14.4" x14ac:dyDescent="0.3"/>
    <row r="46199" ht="14.4" x14ac:dyDescent="0.3"/>
    <row r="46200" ht="14.4" x14ac:dyDescent="0.3"/>
    <row r="46201" ht="14.4" x14ac:dyDescent="0.3"/>
    <row r="46202" ht="14.4" x14ac:dyDescent="0.3"/>
    <row r="46203" ht="14.4" x14ac:dyDescent="0.3"/>
    <row r="46204" ht="14.4" x14ac:dyDescent="0.3"/>
    <row r="46205" ht="14.4" x14ac:dyDescent="0.3"/>
    <row r="46206" ht="14.4" x14ac:dyDescent="0.3"/>
    <row r="46207" ht="14.4" x14ac:dyDescent="0.3"/>
    <row r="46208" ht="14.4" x14ac:dyDescent="0.3"/>
    <row r="46209" spans="1:43" ht="14.4" x14ac:dyDescent="0.3"/>
    <row r="46210" spans="1:43" ht="14.4" hidden="1" x14ac:dyDescent="0.3">
      <c r="A46210" t="s">
        <v>5751</v>
      </c>
      <c r="B46210">
        <v>4924442</v>
      </c>
      <c r="C46210" t="s">
        <v>424</v>
      </c>
      <c r="D46210" t="s">
        <v>425</v>
      </c>
      <c r="E46210" t="s">
        <v>436</v>
      </c>
      <c r="F46210" t="s">
        <v>776</v>
      </c>
      <c r="H46210" t="s">
        <v>5752</v>
      </c>
      <c r="J46210" t="s">
        <v>140</v>
      </c>
      <c r="K46210">
        <v>159565.22</v>
      </c>
      <c r="L46210">
        <v>387236.93</v>
      </c>
      <c r="M46210">
        <v>1</v>
      </c>
      <c r="N46210" t="s">
        <v>830</v>
      </c>
      <c r="O46210" t="s">
        <v>551</v>
      </c>
      <c r="P46210" t="s">
        <v>791</v>
      </c>
      <c r="Q46210" t="s">
        <v>264</v>
      </c>
      <c r="R46210" t="s">
        <v>145</v>
      </c>
      <c r="S46210">
        <v>24</v>
      </c>
      <c r="T46210">
        <v>1800</v>
      </c>
      <c r="V46210" t="s">
        <v>265</v>
      </c>
      <c r="W46210" t="s">
        <v>184</v>
      </c>
      <c r="X46210" t="s">
        <v>7</v>
      </c>
      <c r="Y46210" t="s">
        <v>3060</v>
      </c>
      <c r="Z46210" t="s">
        <v>566</v>
      </c>
      <c r="AA46210" t="s">
        <v>387</v>
      </c>
      <c r="AB46210">
        <v>0</v>
      </c>
      <c r="AE46210" t="s">
        <v>5427</v>
      </c>
      <c r="AF46210" t="s">
        <v>566</v>
      </c>
      <c r="AG46210" t="s">
        <v>1949</v>
      </c>
      <c r="AL46210" t="s">
        <v>5753</v>
      </c>
      <c r="AM46210" t="s">
        <v>5754</v>
      </c>
      <c r="AN46210" t="s">
        <v>5755</v>
      </c>
      <c r="AO46210" t="s">
        <v>830</v>
      </c>
      <c r="AQ46210">
        <f>IF(ISBLANK(AP46210), IFERROR(IF(VLOOKUP(AO46210, Ellens_additions!$A$2:$B$252, 2, FALSE) = "", "", VLOOKUP(AO46210, Ellens_additions!$A$2:$B$252, 2, FALSE)), 0), AP46210)</f>
        <v>3000</v>
      </c>
    </row>
    <row r="46211" spans="1:43" ht="14.4" hidden="1" x14ac:dyDescent="0.3">
      <c r="A46211" t="s">
        <v>5756</v>
      </c>
      <c r="B46211">
        <v>4924445</v>
      </c>
      <c r="C46211" t="s">
        <v>424</v>
      </c>
      <c r="D46211" t="s">
        <v>433</v>
      </c>
      <c r="E46211" t="s">
        <v>754</v>
      </c>
      <c r="F46211" t="s">
        <v>1676</v>
      </c>
      <c r="H46211" t="s">
        <v>557</v>
      </c>
      <c r="J46211" t="s">
        <v>140</v>
      </c>
      <c r="K46211">
        <v>161323.39000000001</v>
      </c>
      <c r="L46211">
        <v>389575.82</v>
      </c>
      <c r="N46211" t="s">
        <v>1677</v>
      </c>
      <c r="O46211" t="s">
        <v>551</v>
      </c>
      <c r="P46211" t="s">
        <v>2878</v>
      </c>
      <c r="Q46211" t="s">
        <v>144</v>
      </c>
      <c r="S46211">
        <v>17</v>
      </c>
      <c r="T46211">
        <v>1860</v>
      </c>
      <c r="V46211" t="s">
        <v>146</v>
      </c>
      <c r="W46211" t="s">
        <v>147</v>
      </c>
      <c r="Y46211" t="s">
        <v>1679</v>
      </c>
      <c r="Z46211" t="s">
        <v>551</v>
      </c>
      <c r="AA46211" t="s">
        <v>1680</v>
      </c>
      <c r="AB46211">
        <v>0</v>
      </c>
      <c r="AE46211" t="s">
        <v>1407</v>
      </c>
      <c r="AF46211" t="s">
        <v>551</v>
      </c>
      <c r="AG46211" t="s">
        <v>1681</v>
      </c>
      <c r="AL46211" t="s">
        <v>5757</v>
      </c>
      <c r="AM46211" t="s">
        <v>5758</v>
      </c>
      <c r="AN46211" t="s">
        <v>5759</v>
      </c>
      <c r="AO46211" t="s">
        <v>1677</v>
      </c>
      <c r="AQ46211" t="str">
        <f>IF(ISBLANK(AP46211), IFERROR(IF(VLOOKUP(AO46211, Ellens_additions!$A$2:$B$252, 2, FALSE) = "", "", VLOOKUP(AO46211, Ellens_additions!$A$2:$B$252, 2, FALSE)), 0), AP46211)</f>
        <v/>
      </c>
    </row>
    <row r="46212" spans="1:43" ht="14.4" hidden="1" x14ac:dyDescent="0.3">
      <c r="A46212" t="s">
        <v>5760</v>
      </c>
      <c r="B46212">
        <v>4924447</v>
      </c>
      <c r="C46212" t="s">
        <v>424</v>
      </c>
      <c r="D46212" t="s">
        <v>433</v>
      </c>
      <c r="E46212" t="s">
        <v>754</v>
      </c>
      <c r="F46212" t="s">
        <v>1676</v>
      </c>
      <c r="H46212" t="s">
        <v>350</v>
      </c>
      <c r="J46212" t="s">
        <v>140</v>
      </c>
      <c r="K46212">
        <v>161288.69</v>
      </c>
      <c r="L46212">
        <v>389576.42</v>
      </c>
      <c r="N46212" t="s">
        <v>1677</v>
      </c>
      <c r="O46212" t="s">
        <v>551</v>
      </c>
      <c r="P46212" t="s">
        <v>2878</v>
      </c>
      <c r="Q46212" t="s">
        <v>144</v>
      </c>
      <c r="S46212">
        <v>17</v>
      </c>
      <c r="T46212">
        <v>1860</v>
      </c>
      <c r="V46212" t="s">
        <v>146</v>
      </c>
      <c r="W46212" t="s">
        <v>147</v>
      </c>
      <c r="Y46212" t="s">
        <v>1679</v>
      </c>
      <c r="Z46212" t="s">
        <v>551</v>
      </c>
      <c r="AA46212" t="s">
        <v>1680</v>
      </c>
      <c r="AB46212">
        <v>0</v>
      </c>
      <c r="AE46212" t="s">
        <v>1407</v>
      </c>
      <c r="AF46212" t="s">
        <v>551</v>
      </c>
      <c r="AG46212" t="s">
        <v>1681</v>
      </c>
      <c r="AL46212" t="s">
        <v>5761</v>
      </c>
      <c r="AM46212" t="s">
        <v>5762</v>
      </c>
      <c r="AN46212" t="s">
        <v>5763</v>
      </c>
      <c r="AO46212" t="s">
        <v>1677</v>
      </c>
      <c r="AQ46212" t="str">
        <f>IF(ISBLANK(AP46212), IFERROR(IF(VLOOKUP(AO46212, Ellens_additions!$A$2:$B$252, 2, FALSE) = "", "", VLOOKUP(AO46212, Ellens_additions!$A$2:$B$252, 2, FALSE)), 0), AP46212)</f>
        <v/>
      </c>
    </row>
    <row r="46213" spans="1:43" ht="14.4" x14ac:dyDescent="0.3"/>
    <row r="46214" spans="1:43" ht="14.4" x14ac:dyDescent="0.3"/>
    <row r="46215" spans="1:43" ht="14.4" x14ac:dyDescent="0.3"/>
    <row r="46216" spans="1:43" ht="14.4" x14ac:dyDescent="0.3"/>
    <row r="46217" spans="1:43" ht="14.4" hidden="1" x14ac:dyDescent="0.3">
      <c r="A46217" t="s">
        <v>5764</v>
      </c>
      <c r="B46217">
        <v>4924455</v>
      </c>
      <c r="C46217" t="s">
        <v>424</v>
      </c>
      <c r="D46217" t="s">
        <v>433</v>
      </c>
      <c r="E46217" t="s">
        <v>754</v>
      </c>
      <c r="F46217" t="s">
        <v>1676</v>
      </c>
      <c r="H46217" t="s">
        <v>346</v>
      </c>
      <c r="J46217" t="s">
        <v>140</v>
      </c>
      <c r="K46217">
        <v>161280.65</v>
      </c>
      <c r="L46217">
        <v>389714.2</v>
      </c>
      <c r="N46217" t="s">
        <v>1677</v>
      </c>
      <c r="O46217" t="s">
        <v>458</v>
      </c>
      <c r="P46217" t="s">
        <v>5501</v>
      </c>
      <c r="Q46217" t="s">
        <v>144</v>
      </c>
      <c r="S46217">
        <v>13</v>
      </c>
      <c r="T46217">
        <v>1800</v>
      </c>
      <c r="V46217" t="s">
        <v>146</v>
      </c>
      <c r="W46217" t="s">
        <v>147</v>
      </c>
      <c r="Y46217" t="s">
        <v>1679</v>
      </c>
      <c r="Z46217" t="s">
        <v>458</v>
      </c>
      <c r="AA46217" t="s">
        <v>1950</v>
      </c>
      <c r="AB46217">
        <v>0</v>
      </c>
      <c r="AE46217" t="s">
        <v>1407</v>
      </c>
      <c r="AF46217" t="s">
        <v>458</v>
      </c>
      <c r="AG46217" t="s">
        <v>5765</v>
      </c>
      <c r="AL46217" t="s">
        <v>5766</v>
      </c>
      <c r="AM46217" t="s">
        <v>5767</v>
      </c>
      <c r="AN46217" t="s">
        <v>5768</v>
      </c>
      <c r="AO46217" t="s">
        <v>1677</v>
      </c>
      <c r="AQ46217" t="str">
        <f>IF(ISBLANK(AP46217), IFERROR(IF(VLOOKUP(AO46217, Ellens_additions!$A$2:$B$252, 2, FALSE) = "", "", VLOOKUP(AO46217, Ellens_additions!$A$2:$B$252, 2, FALSE)), 0), AP46217)</f>
        <v/>
      </c>
    </row>
    <row r="46218" spans="1:43" ht="14.4" hidden="1" x14ac:dyDescent="0.3">
      <c r="A46218" t="s">
        <v>5769</v>
      </c>
      <c r="B46218">
        <v>4924456</v>
      </c>
      <c r="C46218" t="s">
        <v>424</v>
      </c>
      <c r="D46218" t="s">
        <v>433</v>
      </c>
      <c r="E46218" t="s">
        <v>754</v>
      </c>
      <c r="F46218" t="s">
        <v>1676</v>
      </c>
      <c r="H46218" t="s">
        <v>268</v>
      </c>
      <c r="J46218" t="s">
        <v>140</v>
      </c>
      <c r="K46218">
        <v>161296.71</v>
      </c>
      <c r="L46218">
        <v>389703.3</v>
      </c>
      <c r="N46218" t="s">
        <v>1677</v>
      </c>
      <c r="O46218" t="s">
        <v>458</v>
      </c>
      <c r="P46218" t="s">
        <v>5501</v>
      </c>
      <c r="Q46218" t="s">
        <v>144</v>
      </c>
      <c r="S46218">
        <v>13</v>
      </c>
      <c r="T46218">
        <v>1800</v>
      </c>
      <c r="V46218" t="s">
        <v>146</v>
      </c>
      <c r="W46218" t="s">
        <v>147</v>
      </c>
      <c r="Y46218" t="s">
        <v>1679</v>
      </c>
      <c r="Z46218" t="s">
        <v>458</v>
      </c>
      <c r="AA46218" t="s">
        <v>1950</v>
      </c>
      <c r="AB46218">
        <v>0</v>
      </c>
      <c r="AE46218" t="s">
        <v>1407</v>
      </c>
      <c r="AF46218" t="s">
        <v>458</v>
      </c>
      <c r="AG46218" t="s">
        <v>5765</v>
      </c>
      <c r="AL46218" t="s">
        <v>5770</v>
      </c>
      <c r="AM46218" t="s">
        <v>5771</v>
      </c>
      <c r="AN46218" t="s">
        <v>5772</v>
      </c>
      <c r="AO46218" t="s">
        <v>1677</v>
      </c>
      <c r="AQ46218" t="str">
        <f>IF(ISBLANK(AP46218), IFERROR(IF(VLOOKUP(AO46218, Ellens_additions!$A$2:$B$252, 2, FALSE) = "", "", VLOOKUP(AO46218, Ellens_additions!$A$2:$B$252, 2, FALSE)), 0), AP46218)</f>
        <v/>
      </c>
    </row>
    <row r="46219" spans="1:43" ht="14.4" hidden="1" x14ac:dyDescent="0.3">
      <c r="A46219" t="s">
        <v>5773</v>
      </c>
      <c r="B46219">
        <v>4924459</v>
      </c>
      <c r="C46219" t="s">
        <v>424</v>
      </c>
      <c r="D46219" t="s">
        <v>433</v>
      </c>
      <c r="E46219" t="s">
        <v>754</v>
      </c>
      <c r="F46219" t="s">
        <v>1676</v>
      </c>
      <c r="H46219" t="s">
        <v>534</v>
      </c>
      <c r="J46219" t="s">
        <v>140</v>
      </c>
      <c r="K46219">
        <v>161334.37</v>
      </c>
      <c r="L46219">
        <v>389663.44</v>
      </c>
      <c r="N46219" t="s">
        <v>1677</v>
      </c>
      <c r="O46219" t="s">
        <v>530</v>
      </c>
      <c r="P46219" t="s">
        <v>1686</v>
      </c>
      <c r="Q46219" t="s">
        <v>144</v>
      </c>
      <c r="S46219">
        <v>13</v>
      </c>
      <c r="T46219">
        <v>1800</v>
      </c>
      <c r="V46219" t="s">
        <v>146</v>
      </c>
      <c r="W46219" t="s">
        <v>147</v>
      </c>
      <c r="Y46219" t="s">
        <v>1679</v>
      </c>
      <c r="Z46219" t="s">
        <v>530</v>
      </c>
      <c r="AA46219" t="s">
        <v>1437</v>
      </c>
      <c r="AB46219">
        <v>0</v>
      </c>
      <c r="AE46219" t="s">
        <v>1407</v>
      </c>
      <c r="AF46219" t="s">
        <v>530</v>
      </c>
      <c r="AG46219" t="s">
        <v>1687</v>
      </c>
      <c r="AL46219" t="s">
        <v>5774</v>
      </c>
      <c r="AM46219" t="s">
        <v>5775</v>
      </c>
      <c r="AN46219" t="s">
        <v>5776</v>
      </c>
      <c r="AO46219" t="s">
        <v>1677</v>
      </c>
      <c r="AQ46219" t="str">
        <f>IF(ISBLANK(AP46219), IFERROR(IF(VLOOKUP(AO46219, Ellens_additions!$A$2:$B$252, 2, FALSE) = "", "", VLOOKUP(AO46219, Ellens_additions!$A$2:$B$252, 2, FALSE)), 0), AP46219)</f>
        <v/>
      </c>
    </row>
    <row r="46220" spans="1:43" ht="14.4" hidden="1" x14ac:dyDescent="0.3">
      <c r="A46220" t="s">
        <v>5777</v>
      </c>
      <c r="B46220">
        <v>4924460</v>
      </c>
      <c r="C46220" t="s">
        <v>424</v>
      </c>
      <c r="D46220" t="s">
        <v>433</v>
      </c>
      <c r="E46220" t="s">
        <v>754</v>
      </c>
      <c r="F46220" t="s">
        <v>1676</v>
      </c>
      <c r="H46220" t="s">
        <v>270</v>
      </c>
      <c r="J46220" t="s">
        <v>140</v>
      </c>
      <c r="K46220">
        <v>161348.18</v>
      </c>
      <c r="L46220">
        <v>389647.73</v>
      </c>
      <c r="N46220" t="s">
        <v>1677</v>
      </c>
      <c r="O46220" t="s">
        <v>530</v>
      </c>
      <c r="P46220" t="s">
        <v>1686</v>
      </c>
      <c r="Q46220" t="s">
        <v>144</v>
      </c>
      <c r="S46220">
        <v>13</v>
      </c>
      <c r="T46220">
        <v>1800</v>
      </c>
      <c r="V46220" t="s">
        <v>146</v>
      </c>
      <c r="W46220" t="s">
        <v>147</v>
      </c>
      <c r="Y46220" t="s">
        <v>1679</v>
      </c>
      <c r="Z46220" t="s">
        <v>530</v>
      </c>
      <c r="AA46220" t="s">
        <v>1437</v>
      </c>
      <c r="AB46220">
        <v>0</v>
      </c>
      <c r="AE46220" t="s">
        <v>1407</v>
      </c>
      <c r="AF46220" t="s">
        <v>530</v>
      </c>
      <c r="AG46220" t="s">
        <v>1687</v>
      </c>
      <c r="AL46220" t="s">
        <v>5778</v>
      </c>
      <c r="AM46220" t="s">
        <v>5779</v>
      </c>
      <c r="AN46220" t="s">
        <v>5780</v>
      </c>
      <c r="AO46220" t="s">
        <v>1677</v>
      </c>
      <c r="AQ46220" t="str">
        <f>IF(ISBLANK(AP46220), IFERROR(IF(VLOOKUP(AO46220, Ellens_additions!$A$2:$B$252, 2, FALSE) = "", "", VLOOKUP(AO46220, Ellens_additions!$A$2:$B$252, 2, FALSE)), 0), AP46220)</f>
        <v/>
      </c>
    </row>
    <row r="46221" spans="1:43" ht="14.4" hidden="1" x14ac:dyDescent="0.3">
      <c r="A46221" t="s">
        <v>5781</v>
      </c>
      <c r="B46221">
        <v>4924467</v>
      </c>
      <c r="C46221" t="s">
        <v>424</v>
      </c>
      <c r="D46221" t="s">
        <v>433</v>
      </c>
      <c r="E46221" t="s">
        <v>754</v>
      </c>
      <c r="F46221" t="s">
        <v>1676</v>
      </c>
      <c r="H46221" t="s">
        <v>431</v>
      </c>
      <c r="J46221" t="s">
        <v>140</v>
      </c>
      <c r="K46221">
        <v>161335.20000000001</v>
      </c>
      <c r="L46221">
        <v>389553.25</v>
      </c>
      <c r="N46221" t="s">
        <v>1677</v>
      </c>
      <c r="O46221" t="s">
        <v>530</v>
      </c>
      <c r="P46221" t="s">
        <v>1686</v>
      </c>
      <c r="Q46221" t="s">
        <v>144</v>
      </c>
      <c r="S46221">
        <v>13</v>
      </c>
      <c r="T46221">
        <v>1800</v>
      </c>
      <c r="V46221" t="s">
        <v>146</v>
      </c>
      <c r="W46221" t="s">
        <v>147</v>
      </c>
      <c r="Y46221" t="s">
        <v>1679</v>
      </c>
      <c r="Z46221" t="s">
        <v>530</v>
      </c>
      <c r="AA46221" t="s">
        <v>1437</v>
      </c>
      <c r="AB46221">
        <v>0</v>
      </c>
      <c r="AE46221" t="s">
        <v>1407</v>
      </c>
      <c r="AF46221" t="s">
        <v>530</v>
      </c>
      <c r="AG46221" t="s">
        <v>1687</v>
      </c>
      <c r="AL46221" t="s">
        <v>5782</v>
      </c>
      <c r="AM46221" t="s">
        <v>5783</v>
      </c>
      <c r="AN46221" t="s">
        <v>5784</v>
      </c>
      <c r="AO46221" t="s">
        <v>1677</v>
      </c>
      <c r="AQ46221" t="str">
        <f>IF(ISBLANK(AP46221), IFERROR(IF(VLOOKUP(AO46221, Ellens_additions!$A$2:$B$252, 2, FALSE) = "", "", VLOOKUP(AO46221, Ellens_additions!$A$2:$B$252, 2, FALSE)), 0), AP46221)</f>
        <v/>
      </c>
    </row>
    <row r="46222" spans="1:43" ht="14.4" hidden="1" x14ac:dyDescent="0.3">
      <c r="A46222" t="s">
        <v>5785</v>
      </c>
      <c r="B46222">
        <v>4924469</v>
      </c>
      <c r="C46222" t="s">
        <v>424</v>
      </c>
      <c r="D46222" t="s">
        <v>433</v>
      </c>
      <c r="E46222" t="s">
        <v>754</v>
      </c>
      <c r="F46222" t="s">
        <v>1676</v>
      </c>
      <c r="H46222" t="s">
        <v>600</v>
      </c>
      <c r="J46222" t="s">
        <v>140</v>
      </c>
      <c r="K46222">
        <v>161269.23000000001</v>
      </c>
      <c r="L46222">
        <v>389529.71</v>
      </c>
      <c r="N46222" t="s">
        <v>1677</v>
      </c>
      <c r="O46222" t="s">
        <v>530</v>
      </c>
      <c r="P46222" t="s">
        <v>1686</v>
      </c>
      <c r="Q46222" t="s">
        <v>144</v>
      </c>
      <c r="S46222">
        <v>13</v>
      </c>
      <c r="T46222">
        <v>1800</v>
      </c>
      <c r="V46222" t="s">
        <v>146</v>
      </c>
      <c r="W46222" t="s">
        <v>147</v>
      </c>
      <c r="Y46222" t="s">
        <v>1679</v>
      </c>
      <c r="Z46222" t="s">
        <v>530</v>
      </c>
      <c r="AA46222" t="s">
        <v>1437</v>
      </c>
      <c r="AB46222">
        <v>0</v>
      </c>
      <c r="AE46222" t="s">
        <v>1407</v>
      </c>
      <c r="AF46222" t="s">
        <v>530</v>
      </c>
      <c r="AG46222" t="s">
        <v>1687</v>
      </c>
      <c r="AL46222" t="s">
        <v>5786</v>
      </c>
      <c r="AM46222" t="s">
        <v>5787</v>
      </c>
      <c r="AN46222" t="s">
        <v>5788</v>
      </c>
      <c r="AO46222" t="s">
        <v>1677</v>
      </c>
      <c r="AQ46222" t="str">
        <f>IF(ISBLANK(AP46222), IFERROR(IF(VLOOKUP(AO46222, Ellens_additions!$A$2:$B$252, 2, FALSE) = "", "", VLOOKUP(AO46222, Ellens_additions!$A$2:$B$252, 2, FALSE)), 0), AP46222)</f>
        <v/>
      </c>
    </row>
    <row r="46223" spans="1:43" ht="14.4" hidden="1" x14ac:dyDescent="0.3">
      <c r="A46223" t="s">
        <v>5789</v>
      </c>
      <c r="B46223">
        <v>4924471</v>
      </c>
      <c r="C46223" t="s">
        <v>424</v>
      </c>
      <c r="D46223" t="s">
        <v>433</v>
      </c>
      <c r="E46223" t="s">
        <v>754</v>
      </c>
      <c r="F46223" t="s">
        <v>1676</v>
      </c>
      <c r="H46223" t="s">
        <v>558</v>
      </c>
      <c r="J46223" t="s">
        <v>140</v>
      </c>
      <c r="K46223">
        <v>161280.34</v>
      </c>
      <c r="L46223">
        <v>389573.27</v>
      </c>
      <c r="N46223" t="s">
        <v>1677</v>
      </c>
      <c r="O46223" t="s">
        <v>530</v>
      </c>
      <c r="P46223" t="s">
        <v>1686</v>
      </c>
      <c r="Q46223" t="s">
        <v>144</v>
      </c>
      <c r="S46223">
        <v>13</v>
      </c>
      <c r="T46223">
        <v>1800</v>
      </c>
      <c r="V46223" t="s">
        <v>146</v>
      </c>
      <c r="W46223" t="s">
        <v>147</v>
      </c>
      <c r="Y46223" t="s">
        <v>1679</v>
      </c>
      <c r="Z46223" t="s">
        <v>530</v>
      </c>
      <c r="AA46223" t="s">
        <v>1437</v>
      </c>
      <c r="AB46223">
        <v>0</v>
      </c>
      <c r="AE46223" t="s">
        <v>1407</v>
      </c>
      <c r="AF46223" t="s">
        <v>530</v>
      </c>
      <c r="AG46223" t="s">
        <v>1687</v>
      </c>
      <c r="AL46223" t="s">
        <v>5790</v>
      </c>
      <c r="AM46223" t="s">
        <v>5791</v>
      </c>
      <c r="AN46223" t="s">
        <v>5792</v>
      </c>
      <c r="AO46223" t="s">
        <v>1677</v>
      </c>
      <c r="AQ46223" t="str">
        <f>IF(ISBLANK(AP46223), IFERROR(IF(VLOOKUP(AO46223, Ellens_additions!$A$2:$B$252, 2, FALSE) = "", "", VLOOKUP(AO46223, Ellens_additions!$A$2:$B$252, 2, FALSE)), 0), AP46223)</f>
        <v/>
      </c>
    </row>
    <row r="46224" spans="1:43" ht="14.4" hidden="1" x14ac:dyDescent="0.3">
      <c r="A46224" t="s">
        <v>5793</v>
      </c>
      <c r="B46224">
        <v>4924474</v>
      </c>
      <c r="C46224" t="s">
        <v>424</v>
      </c>
      <c r="D46224" t="s">
        <v>433</v>
      </c>
      <c r="E46224" t="s">
        <v>754</v>
      </c>
      <c r="F46224" t="s">
        <v>1676</v>
      </c>
      <c r="H46224" t="s">
        <v>422</v>
      </c>
      <c r="J46224" t="s">
        <v>140</v>
      </c>
      <c r="K46224">
        <v>161232.68</v>
      </c>
      <c r="L46224">
        <v>389581.09</v>
      </c>
      <c r="N46224" t="s">
        <v>1677</v>
      </c>
      <c r="O46224" t="s">
        <v>530</v>
      </c>
      <c r="P46224" t="s">
        <v>1686</v>
      </c>
      <c r="Q46224" t="s">
        <v>144</v>
      </c>
      <c r="S46224">
        <v>13</v>
      </c>
      <c r="T46224">
        <v>1800</v>
      </c>
      <c r="V46224" t="s">
        <v>146</v>
      </c>
      <c r="W46224" t="s">
        <v>147</v>
      </c>
      <c r="Y46224" t="s">
        <v>1679</v>
      </c>
      <c r="Z46224" t="s">
        <v>530</v>
      </c>
      <c r="AA46224" t="s">
        <v>1437</v>
      </c>
      <c r="AB46224">
        <v>0</v>
      </c>
      <c r="AE46224" t="s">
        <v>1407</v>
      </c>
      <c r="AF46224" t="s">
        <v>530</v>
      </c>
      <c r="AG46224" t="s">
        <v>1687</v>
      </c>
      <c r="AL46224" t="s">
        <v>5794</v>
      </c>
      <c r="AM46224" t="s">
        <v>5795</v>
      </c>
      <c r="AN46224" t="s">
        <v>5796</v>
      </c>
      <c r="AO46224" t="s">
        <v>1677</v>
      </c>
      <c r="AQ46224" t="str">
        <f>IF(ISBLANK(AP46224), IFERROR(IF(VLOOKUP(AO46224, Ellens_additions!$A$2:$B$252, 2, FALSE) = "", "", VLOOKUP(AO46224, Ellens_additions!$A$2:$B$252, 2, FALSE)), 0), AP46224)</f>
        <v/>
      </c>
    </row>
    <row r="46225" spans="1:43" ht="14.4" hidden="1" x14ac:dyDescent="0.3">
      <c r="A46225" t="s">
        <v>5797</v>
      </c>
      <c r="B46225">
        <v>4924480</v>
      </c>
      <c r="C46225" t="s">
        <v>424</v>
      </c>
      <c r="D46225" t="s">
        <v>433</v>
      </c>
      <c r="E46225" t="s">
        <v>754</v>
      </c>
      <c r="F46225" t="s">
        <v>1708</v>
      </c>
      <c r="H46225" t="s">
        <v>275</v>
      </c>
      <c r="J46225" t="s">
        <v>140</v>
      </c>
      <c r="K46225">
        <v>161300.67000000001</v>
      </c>
      <c r="L46225">
        <v>389681.67</v>
      </c>
      <c r="N46225" t="s">
        <v>1677</v>
      </c>
      <c r="O46225" t="s">
        <v>530</v>
      </c>
      <c r="P46225" t="s">
        <v>1686</v>
      </c>
      <c r="Q46225" t="s">
        <v>144</v>
      </c>
      <c r="S46225">
        <v>11</v>
      </c>
      <c r="T46225">
        <v>1500</v>
      </c>
      <c r="V46225" t="s">
        <v>146</v>
      </c>
      <c r="W46225" t="s">
        <v>147</v>
      </c>
      <c r="Y46225" t="s">
        <v>1679</v>
      </c>
      <c r="Z46225" t="s">
        <v>530</v>
      </c>
      <c r="AA46225" t="s">
        <v>1437</v>
      </c>
      <c r="AB46225">
        <v>0</v>
      </c>
      <c r="AE46225" t="s">
        <v>1407</v>
      </c>
      <c r="AF46225" t="s">
        <v>530</v>
      </c>
      <c r="AG46225" t="s">
        <v>1687</v>
      </c>
      <c r="AL46225" t="s">
        <v>5798</v>
      </c>
      <c r="AM46225" t="s">
        <v>5799</v>
      </c>
      <c r="AN46225" t="s">
        <v>5800</v>
      </c>
      <c r="AO46225" t="s">
        <v>1677</v>
      </c>
      <c r="AQ46225" t="str">
        <f>IF(ISBLANK(AP46225), IFERROR(IF(VLOOKUP(AO46225, Ellens_additions!$A$2:$B$252, 2, FALSE) = "", "", VLOOKUP(AO46225, Ellens_additions!$A$2:$B$252, 2, FALSE)), 0), AP46225)</f>
        <v/>
      </c>
    </row>
    <row r="46226" spans="1:43" ht="14.4" hidden="1" x14ac:dyDescent="0.3">
      <c r="A46226" t="s">
        <v>5801</v>
      </c>
      <c r="B46226">
        <v>4924481</v>
      </c>
      <c r="C46226" t="s">
        <v>424</v>
      </c>
      <c r="D46226" t="s">
        <v>433</v>
      </c>
      <c r="E46226" t="s">
        <v>754</v>
      </c>
      <c r="F46226" t="s">
        <v>1713</v>
      </c>
      <c r="H46226" t="s">
        <v>377</v>
      </c>
      <c r="J46226" t="s">
        <v>140</v>
      </c>
      <c r="K46226">
        <v>161238.31</v>
      </c>
      <c r="L46226">
        <v>389718.49</v>
      </c>
      <c r="N46226" t="s">
        <v>1677</v>
      </c>
      <c r="O46226" t="s">
        <v>777</v>
      </c>
      <c r="P46226" t="s">
        <v>1714</v>
      </c>
      <c r="Q46226" t="s">
        <v>144</v>
      </c>
      <c r="S46226">
        <v>9</v>
      </c>
      <c r="T46226">
        <v>1200</v>
      </c>
      <c r="V46226" t="s">
        <v>146</v>
      </c>
      <c r="W46226" t="s">
        <v>147</v>
      </c>
      <c r="Y46226" t="s">
        <v>1679</v>
      </c>
      <c r="Z46226" t="s">
        <v>777</v>
      </c>
      <c r="AA46226" t="s">
        <v>1533</v>
      </c>
      <c r="AB46226">
        <v>0</v>
      </c>
      <c r="AE46226" t="s">
        <v>1407</v>
      </c>
      <c r="AF46226" t="s">
        <v>777</v>
      </c>
      <c r="AG46226" t="s">
        <v>1240</v>
      </c>
      <c r="AL46226" t="s">
        <v>5802</v>
      </c>
      <c r="AM46226" t="s">
        <v>5803</v>
      </c>
      <c r="AN46226" t="s">
        <v>5804</v>
      </c>
      <c r="AO46226" t="s">
        <v>1677</v>
      </c>
      <c r="AQ46226" t="str">
        <f>IF(ISBLANK(AP46226), IFERROR(IF(VLOOKUP(AO46226, Ellens_additions!$A$2:$B$252, 2, FALSE) = "", "", VLOOKUP(AO46226, Ellens_additions!$A$2:$B$252, 2, FALSE)), 0), AP46226)</f>
        <v/>
      </c>
    </row>
    <row r="46227" spans="1:43" ht="14.4" hidden="1" x14ac:dyDescent="0.3">
      <c r="A46227" t="s">
        <v>5805</v>
      </c>
      <c r="B46227">
        <v>4924485</v>
      </c>
      <c r="C46227" t="s">
        <v>424</v>
      </c>
      <c r="D46227" t="s">
        <v>433</v>
      </c>
      <c r="E46227" t="s">
        <v>754</v>
      </c>
      <c r="F46227" t="s">
        <v>1713</v>
      </c>
      <c r="H46227" t="s">
        <v>244</v>
      </c>
      <c r="J46227" t="s">
        <v>140</v>
      </c>
      <c r="K46227">
        <v>161228.26999999999</v>
      </c>
      <c r="L46227">
        <v>389644.93</v>
      </c>
      <c r="N46227" t="s">
        <v>1677</v>
      </c>
      <c r="O46227" t="s">
        <v>777</v>
      </c>
      <c r="P46227" t="s">
        <v>1714</v>
      </c>
      <c r="Q46227" t="s">
        <v>144</v>
      </c>
      <c r="S46227">
        <v>9</v>
      </c>
      <c r="T46227">
        <v>1200</v>
      </c>
      <c r="V46227" t="s">
        <v>146</v>
      </c>
      <c r="W46227" t="s">
        <v>147</v>
      </c>
      <c r="Y46227" t="s">
        <v>1679</v>
      </c>
      <c r="Z46227" t="s">
        <v>777</v>
      </c>
      <c r="AA46227" t="s">
        <v>1533</v>
      </c>
      <c r="AB46227">
        <v>0</v>
      </c>
      <c r="AE46227" t="s">
        <v>1407</v>
      </c>
      <c r="AF46227" t="s">
        <v>777</v>
      </c>
      <c r="AG46227" t="s">
        <v>1240</v>
      </c>
      <c r="AL46227" t="s">
        <v>5806</v>
      </c>
      <c r="AM46227" t="s">
        <v>5807</v>
      </c>
      <c r="AN46227" t="s">
        <v>5808</v>
      </c>
      <c r="AO46227" t="s">
        <v>1677</v>
      </c>
      <c r="AQ46227" t="str">
        <f>IF(ISBLANK(AP46227), IFERROR(IF(VLOOKUP(AO46227, Ellens_additions!$A$2:$B$252, 2, FALSE) = "", "", VLOOKUP(AO46227, Ellens_additions!$A$2:$B$252, 2, FALSE)), 0), AP46227)</f>
        <v/>
      </c>
    </row>
    <row r="46228" spans="1:43" ht="14.4" hidden="1" x14ac:dyDescent="0.3">
      <c r="A46228" t="s">
        <v>5809</v>
      </c>
      <c r="B46228">
        <v>4924486</v>
      </c>
      <c r="C46228" t="s">
        <v>424</v>
      </c>
      <c r="D46228" t="s">
        <v>433</v>
      </c>
      <c r="E46228" t="s">
        <v>754</v>
      </c>
      <c r="F46228" t="s">
        <v>1713</v>
      </c>
      <c r="H46228" t="s">
        <v>275</v>
      </c>
      <c r="J46228" t="s">
        <v>140</v>
      </c>
      <c r="K46228">
        <v>161230.51</v>
      </c>
      <c r="L46228">
        <v>389624.46</v>
      </c>
      <c r="N46228" t="s">
        <v>1677</v>
      </c>
      <c r="O46228" t="s">
        <v>777</v>
      </c>
      <c r="P46228" t="s">
        <v>1714</v>
      </c>
      <c r="Q46228" t="s">
        <v>144</v>
      </c>
      <c r="S46228">
        <v>9</v>
      </c>
      <c r="T46228">
        <v>1200</v>
      </c>
      <c r="V46228" t="s">
        <v>146</v>
      </c>
      <c r="W46228" t="s">
        <v>147</v>
      </c>
      <c r="Y46228" t="s">
        <v>1679</v>
      </c>
      <c r="Z46228" t="s">
        <v>777</v>
      </c>
      <c r="AA46228" t="s">
        <v>1533</v>
      </c>
      <c r="AB46228">
        <v>0</v>
      </c>
      <c r="AE46228" t="s">
        <v>1407</v>
      </c>
      <c r="AF46228" t="s">
        <v>777</v>
      </c>
      <c r="AG46228" t="s">
        <v>1240</v>
      </c>
      <c r="AL46228" t="s">
        <v>5810</v>
      </c>
      <c r="AM46228" t="s">
        <v>5811</v>
      </c>
      <c r="AN46228" t="s">
        <v>5812</v>
      </c>
      <c r="AO46228" t="s">
        <v>1677</v>
      </c>
      <c r="AQ46228" t="str">
        <f>IF(ISBLANK(AP46228), IFERROR(IF(VLOOKUP(AO46228, Ellens_additions!$A$2:$B$252, 2, FALSE) = "", "", VLOOKUP(AO46228, Ellens_additions!$A$2:$B$252, 2, FALSE)), 0), AP46228)</f>
        <v/>
      </c>
    </row>
    <row r="46229" spans="1:43" ht="14.4" hidden="1" x14ac:dyDescent="0.3">
      <c r="A46229" t="s">
        <v>5813</v>
      </c>
      <c r="B46229">
        <v>4924487</v>
      </c>
      <c r="C46229" t="s">
        <v>424</v>
      </c>
      <c r="D46229" t="s">
        <v>433</v>
      </c>
      <c r="E46229" t="s">
        <v>754</v>
      </c>
      <c r="F46229" t="s">
        <v>1713</v>
      </c>
      <c r="H46229" t="s">
        <v>251</v>
      </c>
      <c r="J46229" t="s">
        <v>140</v>
      </c>
      <c r="K46229">
        <v>161229.15</v>
      </c>
      <c r="L46229">
        <v>389606.28</v>
      </c>
      <c r="N46229" t="s">
        <v>1677</v>
      </c>
      <c r="O46229" t="s">
        <v>777</v>
      </c>
      <c r="P46229" t="s">
        <v>1714</v>
      </c>
      <c r="Q46229" t="s">
        <v>144</v>
      </c>
      <c r="S46229">
        <v>9</v>
      </c>
      <c r="T46229">
        <v>1200</v>
      </c>
      <c r="V46229" t="s">
        <v>146</v>
      </c>
      <c r="W46229" t="s">
        <v>147</v>
      </c>
      <c r="Y46229" t="s">
        <v>1679</v>
      </c>
      <c r="Z46229" t="s">
        <v>777</v>
      </c>
      <c r="AA46229" t="s">
        <v>1533</v>
      </c>
      <c r="AB46229">
        <v>0</v>
      </c>
      <c r="AE46229" t="s">
        <v>1407</v>
      </c>
      <c r="AF46229" t="s">
        <v>777</v>
      </c>
      <c r="AG46229" t="s">
        <v>1240</v>
      </c>
      <c r="AL46229" t="s">
        <v>5814</v>
      </c>
      <c r="AM46229" t="s">
        <v>5815</v>
      </c>
      <c r="AN46229" t="s">
        <v>5816</v>
      </c>
      <c r="AO46229" t="s">
        <v>1677</v>
      </c>
      <c r="AQ46229" t="str">
        <f>IF(ISBLANK(AP46229), IFERROR(IF(VLOOKUP(AO46229, Ellens_additions!$A$2:$B$252, 2, FALSE) = "", "", VLOOKUP(AO46229, Ellens_additions!$A$2:$B$252, 2, FALSE)), 0), AP46229)</f>
        <v/>
      </c>
    </row>
    <row r="46230" spans="1:43" ht="14.4" x14ac:dyDescent="0.3"/>
    <row r="46231" spans="1:43" ht="14.4" x14ac:dyDescent="0.3"/>
    <row r="46232" spans="1:43" ht="14.4" x14ac:dyDescent="0.3"/>
    <row r="46233" spans="1:43" ht="14.4" x14ac:dyDescent="0.3"/>
    <row r="46234" spans="1:43" ht="14.4" x14ac:dyDescent="0.3"/>
    <row r="46235" spans="1:43" ht="14.4" x14ac:dyDescent="0.3"/>
    <row r="46236" spans="1:43" ht="14.4" x14ac:dyDescent="0.3"/>
    <row r="46237" spans="1:43" ht="14.4" x14ac:dyDescent="0.3"/>
    <row r="46238" spans="1:43" ht="14.4" x14ac:dyDescent="0.3"/>
    <row r="46239" spans="1:43" ht="14.4" x14ac:dyDescent="0.3"/>
    <row r="46240" spans="1:43" ht="14.4" x14ac:dyDescent="0.3"/>
    <row r="46241" spans="1:43" ht="14.4" x14ac:dyDescent="0.3"/>
    <row r="46242" spans="1:43" ht="14.4" x14ac:dyDescent="0.3"/>
    <row r="46243" spans="1:43" ht="14.4" x14ac:dyDescent="0.3"/>
    <row r="46244" spans="1:43" ht="14.4" hidden="1" x14ac:dyDescent="0.3">
      <c r="A46244" t="s">
        <v>5818</v>
      </c>
      <c r="B46244">
        <v>4924523</v>
      </c>
      <c r="C46244" t="s">
        <v>424</v>
      </c>
      <c r="D46244" t="s">
        <v>433</v>
      </c>
      <c r="E46244" t="s">
        <v>754</v>
      </c>
      <c r="F46244" t="s">
        <v>1676</v>
      </c>
      <c r="H46244" t="s">
        <v>420</v>
      </c>
      <c r="J46244" t="s">
        <v>140</v>
      </c>
      <c r="K46244">
        <v>161174.18</v>
      </c>
      <c r="L46244">
        <v>389559.33</v>
      </c>
      <c r="N46244" t="s">
        <v>1677</v>
      </c>
      <c r="O46244" t="s">
        <v>588</v>
      </c>
      <c r="P46244" t="s">
        <v>589</v>
      </c>
      <c r="Q46244" t="s">
        <v>144</v>
      </c>
      <c r="S46244">
        <v>11</v>
      </c>
      <c r="T46244">
        <v>1500</v>
      </c>
      <c r="V46244" t="s">
        <v>146</v>
      </c>
      <c r="W46244" t="s">
        <v>147</v>
      </c>
      <c r="Y46244" t="s">
        <v>1679</v>
      </c>
      <c r="Z46244" t="s">
        <v>588</v>
      </c>
      <c r="AA46244" t="s">
        <v>1727</v>
      </c>
      <c r="AB46244">
        <v>0</v>
      </c>
      <c r="AE46244" t="s">
        <v>1407</v>
      </c>
      <c r="AF46244" t="s">
        <v>588</v>
      </c>
      <c r="AG46244" t="s">
        <v>592</v>
      </c>
      <c r="AL46244" t="s">
        <v>5819</v>
      </c>
      <c r="AM46244" t="s">
        <v>5820</v>
      </c>
      <c r="AN46244" t="s">
        <v>5821</v>
      </c>
      <c r="AO46244" t="s">
        <v>1677</v>
      </c>
      <c r="AQ46244" t="str">
        <f>IF(ISBLANK(AP46244), IFERROR(IF(VLOOKUP(AO46244, Ellens_additions!$A$2:$B$252, 2, FALSE) = "", "", VLOOKUP(AO46244, Ellens_additions!$A$2:$B$252, 2, FALSE)), 0), AP46244)</f>
        <v/>
      </c>
    </row>
    <row r="46245" spans="1:43" ht="14.4" hidden="1" x14ac:dyDescent="0.3">
      <c r="A46245" t="s">
        <v>5822</v>
      </c>
      <c r="B46245">
        <v>4924528</v>
      </c>
      <c r="C46245" t="s">
        <v>424</v>
      </c>
      <c r="D46245" t="s">
        <v>433</v>
      </c>
      <c r="E46245" t="s">
        <v>754</v>
      </c>
      <c r="F46245" t="s">
        <v>1676</v>
      </c>
      <c r="H46245" t="s">
        <v>481</v>
      </c>
      <c r="J46245" t="s">
        <v>140</v>
      </c>
      <c r="K46245">
        <v>161232.51</v>
      </c>
      <c r="L46245">
        <v>389509.43</v>
      </c>
      <c r="N46245" t="s">
        <v>1677</v>
      </c>
      <c r="O46245" t="s">
        <v>588</v>
      </c>
      <c r="P46245" t="s">
        <v>589</v>
      </c>
      <c r="Q46245" t="s">
        <v>144</v>
      </c>
      <c r="S46245">
        <v>9</v>
      </c>
      <c r="T46245">
        <v>1200</v>
      </c>
      <c r="V46245" t="s">
        <v>146</v>
      </c>
      <c r="W46245" t="s">
        <v>147</v>
      </c>
      <c r="Y46245" t="s">
        <v>1679</v>
      </c>
      <c r="Z46245" t="s">
        <v>588</v>
      </c>
      <c r="AA46245" t="s">
        <v>1727</v>
      </c>
      <c r="AB46245">
        <v>0</v>
      </c>
      <c r="AE46245" t="s">
        <v>1407</v>
      </c>
      <c r="AF46245" t="s">
        <v>588</v>
      </c>
      <c r="AG46245" t="s">
        <v>592</v>
      </c>
      <c r="AL46245" t="s">
        <v>5823</v>
      </c>
      <c r="AM46245" t="s">
        <v>5824</v>
      </c>
      <c r="AN46245" t="s">
        <v>5825</v>
      </c>
      <c r="AO46245" t="s">
        <v>1677</v>
      </c>
      <c r="AQ46245" t="str">
        <f>IF(ISBLANK(AP46245), IFERROR(IF(VLOOKUP(AO46245, Ellens_additions!$A$2:$B$252, 2, FALSE) = "", "", VLOOKUP(AO46245, Ellens_additions!$A$2:$B$252, 2, FALSE)), 0), AP46245)</f>
        <v/>
      </c>
    </row>
    <row r="46246" spans="1:43" ht="14.4" hidden="1" x14ac:dyDescent="0.3">
      <c r="A46246" t="s">
        <v>5826</v>
      </c>
      <c r="B46246">
        <v>4924530</v>
      </c>
      <c r="C46246" t="s">
        <v>424</v>
      </c>
      <c r="D46246" t="s">
        <v>433</v>
      </c>
      <c r="E46246" t="s">
        <v>754</v>
      </c>
      <c r="F46246" t="s">
        <v>1676</v>
      </c>
      <c r="H46246" t="s">
        <v>610</v>
      </c>
      <c r="J46246" t="s">
        <v>140</v>
      </c>
      <c r="K46246">
        <v>161222.5</v>
      </c>
      <c r="L46246">
        <v>389552.69</v>
      </c>
      <c r="N46246" t="s">
        <v>1677</v>
      </c>
      <c r="O46246" t="s">
        <v>588</v>
      </c>
      <c r="P46246" t="s">
        <v>589</v>
      </c>
      <c r="Q46246" t="s">
        <v>144</v>
      </c>
      <c r="S46246">
        <v>9</v>
      </c>
      <c r="T46246">
        <v>1200</v>
      </c>
      <c r="V46246" t="s">
        <v>146</v>
      </c>
      <c r="W46246" t="s">
        <v>147</v>
      </c>
      <c r="Y46246" t="s">
        <v>1679</v>
      </c>
      <c r="Z46246" t="s">
        <v>588</v>
      </c>
      <c r="AA46246" t="s">
        <v>1727</v>
      </c>
      <c r="AB46246">
        <v>0</v>
      </c>
      <c r="AE46246" t="s">
        <v>1407</v>
      </c>
      <c r="AF46246" t="s">
        <v>588</v>
      </c>
      <c r="AG46246" t="s">
        <v>592</v>
      </c>
      <c r="AL46246" t="s">
        <v>5827</v>
      </c>
      <c r="AM46246" t="s">
        <v>5828</v>
      </c>
      <c r="AN46246" t="s">
        <v>5829</v>
      </c>
      <c r="AO46246" t="s">
        <v>1677</v>
      </c>
      <c r="AQ46246" t="str">
        <f>IF(ISBLANK(AP46246), IFERROR(IF(VLOOKUP(AO46246, Ellens_additions!$A$2:$B$252, 2, FALSE) = "", "", VLOOKUP(AO46246, Ellens_additions!$A$2:$B$252, 2, FALSE)), 0), AP46246)</f>
        <v/>
      </c>
    </row>
    <row r="46247" spans="1:43" ht="14.4" hidden="1" x14ac:dyDescent="0.3">
      <c r="A46247" t="s">
        <v>5830</v>
      </c>
      <c r="B46247">
        <v>4924532</v>
      </c>
      <c r="C46247" t="s">
        <v>424</v>
      </c>
      <c r="D46247" t="s">
        <v>433</v>
      </c>
      <c r="E46247" t="s">
        <v>754</v>
      </c>
      <c r="F46247" t="s">
        <v>1676</v>
      </c>
      <c r="H46247" t="s">
        <v>417</v>
      </c>
      <c r="J46247" t="s">
        <v>140</v>
      </c>
      <c r="K46247">
        <v>161213.76000000001</v>
      </c>
      <c r="L46247">
        <v>389582.85</v>
      </c>
      <c r="N46247" t="s">
        <v>1677</v>
      </c>
      <c r="O46247" t="s">
        <v>588</v>
      </c>
      <c r="P46247" t="s">
        <v>589</v>
      </c>
      <c r="Q46247" t="s">
        <v>144</v>
      </c>
      <c r="S46247">
        <v>13</v>
      </c>
      <c r="T46247">
        <v>1800</v>
      </c>
      <c r="V46247" t="s">
        <v>146</v>
      </c>
      <c r="W46247" t="s">
        <v>147</v>
      </c>
      <c r="Y46247" t="s">
        <v>1679</v>
      </c>
      <c r="Z46247" t="s">
        <v>588</v>
      </c>
      <c r="AA46247" t="s">
        <v>1727</v>
      </c>
      <c r="AB46247">
        <v>0</v>
      </c>
      <c r="AE46247" t="s">
        <v>1407</v>
      </c>
      <c r="AF46247" t="s">
        <v>588</v>
      </c>
      <c r="AG46247" t="s">
        <v>592</v>
      </c>
      <c r="AL46247" t="s">
        <v>5831</v>
      </c>
      <c r="AM46247" t="s">
        <v>5832</v>
      </c>
      <c r="AN46247" t="s">
        <v>5833</v>
      </c>
      <c r="AO46247" t="s">
        <v>1677</v>
      </c>
      <c r="AQ46247" t="str">
        <f>IF(ISBLANK(AP46247), IFERROR(IF(VLOOKUP(AO46247, Ellens_additions!$A$2:$B$252, 2, FALSE) = "", "", VLOOKUP(AO46247, Ellens_additions!$A$2:$B$252, 2, FALSE)), 0), AP46247)</f>
        <v/>
      </c>
    </row>
    <row r="46248" spans="1:43" ht="14.4" hidden="1" x14ac:dyDescent="0.3">
      <c r="A46248" t="s">
        <v>5834</v>
      </c>
      <c r="B46248">
        <v>4924535</v>
      </c>
      <c r="C46248" t="s">
        <v>424</v>
      </c>
      <c r="D46248" t="s">
        <v>433</v>
      </c>
      <c r="E46248" t="s">
        <v>754</v>
      </c>
      <c r="F46248" t="s">
        <v>1676</v>
      </c>
      <c r="H46248" t="s">
        <v>517</v>
      </c>
      <c r="J46248" t="s">
        <v>140</v>
      </c>
      <c r="K46248">
        <v>161161.16</v>
      </c>
      <c r="L46248">
        <v>389581.84</v>
      </c>
      <c r="N46248" t="s">
        <v>1677</v>
      </c>
      <c r="O46248" t="s">
        <v>588</v>
      </c>
      <c r="P46248" t="s">
        <v>589</v>
      </c>
      <c r="Q46248" t="s">
        <v>144</v>
      </c>
      <c r="S46248">
        <v>13</v>
      </c>
      <c r="T46248">
        <v>1800</v>
      </c>
      <c r="V46248" t="s">
        <v>146</v>
      </c>
      <c r="W46248" t="s">
        <v>147</v>
      </c>
      <c r="Y46248" t="s">
        <v>1679</v>
      </c>
      <c r="Z46248" t="s">
        <v>588</v>
      </c>
      <c r="AA46248" t="s">
        <v>1727</v>
      </c>
      <c r="AB46248">
        <v>0</v>
      </c>
      <c r="AE46248" t="s">
        <v>1407</v>
      </c>
      <c r="AF46248" t="s">
        <v>588</v>
      </c>
      <c r="AG46248" t="s">
        <v>592</v>
      </c>
      <c r="AL46248" t="s">
        <v>5835</v>
      </c>
      <c r="AM46248" t="s">
        <v>5836</v>
      </c>
      <c r="AN46248" t="s">
        <v>5837</v>
      </c>
      <c r="AO46248" t="s">
        <v>1677</v>
      </c>
      <c r="AQ46248" t="str">
        <f>IF(ISBLANK(AP46248), IFERROR(IF(VLOOKUP(AO46248, Ellens_additions!$A$2:$B$252, 2, FALSE) = "", "", VLOOKUP(AO46248, Ellens_additions!$A$2:$B$252, 2, FALSE)), 0), AP46248)</f>
        <v/>
      </c>
    </row>
    <row r="46249" spans="1:43" ht="14.4" hidden="1" x14ac:dyDescent="0.3">
      <c r="A46249" t="s">
        <v>5838</v>
      </c>
      <c r="B46249">
        <v>4924536</v>
      </c>
      <c r="C46249" t="s">
        <v>424</v>
      </c>
      <c r="D46249" t="s">
        <v>433</v>
      </c>
      <c r="E46249" t="s">
        <v>754</v>
      </c>
      <c r="F46249" t="s">
        <v>1676</v>
      </c>
      <c r="H46249" t="s">
        <v>579</v>
      </c>
      <c r="J46249" t="s">
        <v>140</v>
      </c>
      <c r="K46249">
        <v>161144.56</v>
      </c>
      <c r="L46249">
        <v>389579.73</v>
      </c>
      <c r="N46249" t="s">
        <v>1677</v>
      </c>
      <c r="O46249" t="s">
        <v>588</v>
      </c>
      <c r="P46249" t="s">
        <v>589</v>
      </c>
      <c r="Q46249" t="s">
        <v>144</v>
      </c>
      <c r="S46249">
        <v>13</v>
      </c>
      <c r="T46249">
        <v>1800</v>
      </c>
      <c r="V46249" t="s">
        <v>146</v>
      </c>
      <c r="W46249" t="s">
        <v>147</v>
      </c>
      <c r="Y46249" t="s">
        <v>1679</v>
      </c>
      <c r="Z46249" t="s">
        <v>588</v>
      </c>
      <c r="AA46249" t="s">
        <v>1727</v>
      </c>
      <c r="AB46249">
        <v>0</v>
      </c>
      <c r="AE46249" t="s">
        <v>1407</v>
      </c>
      <c r="AF46249" t="s">
        <v>588</v>
      </c>
      <c r="AG46249" t="s">
        <v>592</v>
      </c>
      <c r="AL46249" t="s">
        <v>5839</v>
      </c>
      <c r="AM46249" t="s">
        <v>5840</v>
      </c>
      <c r="AN46249" t="s">
        <v>5841</v>
      </c>
      <c r="AO46249" t="s">
        <v>1677</v>
      </c>
      <c r="AQ46249" t="str">
        <f>IF(ISBLANK(AP46249), IFERROR(IF(VLOOKUP(AO46249, Ellens_additions!$A$2:$B$252, 2, FALSE) = "", "", VLOOKUP(AO46249, Ellens_additions!$A$2:$B$252, 2, FALSE)), 0), AP46249)</f>
        <v/>
      </c>
    </row>
    <row r="46250" spans="1:43" ht="14.4" x14ac:dyDescent="0.3"/>
    <row r="46251" spans="1:43" ht="14.4" x14ac:dyDescent="0.3"/>
    <row r="46252" spans="1:43" ht="14.4" hidden="1" x14ac:dyDescent="0.3">
      <c r="A46252" t="s">
        <v>5842</v>
      </c>
      <c r="B46252">
        <v>4924547</v>
      </c>
      <c r="C46252" t="s">
        <v>424</v>
      </c>
      <c r="D46252" t="s">
        <v>425</v>
      </c>
      <c r="E46252" t="s">
        <v>436</v>
      </c>
      <c r="F46252" t="s">
        <v>775</v>
      </c>
      <c r="H46252" t="s">
        <v>512</v>
      </c>
      <c r="J46252" t="s">
        <v>140</v>
      </c>
      <c r="K46252">
        <v>159722.71</v>
      </c>
      <c r="L46252">
        <v>387496.35</v>
      </c>
      <c r="N46252" t="s">
        <v>1740</v>
      </c>
      <c r="O46252" t="s">
        <v>1741</v>
      </c>
      <c r="P46252" t="s">
        <v>1742</v>
      </c>
      <c r="Q46252" t="s">
        <v>144</v>
      </c>
      <c r="S46252">
        <v>13.5</v>
      </c>
      <c r="T46252">
        <v>1450</v>
      </c>
      <c r="V46252" t="s">
        <v>146</v>
      </c>
      <c r="W46252" t="s">
        <v>147</v>
      </c>
      <c r="Y46252" t="s">
        <v>863</v>
      </c>
      <c r="Z46252" t="s">
        <v>1741</v>
      </c>
      <c r="AA46252" t="s">
        <v>1743</v>
      </c>
      <c r="AB46252">
        <v>0</v>
      </c>
      <c r="AE46252" t="s">
        <v>1407</v>
      </c>
      <c r="AF46252" t="s">
        <v>1741</v>
      </c>
      <c r="AG46252" t="s">
        <v>1744</v>
      </c>
      <c r="AL46252" t="s">
        <v>5843</v>
      </c>
      <c r="AM46252" t="s">
        <v>5844</v>
      </c>
      <c r="AN46252" t="s">
        <v>5845</v>
      </c>
      <c r="AO46252" t="s">
        <v>1740</v>
      </c>
      <c r="AP46252" t="s">
        <v>158</v>
      </c>
      <c r="AQ46252" t="str">
        <f>IF(ISBLANK(AP46252), IFERROR(IF(VLOOKUP(AO46252, Ellens_additions!$A$2:$B$252, 2, FALSE) = "", "", VLOOKUP(AO46252, Ellens_additions!$A$2:$B$252, 2, FALSE)), 0), AP46252)</f>
        <v>3000</v>
      </c>
    </row>
    <row r="46253" spans="1:43" ht="14.4" hidden="1" x14ac:dyDescent="0.3">
      <c r="A46253" t="s">
        <v>5846</v>
      </c>
      <c r="B46253">
        <v>4924550</v>
      </c>
      <c r="C46253" t="s">
        <v>424</v>
      </c>
      <c r="D46253" t="s">
        <v>425</v>
      </c>
      <c r="E46253" t="s">
        <v>436</v>
      </c>
      <c r="F46253" t="s">
        <v>775</v>
      </c>
      <c r="H46253" t="s">
        <v>554</v>
      </c>
      <c r="J46253" t="s">
        <v>140</v>
      </c>
      <c r="K46253">
        <v>159749.79</v>
      </c>
      <c r="L46253">
        <v>387443.66</v>
      </c>
      <c r="N46253" t="s">
        <v>1740</v>
      </c>
      <c r="O46253" t="s">
        <v>1741</v>
      </c>
      <c r="P46253" t="s">
        <v>1742</v>
      </c>
      <c r="Q46253" t="s">
        <v>144</v>
      </c>
      <c r="S46253">
        <v>13.5</v>
      </c>
      <c r="T46253">
        <v>1450</v>
      </c>
      <c r="V46253" t="s">
        <v>146</v>
      </c>
      <c r="W46253" t="s">
        <v>147</v>
      </c>
      <c r="Y46253" t="s">
        <v>863</v>
      </c>
      <c r="Z46253" t="s">
        <v>1741</v>
      </c>
      <c r="AA46253" t="s">
        <v>1743</v>
      </c>
      <c r="AB46253">
        <v>0</v>
      </c>
      <c r="AE46253" t="s">
        <v>1407</v>
      </c>
      <c r="AF46253" t="s">
        <v>1741</v>
      </c>
      <c r="AG46253" t="s">
        <v>1744</v>
      </c>
      <c r="AL46253" t="s">
        <v>5847</v>
      </c>
      <c r="AM46253" t="s">
        <v>5848</v>
      </c>
      <c r="AN46253" t="s">
        <v>5849</v>
      </c>
      <c r="AO46253" t="s">
        <v>1740</v>
      </c>
      <c r="AP46253" t="s">
        <v>158</v>
      </c>
      <c r="AQ46253" t="str">
        <f>IF(ISBLANK(AP46253), IFERROR(IF(VLOOKUP(AO46253, Ellens_additions!$A$2:$B$252, 2, FALSE) = "", "", VLOOKUP(AO46253, Ellens_additions!$A$2:$B$252, 2, FALSE)), 0), AP46253)</f>
        <v>3000</v>
      </c>
    </row>
    <row r="46254" spans="1:43" ht="14.4" hidden="1" x14ac:dyDescent="0.3">
      <c r="A46254" t="s">
        <v>5850</v>
      </c>
      <c r="B46254">
        <v>4924554</v>
      </c>
      <c r="C46254" t="s">
        <v>424</v>
      </c>
      <c r="D46254" t="s">
        <v>425</v>
      </c>
      <c r="E46254" t="s">
        <v>436</v>
      </c>
      <c r="F46254" t="s">
        <v>775</v>
      </c>
      <c r="H46254" t="s">
        <v>545</v>
      </c>
      <c r="J46254" t="s">
        <v>140</v>
      </c>
      <c r="K46254">
        <v>159792.28</v>
      </c>
      <c r="L46254">
        <v>387360.79</v>
      </c>
      <c r="N46254" t="s">
        <v>1740</v>
      </c>
      <c r="O46254" t="s">
        <v>1741</v>
      </c>
      <c r="P46254" t="s">
        <v>1742</v>
      </c>
      <c r="Q46254" t="s">
        <v>144</v>
      </c>
      <c r="S46254">
        <v>13.5</v>
      </c>
      <c r="T46254">
        <v>1450</v>
      </c>
      <c r="V46254" t="s">
        <v>146</v>
      </c>
      <c r="W46254" t="s">
        <v>147</v>
      </c>
      <c r="Y46254" t="s">
        <v>863</v>
      </c>
      <c r="Z46254" t="s">
        <v>1741</v>
      </c>
      <c r="AA46254" t="s">
        <v>1743</v>
      </c>
      <c r="AB46254">
        <v>0</v>
      </c>
      <c r="AE46254" t="s">
        <v>1407</v>
      </c>
      <c r="AF46254" t="s">
        <v>1741</v>
      </c>
      <c r="AG46254" t="s">
        <v>1744</v>
      </c>
      <c r="AL46254" t="s">
        <v>5851</v>
      </c>
      <c r="AM46254" t="s">
        <v>5852</v>
      </c>
      <c r="AN46254" t="s">
        <v>5853</v>
      </c>
      <c r="AO46254" t="s">
        <v>1740</v>
      </c>
      <c r="AP46254" t="s">
        <v>158</v>
      </c>
      <c r="AQ46254" t="str">
        <f>IF(ISBLANK(AP46254), IFERROR(IF(VLOOKUP(AO46254, Ellens_additions!$A$2:$B$252, 2, FALSE) = "", "", VLOOKUP(AO46254, Ellens_additions!$A$2:$B$252, 2, FALSE)), 0), AP46254)</f>
        <v>3000</v>
      </c>
    </row>
    <row r="46255" spans="1:43" ht="14.4" x14ac:dyDescent="0.3"/>
    <row r="46256" spans="1:43" ht="14.4" x14ac:dyDescent="0.3"/>
    <row r="46257" ht="14.4" x14ac:dyDescent="0.3"/>
    <row r="46258" ht="14.4" x14ac:dyDescent="0.3"/>
    <row r="46259" ht="14.4" x14ac:dyDescent="0.3"/>
    <row r="46260" ht="14.4" x14ac:dyDescent="0.3"/>
    <row r="46261" ht="14.4" x14ac:dyDescent="0.3"/>
    <row r="46262" ht="14.4" x14ac:dyDescent="0.3"/>
    <row r="46263" ht="14.4" x14ac:dyDescent="0.3"/>
    <row r="46264" ht="14.4" x14ac:dyDescent="0.3"/>
    <row r="46265" ht="14.4" x14ac:dyDescent="0.3"/>
    <row r="46266" ht="14.4" x14ac:dyDescent="0.3"/>
    <row r="46267" ht="14.4" x14ac:dyDescent="0.3"/>
    <row r="46268" ht="14.4" x14ac:dyDescent="0.3"/>
    <row r="46269" ht="14.4" x14ac:dyDescent="0.3"/>
    <row r="46270" ht="14.4" x14ac:dyDescent="0.3"/>
    <row r="46271" ht="14.4" x14ac:dyDescent="0.3"/>
    <row r="46272" ht="14.4" x14ac:dyDescent="0.3"/>
    <row r="46273" ht="14.4" x14ac:dyDescent="0.3"/>
    <row r="46274" ht="14.4" x14ac:dyDescent="0.3"/>
    <row r="46275" ht="14.4" x14ac:dyDescent="0.3"/>
    <row r="46276" ht="14.4" x14ac:dyDescent="0.3"/>
    <row r="46277" ht="14.4" x14ac:dyDescent="0.3"/>
    <row r="46278" ht="14.4" x14ac:dyDescent="0.3"/>
    <row r="46279" ht="14.4" x14ac:dyDescent="0.3"/>
    <row r="46280" ht="14.4" x14ac:dyDescent="0.3"/>
    <row r="46281" ht="14.4" x14ac:dyDescent="0.3"/>
    <row r="46282" ht="14.4" x14ac:dyDescent="0.3"/>
    <row r="46283" ht="14.4" x14ac:dyDescent="0.3"/>
    <row r="46284" ht="14.4" x14ac:dyDescent="0.3"/>
    <row r="46285" ht="14.4" x14ac:dyDescent="0.3"/>
    <row r="46286" ht="14.4" x14ac:dyDescent="0.3"/>
    <row r="46287" ht="14.4" x14ac:dyDescent="0.3"/>
    <row r="46288" ht="14.4" x14ac:dyDescent="0.3"/>
    <row r="46289" spans="1:43" ht="14.4" x14ac:dyDescent="0.3"/>
    <row r="46290" spans="1:43" ht="14.4" x14ac:dyDescent="0.3"/>
    <row r="46291" spans="1:43" ht="14.4" x14ac:dyDescent="0.3"/>
    <row r="46292" spans="1:43" ht="14.4" x14ac:dyDescent="0.3"/>
    <row r="46293" spans="1:43" ht="14.4" x14ac:dyDescent="0.3"/>
    <row r="46294" spans="1:43" ht="14.4" hidden="1" x14ac:dyDescent="0.3">
      <c r="A46294" t="s">
        <v>5854</v>
      </c>
      <c r="B46294">
        <v>4924654</v>
      </c>
      <c r="C46294" t="s">
        <v>424</v>
      </c>
      <c r="D46294" t="s">
        <v>439</v>
      </c>
      <c r="E46294" t="s">
        <v>794</v>
      </c>
      <c r="F46294" t="s">
        <v>1365</v>
      </c>
      <c r="H46294" t="s">
        <v>244</v>
      </c>
      <c r="J46294" t="s">
        <v>140</v>
      </c>
      <c r="K46294">
        <v>158433.74</v>
      </c>
      <c r="L46294">
        <v>388996.63</v>
      </c>
      <c r="M46294">
        <v>1</v>
      </c>
      <c r="N46294" t="s">
        <v>263</v>
      </c>
      <c r="O46294" t="s">
        <v>447</v>
      </c>
      <c r="P46294" t="s">
        <v>1075</v>
      </c>
      <c r="Q46294" t="s">
        <v>264</v>
      </c>
      <c r="R46294" t="s">
        <v>145</v>
      </c>
      <c r="S46294">
        <v>36</v>
      </c>
      <c r="T46294">
        <v>2900</v>
      </c>
      <c r="V46294" t="s">
        <v>265</v>
      </c>
      <c r="W46294" t="s">
        <v>147</v>
      </c>
      <c r="X46294" t="s">
        <v>7</v>
      </c>
      <c r="Y46294" t="s">
        <v>782</v>
      </c>
      <c r="Z46294" t="s">
        <v>391</v>
      </c>
      <c r="AA46294" t="s">
        <v>410</v>
      </c>
      <c r="AB46294">
        <v>0</v>
      </c>
      <c r="AE46294" t="s">
        <v>831</v>
      </c>
      <c r="AF46294" t="s">
        <v>391</v>
      </c>
      <c r="AG46294" t="s">
        <v>410</v>
      </c>
      <c r="AL46294" t="s">
        <v>5855</v>
      </c>
      <c r="AM46294" t="s">
        <v>5856</v>
      </c>
      <c r="AN46294" t="s">
        <v>5857</v>
      </c>
      <c r="AO46294" t="s">
        <v>263</v>
      </c>
      <c r="AQ46294" t="str">
        <f>IF(ISBLANK(AP46294), IFERROR(IF(VLOOKUP(AO46294, Ellens_additions!$A$2:$B$252, 2, FALSE) = "", "", VLOOKUP(AO46294, Ellens_additions!$A$2:$B$252, 2, FALSE)), 0), AP46294)</f>
        <v/>
      </c>
    </row>
    <row r="46295" spans="1:43" ht="14.4" hidden="1" x14ac:dyDescent="0.3">
      <c r="A46295" t="s">
        <v>5858</v>
      </c>
      <c r="B46295">
        <v>4924655</v>
      </c>
      <c r="C46295" t="s">
        <v>424</v>
      </c>
      <c r="D46295" t="s">
        <v>439</v>
      </c>
      <c r="E46295" t="s">
        <v>440</v>
      </c>
      <c r="F46295" t="s">
        <v>653</v>
      </c>
      <c r="H46295" t="s">
        <v>5859</v>
      </c>
      <c r="J46295" t="s">
        <v>140</v>
      </c>
      <c r="K46295">
        <v>158353.01</v>
      </c>
      <c r="L46295">
        <v>387955.24</v>
      </c>
      <c r="N46295" t="s">
        <v>823</v>
      </c>
      <c r="O46295" t="s">
        <v>511</v>
      </c>
      <c r="P46295" t="s">
        <v>1770</v>
      </c>
      <c r="Q46295" t="s">
        <v>144</v>
      </c>
      <c r="S46295">
        <v>17</v>
      </c>
      <c r="T46295">
        <v>2000</v>
      </c>
      <c r="V46295" t="s">
        <v>146</v>
      </c>
      <c r="W46295" t="s">
        <v>788</v>
      </c>
      <c r="Y46295" t="s">
        <v>815</v>
      </c>
      <c r="Z46295" t="s">
        <v>511</v>
      </c>
      <c r="AA46295" t="s">
        <v>1771</v>
      </c>
      <c r="AB46295">
        <v>0</v>
      </c>
      <c r="AE46295" t="s">
        <v>1407</v>
      </c>
      <c r="AF46295" t="s">
        <v>511</v>
      </c>
      <c r="AG46295" t="s">
        <v>1772</v>
      </c>
      <c r="AL46295" t="s">
        <v>5860</v>
      </c>
      <c r="AM46295" t="s">
        <v>5861</v>
      </c>
      <c r="AN46295" t="s">
        <v>5862</v>
      </c>
      <c r="AO46295" t="s">
        <v>823</v>
      </c>
      <c r="AQ46295" t="str">
        <f>IF(ISBLANK(AP46295), IFERROR(IF(VLOOKUP(AO46295, Ellens_additions!$A$2:$B$252, 2, FALSE) = "", "", VLOOKUP(AO46295, Ellens_additions!$A$2:$B$252, 2, FALSE)), 0), AP46295)</f>
        <v/>
      </c>
    </row>
    <row r="46296" spans="1:43" ht="14.4" hidden="1" x14ac:dyDescent="0.3">
      <c r="A46296" t="s">
        <v>5863</v>
      </c>
      <c r="B46296">
        <v>4924657</v>
      </c>
      <c r="C46296" t="s">
        <v>424</v>
      </c>
      <c r="D46296" t="s">
        <v>439</v>
      </c>
      <c r="E46296" t="s">
        <v>440</v>
      </c>
      <c r="F46296" t="s">
        <v>653</v>
      </c>
      <c r="H46296" t="s">
        <v>5864</v>
      </c>
      <c r="J46296" t="s">
        <v>140</v>
      </c>
      <c r="K46296">
        <v>158321.26</v>
      </c>
      <c r="L46296">
        <v>388006.16</v>
      </c>
      <c r="N46296" t="s">
        <v>823</v>
      </c>
      <c r="O46296" t="s">
        <v>511</v>
      </c>
      <c r="P46296" t="s">
        <v>1770</v>
      </c>
      <c r="Q46296" t="s">
        <v>144</v>
      </c>
      <c r="S46296">
        <v>17</v>
      </c>
      <c r="T46296">
        <v>2000</v>
      </c>
      <c r="V46296" t="s">
        <v>146</v>
      </c>
      <c r="W46296" t="s">
        <v>788</v>
      </c>
      <c r="Y46296" t="s">
        <v>815</v>
      </c>
      <c r="Z46296" t="s">
        <v>511</v>
      </c>
      <c r="AA46296" t="s">
        <v>1771</v>
      </c>
      <c r="AB46296">
        <v>0</v>
      </c>
      <c r="AE46296" t="s">
        <v>1407</v>
      </c>
      <c r="AF46296" t="s">
        <v>511</v>
      </c>
      <c r="AG46296" t="s">
        <v>1772</v>
      </c>
      <c r="AL46296" t="s">
        <v>5865</v>
      </c>
      <c r="AM46296" t="s">
        <v>5866</v>
      </c>
      <c r="AN46296" t="s">
        <v>5867</v>
      </c>
      <c r="AO46296" t="s">
        <v>823</v>
      </c>
      <c r="AQ46296" t="str">
        <f>IF(ISBLANK(AP46296), IFERROR(IF(VLOOKUP(AO46296, Ellens_additions!$A$2:$B$252, 2, FALSE) = "", "", VLOOKUP(AO46296, Ellens_additions!$A$2:$B$252, 2, FALSE)), 0), AP46296)</f>
        <v/>
      </c>
    </row>
    <row r="46297" spans="1:43" ht="14.4" hidden="1" x14ac:dyDescent="0.3">
      <c r="A46297" t="s">
        <v>5868</v>
      </c>
      <c r="B46297">
        <v>4924658</v>
      </c>
      <c r="C46297" t="s">
        <v>424</v>
      </c>
      <c r="D46297" t="s">
        <v>439</v>
      </c>
      <c r="E46297" t="s">
        <v>440</v>
      </c>
      <c r="F46297" t="s">
        <v>653</v>
      </c>
      <c r="H46297" t="s">
        <v>5869</v>
      </c>
      <c r="J46297" t="s">
        <v>140</v>
      </c>
      <c r="K46297">
        <v>158305.38</v>
      </c>
      <c r="L46297">
        <v>388031.52</v>
      </c>
      <c r="N46297" t="s">
        <v>823</v>
      </c>
      <c r="O46297" t="s">
        <v>511</v>
      </c>
      <c r="P46297" t="s">
        <v>1770</v>
      </c>
      <c r="Q46297" t="s">
        <v>144</v>
      </c>
      <c r="S46297">
        <v>17</v>
      </c>
      <c r="T46297">
        <v>2000</v>
      </c>
      <c r="V46297" t="s">
        <v>146</v>
      </c>
      <c r="W46297" t="s">
        <v>788</v>
      </c>
      <c r="Y46297" t="s">
        <v>815</v>
      </c>
      <c r="Z46297" t="s">
        <v>511</v>
      </c>
      <c r="AA46297" t="s">
        <v>1771</v>
      </c>
      <c r="AB46297">
        <v>0</v>
      </c>
      <c r="AE46297" t="s">
        <v>1407</v>
      </c>
      <c r="AF46297" t="s">
        <v>511</v>
      </c>
      <c r="AG46297" t="s">
        <v>1772</v>
      </c>
      <c r="AL46297" t="s">
        <v>5870</v>
      </c>
      <c r="AM46297" t="s">
        <v>5871</v>
      </c>
      <c r="AN46297" t="s">
        <v>5872</v>
      </c>
      <c r="AO46297" t="s">
        <v>823</v>
      </c>
      <c r="AQ46297" t="str">
        <f>IF(ISBLANK(AP46297), IFERROR(IF(VLOOKUP(AO46297, Ellens_additions!$A$2:$B$252, 2, FALSE) = "", "", VLOOKUP(AO46297, Ellens_additions!$A$2:$B$252, 2, FALSE)), 0), AP46297)</f>
        <v/>
      </c>
    </row>
    <row r="46298" spans="1:43" ht="14.4" x14ac:dyDescent="0.3"/>
    <row r="46299" spans="1:43" ht="14.4" x14ac:dyDescent="0.3"/>
    <row r="46300" spans="1:43" ht="14.4" x14ac:dyDescent="0.3"/>
    <row r="46301" spans="1:43" ht="14.4" x14ac:dyDescent="0.3"/>
    <row r="46302" spans="1:43" ht="14.4" x14ac:dyDescent="0.3"/>
    <row r="46303" spans="1:43" ht="14.4" x14ac:dyDescent="0.3"/>
    <row r="46304" spans="1:43" ht="14.4" x14ac:dyDescent="0.3"/>
    <row r="46305" ht="14.4" x14ac:dyDescent="0.3"/>
    <row r="46306" ht="14.4" x14ac:dyDescent="0.3"/>
    <row r="46307" ht="14.4" x14ac:dyDescent="0.3"/>
    <row r="46308" ht="14.4" x14ac:dyDescent="0.3"/>
    <row r="46309" ht="14.4" x14ac:dyDescent="0.3"/>
    <row r="46310" ht="14.4" x14ac:dyDescent="0.3"/>
    <row r="46311" ht="14.4" x14ac:dyDescent="0.3"/>
    <row r="46312" ht="14.4" x14ac:dyDescent="0.3"/>
    <row r="46313" ht="14.4" x14ac:dyDescent="0.3"/>
    <row r="46314" ht="14.4" x14ac:dyDescent="0.3"/>
    <row r="46315" ht="14.4" x14ac:dyDescent="0.3"/>
    <row r="46316" ht="14.4" x14ac:dyDescent="0.3"/>
    <row r="46317" ht="14.4" x14ac:dyDescent="0.3"/>
    <row r="46318" ht="14.4" x14ac:dyDescent="0.3"/>
    <row r="46319" ht="14.4" x14ac:dyDescent="0.3"/>
    <row r="46320" ht="14.4" x14ac:dyDescent="0.3"/>
    <row r="46321" ht="14.4" x14ac:dyDescent="0.3"/>
    <row r="46322" ht="14.4" x14ac:dyDescent="0.3"/>
    <row r="46323" ht="14.4" x14ac:dyDescent="0.3"/>
    <row r="46324" ht="14.4" x14ac:dyDescent="0.3"/>
    <row r="46325" ht="14.4" x14ac:dyDescent="0.3"/>
    <row r="46326" ht="14.4" x14ac:dyDescent="0.3"/>
    <row r="46327" ht="14.4" x14ac:dyDescent="0.3"/>
    <row r="46328" ht="14.4" x14ac:dyDescent="0.3"/>
    <row r="46329" ht="14.4" x14ac:dyDescent="0.3"/>
    <row r="46330" ht="14.4" x14ac:dyDescent="0.3"/>
    <row r="46331" ht="14.4" x14ac:dyDescent="0.3"/>
    <row r="46332" ht="14.4" x14ac:dyDescent="0.3"/>
    <row r="46333" ht="14.4" x14ac:dyDescent="0.3"/>
    <row r="46334" ht="14.4" x14ac:dyDescent="0.3"/>
    <row r="46335" ht="14.4" x14ac:dyDescent="0.3"/>
    <row r="46336" ht="14.4" x14ac:dyDescent="0.3"/>
    <row r="46337" ht="14.4" x14ac:dyDescent="0.3"/>
    <row r="46338" ht="14.4" x14ac:dyDescent="0.3"/>
    <row r="46339" ht="14.4" x14ac:dyDescent="0.3"/>
    <row r="46340" ht="14.4" x14ac:dyDescent="0.3"/>
    <row r="46341" ht="14.4" x14ac:dyDescent="0.3"/>
    <row r="46342" ht="14.4" x14ac:dyDescent="0.3"/>
    <row r="46343" ht="14.4" x14ac:dyDescent="0.3"/>
    <row r="46344" ht="14.4" x14ac:dyDescent="0.3"/>
    <row r="46345" ht="14.4" x14ac:dyDescent="0.3"/>
    <row r="46346" ht="14.4" x14ac:dyDescent="0.3"/>
    <row r="46347" ht="14.4" x14ac:dyDescent="0.3"/>
    <row r="46348" ht="14.4" x14ac:dyDescent="0.3"/>
    <row r="46349" ht="14.4" x14ac:dyDescent="0.3"/>
    <row r="46350" ht="14.4" x14ac:dyDescent="0.3"/>
    <row r="46351" ht="14.4" x14ac:dyDescent="0.3"/>
    <row r="46352" ht="14.4" x14ac:dyDescent="0.3"/>
    <row r="46353" ht="14.4" x14ac:dyDescent="0.3"/>
    <row r="46354" ht="14.4" x14ac:dyDescent="0.3"/>
    <row r="46355" ht="14.4" x14ac:dyDescent="0.3"/>
    <row r="46356" ht="14.4" x14ac:dyDescent="0.3"/>
    <row r="46357" ht="14.4" x14ac:dyDescent="0.3"/>
    <row r="46358" ht="14.4" x14ac:dyDescent="0.3"/>
    <row r="46359" ht="14.4" x14ac:dyDescent="0.3"/>
    <row r="46360" ht="14.4" x14ac:dyDescent="0.3"/>
    <row r="46361" ht="14.4" x14ac:dyDescent="0.3"/>
    <row r="46362" ht="14.4" x14ac:dyDescent="0.3"/>
    <row r="46363" ht="14.4" x14ac:dyDescent="0.3"/>
    <row r="46364" ht="14.4" x14ac:dyDescent="0.3"/>
    <row r="46365" ht="14.4" x14ac:dyDescent="0.3"/>
    <row r="46366" ht="14.4" x14ac:dyDescent="0.3"/>
    <row r="46367" ht="14.4" x14ac:dyDescent="0.3"/>
    <row r="46368" ht="14.4" x14ac:dyDescent="0.3"/>
    <row r="46369" ht="14.4" x14ac:dyDescent="0.3"/>
    <row r="46370" ht="14.4" x14ac:dyDescent="0.3"/>
    <row r="46371" ht="14.4" x14ac:dyDescent="0.3"/>
    <row r="46372" ht="14.4" x14ac:dyDescent="0.3"/>
    <row r="46373" ht="14.4" x14ac:dyDescent="0.3"/>
    <row r="46374" ht="14.4" x14ac:dyDescent="0.3"/>
    <row r="46375" ht="14.4" x14ac:dyDescent="0.3"/>
    <row r="46376" ht="14.4" x14ac:dyDescent="0.3"/>
    <row r="46377" ht="14.4" x14ac:dyDescent="0.3"/>
    <row r="46378" ht="14.4" x14ac:dyDescent="0.3"/>
    <row r="46379" ht="14.4" x14ac:dyDescent="0.3"/>
    <row r="46380" ht="14.4" x14ac:dyDescent="0.3"/>
    <row r="46381" ht="14.4" x14ac:dyDescent="0.3"/>
    <row r="46382" ht="14.4" x14ac:dyDescent="0.3"/>
    <row r="46383" ht="14.4" x14ac:dyDescent="0.3"/>
    <row r="46384" ht="14.4" x14ac:dyDescent="0.3"/>
    <row r="46385" ht="14.4" x14ac:dyDescent="0.3"/>
    <row r="46386" ht="14.4" x14ac:dyDescent="0.3"/>
    <row r="46387" ht="14.4" x14ac:dyDescent="0.3"/>
    <row r="46388" ht="14.4" x14ac:dyDescent="0.3"/>
    <row r="46389" ht="14.4" x14ac:dyDescent="0.3"/>
    <row r="46390" ht="14.4" x14ac:dyDescent="0.3"/>
    <row r="46391" ht="14.4" x14ac:dyDescent="0.3"/>
    <row r="46392" ht="14.4" x14ac:dyDescent="0.3"/>
    <row r="46393" ht="14.4" x14ac:dyDescent="0.3"/>
    <row r="46394" ht="14.4" x14ac:dyDescent="0.3"/>
    <row r="46395" ht="14.4" x14ac:dyDescent="0.3"/>
    <row r="46396" ht="14.4" x14ac:dyDescent="0.3"/>
    <row r="46397" ht="14.4" x14ac:dyDescent="0.3"/>
    <row r="46398" ht="14.4" x14ac:dyDescent="0.3"/>
    <row r="46399" ht="14.4" x14ac:dyDescent="0.3"/>
    <row r="46400" ht="14.4" x14ac:dyDescent="0.3"/>
    <row r="46401" ht="14.4" x14ac:dyDescent="0.3"/>
    <row r="46402" ht="14.4" x14ac:dyDescent="0.3"/>
    <row r="46403" ht="14.4" x14ac:dyDescent="0.3"/>
    <row r="46404" ht="14.4" x14ac:dyDescent="0.3"/>
    <row r="46405" ht="14.4" x14ac:dyDescent="0.3"/>
    <row r="46406" ht="14.4" x14ac:dyDescent="0.3"/>
    <row r="46407" ht="14.4" x14ac:dyDescent="0.3"/>
    <row r="46408" ht="14.4" x14ac:dyDescent="0.3"/>
    <row r="46409" ht="14.4" x14ac:dyDescent="0.3"/>
    <row r="46410" ht="14.4" x14ac:dyDescent="0.3"/>
    <row r="46411" ht="14.4" x14ac:dyDescent="0.3"/>
    <row r="46412" ht="14.4" x14ac:dyDescent="0.3"/>
    <row r="46413" ht="14.4" x14ac:dyDescent="0.3"/>
    <row r="46414" ht="14.4" x14ac:dyDescent="0.3"/>
    <row r="46415" ht="14.4" x14ac:dyDescent="0.3"/>
    <row r="46416" ht="14.4" x14ac:dyDescent="0.3"/>
    <row r="46417" ht="14.4" x14ac:dyDescent="0.3"/>
    <row r="46418" ht="14.4" x14ac:dyDescent="0.3"/>
    <row r="46419" ht="14.4" x14ac:dyDescent="0.3"/>
    <row r="46420" ht="14.4" x14ac:dyDescent="0.3"/>
    <row r="46421" ht="14.4" x14ac:dyDescent="0.3"/>
    <row r="46422" ht="14.4" x14ac:dyDescent="0.3"/>
    <row r="46423" ht="14.4" x14ac:dyDescent="0.3"/>
    <row r="46424" ht="14.4" x14ac:dyDescent="0.3"/>
    <row r="46425" ht="14.4" x14ac:dyDescent="0.3"/>
    <row r="46426" ht="14.4" x14ac:dyDescent="0.3"/>
    <row r="46427" ht="14.4" x14ac:dyDescent="0.3"/>
    <row r="46428" ht="14.4" x14ac:dyDescent="0.3"/>
    <row r="46429" ht="14.4" x14ac:dyDescent="0.3"/>
    <row r="46430" ht="14.4" x14ac:dyDescent="0.3"/>
    <row r="46431" ht="14.4" x14ac:dyDescent="0.3"/>
    <row r="46432" ht="14.4" x14ac:dyDescent="0.3"/>
    <row r="46433" ht="14.4" x14ac:dyDescent="0.3"/>
    <row r="46434" ht="14.4" x14ac:dyDescent="0.3"/>
    <row r="46435" ht="14.4" x14ac:dyDescent="0.3"/>
    <row r="46436" ht="14.4" x14ac:dyDescent="0.3"/>
    <row r="46437" ht="14.4" x14ac:dyDescent="0.3"/>
    <row r="46438" ht="14.4" x14ac:dyDescent="0.3"/>
    <row r="46439" ht="14.4" x14ac:dyDescent="0.3"/>
    <row r="46440" ht="14.4" x14ac:dyDescent="0.3"/>
    <row r="46441" ht="14.4" x14ac:dyDescent="0.3"/>
    <row r="46442" ht="14.4" x14ac:dyDescent="0.3"/>
    <row r="46443" ht="14.4" x14ac:dyDescent="0.3"/>
    <row r="46444" ht="14.4" x14ac:dyDescent="0.3"/>
    <row r="46445" ht="14.4" x14ac:dyDescent="0.3"/>
    <row r="46446" ht="14.4" x14ac:dyDescent="0.3"/>
    <row r="46447" ht="14.4" x14ac:dyDescent="0.3"/>
    <row r="46448" ht="14.4" x14ac:dyDescent="0.3"/>
    <row r="46449" ht="14.4" x14ac:dyDescent="0.3"/>
    <row r="46450" ht="14.4" x14ac:dyDescent="0.3"/>
    <row r="46451" ht="14.4" x14ac:dyDescent="0.3"/>
    <row r="46452" ht="14.4" x14ac:dyDescent="0.3"/>
    <row r="46453" ht="14.4" x14ac:dyDescent="0.3"/>
    <row r="46454" ht="14.4" x14ac:dyDescent="0.3"/>
    <row r="46455" ht="14.4" x14ac:dyDescent="0.3"/>
    <row r="46456" ht="14.4" x14ac:dyDescent="0.3"/>
    <row r="46457" ht="14.4" x14ac:dyDescent="0.3"/>
    <row r="46458" ht="14.4" x14ac:dyDescent="0.3"/>
    <row r="46459" ht="14.4" x14ac:dyDescent="0.3"/>
    <row r="46460" ht="14.4" x14ac:dyDescent="0.3"/>
    <row r="46461" ht="14.4" x14ac:dyDescent="0.3"/>
    <row r="46462" ht="14.4" x14ac:dyDescent="0.3"/>
    <row r="46463" ht="14.4" x14ac:dyDescent="0.3"/>
    <row r="46464" ht="14.4" x14ac:dyDescent="0.3"/>
    <row r="46465" ht="14.4" x14ac:dyDescent="0.3"/>
    <row r="46466" ht="14.4" x14ac:dyDescent="0.3"/>
    <row r="46467" ht="14.4" x14ac:dyDescent="0.3"/>
    <row r="46468" ht="14.4" x14ac:dyDescent="0.3"/>
    <row r="46469" ht="14.4" x14ac:dyDescent="0.3"/>
    <row r="46470" ht="14.4" x14ac:dyDescent="0.3"/>
    <row r="46471" ht="14.4" x14ac:dyDescent="0.3"/>
    <row r="46472" ht="14.4" x14ac:dyDescent="0.3"/>
    <row r="46473" ht="14.4" x14ac:dyDescent="0.3"/>
    <row r="46474" ht="14.4" x14ac:dyDescent="0.3"/>
    <row r="46475" ht="14.4" x14ac:dyDescent="0.3"/>
    <row r="46476" ht="14.4" x14ac:dyDescent="0.3"/>
    <row r="46477" ht="14.4" x14ac:dyDescent="0.3"/>
    <row r="46478" ht="14.4" x14ac:dyDescent="0.3"/>
    <row r="46479" ht="14.4" x14ac:dyDescent="0.3"/>
    <row r="46480" ht="14.4" x14ac:dyDescent="0.3"/>
    <row r="46481" ht="14.4" x14ac:dyDescent="0.3"/>
    <row r="46482" ht="14.4" x14ac:dyDescent="0.3"/>
    <row r="46483" ht="14.4" x14ac:dyDescent="0.3"/>
    <row r="46484" ht="14.4" x14ac:dyDescent="0.3"/>
    <row r="46485" ht="14.4" x14ac:dyDescent="0.3"/>
    <row r="46486" ht="14.4" x14ac:dyDescent="0.3"/>
    <row r="46487" ht="14.4" x14ac:dyDescent="0.3"/>
    <row r="46488" ht="14.4" x14ac:dyDescent="0.3"/>
    <row r="46489" ht="14.4" x14ac:dyDescent="0.3"/>
    <row r="46490" ht="14.4" x14ac:dyDescent="0.3"/>
    <row r="46491" ht="14.4" x14ac:dyDescent="0.3"/>
    <row r="46492" ht="14.4" x14ac:dyDescent="0.3"/>
    <row r="46493" ht="14.4" x14ac:dyDescent="0.3"/>
    <row r="46494" ht="14.4" x14ac:dyDescent="0.3"/>
    <row r="46495" ht="14.4" x14ac:dyDescent="0.3"/>
    <row r="46496" ht="14.4" x14ac:dyDescent="0.3"/>
    <row r="46497" ht="14.4" x14ac:dyDescent="0.3"/>
    <row r="46498" ht="14.4" x14ac:dyDescent="0.3"/>
    <row r="46499" ht="14.4" x14ac:dyDescent="0.3"/>
    <row r="46500" ht="14.4" x14ac:dyDescent="0.3"/>
    <row r="46501" ht="14.4" x14ac:dyDescent="0.3"/>
    <row r="46502" ht="14.4" x14ac:dyDescent="0.3"/>
    <row r="46503" ht="14.4" x14ac:dyDescent="0.3"/>
    <row r="46504" ht="14.4" x14ac:dyDescent="0.3"/>
    <row r="46505" ht="14.4" x14ac:dyDescent="0.3"/>
    <row r="46506" ht="14.4" x14ac:dyDescent="0.3"/>
    <row r="46507" ht="14.4" x14ac:dyDescent="0.3"/>
    <row r="46508" ht="14.4" x14ac:dyDescent="0.3"/>
    <row r="46509" ht="14.4" x14ac:dyDescent="0.3"/>
    <row r="46510" ht="14.4" x14ac:dyDescent="0.3"/>
    <row r="46511" ht="14.4" x14ac:dyDescent="0.3"/>
    <row r="46512" ht="14.4" x14ac:dyDescent="0.3"/>
    <row r="46513" ht="14.4" x14ac:dyDescent="0.3"/>
    <row r="46514" ht="14.4" x14ac:dyDescent="0.3"/>
    <row r="46515" ht="14.4" x14ac:dyDescent="0.3"/>
    <row r="46516" ht="14.4" x14ac:dyDescent="0.3"/>
    <row r="46517" ht="14.4" x14ac:dyDescent="0.3"/>
    <row r="46518" ht="14.4" x14ac:dyDescent="0.3"/>
    <row r="46519" ht="14.4" x14ac:dyDescent="0.3"/>
    <row r="46520" ht="14.4" x14ac:dyDescent="0.3"/>
    <row r="46521" ht="14.4" x14ac:dyDescent="0.3"/>
    <row r="46522" ht="14.4" x14ac:dyDescent="0.3"/>
    <row r="46523" ht="14.4" x14ac:dyDescent="0.3"/>
    <row r="46524" ht="14.4" x14ac:dyDescent="0.3"/>
    <row r="46525" ht="14.4" x14ac:dyDescent="0.3"/>
    <row r="46526" ht="14.4" x14ac:dyDescent="0.3"/>
    <row r="46527" ht="14.4" x14ac:dyDescent="0.3"/>
    <row r="46528" ht="14.4" x14ac:dyDescent="0.3"/>
    <row r="46529" ht="14.4" x14ac:dyDescent="0.3"/>
    <row r="46530" ht="14.4" x14ac:dyDescent="0.3"/>
    <row r="46531" ht="14.4" x14ac:dyDescent="0.3"/>
    <row r="46532" ht="14.4" x14ac:dyDescent="0.3"/>
    <row r="46533" ht="14.4" x14ac:dyDescent="0.3"/>
    <row r="46534" ht="14.4" x14ac:dyDescent="0.3"/>
    <row r="46535" ht="14.4" x14ac:dyDescent="0.3"/>
    <row r="46536" ht="14.4" x14ac:dyDescent="0.3"/>
    <row r="46537" ht="14.4" x14ac:dyDescent="0.3"/>
    <row r="46538" ht="14.4" x14ac:dyDescent="0.3"/>
    <row r="46539" ht="14.4" x14ac:dyDescent="0.3"/>
    <row r="46540" ht="14.4" x14ac:dyDescent="0.3"/>
    <row r="46541" ht="14.4" x14ac:dyDescent="0.3"/>
    <row r="46542" ht="14.4" x14ac:dyDescent="0.3"/>
    <row r="46543" ht="14.4" x14ac:dyDescent="0.3"/>
    <row r="46544" ht="14.4" x14ac:dyDescent="0.3"/>
    <row r="46545" ht="14.4" x14ac:dyDescent="0.3"/>
    <row r="46546" ht="14.4" x14ac:dyDescent="0.3"/>
    <row r="46547" ht="14.4" x14ac:dyDescent="0.3"/>
    <row r="46548" ht="14.4" x14ac:dyDescent="0.3"/>
    <row r="46549" ht="14.4" x14ac:dyDescent="0.3"/>
    <row r="46550" ht="14.4" x14ac:dyDescent="0.3"/>
    <row r="46551" ht="14.4" x14ac:dyDescent="0.3"/>
    <row r="46552" ht="14.4" x14ac:dyDescent="0.3"/>
    <row r="46553" ht="14.4" x14ac:dyDescent="0.3"/>
    <row r="46554" ht="14.4" x14ac:dyDescent="0.3"/>
    <row r="46555" ht="14.4" x14ac:dyDescent="0.3"/>
    <row r="46556" ht="14.4" x14ac:dyDescent="0.3"/>
    <row r="46557" ht="14.4" x14ac:dyDescent="0.3"/>
    <row r="46558" ht="14.4" x14ac:dyDescent="0.3"/>
    <row r="46559" ht="14.4" x14ac:dyDescent="0.3"/>
    <row r="46560" ht="14.4" x14ac:dyDescent="0.3"/>
    <row r="46561" ht="14.4" x14ac:dyDescent="0.3"/>
    <row r="46562" ht="14.4" x14ac:dyDescent="0.3"/>
    <row r="46563" ht="14.4" x14ac:dyDescent="0.3"/>
    <row r="46564" ht="14.4" x14ac:dyDescent="0.3"/>
    <row r="46565" ht="14.4" x14ac:dyDescent="0.3"/>
    <row r="46566" ht="14.4" x14ac:dyDescent="0.3"/>
    <row r="46567" ht="14.4" x14ac:dyDescent="0.3"/>
    <row r="46568" ht="14.4" x14ac:dyDescent="0.3"/>
    <row r="46569" ht="14.4" x14ac:dyDescent="0.3"/>
    <row r="46570" ht="14.4" x14ac:dyDescent="0.3"/>
    <row r="46571" ht="14.4" x14ac:dyDescent="0.3"/>
    <row r="46572" ht="14.4" x14ac:dyDescent="0.3"/>
    <row r="46573" ht="14.4" x14ac:dyDescent="0.3"/>
    <row r="46574" ht="14.4" x14ac:dyDescent="0.3"/>
    <row r="46575" ht="14.4" x14ac:dyDescent="0.3"/>
    <row r="46576" ht="14.4" x14ac:dyDescent="0.3"/>
    <row r="46577" ht="14.4" x14ac:dyDescent="0.3"/>
    <row r="46578" ht="14.4" x14ac:dyDescent="0.3"/>
    <row r="46579" ht="14.4" x14ac:dyDescent="0.3"/>
    <row r="46580" ht="14.4" x14ac:dyDescent="0.3"/>
    <row r="46581" ht="14.4" x14ac:dyDescent="0.3"/>
    <row r="46582" ht="14.4" x14ac:dyDescent="0.3"/>
    <row r="46583" ht="14.4" x14ac:dyDescent="0.3"/>
    <row r="46584" ht="14.4" x14ac:dyDescent="0.3"/>
    <row r="46585" ht="14.4" x14ac:dyDescent="0.3"/>
    <row r="46586" ht="14.4" x14ac:dyDescent="0.3"/>
    <row r="46587" ht="14.4" x14ac:dyDescent="0.3"/>
    <row r="46588" ht="14.4" x14ac:dyDescent="0.3"/>
    <row r="46589" ht="14.4" x14ac:dyDescent="0.3"/>
    <row r="46590" ht="14.4" x14ac:dyDescent="0.3"/>
    <row r="46591" ht="14.4" x14ac:dyDescent="0.3"/>
    <row r="46592" ht="14.4" x14ac:dyDescent="0.3"/>
    <row r="46593" ht="14.4" x14ac:dyDescent="0.3"/>
    <row r="46594" ht="14.4" x14ac:dyDescent="0.3"/>
    <row r="46595" ht="14.4" x14ac:dyDescent="0.3"/>
    <row r="46596" ht="14.4" x14ac:dyDescent="0.3"/>
    <row r="46597" ht="14.4" x14ac:dyDescent="0.3"/>
    <row r="46598" ht="14.4" x14ac:dyDescent="0.3"/>
    <row r="46599" ht="14.4" x14ac:dyDescent="0.3"/>
    <row r="46600" ht="14.4" x14ac:dyDescent="0.3"/>
    <row r="46601" ht="14.4" x14ac:dyDescent="0.3"/>
    <row r="46602" ht="14.4" x14ac:dyDescent="0.3"/>
    <row r="46603" ht="14.4" x14ac:dyDescent="0.3"/>
    <row r="46604" ht="14.4" x14ac:dyDescent="0.3"/>
    <row r="46605" ht="14.4" x14ac:dyDescent="0.3"/>
    <row r="46606" ht="14.4" x14ac:dyDescent="0.3"/>
    <row r="46607" ht="14.4" x14ac:dyDescent="0.3"/>
    <row r="46608" ht="14.4" x14ac:dyDescent="0.3"/>
    <row r="46609" ht="14.4" x14ac:dyDescent="0.3"/>
    <row r="46610" ht="14.4" x14ac:dyDescent="0.3"/>
    <row r="46611" ht="14.4" x14ac:dyDescent="0.3"/>
    <row r="46612" ht="14.4" x14ac:dyDescent="0.3"/>
    <row r="46613" ht="14.4" x14ac:dyDescent="0.3"/>
    <row r="46614" ht="14.4" x14ac:dyDescent="0.3"/>
    <row r="46615" ht="14.4" x14ac:dyDescent="0.3"/>
    <row r="46616" ht="14.4" x14ac:dyDescent="0.3"/>
    <row r="46617" ht="14.4" x14ac:dyDescent="0.3"/>
    <row r="46618" ht="14.4" x14ac:dyDescent="0.3"/>
    <row r="46619" ht="14.4" x14ac:dyDescent="0.3"/>
    <row r="46620" ht="14.4" x14ac:dyDescent="0.3"/>
    <row r="46621" ht="14.4" x14ac:dyDescent="0.3"/>
    <row r="46622" ht="14.4" x14ac:dyDescent="0.3"/>
    <row r="46623" ht="14.4" x14ac:dyDescent="0.3"/>
    <row r="46624" ht="14.4" x14ac:dyDescent="0.3"/>
    <row r="46625" ht="14.4" x14ac:dyDescent="0.3"/>
    <row r="46626" ht="14.4" x14ac:dyDescent="0.3"/>
    <row r="46627" ht="14.4" x14ac:dyDescent="0.3"/>
    <row r="46628" ht="14.4" x14ac:dyDescent="0.3"/>
    <row r="46629" ht="14.4" x14ac:dyDescent="0.3"/>
    <row r="46630" ht="14.4" x14ac:dyDescent="0.3"/>
    <row r="46631" ht="14.4" x14ac:dyDescent="0.3"/>
    <row r="46632" ht="14.4" x14ac:dyDescent="0.3"/>
    <row r="46633" ht="14.4" x14ac:dyDescent="0.3"/>
    <row r="46634" ht="14.4" x14ac:dyDescent="0.3"/>
    <row r="46635" ht="14.4" x14ac:dyDescent="0.3"/>
    <row r="46636" ht="14.4" x14ac:dyDescent="0.3"/>
    <row r="46637" ht="14.4" x14ac:dyDescent="0.3"/>
    <row r="46638" ht="14.4" x14ac:dyDescent="0.3"/>
    <row r="46639" ht="14.4" x14ac:dyDescent="0.3"/>
    <row r="46640" ht="14.4" x14ac:dyDescent="0.3"/>
    <row r="46641" ht="14.4" x14ac:dyDescent="0.3"/>
    <row r="46642" ht="14.4" x14ac:dyDescent="0.3"/>
    <row r="46643" ht="14.4" x14ac:dyDescent="0.3"/>
    <row r="46644" ht="14.4" x14ac:dyDescent="0.3"/>
    <row r="46645" ht="14.4" x14ac:dyDescent="0.3"/>
    <row r="46646" ht="14.4" x14ac:dyDescent="0.3"/>
    <row r="46647" ht="14.4" x14ac:dyDescent="0.3"/>
    <row r="46648" ht="14.4" x14ac:dyDescent="0.3"/>
    <row r="46649" ht="14.4" x14ac:dyDescent="0.3"/>
    <row r="46650" ht="14.4" x14ac:dyDescent="0.3"/>
    <row r="46651" ht="14.4" x14ac:dyDescent="0.3"/>
    <row r="46652" ht="14.4" x14ac:dyDescent="0.3"/>
    <row r="46653" ht="14.4" x14ac:dyDescent="0.3"/>
    <row r="46654" ht="14.4" x14ac:dyDescent="0.3"/>
    <row r="46655" ht="14.4" x14ac:dyDescent="0.3"/>
    <row r="46656" ht="14.4" x14ac:dyDescent="0.3"/>
    <row r="46657" ht="14.4" x14ac:dyDescent="0.3"/>
    <row r="46658" ht="14.4" x14ac:dyDescent="0.3"/>
    <row r="46659" ht="14.4" x14ac:dyDescent="0.3"/>
    <row r="46660" ht="14.4" x14ac:dyDescent="0.3"/>
    <row r="46661" ht="14.4" x14ac:dyDescent="0.3"/>
    <row r="46662" ht="14.4" x14ac:dyDescent="0.3"/>
    <row r="46663" ht="14.4" x14ac:dyDescent="0.3"/>
    <row r="46664" ht="14.4" x14ac:dyDescent="0.3"/>
    <row r="46665" ht="14.4" x14ac:dyDescent="0.3"/>
    <row r="46666" ht="14.4" x14ac:dyDescent="0.3"/>
    <row r="46667" ht="14.4" x14ac:dyDescent="0.3"/>
    <row r="46668" ht="14.4" x14ac:dyDescent="0.3"/>
    <row r="46669" ht="14.4" x14ac:dyDescent="0.3"/>
    <row r="46670" ht="14.4" x14ac:dyDescent="0.3"/>
    <row r="46671" ht="14.4" x14ac:dyDescent="0.3"/>
    <row r="46672" ht="14.4" x14ac:dyDescent="0.3"/>
    <row r="46673" ht="14.4" x14ac:dyDescent="0.3"/>
    <row r="46674" ht="14.4" x14ac:dyDescent="0.3"/>
    <row r="46675" ht="14.4" x14ac:dyDescent="0.3"/>
    <row r="46676" ht="14.4" x14ac:dyDescent="0.3"/>
    <row r="46677" ht="14.4" x14ac:dyDescent="0.3"/>
    <row r="46678" ht="14.4" x14ac:dyDescent="0.3"/>
    <row r="46679" ht="14.4" x14ac:dyDescent="0.3"/>
    <row r="46680" ht="14.4" x14ac:dyDescent="0.3"/>
    <row r="46681" ht="14.4" x14ac:dyDescent="0.3"/>
    <row r="46682" ht="14.4" x14ac:dyDescent="0.3"/>
    <row r="46683" ht="14.4" x14ac:dyDescent="0.3"/>
    <row r="46684" ht="14.4" x14ac:dyDescent="0.3"/>
    <row r="46685" ht="14.4" x14ac:dyDescent="0.3"/>
    <row r="46686" ht="14.4" x14ac:dyDescent="0.3"/>
    <row r="46687" ht="14.4" x14ac:dyDescent="0.3"/>
    <row r="46688" ht="14.4" x14ac:dyDescent="0.3"/>
    <row r="46689" ht="14.4" x14ac:dyDescent="0.3"/>
    <row r="46690" ht="14.4" x14ac:dyDescent="0.3"/>
    <row r="46691" ht="14.4" x14ac:dyDescent="0.3"/>
    <row r="46692" ht="14.4" x14ac:dyDescent="0.3"/>
    <row r="46693" ht="14.4" x14ac:dyDescent="0.3"/>
    <row r="46694" ht="14.4" x14ac:dyDescent="0.3"/>
    <row r="46695" ht="14.4" x14ac:dyDescent="0.3"/>
    <row r="46696" ht="14.4" x14ac:dyDescent="0.3"/>
    <row r="46697" ht="14.4" x14ac:dyDescent="0.3"/>
    <row r="46698" ht="14.4" x14ac:dyDescent="0.3"/>
    <row r="46699" ht="14.4" x14ac:dyDescent="0.3"/>
    <row r="46700" ht="14.4" x14ac:dyDescent="0.3"/>
    <row r="46701" ht="14.4" x14ac:dyDescent="0.3"/>
    <row r="46702" ht="14.4" x14ac:dyDescent="0.3"/>
    <row r="46703" ht="14.4" x14ac:dyDescent="0.3"/>
    <row r="46704" ht="14.4" x14ac:dyDescent="0.3"/>
    <row r="46705" ht="14.4" x14ac:dyDescent="0.3"/>
    <row r="46706" ht="14.4" x14ac:dyDescent="0.3"/>
    <row r="46707" ht="14.4" x14ac:dyDescent="0.3"/>
    <row r="46708" ht="14.4" x14ac:dyDescent="0.3"/>
    <row r="46709" ht="14.4" x14ac:dyDescent="0.3"/>
    <row r="46710" ht="14.4" x14ac:dyDescent="0.3"/>
    <row r="46711" ht="14.4" x14ac:dyDescent="0.3"/>
    <row r="46712" ht="14.4" x14ac:dyDescent="0.3"/>
    <row r="46713" ht="14.4" x14ac:dyDescent="0.3"/>
    <row r="46714" ht="14.4" x14ac:dyDescent="0.3"/>
    <row r="46715" ht="14.4" x14ac:dyDescent="0.3"/>
    <row r="46716" ht="14.4" x14ac:dyDescent="0.3"/>
    <row r="46717" ht="14.4" x14ac:dyDescent="0.3"/>
    <row r="46718" ht="14.4" x14ac:dyDescent="0.3"/>
    <row r="46719" ht="14.4" x14ac:dyDescent="0.3"/>
    <row r="46720" ht="14.4" x14ac:dyDescent="0.3"/>
    <row r="46721" ht="14.4" x14ac:dyDescent="0.3"/>
    <row r="46722" ht="14.4" x14ac:dyDescent="0.3"/>
    <row r="46723" ht="14.4" x14ac:dyDescent="0.3"/>
    <row r="46724" ht="14.4" x14ac:dyDescent="0.3"/>
    <row r="46725" ht="14.4" x14ac:dyDescent="0.3"/>
    <row r="46726" ht="14.4" x14ac:dyDescent="0.3"/>
    <row r="46727" ht="14.4" x14ac:dyDescent="0.3"/>
    <row r="46728" ht="14.4" x14ac:dyDescent="0.3"/>
    <row r="46729" ht="14.4" x14ac:dyDescent="0.3"/>
    <row r="46730" ht="14.4" x14ac:dyDescent="0.3"/>
    <row r="46731" ht="14.4" x14ac:dyDescent="0.3"/>
    <row r="46732" ht="14.4" x14ac:dyDescent="0.3"/>
    <row r="46733" ht="14.4" x14ac:dyDescent="0.3"/>
    <row r="46734" ht="14.4" x14ac:dyDescent="0.3"/>
    <row r="46735" ht="14.4" x14ac:dyDescent="0.3"/>
    <row r="46736" ht="14.4" x14ac:dyDescent="0.3"/>
    <row r="46737" ht="14.4" x14ac:dyDescent="0.3"/>
    <row r="46738" ht="14.4" x14ac:dyDescent="0.3"/>
    <row r="46739" ht="14.4" x14ac:dyDescent="0.3"/>
    <row r="46740" ht="14.4" x14ac:dyDescent="0.3"/>
    <row r="46741" ht="14.4" x14ac:dyDescent="0.3"/>
    <row r="46742" ht="14.4" x14ac:dyDescent="0.3"/>
    <row r="46743" ht="14.4" x14ac:dyDescent="0.3"/>
    <row r="46744" ht="14.4" x14ac:dyDescent="0.3"/>
    <row r="46745" ht="14.4" x14ac:dyDescent="0.3"/>
    <row r="46746" ht="14.4" x14ac:dyDescent="0.3"/>
    <row r="46747" ht="14.4" x14ac:dyDescent="0.3"/>
    <row r="46748" ht="14.4" x14ac:dyDescent="0.3"/>
    <row r="46749" ht="14.4" x14ac:dyDescent="0.3"/>
    <row r="46750" ht="14.4" x14ac:dyDescent="0.3"/>
    <row r="46751" ht="14.4" x14ac:dyDescent="0.3"/>
    <row r="46752" ht="14.4" x14ac:dyDescent="0.3"/>
    <row r="46753" ht="14.4" x14ac:dyDescent="0.3"/>
    <row r="46754" ht="14.4" x14ac:dyDescent="0.3"/>
    <row r="46755" ht="14.4" x14ac:dyDescent="0.3"/>
    <row r="46756" ht="14.4" x14ac:dyDescent="0.3"/>
    <row r="46757" ht="14.4" x14ac:dyDescent="0.3"/>
    <row r="46758" ht="14.4" x14ac:dyDescent="0.3"/>
    <row r="46759" ht="14.4" x14ac:dyDescent="0.3"/>
    <row r="46760" ht="14.4" x14ac:dyDescent="0.3"/>
    <row r="46761" ht="14.4" x14ac:dyDescent="0.3"/>
    <row r="46762" ht="14.4" x14ac:dyDescent="0.3"/>
    <row r="46763" ht="14.4" x14ac:dyDescent="0.3"/>
    <row r="46764" ht="14.4" x14ac:dyDescent="0.3"/>
    <row r="46765" ht="14.4" x14ac:dyDescent="0.3"/>
    <row r="46766" ht="14.4" x14ac:dyDescent="0.3"/>
    <row r="46767" ht="14.4" x14ac:dyDescent="0.3"/>
    <row r="46768" ht="14.4" x14ac:dyDescent="0.3"/>
    <row r="46769" ht="14.4" x14ac:dyDescent="0.3"/>
    <row r="46770" ht="14.4" x14ac:dyDescent="0.3"/>
    <row r="46771" ht="14.4" x14ac:dyDescent="0.3"/>
    <row r="46772" ht="14.4" x14ac:dyDescent="0.3"/>
    <row r="46773" ht="14.4" x14ac:dyDescent="0.3"/>
    <row r="46774" ht="14.4" x14ac:dyDescent="0.3"/>
    <row r="46775" ht="14.4" x14ac:dyDescent="0.3"/>
    <row r="46776" ht="14.4" x14ac:dyDescent="0.3"/>
    <row r="46777" ht="14.4" x14ac:dyDescent="0.3"/>
    <row r="46778" ht="14.4" x14ac:dyDescent="0.3"/>
    <row r="46779" ht="14.4" x14ac:dyDescent="0.3"/>
    <row r="46780" ht="14.4" x14ac:dyDescent="0.3"/>
    <row r="46781" ht="14.4" x14ac:dyDescent="0.3"/>
    <row r="46782" ht="14.4" x14ac:dyDescent="0.3"/>
    <row r="46783" ht="14.4" x14ac:dyDescent="0.3"/>
    <row r="46784" ht="14.4" x14ac:dyDescent="0.3"/>
    <row r="46785" ht="14.4" x14ac:dyDescent="0.3"/>
    <row r="46786" ht="14.4" x14ac:dyDescent="0.3"/>
    <row r="46787" ht="14.4" x14ac:dyDescent="0.3"/>
    <row r="46788" ht="14.4" x14ac:dyDescent="0.3"/>
    <row r="46789" ht="14.4" x14ac:dyDescent="0.3"/>
    <row r="46790" ht="14.4" x14ac:dyDescent="0.3"/>
    <row r="46791" ht="14.4" x14ac:dyDescent="0.3"/>
    <row r="46792" ht="14.4" x14ac:dyDescent="0.3"/>
    <row r="46793" ht="14.4" x14ac:dyDescent="0.3"/>
    <row r="46794" ht="14.4" x14ac:dyDescent="0.3"/>
    <row r="46795" ht="14.4" x14ac:dyDescent="0.3"/>
    <row r="46796" ht="14.4" x14ac:dyDescent="0.3"/>
    <row r="46797" ht="14.4" x14ac:dyDescent="0.3"/>
    <row r="46798" ht="14.4" x14ac:dyDescent="0.3"/>
    <row r="46799" ht="14.4" x14ac:dyDescent="0.3"/>
    <row r="46800" ht="14.4" x14ac:dyDescent="0.3"/>
    <row r="46801" ht="14.4" x14ac:dyDescent="0.3"/>
    <row r="46802" ht="14.4" x14ac:dyDescent="0.3"/>
    <row r="46803" ht="14.4" x14ac:dyDescent="0.3"/>
    <row r="46804" ht="14.4" x14ac:dyDescent="0.3"/>
    <row r="46805" ht="14.4" x14ac:dyDescent="0.3"/>
    <row r="46806" ht="14.4" x14ac:dyDescent="0.3"/>
    <row r="46807" ht="14.4" x14ac:dyDescent="0.3"/>
    <row r="46808" ht="14.4" x14ac:dyDescent="0.3"/>
    <row r="46809" ht="14.4" x14ac:dyDescent="0.3"/>
    <row r="46810" ht="14.4" x14ac:dyDescent="0.3"/>
    <row r="46811" ht="14.4" x14ac:dyDescent="0.3"/>
    <row r="46812" ht="14.4" x14ac:dyDescent="0.3"/>
    <row r="46813" ht="14.4" x14ac:dyDescent="0.3"/>
    <row r="46814" ht="14.4" x14ac:dyDescent="0.3"/>
    <row r="46815" ht="14.4" x14ac:dyDescent="0.3"/>
    <row r="46816" ht="14.4" x14ac:dyDescent="0.3"/>
    <row r="46817" ht="14.4" x14ac:dyDescent="0.3"/>
    <row r="46818" ht="14.4" x14ac:dyDescent="0.3"/>
    <row r="46819" ht="14.4" x14ac:dyDescent="0.3"/>
    <row r="46820" ht="14.4" x14ac:dyDescent="0.3"/>
    <row r="46821" ht="14.4" x14ac:dyDescent="0.3"/>
    <row r="46822" ht="14.4" x14ac:dyDescent="0.3"/>
    <row r="46823" ht="14.4" x14ac:dyDescent="0.3"/>
    <row r="46824" ht="14.4" x14ac:dyDescent="0.3"/>
    <row r="46825" ht="14.4" x14ac:dyDescent="0.3"/>
    <row r="46826" ht="14.4" x14ac:dyDescent="0.3"/>
    <row r="46827" ht="14.4" x14ac:dyDescent="0.3"/>
    <row r="46828" ht="14.4" x14ac:dyDescent="0.3"/>
    <row r="46829" ht="14.4" x14ac:dyDescent="0.3"/>
    <row r="46830" ht="14.4" x14ac:dyDescent="0.3"/>
    <row r="46831" ht="14.4" x14ac:dyDescent="0.3"/>
    <row r="46832" ht="14.4" x14ac:dyDescent="0.3"/>
    <row r="46833" ht="14.4" x14ac:dyDescent="0.3"/>
    <row r="46834" ht="14.4" x14ac:dyDescent="0.3"/>
    <row r="46835" ht="14.4" x14ac:dyDescent="0.3"/>
    <row r="46836" ht="14.4" x14ac:dyDescent="0.3"/>
    <row r="46837" ht="14.4" x14ac:dyDescent="0.3"/>
    <row r="46838" ht="14.4" x14ac:dyDescent="0.3"/>
    <row r="46839" ht="14.4" x14ac:dyDescent="0.3"/>
    <row r="46840" ht="14.4" x14ac:dyDescent="0.3"/>
    <row r="46841" ht="14.4" x14ac:dyDescent="0.3"/>
    <row r="46842" ht="14.4" x14ac:dyDescent="0.3"/>
    <row r="46843" ht="14.4" x14ac:dyDescent="0.3"/>
    <row r="46844" ht="14.4" x14ac:dyDescent="0.3"/>
    <row r="46845" ht="14.4" x14ac:dyDescent="0.3"/>
    <row r="46846" ht="14.4" x14ac:dyDescent="0.3"/>
    <row r="46847" ht="14.4" x14ac:dyDescent="0.3"/>
    <row r="46848" ht="14.4" x14ac:dyDescent="0.3"/>
    <row r="46849" ht="14.4" x14ac:dyDescent="0.3"/>
    <row r="46850" ht="14.4" x14ac:dyDescent="0.3"/>
    <row r="46851" ht="14.4" x14ac:dyDescent="0.3"/>
    <row r="46852" ht="14.4" x14ac:dyDescent="0.3"/>
    <row r="46853" ht="14.4" x14ac:dyDescent="0.3"/>
    <row r="46854" ht="14.4" x14ac:dyDescent="0.3"/>
    <row r="46855" ht="14.4" x14ac:dyDescent="0.3"/>
    <row r="46856" ht="14.4" x14ac:dyDescent="0.3"/>
    <row r="46857" ht="14.4" x14ac:dyDescent="0.3"/>
    <row r="46858" ht="14.4" x14ac:dyDescent="0.3"/>
    <row r="46859" ht="14.4" x14ac:dyDescent="0.3"/>
    <row r="46860" ht="14.4" x14ac:dyDescent="0.3"/>
    <row r="46861" ht="14.4" x14ac:dyDescent="0.3"/>
    <row r="46862" ht="14.4" x14ac:dyDescent="0.3"/>
    <row r="46863" ht="14.4" x14ac:dyDescent="0.3"/>
    <row r="46864" ht="14.4" x14ac:dyDescent="0.3"/>
    <row r="46865" ht="14.4" x14ac:dyDescent="0.3"/>
    <row r="46866" ht="14.4" x14ac:dyDescent="0.3"/>
    <row r="46867" ht="14.4" x14ac:dyDescent="0.3"/>
    <row r="46868" ht="14.4" x14ac:dyDescent="0.3"/>
    <row r="46869" ht="14.4" x14ac:dyDescent="0.3"/>
    <row r="46870" ht="14.4" x14ac:dyDescent="0.3"/>
    <row r="46871" ht="14.4" x14ac:dyDescent="0.3"/>
    <row r="46872" ht="14.4" x14ac:dyDescent="0.3"/>
    <row r="46873" ht="14.4" x14ac:dyDescent="0.3"/>
    <row r="46874" ht="14.4" x14ac:dyDescent="0.3"/>
    <row r="46875" ht="14.4" x14ac:dyDescent="0.3"/>
    <row r="46876" ht="14.4" x14ac:dyDescent="0.3"/>
    <row r="46877" ht="14.4" x14ac:dyDescent="0.3"/>
    <row r="46878" ht="14.4" x14ac:dyDescent="0.3"/>
    <row r="46879" ht="14.4" x14ac:dyDescent="0.3"/>
    <row r="46880" ht="14.4" x14ac:dyDescent="0.3"/>
    <row r="46881" ht="14.4" x14ac:dyDescent="0.3"/>
    <row r="46882" ht="14.4" x14ac:dyDescent="0.3"/>
    <row r="46883" ht="14.4" x14ac:dyDescent="0.3"/>
    <row r="46884" ht="14.4" x14ac:dyDescent="0.3"/>
    <row r="46885" ht="14.4" x14ac:dyDescent="0.3"/>
    <row r="46886" ht="14.4" x14ac:dyDescent="0.3"/>
    <row r="46887" ht="14.4" x14ac:dyDescent="0.3"/>
    <row r="46888" ht="14.4" x14ac:dyDescent="0.3"/>
    <row r="46889" ht="14.4" x14ac:dyDescent="0.3"/>
    <row r="46890" ht="14.4" x14ac:dyDescent="0.3"/>
    <row r="46891" ht="14.4" x14ac:dyDescent="0.3"/>
    <row r="46892" ht="14.4" x14ac:dyDescent="0.3"/>
    <row r="46893" ht="14.4" x14ac:dyDescent="0.3"/>
    <row r="46894" ht="14.4" x14ac:dyDescent="0.3"/>
    <row r="46895" ht="14.4" x14ac:dyDescent="0.3"/>
    <row r="46896" ht="14.4" x14ac:dyDescent="0.3"/>
    <row r="46897" ht="14.4" x14ac:dyDescent="0.3"/>
    <row r="46898" ht="14.4" x14ac:dyDescent="0.3"/>
    <row r="46899" ht="14.4" x14ac:dyDescent="0.3"/>
    <row r="46900" ht="14.4" x14ac:dyDescent="0.3"/>
    <row r="46901" ht="14.4" x14ac:dyDescent="0.3"/>
    <row r="46902" ht="14.4" x14ac:dyDescent="0.3"/>
    <row r="46903" ht="14.4" x14ac:dyDescent="0.3"/>
    <row r="46904" ht="14.4" x14ac:dyDescent="0.3"/>
    <row r="46905" ht="14.4" x14ac:dyDescent="0.3"/>
    <row r="46906" ht="14.4" x14ac:dyDescent="0.3"/>
    <row r="46907" ht="14.4" x14ac:dyDescent="0.3"/>
    <row r="46908" ht="14.4" x14ac:dyDescent="0.3"/>
    <row r="46909" ht="14.4" x14ac:dyDescent="0.3"/>
    <row r="46910" ht="14.4" x14ac:dyDescent="0.3"/>
    <row r="46911" ht="14.4" x14ac:dyDescent="0.3"/>
    <row r="46912" ht="14.4" x14ac:dyDescent="0.3"/>
    <row r="46913" ht="14.4" x14ac:dyDescent="0.3"/>
    <row r="46914" ht="14.4" x14ac:dyDescent="0.3"/>
    <row r="46915" ht="14.4" x14ac:dyDescent="0.3"/>
    <row r="46916" ht="14.4" x14ac:dyDescent="0.3"/>
    <row r="46917" ht="14.4" x14ac:dyDescent="0.3"/>
    <row r="46918" ht="14.4" x14ac:dyDescent="0.3"/>
    <row r="46919" ht="14.4" x14ac:dyDescent="0.3"/>
    <row r="46920" ht="14.4" x14ac:dyDescent="0.3"/>
    <row r="46921" ht="14.4" x14ac:dyDescent="0.3"/>
    <row r="46922" ht="14.4" x14ac:dyDescent="0.3"/>
    <row r="46923" ht="14.4" x14ac:dyDescent="0.3"/>
    <row r="46924" ht="14.4" x14ac:dyDescent="0.3"/>
    <row r="46925" ht="14.4" x14ac:dyDescent="0.3"/>
    <row r="46926" ht="14.4" x14ac:dyDescent="0.3"/>
    <row r="46927" ht="14.4" x14ac:dyDescent="0.3"/>
    <row r="46928" ht="14.4" x14ac:dyDescent="0.3"/>
    <row r="46929" ht="14.4" x14ac:dyDescent="0.3"/>
    <row r="46930" ht="14.4" x14ac:dyDescent="0.3"/>
    <row r="46931" ht="14.4" x14ac:dyDescent="0.3"/>
    <row r="46932" ht="14.4" x14ac:dyDescent="0.3"/>
    <row r="46933" ht="14.4" x14ac:dyDescent="0.3"/>
    <row r="46934" ht="14.4" x14ac:dyDescent="0.3"/>
    <row r="46935" ht="14.4" x14ac:dyDescent="0.3"/>
    <row r="46936" ht="14.4" x14ac:dyDescent="0.3"/>
    <row r="46937" ht="14.4" x14ac:dyDescent="0.3"/>
    <row r="46938" ht="14.4" x14ac:dyDescent="0.3"/>
    <row r="46939" ht="14.4" x14ac:dyDescent="0.3"/>
    <row r="46940" ht="14.4" x14ac:dyDescent="0.3"/>
    <row r="46941" ht="14.4" x14ac:dyDescent="0.3"/>
    <row r="46942" ht="14.4" x14ac:dyDescent="0.3"/>
    <row r="46943" ht="14.4" x14ac:dyDescent="0.3"/>
    <row r="46944" ht="14.4" x14ac:dyDescent="0.3"/>
    <row r="46945" ht="14.4" x14ac:dyDescent="0.3"/>
    <row r="46946" ht="14.4" x14ac:dyDescent="0.3"/>
    <row r="46947" ht="14.4" x14ac:dyDescent="0.3"/>
    <row r="46948" ht="14.4" x14ac:dyDescent="0.3"/>
    <row r="46949" ht="14.4" x14ac:dyDescent="0.3"/>
    <row r="46950" ht="14.4" x14ac:dyDescent="0.3"/>
    <row r="46951" ht="14.4" x14ac:dyDescent="0.3"/>
    <row r="46952" ht="14.4" x14ac:dyDescent="0.3"/>
    <row r="46953" ht="14.4" x14ac:dyDescent="0.3"/>
    <row r="46954" ht="14.4" x14ac:dyDescent="0.3"/>
    <row r="46955" ht="14.4" x14ac:dyDescent="0.3"/>
    <row r="46956" ht="14.4" x14ac:dyDescent="0.3"/>
    <row r="46957" ht="14.4" x14ac:dyDescent="0.3"/>
    <row r="46958" ht="14.4" x14ac:dyDescent="0.3"/>
    <row r="46959" ht="14.4" x14ac:dyDescent="0.3"/>
    <row r="46960" ht="14.4" x14ac:dyDescent="0.3"/>
    <row r="46961" ht="14.4" x14ac:dyDescent="0.3"/>
    <row r="46962" ht="14.4" x14ac:dyDescent="0.3"/>
    <row r="46963" ht="14.4" x14ac:dyDescent="0.3"/>
    <row r="46964" ht="14.4" x14ac:dyDescent="0.3"/>
    <row r="46965" ht="14.4" x14ac:dyDescent="0.3"/>
    <row r="46966" ht="14.4" x14ac:dyDescent="0.3"/>
    <row r="46967" ht="14.4" x14ac:dyDescent="0.3"/>
    <row r="46968" ht="14.4" x14ac:dyDescent="0.3"/>
    <row r="46969" ht="14.4" x14ac:dyDescent="0.3"/>
    <row r="46970" ht="14.4" x14ac:dyDescent="0.3"/>
    <row r="46971" ht="14.4" x14ac:dyDescent="0.3"/>
    <row r="46972" ht="14.4" x14ac:dyDescent="0.3"/>
    <row r="46973" ht="14.4" x14ac:dyDescent="0.3"/>
    <row r="46974" ht="14.4" x14ac:dyDescent="0.3"/>
    <row r="46975" ht="14.4" x14ac:dyDescent="0.3"/>
    <row r="46976" ht="14.4" x14ac:dyDescent="0.3"/>
    <row r="46977" ht="14.4" x14ac:dyDescent="0.3"/>
    <row r="46978" ht="14.4" x14ac:dyDescent="0.3"/>
    <row r="46979" ht="14.4" x14ac:dyDescent="0.3"/>
    <row r="46980" ht="14.4" x14ac:dyDescent="0.3"/>
    <row r="46981" ht="14.4" x14ac:dyDescent="0.3"/>
    <row r="46982" ht="14.4" x14ac:dyDescent="0.3"/>
    <row r="46983" ht="14.4" x14ac:dyDescent="0.3"/>
    <row r="46984" ht="14.4" x14ac:dyDescent="0.3"/>
    <row r="46985" ht="14.4" x14ac:dyDescent="0.3"/>
    <row r="46986" ht="14.4" x14ac:dyDescent="0.3"/>
    <row r="46987" ht="14.4" x14ac:dyDescent="0.3"/>
    <row r="46988" ht="14.4" x14ac:dyDescent="0.3"/>
    <row r="46989" ht="14.4" x14ac:dyDescent="0.3"/>
    <row r="46990" ht="14.4" x14ac:dyDescent="0.3"/>
    <row r="46991" ht="14.4" x14ac:dyDescent="0.3"/>
    <row r="46992" ht="14.4" x14ac:dyDescent="0.3"/>
    <row r="46993" ht="14.4" x14ac:dyDescent="0.3"/>
    <row r="46994" ht="14.4" x14ac:dyDescent="0.3"/>
    <row r="46995" ht="14.4" x14ac:dyDescent="0.3"/>
    <row r="46996" ht="14.4" x14ac:dyDescent="0.3"/>
    <row r="46997" ht="14.4" x14ac:dyDescent="0.3"/>
    <row r="46998" ht="14.4" x14ac:dyDescent="0.3"/>
    <row r="46999" ht="14.4" x14ac:dyDescent="0.3"/>
    <row r="47000" ht="14.4" x14ac:dyDescent="0.3"/>
    <row r="47001" ht="14.4" x14ac:dyDescent="0.3"/>
    <row r="47002" ht="14.4" x14ac:dyDescent="0.3"/>
    <row r="47003" ht="14.4" x14ac:dyDescent="0.3"/>
    <row r="47004" ht="14.4" x14ac:dyDescent="0.3"/>
    <row r="47005" ht="14.4" x14ac:dyDescent="0.3"/>
    <row r="47006" ht="14.4" x14ac:dyDescent="0.3"/>
    <row r="47007" ht="14.4" x14ac:dyDescent="0.3"/>
    <row r="47008" ht="14.4" x14ac:dyDescent="0.3"/>
    <row r="47009" ht="14.4" x14ac:dyDescent="0.3"/>
    <row r="47010" ht="14.4" x14ac:dyDescent="0.3"/>
    <row r="47011" ht="14.4" x14ac:dyDescent="0.3"/>
    <row r="47012" ht="14.4" x14ac:dyDescent="0.3"/>
    <row r="47013" ht="14.4" x14ac:dyDescent="0.3"/>
    <row r="47014" ht="14.4" x14ac:dyDescent="0.3"/>
    <row r="47015" ht="14.4" x14ac:dyDescent="0.3"/>
    <row r="47016" ht="14.4" x14ac:dyDescent="0.3"/>
    <row r="47017" ht="14.4" x14ac:dyDescent="0.3"/>
    <row r="47018" ht="14.4" x14ac:dyDescent="0.3"/>
    <row r="47019" ht="14.4" x14ac:dyDescent="0.3"/>
    <row r="47020" ht="14.4" x14ac:dyDescent="0.3"/>
    <row r="47021" ht="14.4" x14ac:dyDescent="0.3"/>
    <row r="47022" ht="14.4" x14ac:dyDescent="0.3"/>
    <row r="47023" ht="14.4" x14ac:dyDescent="0.3"/>
    <row r="47024" ht="14.4" x14ac:dyDescent="0.3"/>
    <row r="47025" ht="14.4" x14ac:dyDescent="0.3"/>
    <row r="47026" ht="14.4" x14ac:dyDescent="0.3"/>
    <row r="47027" ht="14.4" x14ac:dyDescent="0.3"/>
    <row r="47028" ht="14.4" x14ac:dyDescent="0.3"/>
    <row r="47029" ht="14.4" x14ac:dyDescent="0.3"/>
    <row r="47030" ht="14.4" x14ac:dyDescent="0.3"/>
    <row r="47031" ht="14.4" x14ac:dyDescent="0.3"/>
    <row r="47032" ht="14.4" x14ac:dyDescent="0.3"/>
    <row r="47033" ht="14.4" x14ac:dyDescent="0.3"/>
    <row r="47034" ht="14.4" x14ac:dyDescent="0.3"/>
    <row r="47035" ht="14.4" x14ac:dyDescent="0.3"/>
    <row r="47036" ht="14.4" x14ac:dyDescent="0.3"/>
    <row r="47037" ht="14.4" x14ac:dyDescent="0.3"/>
    <row r="47038" ht="14.4" x14ac:dyDescent="0.3"/>
    <row r="47039" ht="14.4" x14ac:dyDescent="0.3"/>
    <row r="47040" ht="14.4" x14ac:dyDescent="0.3"/>
    <row r="47041" ht="14.4" x14ac:dyDescent="0.3"/>
    <row r="47042" ht="14.4" x14ac:dyDescent="0.3"/>
    <row r="47043" ht="14.4" x14ac:dyDescent="0.3"/>
    <row r="47044" ht="14.4" x14ac:dyDescent="0.3"/>
    <row r="47045" ht="14.4" x14ac:dyDescent="0.3"/>
    <row r="47046" ht="14.4" x14ac:dyDescent="0.3"/>
    <row r="47047" ht="14.4" x14ac:dyDescent="0.3"/>
    <row r="47048" ht="14.4" x14ac:dyDescent="0.3"/>
    <row r="47049" ht="14.4" x14ac:dyDescent="0.3"/>
    <row r="47050" ht="14.4" x14ac:dyDescent="0.3"/>
    <row r="47051" ht="14.4" x14ac:dyDescent="0.3"/>
    <row r="47052" ht="14.4" x14ac:dyDescent="0.3"/>
    <row r="47053" ht="14.4" x14ac:dyDescent="0.3"/>
    <row r="47054" ht="14.4" x14ac:dyDescent="0.3"/>
    <row r="47055" ht="14.4" x14ac:dyDescent="0.3"/>
    <row r="47056" ht="14.4" x14ac:dyDescent="0.3"/>
    <row r="47057" ht="14.4" x14ac:dyDescent="0.3"/>
    <row r="47058" ht="14.4" x14ac:dyDescent="0.3"/>
    <row r="47059" ht="14.4" x14ac:dyDescent="0.3"/>
    <row r="47060" ht="14.4" x14ac:dyDescent="0.3"/>
    <row r="47061" ht="14.4" x14ac:dyDescent="0.3"/>
    <row r="47062" ht="14.4" x14ac:dyDescent="0.3"/>
    <row r="47063" ht="14.4" x14ac:dyDescent="0.3"/>
    <row r="47064" ht="14.4" x14ac:dyDescent="0.3"/>
    <row r="47065" ht="14.4" x14ac:dyDescent="0.3"/>
    <row r="47066" ht="14.4" x14ac:dyDescent="0.3"/>
    <row r="47067" ht="14.4" x14ac:dyDescent="0.3"/>
    <row r="47068" ht="14.4" x14ac:dyDescent="0.3"/>
    <row r="47069" ht="14.4" x14ac:dyDescent="0.3"/>
    <row r="47070" ht="14.4" x14ac:dyDescent="0.3"/>
    <row r="47071" ht="14.4" x14ac:dyDescent="0.3"/>
    <row r="47072" ht="14.4" x14ac:dyDescent="0.3"/>
    <row r="47073" ht="14.4" x14ac:dyDescent="0.3"/>
    <row r="47074" ht="14.4" x14ac:dyDescent="0.3"/>
    <row r="47075" ht="14.4" x14ac:dyDescent="0.3"/>
    <row r="47076" ht="14.4" x14ac:dyDescent="0.3"/>
    <row r="47077" ht="14.4" x14ac:dyDescent="0.3"/>
    <row r="47078" ht="14.4" x14ac:dyDescent="0.3"/>
    <row r="47079" ht="14.4" x14ac:dyDescent="0.3"/>
    <row r="47080" ht="14.4" x14ac:dyDescent="0.3"/>
    <row r="47081" ht="14.4" x14ac:dyDescent="0.3"/>
    <row r="47082" ht="14.4" x14ac:dyDescent="0.3"/>
    <row r="47083" ht="14.4" x14ac:dyDescent="0.3"/>
    <row r="47084" ht="14.4" x14ac:dyDescent="0.3"/>
    <row r="47085" ht="14.4" x14ac:dyDescent="0.3"/>
    <row r="47086" ht="14.4" x14ac:dyDescent="0.3"/>
    <row r="47087" ht="14.4" x14ac:dyDescent="0.3"/>
    <row r="47088" ht="14.4" x14ac:dyDescent="0.3"/>
    <row r="47089" ht="14.4" x14ac:dyDescent="0.3"/>
    <row r="47090" ht="14.4" x14ac:dyDescent="0.3"/>
    <row r="47091" ht="14.4" x14ac:dyDescent="0.3"/>
    <row r="47092" ht="14.4" x14ac:dyDescent="0.3"/>
    <row r="47093" ht="14.4" x14ac:dyDescent="0.3"/>
    <row r="47094" ht="14.4" x14ac:dyDescent="0.3"/>
    <row r="47095" ht="14.4" x14ac:dyDescent="0.3"/>
    <row r="47096" ht="14.4" x14ac:dyDescent="0.3"/>
    <row r="47097" ht="14.4" x14ac:dyDescent="0.3"/>
    <row r="47098" ht="14.4" x14ac:dyDescent="0.3"/>
    <row r="47099" ht="14.4" x14ac:dyDescent="0.3"/>
    <row r="47100" ht="14.4" x14ac:dyDescent="0.3"/>
    <row r="47101" ht="14.4" x14ac:dyDescent="0.3"/>
    <row r="47102" ht="14.4" x14ac:dyDescent="0.3"/>
    <row r="47103" ht="14.4" x14ac:dyDescent="0.3"/>
    <row r="47104" ht="14.4" x14ac:dyDescent="0.3"/>
    <row r="47105" ht="14.4" x14ac:dyDescent="0.3"/>
    <row r="47106" ht="14.4" x14ac:dyDescent="0.3"/>
    <row r="47107" ht="14.4" x14ac:dyDescent="0.3"/>
    <row r="47108" ht="14.4" x14ac:dyDescent="0.3"/>
    <row r="47109" ht="14.4" x14ac:dyDescent="0.3"/>
    <row r="47110" ht="14.4" x14ac:dyDescent="0.3"/>
    <row r="47111" ht="14.4" x14ac:dyDescent="0.3"/>
    <row r="47112" ht="14.4" x14ac:dyDescent="0.3"/>
    <row r="47113" ht="14.4" x14ac:dyDescent="0.3"/>
    <row r="47114" ht="14.4" x14ac:dyDescent="0.3"/>
    <row r="47115" ht="14.4" x14ac:dyDescent="0.3"/>
    <row r="47116" ht="14.4" x14ac:dyDescent="0.3"/>
    <row r="47117" ht="14.4" x14ac:dyDescent="0.3"/>
    <row r="47118" ht="14.4" x14ac:dyDescent="0.3"/>
    <row r="47119" ht="14.4" x14ac:dyDescent="0.3"/>
    <row r="47120" ht="14.4" x14ac:dyDescent="0.3"/>
    <row r="47121" ht="14.4" x14ac:dyDescent="0.3"/>
    <row r="47122" ht="14.4" x14ac:dyDescent="0.3"/>
    <row r="47123" ht="14.4" x14ac:dyDescent="0.3"/>
    <row r="47124" ht="14.4" x14ac:dyDescent="0.3"/>
    <row r="47125" ht="14.4" x14ac:dyDescent="0.3"/>
    <row r="47126" ht="14.4" x14ac:dyDescent="0.3"/>
    <row r="47127" ht="14.4" x14ac:dyDescent="0.3"/>
    <row r="47128" ht="14.4" x14ac:dyDescent="0.3"/>
    <row r="47129" ht="14.4" x14ac:dyDescent="0.3"/>
    <row r="47130" ht="14.4" x14ac:dyDescent="0.3"/>
    <row r="47131" ht="14.4" x14ac:dyDescent="0.3"/>
    <row r="47132" ht="14.4" x14ac:dyDescent="0.3"/>
    <row r="47133" ht="14.4" x14ac:dyDescent="0.3"/>
    <row r="47134" ht="14.4" x14ac:dyDescent="0.3"/>
    <row r="47135" ht="14.4" x14ac:dyDescent="0.3"/>
    <row r="47136" ht="14.4" x14ac:dyDescent="0.3"/>
    <row r="47137" ht="14.4" x14ac:dyDescent="0.3"/>
    <row r="47138" ht="14.4" x14ac:dyDescent="0.3"/>
    <row r="47139" ht="14.4" x14ac:dyDescent="0.3"/>
    <row r="47140" ht="14.4" x14ac:dyDescent="0.3"/>
    <row r="47141" ht="14.4" x14ac:dyDescent="0.3"/>
    <row r="47142" ht="14.4" x14ac:dyDescent="0.3"/>
    <row r="47143" ht="14.4" x14ac:dyDescent="0.3"/>
    <row r="47144" ht="14.4" x14ac:dyDescent="0.3"/>
    <row r="47145" ht="14.4" x14ac:dyDescent="0.3"/>
    <row r="47146" ht="14.4" x14ac:dyDescent="0.3"/>
    <row r="47147" ht="14.4" x14ac:dyDescent="0.3"/>
    <row r="47148" ht="14.4" x14ac:dyDescent="0.3"/>
    <row r="47149" ht="14.4" x14ac:dyDescent="0.3"/>
    <row r="47150" ht="14.4" x14ac:dyDescent="0.3"/>
    <row r="47151" ht="14.4" x14ac:dyDescent="0.3"/>
    <row r="47152" ht="14.4" x14ac:dyDescent="0.3"/>
    <row r="47153" ht="14.4" x14ac:dyDescent="0.3"/>
    <row r="47154" ht="14.4" x14ac:dyDescent="0.3"/>
    <row r="47155" ht="14.4" x14ac:dyDescent="0.3"/>
    <row r="47156" ht="14.4" x14ac:dyDescent="0.3"/>
    <row r="47157" ht="14.4" x14ac:dyDescent="0.3"/>
    <row r="47158" ht="14.4" x14ac:dyDescent="0.3"/>
    <row r="47159" ht="14.4" x14ac:dyDescent="0.3"/>
    <row r="47160" ht="14.4" x14ac:dyDescent="0.3"/>
    <row r="47161" ht="14.4" x14ac:dyDescent="0.3"/>
    <row r="47162" ht="14.4" x14ac:dyDescent="0.3"/>
    <row r="47163" ht="14.4" x14ac:dyDescent="0.3"/>
    <row r="47164" ht="14.4" x14ac:dyDescent="0.3"/>
    <row r="47165" ht="14.4" x14ac:dyDescent="0.3"/>
    <row r="47166" ht="14.4" x14ac:dyDescent="0.3"/>
    <row r="47167" ht="14.4" x14ac:dyDescent="0.3"/>
    <row r="47168" ht="14.4" x14ac:dyDescent="0.3"/>
    <row r="47169" ht="14.4" x14ac:dyDescent="0.3"/>
    <row r="47170" ht="14.4" x14ac:dyDescent="0.3"/>
    <row r="47171" ht="14.4" x14ac:dyDescent="0.3"/>
    <row r="47172" ht="14.4" x14ac:dyDescent="0.3"/>
    <row r="47173" ht="14.4" x14ac:dyDescent="0.3"/>
    <row r="47174" ht="14.4" x14ac:dyDescent="0.3"/>
    <row r="47175" ht="14.4" x14ac:dyDescent="0.3"/>
    <row r="47176" ht="14.4" x14ac:dyDescent="0.3"/>
    <row r="47177" ht="14.4" x14ac:dyDescent="0.3"/>
    <row r="47178" ht="14.4" x14ac:dyDescent="0.3"/>
    <row r="47179" ht="14.4" x14ac:dyDescent="0.3"/>
    <row r="47180" ht="14.4" x14ac:dyDescent="0.3"/>
    <row r="47181" ht="14.4" x14ac:dyDescent="0.3"/>
    <row r="47182" ht="14.4" x14ac:dyDescent="0.3"/>
    <row r="47183" ht="14.4" x14ac:dyDescent="0.3"/>
    <row r="47184" ht="14.4" x14ac:dyDescent="0.3"/>
    <row r="47185" ht="14.4" x14ac:dyDescent="0.3"/>
    <row r="47186" ht="14.4" x14ac:dyDescent="0.3"/>
    <row r="47187" ht="14.4" x14ac:dyDescent="0.3"/>
    <row r="47188" ht="14.4" x14ac:dyDescent="0.3"/>
    <row r="47189" ht="14.4" x14ac:dyDescent="0.3"/>
    <row r="47190" ht="14.4" x14ac:dyDescent="0.3"/>
    <row r="47191" ht="14.4" x14ac:dyDescent="0.3"/>
    <row r="47192" ht="14.4" x14ac:dyDescent="0.3"/>
    <row r="47193" ht="14.4" x14ac:dyDescent="0.3"/>
    <row r="47194" ht="14.4" x14ac:dyDescent="0.3"/>
    <row r="47195" ht="14.4" x14ac:dyDescent="0.3"/>
    <row r="47196" ht="14.4" x14ac:dyDescent="0.3"/>
    <row r="47197" ht="14.4" x14ac:dyDescent="0.3"/>
    <row r="47198" ht="14.4" x14ac:dyDescent="0.3"/>
    <row r="47199" ht="14.4" x14ac:dyDescent="0.3"/>
    <row r="47200" ht="14.4" x14ac:dyDescent="0.3"/>
    <row r="47201" ht="14.4" x14ac:dyDescent="0.3"/>
    <row r="47202" ht="14.4" x14ac:dyDescent="0.3"/>
    <row r="47203" ht="14.4" x14ac:dyDescent="0.3"/>
    <row r="47204" ht="14.4" x14ac:dyDescent="0.3"/>
    <row r="47205" ht="14.4" x14ac:dyDescent="0.3"/>
    <row r="47206" ht="14.4" x14ac:dyDescent="0.3"/>
    <row r="47207" ht="14.4" x14ac:dyDescent="0.3"/>
    <row r="47208" ht="14.4" x14ac:dyDescent="0.3"/>
    <row r="47209" ht="14.4" x14ac:dyDescent="0.3"/>
    <row r="47210" ht="14.4" x14ac:dyDescent="0.3"/>
    <row r="47211" ht="14.4" x14ac:dyDescent="0.3"/>
    <row r="47212" ht="14.4" x14ac:dyDescent="0.3"/>
    <row r="47213" ht="14.4" x14ac:dyDescent="0.3"/>
    <row r="47214" ht="14.4" x14ac:dyDescent="0.3"/>
    <row r="47215" ht="14.4" x14ac:dyDescent="0.3"/>
    <row r="47216" ht="14.4" x14ac:dyDescent="0.3"/>
    <row r="47217" ht="14.4" x14ac:dyDescent="0.3"/>
    <row r="47218" ht="14.4" x14ac:dyDescent="0.3"/>
    <row r="47219" ht="14.4" x14ac:dyDescent="0.3"/>
    <row r="47220" ht="14.4" x14ac:dyDescent="0.3"/>
    <row r="47221" ht="14.4" x14ac:dyDescent="0.3"/>
    <row r="47222" ht="14.4" x14ac:dyDescent="0.3"/>
    <row r="47223" ht="14.4" x14ac:dyDescent="0.3"/>
    <row r="47224" ht="14.4" x14ac:dyDescent="0.3"/>
    <row r="47225" ht="14.4" x14ac:dyDescent="0.3"/>
    <row r="47226" ht="14.4" x14ac:dyDescent="0.3"/>
    <row r="47227" ht="14.4" x14ac:dyDescent="0.3"/>
    <row r="47228" ht="14.4" x14ac:dyDescent="0.3"/>
    <row r="47229" ht="14.4" x14ac:dyDescent="0.3"/>
    <row r="47230" ht="14.4" x14ac:dyDescent="0.3"/>
    <row r="47231" ht="14.4" x14ac:dyDescent="0.3"/>
    <row r="47232" ht="14.4" x14ac:dyDescent="0.3"/>
    <row r="47233" ht="14.4" x14ac:dyDescent="0.3"/>
    <row r="47234" ht="14.4" x14ac:dyDescent="0.3"/>
    <row r="47235" ht="14.4" x14ac:dyDescent="0.3"/>
    <row r="47236" ht="14.4" x14ac:dyDescent="0.3"/>
    <row r="47237" ht="14.4" x14ac:dyDescent="0.3"/>
    <row r="47238" ht="14.4" x14ac:dyDescent="0.3"/>
    <row r="47239" ht="14.4" x14ac:dyDescent="0.3"/>
    <row r="47240" ht="14.4" x14ac:dyDescent="0.3"/>
    <row r="47241" ht="14.4" x14ac:dyDescent="0.3"/>
    <row r="47242" ht="14.4" x14ac:dyDescent="0.3"/>
    <row r="47243" ht="14.4" x14ac:dyDescent="0.3"/>
    <row r="47244" ht="14.4" x14ac:dyDescent="0.3"/>
    <row r="47245" ht="14.4" x14ac:dyDescent="0.3"/>
    <row r="47246" ht="14.4" x14ac:dyDescent="0.3"/>
    <row r="47247" ht="14.4" x14ac:dyDescent="0.3"/>
    <row r="47248" ht="14.4" x14ac:dyDescent="0.3"/>
    <row r="47249" ht="14.4" x14ac:dyDescent="0.3"/>
    <row r="47250" ht="14.4" x14ac:dyDescent="0.3"/>
    <row r="47251" ht="14.4" x14ac:dyDescent="0.3"/>
    <row r="47252" ht="14.4" x14ac:dyDescent="0.3"/>
    <row r="47253" ht="14.4" x14ac:dyDescent="0.3"/>
    <row r="47254" ht="14.4" x14ac:dyDescent="0.3"/>
    <row r="47255" ht="14.4" x14ac:dyDescent="0.3"/>
    <row r="47256" ht="14.4" x14ac:dyDescent="0.3"/>
    <row r="47257" ht="14.4" x14ac:dyDescent="0.3"/>
    <row r="47258" ht="14.4" x14ac:dyDescent="0.3"/>
    <row r="47259" ht="14.4" x14ac:dyDescent="0.3"/>
    <row r="47260" ht="14.4" x14ac:dyDescent="0.3"/>
    <row r="47261" ht="14.4" x14ac:dyDescent="0.3"/>
    <row r="47262" ht="14.4" x14ac:dyDescent="0.3"/>
    <row r="47263" ht="14.4" x14ac:dyDescent="0.3"/>
    <row r="47264" ht="14.4" x14ac:dyDescent="0.3"/>
    <row r="47265" ht="14.4" x14ac:dyDescent="0.3"/>
    <row r="47266" ht="14.4" x14ac:dyDescent="0.3"/>
    <row r="47267" ht="14.4" x14ac:dyDescent="0.3"/>
    <row r="47268" ht="14.4" x14ac:dyDescent="0.3"/>
    <row r="47269" ht="14.4" x14ac:dyDescent="0.3"/>
    <row r="47270" ht="14.4" x14ac:dyDescent="0.3"/>
    <row r="47271" ht="14.4" x14ac:dyDescent="0.3"/>
    <row r="47272" ht="14.4" x14ac:dyDescent="0.3"/>
    <row r="47273" ht="14.4" x14ac:dyDescent="0.3"/>
    <row r="47274" ht="14.4" x14ac:dyDescent="0.3"/>
    <row r="47275" ht="14.4" x14ac:dyDescent="0.3"/>
    <row r="47276" ht="14.4" x14ac:dyDescent="0.3"/>
    <row r="47277" ht="14.4" x14ac:dyDescent="0.3"/>
    <row r="47278" ht="14.4" x14ac:dyDescent="0.3"/>
    <row r="47279" ht="14.4" x14ac:dyDescent="0.3"/>
    <row r="47280" ht="14.4" x14ac:dyDescent="0.3"/>
    <row r="47281" ht="14.4" x14ac:dyDescent="0.3"/>
    <row r="47282" ht="14.4" x14ac:dyDescent="0.3"/>
    <row r="47283" ht="14.4" x14ac:dyDescent="0.3"/>
    <row r="47284" ht="14.4" x14ac:dyDescent="0.3"/>
    <row r="47285" ht="14.4" x14ac:dyDescent="0.3"/>
    <row r="47286" ht="14.4" x14ac:dyDescent="0.3"/>
    <row r="47287" ht="14.4" x14ac:dyDescent="0.3"/>
    <row r="47288" ht="14.4" x14ac:dyDescent="0.3"/>
    <row r="47289" ht="14.4" x14ac:dyDescent="0.3"/>
    <row r="47290" ht="14.4" x14ac:dyDescent="0.3"/>
    <row r="47291" ht="14.4" x14ac:dyDescent="0.3"/>
    <row r="47292" ht="14.4" x14ac:dyDescent="0.3"/>
    <row r="47293" ht="14.4" x14ac:dyDescent="0.3"/>
    <row r="47294" ht="14.4" x14ac:dyDescent="0.3"/>
    <row r="47295" ht="14.4" x14ac:dyDescent="0.3"/>
    <row r="47296" ht="14.4" x14ac:dyDescent="0.3"/>
    <row r="47297" ht="14.4" x14ac:dyDescent="0.3"/>
    <row r="47298" ht="14.4" x14ac:dyDescent="0.3"/>
    <row r="47299" ht="14.4" x14ac:dyDescent="0.3"/>
    <row r="47300" ht="14.4" x14ac:dyDescent="0.3"/>
    <row r="47301" ht="14.4" x14ac:dyDescent="0.3"/>
    <row r="47302" ht="14.4" x14ac:dyDescent="0.3"/>
    <row r="47303" ht="14.4" x14ac:dyDescent="0.3"/>
    <row r="47304" ht="14.4" x14ac:dyDescent="0.3"/>
    <row r="47305" ht="14.4" x14ac:dyDescent="0.3"/>
    <row r="47306" ht="14.4" x14ac:dyDescent="0.3"/>
    <row r="47307" ht="14.4" x14ac:dyDescent="0.3"/>
    <row r="47308" ht="14.4" x14ac:dyDescent="0.3"/>
    <row r="47309" ht="14.4" x14ac:dyDescent="0.3"/>
    <row r="47310" ht="14.4" x14ac:dyDescent="0.3"/>
    <row r="47311" ht="14.4" x14ac:dyDescent="0.3"/>
    <row r="47312" ht="14.4" x14ac:dyDescent="0.3"/>
    <row r="47313" ht="14.4" x14ac:dyDescent="0.3"/>
    <row r="47314" ht="14.4" x14ac:dyDescent="0.3"/>
    <row r="47315" ht="14.4" x14ac:dyDescent="0.3"/>
    <row r="47316" ht="14.4" x14ac:dyDescent="0.3"/>
    <row r="47317" ht="14.4" x14ac:dyDescent="0.3"/>
    <row r="47318" ht="14.4" x14ac:dyDescent="0.3"/>
    <row r="47319" ht="14.4" x14ac:dyDescent="0.3"/>
    <row r="47320" ht="14.4" x14ac:dyDescent="0.3"/>
    <row r="47321" ht="14.4" x14ac:dyDescent="0.3"/>
    <row r="47322" ht="14.4" x14ac:dyDescent="0.3"/>
    <row r="47323" ht="14.4" x14ac:dyDescent="0.3"/>
    <row r="47324" ht="14.4" x14ac:dyDescent="0.3"/>
    <row r="47325" ht="14.4" x14ac:dyDescent="0.3"/>
    <row r="47326" ht="14.4" x14ac:dyDescent="0.3"/>
    <row r="47327" ht="14.4" x14ac:dyDescent="0.3"/>
    <row r="47328" ht="14.4" x14ac:dyDescent="0.3"/>
    <row r="47329" ht="14.4" x14ac:dyDescent="0.3"/>
    <row r="47330" ht="14.4" x14ac:dyDescent="0.3"/>
    <row r="47331" ht="14.4" x14ac:dyDescent="0.3"/>
    <row r="47332" ht="14.4" x14ac:dyDescent="0.3"/>
    <row r="47333" ht="14.4" x14ac:dyDescent="0.3"/>
    <row r="47334" ht="14.4" x14ac:dyDescent="0.3"/>
    <row r="47335" ht="14.4" x14ac:dyDescent="0.3"/>
    <row r="47336" ht="14.4" x14ac:dyDescent="0.3"/>
    <row r="47337" ht="14.4" x14ac:dyDescent="0.3"/>
    <row r="47338" ht="14.4" x14ac:dyDescent="0.3"/>
    <row r="47339" ht="14.4" x14ac:dyDescent="0.3"/>
    <row r="47340" ht="14.4" x14ac:dyDescent="0.3"/>
    <row r="47341" ht="14.4" x14ac:dyDescent="0.3"/>
    <row r="47342" ht="14.4" x14ac:dyDescent="0.3"/>
    <row r="47343" ht="14.4" x14ac:dyDescent="0.3"/>
    <row r="47344" ht="14.4" x14ac:dyDescent="0.3"/>
    <row r="47345" ht="14.4" x14ac:dyDescent="0.3"/>
    <row r="47346" ht="14.4" x14ac:dyDescent="0.3"/>
    <row r="47347" ht="14.4" x14ac:dyDescent="0.3"/>
    <row r="47348" ht="14.4" x14ac:dyDescent="0.3"/>
    <row r="47349" ht="14.4" x14ac:dyDescent="0.3"/>
    <row r="47350" ht="14.4" x14ac:dyDescent="0.3"/>
    <row r="47351" ht="14.4" x14ac:dyDescent="0.3"/>
    <row r="47352" ht="14.4" x14ac:dyDescent="0.3"/>
    <row r="47353" ht="14.4" x14ac:dyDescent="0.3"/>
    <row r="47354" ht="14.4" x14ac:dyDescent="0.3"/>
    <row r="47355" ht="14.4" x14ac:dyDescent="0.3"/>
    <row r="47356" ht="14.4" x14ac:dyDescent="0.3"/>
    <row r="47357" ht="14.4" x14ac:dyDescent="0.3"/>
    <row r="47358" ht="14.4" x14ac:dyDescent="0.3"/>
    <row r="47359" ht="14.4" x14ac:dyDescent="0.3"/>
    <row r="47360" ht="14.4" x14ac:dyDescent="0.3"/>
    <row r="47361" ht="14.4" x14ac:dyDescent="0.3"/>
    <row r="47362" ht="14.4" x14ac:dyDescent="0.3"/>
    <row r="47363" ht="14.4" x14ac:dyDescent="0.3"/>
    <row r="47364" ht="14.4" x14ac:dyDescent="0.3"/>
    <row r="47365" ht="14.4" x14ac:dyDescent="0.3"/>
    <row r="47366" ht="14.4" x14ac:dyDescent="0.3"/>
    <row r="47367" ht="14.4" x14ac:dyDescent="0.3"/>
    <row r="47368" ht="14.4" x14ac:dyDescent="0.3"/>
    <row r="47369" ht="14.4" x14ac:dyDescent="0.3"/>
    <row r="47370" ht="14.4" x14ac:dyDescent="0.3"/>
    <row r="47371" ht="14.4" x14ac:dyDescent="0.3"/>
    <row r="47372" ht="14.4" x14ac:dyDescent="0.3"/>
    <row r="47373" ht="14.4" x14ac:dyDescent="0.3"/>
    <row r="47374" ht="14.4" x14ac:dyDescent="0.3"/>
    <row r="47375" ht="14.4" x14ac:dyDescent="0.3"/>
    <row r="47376" ht="14.4" x14ac:dyDescent="0.3"/>
    <row r="47377" ht="14.4" x14ac:dyDescent="0.3"/>
    <row r="47378" ht="14.4" x14ac:dyDescent="0.3"/>
    <row r="47379" ht="14.4" x14ac:dyDescent="0.3"/>
    <row r="47380" ht="14.4" x14ac:dyDescent="0.3"/>
    <row r="47381" ht="14.4" x14ac:dyDescent="0.3"/>
    <row r="47382" ht="14.4" x14ac:dyDescent="0.3"/>
    <row r="47383" ht="14.4" x14ac:dyDescent="0.3"/>
    <row r="47384" ht="14.4" x14ac:dyDescent="0.3"/>
    <row r="47385" ht="14.4" x14ac:dyDescent="0.3"/>
    <row r="47386" ht="14.4" x14ac:dyDescent="0.3"/>
    <row r="47387" ht="14.4" x14ac:dyDescent="0.3"/>
    <row r="47388" ht="14.4" x14ac:dyDescent="0.3"/>
    <row r="47389" ht="14.4" x14ac:dyDescent="0.3"/>
    <row r="47390" ht="14.4" x14ac:dyDescent="0.3"/>
    <row r="47391" ht="14.4" x14ac:dyDescent="0.3"/>
    <row r="47392" ht="14.4" x14ac:dyDescent="0.3"/>
    <row r="47393" ht="14.4" x14ac:dyDescent="0.3"/>
    <row r="47394" ht="14.4" x14ac:dyDescent="0.3"/>
    <row r="47395" ht="14.4" x14ac:dyDescent="0.3"/>
    <row r="47396" ht="14.4" x14ac:dyDescent="0.3"/>
    <row r="47397" ht="14.4" x14ac:dyDescent="0.3"/>
    <row r="47398" ht="14.4" x14ac:dyDescent="0.3"/>
    <row r="47399" ht="14.4" x14ac:dyDescent="0.3"/>
    <row r="47400" ht="14.4" x14ac:dyDescent="0.3"/>
    <row r="47401" ht="14.4" x14ac:dyDescent="0.3"/>
    <row r="47402" ht="14.4" x14ac:dyDescent="0.3"/>
    <row r="47403" ht="14.4" x14ac:dyDescent="0.3"/>
    <row r="47404" ht="14.4" x14ac:dyDescent="0.3"/>
    <row r="47405" ht="14.4" x14ac:dyDescent="0.3"/>
    <row r="47406" ht="14.4" x14ac:dyDescent="0.3"/>
    <row r="47407" ht="14.4" x14ac:dyDescent="0.3"/>
    <row r="47408" ht="14.4" x14ac:dyDescent="0.3"/>
    <row r="47409" ht="14.4" x14ac:dyDescent="0.3"/>
    <row r="47410" ht="14.4" x14ac:dyDescent="0.3"/>
    <row r="47411" ht="14.4" x14ac:dyDescent="0.3"/>
    <row r="47412" ht="14.4" x14ac:dyDescent="0.3"/>
    <row r="47413" ht="14.4" x14ac:dyDescent="0.3"/>
    <row r="47414" ht="14.4" x14ac:dyDescent="0.3"/>
    <row r="47415" ht="14.4" x14ac:dyDescent="0.3"/>
    <row r="47416" ht="14.4" x14ac:dyDescent="0.3"/>
    <row r="47417" ht="14.4" x14ac:dyDescent="0.3"/>
    <row r="47418" ht="14.4" x14ac:dyDescent="0.3"/>
    <row r="47419" ht="14.4" x14ac:dyDescent="0.3"/>
    <row r="47420" ht="14.4" x14ac:dyDescent="0.3"/>
    <row r="47421" ht="14.4" x14ac:dyDescent="0.3"/>
    <row r="47422" ht="14.4" x14ac:dyDescent="0.3"/>
    <row r="47423" ht="14.4" x14ac:dyDescent="0.3"/>
    <row r="47424" ht="14.4" x14ac:dyDescent="0.3"/>
    <row r="47425" ht="14.4" x14ac:dyDescent="0.3"/>
    <row r="47426" ht="14.4" x14ac:dyDescent="0.3"/>
    <row r="47427" ht="14.4" x14ac:dyDescent="0.3"/>
    <row r="47428" ht="14.4" x14ac:dyDescent="0.3"/>
    <row r="47429" ht="14.4" x14ac:dyDescent="0.3"/>
    <row r="47430" ht="14.4" x14ac:dyDescent="0.3"/>
    <row r="47431" ht="14.4" x14ac:dyDescent="0.3"/>
    <row r="47432" ht="14.4" x14ac:dyDescent="0.3"/>
    <row r="47433" ht="14.4" x14ac:dyDescent="0.3"/>
    <row r="47434" ht="14.4" x14ac:dyDescent="0.3"/>
    <row r="47435" ht="14.4" x14ac:dyDescent="0.3"/>
    <row r="47436" ht="14.4" x14ac:dyDescent="0.3"/>
    <row r="47437" ht="14.4" x14ac:dyDescent="0.3"/>
    <row r="47438" ht="14.4" x14ac:dyDescent="0.3"/>
    <row r="47439" ht="14.4" x14ac:dyDescent="0.3"/>
    <row r="47440" ht="14.4" x14ac:dyDescent="0.3"/>
    <row r="47441" ht="14.4" x14ac:dyDescent="0.3"/>
    <row r="47442" ht="14.4" x14ac:dyDescent="0.3"/>
    <row r="47443" ht="14.4" x14ac:dyDescent="0.3"/>
    <row r="47444" ht="14.4" x14ac:dyDescent="0.3"/>
    <row r="47445" ht="14.4" x14ac:dyDescent="0.3"/>
    <row r="47446" ht="14.4" x14ac:dyDescent="0.3"/>
    <row r="47447" ht="14.4" x14ac:dyDescent="0.3"/>
    <row r="47448" ht="14.4" x14ac:dyDescent="0.3"/>
    <row r="47449" ht="14.4" x14ac:dyDescent="0.3"/>
    <row r="47450" ht="14.4" x14ac:dyDescent="0.3"/>
    <row r="47451" ht="14.4" x14ac:dyDescent="0.3"/>
    <row r="47452" ht="14.4" x14ac:dyDescent="0.3"/>
    <row r="47453" ht="14.4" x14ac:dyDescent="0.3"/>
    <row r="47454" ht="14.4" x14ac:dyDescent="0.3"/>
    <row r="47455" ht="14.4" x14ac:dyDescent="0.3"/>
    <row r="47456" ht="14.4" x14ac:dyDescent="0.3"/>
    <row r="47457" ht="14.4" x14ac:dyDescent="0.3"/>
    <row r="47458" ht="14.4" x14ac:dyDescent="0.3"/>
    <row r="47459" ht="14.4" x14ac:dyDescent="0.3"/>
    <row r="47460" ht="14.4" x14ac:dyDescent="0.3"/>
    <row r="47461" ht="14.4" x14ac:dyDescent="0.3"/>
    <row r="47462" ht="14.4" x14ac:dyDescent="0.3"/>
    <row r="47463" ht="14.4" x14ac:dyDescent="0.3"/>
    <row r="47464" ht="14.4" x14ac:dyDescent="0.3"/>
    <row r="47465" ht="14.4" x14ac:dyDescent="0.3"/>
    <row r="47466" ht="14.4" x14ac:dyDescent="0.3"/>
    <row r="47467" ht="14.4" x14ac:dyDescent="0.3"/>
    <row r="47468" ht="14.4" x14ac:dyDescent="0.3"/>
    <row r="47469" ht="14.4" x14ac:dyDescent="0.3"/>
    <row r="47470" ht="14.4" x14ac:dyDescent="0.3"/>
    <row r="47471" ht="14.4" x14ac:dyDescent="0.3"/>
    <row r="47472" ht="14.4" x14ac:dyDescent="0.3"/>
    <row r="47473" ht="14.4" x14ac:dyDescent="0.3"/>
    <row r="47474" ht="14.4" x14ac:dyDescent="0.3"/>
    <row r="47475" ht="14.4" x14ac:dyDescent="0.3"/>
    <row r="47476" ht="14.4" x14ac:dyDescent="0.3"/>
    <row r="47477" ht="14.4" x14ac:dyDescent="0.3"/>
    <row r="47478" ht="14.4" x14ac:dyDescent="0.3"/>
    <row r="47479" ht="14.4" x14ac:dyDescent="0.3"/>
    <row r="47480" ht="14.4" x14ac:dyDescent="0.3"/>
    <row r="47481" ht="14.4" x14ac:dyDescent="0.3"/>
    <row r="47482" ht="14.4" x14ac:dyDescent="0.3"/>
    <row r="47483" ht="14.4" x14ac:dyDescent="0.3"/>
    <row r="47484" ht="14.4" x14ac:dyDescent="0.3"/>
    <row r="47485" ht="14.4" x14ac:dyDescent="0.3"/>
    <row r="47486" ht="14.4" x14ac:dyDescent="0.3"/>
    <row r="47487" ht="14.4" x14ac:dyDescent="0.3"/>
    <row r="47488" ht="14.4" x14ac:dyDescent="0.3"/>
    <row r="47489" ht="14.4" x14ac:dyDescent="0.3"/>
    <row r="47490" ht="14.4" x14ac:dyDescent="0.3"/>
    <row r="47491" ht="14.4" x14ac:dyDescent="0.3"/>
    <row r="47492" ht="14.4" x14ac:dyDescent="0.3"/>
    <row r="47493" ht="14.4" x14ac:dyDescent="0.3"/>
    <row r="47494" ht="14.4" x14ac:dyDescent="0.3"/>
    <row r="47495" ht="14.4" x14ac:dyDescent="0.3"/>
    <row r="47496" ht="14.4" x14ac:dyDescent="0.3"/>
    <row r="47497" ht="14.4" x14ac:dyDescent="0.3"/>
    <row r="47498" ht="14.4" x14ac:dyDescent="0.3"/>
    <row r="47499" ht="14.4" x14ac:dyDescent="0.3"/>
    <row r="47500" ht="14.4" x14ac:dyDescent="0.3"/>
    <row r="47501" ht="14.4" x14ac:dyDescent="0.3"/>
    <row r="47502" ht="14.4" x14ac:dyDescent="0.3"/>
    <row r="47503" ht="14.4" x14ac:dyDescent="0.3"/>
    <row r="47504" ht="14.4" x14ac:dyDescent="0.3"/>
    <row r="47505" ht="14.4" x14ac:dyDescent="0.3"/>
    <row r="47506" ht="14.4" x14ac:dyDescent="0.3"/>
    <row r="47507" ht="14.4" x14ac:dyDescent="0.3"/>
    <row r="47508" ht="14.4" x14ac:dyDescent="0.3"/>
    <row r="47509" ht="14.4" x14ac:dyDescent="0.3"/>
    <row r="47510" ht="14.4" x14ac:dyDescent="0.3"/>
    <row r="47511" ht="14.4" x14ac:dyDescent="0.3"/>
    <row r="47512" ht="14.4" x14ac:dyDescent="0.3"/>
    <row r="47513" ht="14.4" x14ac:dyDescent="0.3"/>
    <row r="47514" ht="14.4" x14ac:dyDescent="0.3"/>
    <row r="47515" ht="14.4" x14ac:dyDescent="0.3"/>
    <row r="47516" ht="14.4" x14ac:dyDescent="0.3"/>
    <row r="47517" ht="14.4" x14ac:dyDescent="0.3"/>
    <row r="47518" ht="14.4" x14ac:dyDescent="0.3"/>
    <row r="47519" ht="14.4" x14ac:dyDescent="0.3"/>
    <row r="47520" ht="14.4" x14ac:dyDescent="0.3"/>
    <row r="47521" ht="14.4" x14ac:dyDescent="0.3"/>
    <row r="47522" ht="14.4" x14ac:dyDescent="0.3"/>
    <row r="47523" ht="14.4" x14ac:dyDescent="0.3"/>
    <row r="47524" ht="14.4" x14ac:dyDescent="0.3"/>
    <row r="47525" ht="14.4" x14ac:dyDescent="0.3"/>
    <row r="47526" ht="14.4" x14ac:dyDescent="0.3"/>
    <row r="47527" ht="14.4" x14ac:dyDescent="0.3"/>
    <row r="47528" ht="14.4" x14ac:dyDescent="0.3"/>
    <row r="47529" ht="14.4" x14ac:dyDescent="0.3"/>
    <row r="47530" ht="14.4" x14ac:dyDescent="0.3"/>
    <row r="47531" ht="14.4" x14ac:dyDescent="0.3"/>
    <row r="47532" ht="14.4" x14ac:dyDescent="0.3"/>
    <row r="47533" ht="14.4" x14ac:dyDescent="0.3"/>
    <row r="47534" ht="14.4" x14ac:dyDescent="0.3"/>
    <row r="47535" ht="14.4" x14ac:dyDescent="0.3"/>
    <row r="47536" ht="14.4" x14ac:dyDescent="0.3"/>
    <row r="47537" ht="14.4" x14ac:dyDescent="0.3"/>
    <row r="47538" ht="14.4" x14ac:dyDescent="0.3"/>
    <row r="47539" ht="14.4" x14ac:dyDescent="0.3"/>
    <row r="47540" ht="14.4" x14ac:dyDescent="0.3"/>
    <row r="47541" ht="14.4" x14ac:dyDescent="0.3"/>
    <row r="47542" ht="14.4" x14ac:dyDescent="0.3"/>
    <row r="47543" ht="14.4" x14ac:dyDescent="0.3"/>
    <row r="47544" ht="14.4" x14ac:dyDescent="0.3"/>
    <row r="47545" ht="14.4" x14ac:dyDescent="0.3"/>
    <row r="47546" ht="14.4" x14ac:dyDescent="0.3"/>
    <row r="47547" ht="14.4" x14ac:dyDescent="0.3"/>
    <row r="47548" ht="14.4" x14ac:dyDescent="0.3"/>
    <row r="47549" ht="14.4" x14ac:dyDescent="0.3"/>
    <row r="47550" ht="14.4" x14ac:dyDescent="0.3"/>
    <row r="47551" ht="14.4" x14ac:dyDescent="0.3"/>
    <row r="47552" ht="14.4" x14ac:dyDescent="0.3"/>
    <row r="47553" ht="14.4" x14ac:dyDescent="0.3"/>
    <row r="47554" ht="14.4" x14ac:dyDescent="0.3"/>
    <row r="47555" ht="14.4" x14ac:dyDescent="0.3"/>
    <row r="47556" ht="14.4" x14ac:dyDescent="0.3"/>
    <row r="47557" ht="14.4" x14ac:dyDescent="0.3"/>
    <row r="47558" ht="14.4" x14ac:dyDescent="0.3"/>
    <row r="47559" ht="14.4" x14ac:dyDescent="0.3"/>
    <row r="47560" ht="14.4" x14ac:dyDescent="0.3"/>
    <row r="47561" ht="14.4" x14ac:dyDescent="0.3"/>
    <row r="47562" ht="14.4" x14ac:dyDescent="0.3"/>
    <row r="47563" ht="14.4" x14ac:dyDescent="0.3"/>
    <row r="47564" ht="14.4" x14ac:dyDescent="0.3"/>
    <row r="47565" ht="14.4" x14ac:dyDescent="0.3"/>
    <row r="47566" ht="14.4" x14ac:dyDescent="0.3"/>
    <row r="47567" ht="14.4" x14ac:dyDescent="0.3"/>
    <row r="47568" ht="14.4" x14ac:dyDescent="0.3"/>
    <row r="47569" ht="14.4" x14ac:dyDescent="0.3"/>
    <row r="47570" ht="14.4" x14ac:dyDescent="0.3"/>
    <row r="47571" ht="14.4" x14ac:dyDescent="0.3"/>
    <row r="47572" ht="14.4" x14ac:dyDescent="0.3"/>
    <row r="47573" ht="14.4" x14ac:dyDescent="0.3"/>
    <row r="47574" ht="14.4" x14ac:dyDescent="0.3"/>
    <row r="47575" ht="14.4" x14ac:dyDescent="0.3"/>
    <row r="47576" ht="14.4" x14ac:dyDescent="0.3"/>
    <row r="47577" ht="14.4" x14ac:dyDescent="0.3"/>
    <row r="47578" ht="14.4" x14ac:dyDescent="0.3"/>
    <row r="47579" ht="14.4" x14ac:dyDescent="0.3"/>
    <row r="47580" ht="14.4" x14ac:dyDescent="0.3"/>
    <row r="47581" ht="14.4" x14ac:dyDescent="0.3"/>
    <row r="47582" ht="14.4" x14ac:dyDescent="0.3"/>
    <row r="47583" ht="14.4" x14ac:dyDescent="0.3"/>
    <row r="47584" ht="14.4" x14ac:dyDescent="0.3"/>
    <row r="47585" ht="14.4" x14ac:dyDescent="0.3"/>
    <row r="47586" ht="14.4" x14ac:dyDescent="0.3"/>
    <row r="47587" ht="14.4" x14ac:dyDescent="0.3"/>
    <row r="47588" ht="14.4" x14ac:dyDescent="0.3"/>
    <row r="47589" ht="14.4" x14ac:dyDescent="0.3"/>
    <row r="47590" ht="14.4" x14ac:dyDescent="0.3"/>
    <row r="47591" ht="14.4" x14ac:dyDescent="0.3"/>
    <row r="47592" ht="14.4" x14ac:dyDescent="0.3"/>
    <row r="47593" ht="14.4" x14ac:dyDescent="0.3"/>
    <row r="47594" ht="14.4" x14ac:dyDescent="0.3"/>
    <row r="47595" ht="14.4" x14ac:dyDescent="0.3"/>
    <row r="47596" ht="14.4" x14ac:dyDescent="0.3"/>
    <row r="47597" ht="14.4" x14ac:dyDescent="0.3"/>
    <row r="47598" ht="14.4" x14ac:dyDescent="0.3"/>
    <row r="47599" ht="14.4" x14ac:dyDescent="0.3"/>
    <row r="47600" ht="14.4" x14ac:dyDescent="0.3"/>
    <row r="47601" ht="14.4" x14ac:dyDescent="0.3"/>
    <row r="47602" ht="14.4" x14ac:dyDescent="0.3"/>
    <row r="47603" ht="14.4" x14ac:dyDescent="0.3"/>
    <row r="47604" ht="14.4" x14ac:dyDescent="0.3"/>
    <row r="47605" ht="14.4" x14ac:dyDescent="0.3"/>
    <row r="47606" ht="14.4" x14ac:dyDescent="0.3"/>
    <row r="47607" ht="14.4" x14ac:dyDescent="0.3"/>
    <row r="47608" ht="14.4" x14ac:dyDescent="0.3"/>
    <row r="47609" ht="14.4" x14ac:dyDescent="0.3"/>
    <row r="47610" ht="14.4" x14ac:dyDescent="0.3"/>
    <row r="47611" ht="14.4" x14ac:dyDescent="0.3"/>
    <row r="47612" ht="14.4" x14ac:dyDescent="0.3"/>
    <row r="47613" ht="14.4" x14ac:dyDescent="0.3"/>
    <row r="47614" ht="14.4" x14ac:dyDescent="0.3"/>
    <row r="47615" ht="14.4" x14ac:dyDescent="0.3"/>
    <row r="47616" ht="14.4" x14ac:dyDescent="0.3"/>
    <row r="47617" ht="14.4" x14ac:dyDescent="0.3"/>
    <row r="47618" ht="14.4" x14ac:dyDescent="0.3"/>
    <row r="47619" ht="14.4" x14ac:dyDescent="0.3"/>
    <row r="47620" ht="14.4" x14ac:dyDescent="0.3"/>
    <row r="47621" ht="14.4" x14ac:dyDescent="0.3"/>
    <row r="47622" ht="14.4" x14ac:dyDescent="0.3"/>
    <row r="47623" ht="14.4" x14ac:dyDescent="0.3"/>
    <row r="47624" ht="14.4" x14ac:dyDescent="0.3"/>
    <row r="47625" ht="14.4" x14ac:dyDescent="0.3"/>
    <row r="47626" ht="14.4" x14ac:dyDescent="0.3"/>
    <row r="47627" ht="14.4" x14ac:dyDescent="0.3"/>
    <row r="47628" ht="14.4" x14ac:dyDescent="0.3"/>
    <row r="47629" ht="14.4" x14ac:dyDescent="0.3"/>
    <row r="47630" ht="14.4" x14ac:dyDescent="0.3"/>
    <row r="47631" ht="14.4" x14ac:dyDescent="0.3"/>
    <row r="47632" ht="14.4" x14ac:dyDescent="0.3"/>
    <row r="47633" ht="14.4" x14ac:dyDescent="0.3"/>
    <row r="47634" ht="14.4" x14ac:dyDescent="0.3"/>
    <row r="47635" ht="14.4" x14ac:dyDescent="0.3"/>
    <row r="47636" ht="14.4" x14ac:dyDescent="0.3"/>
    <row r="47637" ht="14.4" x14ac:dyDescent="0.3"/>
    <row r="47638" ht="14.4" x14ac:dyDescent="0.3"/>
    <row r="47639" ht="14.4" x14ac:dyDescent="0.3"/>
    <row r="47640" ht="14.4" x14ac:dyDescent="0.3"/>
    <row r="47641" ht="14.4" x14ac:dyDescent="0.3"/>
    <row r="47642" ht="14.4" x14ac:dyDescent="0.3"/>
    <row r="47643" ht="14.4" x14ac:dyDescent="0.3"/>
    <row r="47644" ht="14.4" x14ac:dyDescent="0.3"/>
    <row r="47645" ht="14.4" x14ac:dyDescent="0.3"/>
    <row r="47646" ht="14.4" x14ac:dyDescent="0.3"/>
    <row r="47647" ht="14.4" x14ac:dyDescent="0.3"/>
    <row r="47648" ht="14.4" x14ac:dyDescent="0.3"/>
    <row r="47649" ht="14.4" x14ac:dyDescent="0.3"/>
    <row r="47650" ht="14.4" x14ac:dyDescent="0.3"/>
    <row r="47651" ht="14.4" x14ac:dyDescent="0.3"/>
    <row r="47652" ht="14.4" x14ac:dyDescent="0.3"/>
    <row r="47653" ht="14.4" x14ac:dyDescent="0.3"/>
    <row r="47654" ht="14.4" x14ac:dyDescent="0.3"/>
    <row r="47655" ht="14.4" x14ac:dyDescent="0.3"/>
    <row r="47656" ht="14.4" x14ac:dyDescent="0.3"/>
    <row r="47657" ht="14.4" x14ac:dyDescent="0.3"/>
    <row r="47658" ht="14.4" x14ac:dyDescent="0.3"/>
    <row r="47659" ht="14.4" x14ac:dyDescent="0.3"/>
    <row r="47660" ht="14.4" x14ac:dyDescent="0.3"/>
    <row r="47661" ht="14.4" x14ac:dyDescent="0.3"/>
    <row r="47662" ht="14.4" x14ac:dyDescent="0.3"/>
    <row r="47663" ht="14.4" x14ac:dyDescent="0.3"/>
    <row r="47664" ht="14.4" x14ac:dyDescent="0.3"/>
    <row r="47665" ht="14.4" x14ac:dyDescent="0.3"/>
    <row r="47666" ht="14.4" x14ac:dyDescent="0.3"/>
    <row r="47667" ht="14.4" x14ac:dyDescent="0.3"/>
    <row r="47668" ht="14.4" x14ac:dyDescent="0.3"/>
    <row r="47669" ht="14.4" x14ac:dyDescent="0.3"/>
    <row r="47670" ht="14.4" x14ac:dyDescent="0.3"/>
    <row r="47671" ht="14.4" x14ac:dyDescent="0.3"/>
    <row r="47672" ht="14.4" x14ac:dyDescent="0.3"/>
    <row r="47673" ht="14.4" x14ac:dyDescent="0.3"/>
    <row r="47674" ht="14.4" x14ac:dyDescent="0.3"/>
    <row r="47675" ht="14.4" x14ac:dyDescent="0.3"/>
    <row r="47676" ht="14.4" x14ac:dyDescent="0.3"/>
    <row r="47677" ht="14.4" x14ac:dyDescent="0.3"/>
    <row r="47678" ht="14.4" x14ac:dyDescent="0.3"/>
    <row r="47679" ht="14.4" x14ac:dyDescent="0.3"/>
    <row r="47680" ht="14.4" x14ac:dyDescent="0.3"/>
    <row r="47681" ht="14.4" x14ac:dyDescent="0.3"/>
    <row r="47682" ht="14.4" x14ac:dyDescent="0.3"/>
    <row r="47683" ht="14.4" x14ac:dyDescent="0.3"/>
    <row r="47684" ht="14.4" x14ac:dyDescent="0.3"/>
    <row r="47685" ht="14.4" x14ac:dyDescent="0.3"/>
    <row r="47686" ht="14.4" x14ac:dyDescent="0.3"/>
    <row r="47687" ht="14.4" x14ac:dyDescent="0.3"/>
    <row r="47688" ht="14.4" x14ac:dyDescent="0.3"/>
    <row r="47689" ht="14.4" x14ac:dyDescent="0.3"/>
    <row r="47690" ht="14.4" x14ac:dyDescent="0.3"/>
    <row r="47691" ht="14.4" x14ac:dyDescent="0.3"/>
    <row r="47692" ht="14.4" x14ac:dyDescent="0.3"/>
    <row r="47693" ht="14.4" x14ac:dyDescent="0.3"/>
    <row r="47694" ht="14.4" x14ac:dyDescent="0.3"/>
    <row r="47695" ht="14.4" x14ac:dyDescent="0.3"/>
    <row r="47696" ht="14.4" x14ac:dyDescent="0.3"/>
    <row r="47697" ht="14.4" x14ac:dyDescent="0.3"/>
    <row r="47698" ht="14.4" x14ac:dyDescent="0.3"/>
    <row r="47699" ht="14.4" x14ac:dyDescent="0.3"/>
    <row r="47700" ht="14.4" x14ac:dyDescent="0.3"/>
    <row r="47701" ht="14.4" x14ac:dyDescent="0.3"/>
    <row r="47702" ht="14.4" x14ac:dyDescent="0.3"/>
    <row r="47703" ht="14.4" x14ac:dyDescent="0.3"/>
    <row r="47704" ht="14.4" x14ac:dyDescent="0.3"/>
    <row r="47705" ht="14.4" x14ac:dyDescent="0.3"/>
    <row r="47706" ht="14.4" x14ac:dyDescent="0.3"/>
    <row r="47707" ht="14.4" x14ac:dyDescent="0.3"/>
    <row r="47708" ht="14.4" x14ac:dyDescent="0.3"/>
    <row r="47709" ht="14.4" x14ac:dyDescent="0.3"/>
    <row r="47710" ht="14.4" x14ac:dyDescent="0.3"/>
    <row r="47711" ht="14.4" x14ac:dyDescent="0.3"/>
    <row r="47712" ht="14.4" x14ac:dyDescent="0.3"/>
    <row r="47713" ht="14.4" x14ac:dyDescent="0.3"/>
    <row r="47714" ht="14.4" x14ac:dyDescent="0.3"/>
    <row r="47715" ht="14.4" x14ac:dyDescent="0.3"/>
    <row r="47716" ht="14.4" x14ac:dyDescent="0.3"/>
    <row r="47717" ht="14.4" x14ac:dyDescent="0.3"/>
    <row r="47718" ht="14.4" x14ac:dyDescent="0.3"/>
    <row r="47719" ht="14.4" x14ac:dyDescent="0.3"/>
    <row r="47720" ht="14.4" x14ac:dyDescent="0.3"/>
    <row r="47721" ht="14.4" x14ac:dyDescent="0.3"/>
    <row r="47722" ht="14.4" x14ac:dyDescent="0.3"/>
    <row r="47723" ht="14.4" x14ac:dyDescent="0.3"/>
    <row r="47724" ht="14.4" x14ac:dyDescent="0.3"/>
    <row r="47725" ht="14.4" x14ac:dyDescent="0.3"/>
    <row r="47726" ht="14.4" x14ac:dyDescent="0.3"/>
    <row r="47727" ht="14.4" x14ac:dyDescent="0.3"/>
    <row r="47728" ht="14.4" x14ac:dyDescent="0.3"/>
    <row r="47729" ht="14.4" x14ac:dyDescent="0.3"/>
    <row r="47730" ht="14.4" x14ac:dyDescent="0.3"/>
    <row r="47731" ht="14.4" x14ac:dyDescent="0.3"/>
    <row r="47732" ht="14.4" x14ac:dyDescent="0.3"/>
    <row r="47733" ht="14.4" x14ac:dyDescent="0.3"/>
    <row r="47734" ht="14.4" x14ac:dyDescent="0.3"/>
    <row r="47735" ht="14.4" x14ac:dyDescent="0.3"/>
    <row r="47736" ht="14.4" x14ac:dyDescent="0.3"/>
    <row r="47737" ht="14.4" x14ac:dyDescent="0.3"/>
    <row r="47738" ht="14.4" x14ac:dyDescent="0.3"/>
    <row r="47739" ht="14.4" x14ac:dyDescent="0.3"/>
    <row r="47740" ht="14.4" x14ac:dyDescent="0.3"/>
    <row r="47741" ht="14.4" x14ac:dyDescent="0.3"/>
    <row r="47742" ht="14.4" x14ac:dyDescent="0.3"/>
    <row r="47743" ht="14.4" x14ac:dyDescent="0.3"/>
    <row r="47744" ht="14.4" x14ac:dyDescent="0.3"/>
    <row r="47745" ht="14.4" x14ac:dyDescent="0.3"/>
    <row r="47746" ht="14.4" x14ac:dyDescent="0.3"/>
    <row r="47747" ht="14.4" x14ac:dyDescent="0.3"/>
    <row r="47748" ht="14.4" x14ac:dyDescent="0.3"/>
    <row r="47749" ht="14.4" x14ac:dyDescent="0.3"/>
    <row r="47750" ht="14.4" x14ac:dyDescent="0.3"/>
    <row r="47751" ht="14.4" x14ac:dyDescent="0.3"/>
    <row r="47752" ht="14.4" x14ac:dyDescent="0.3"/>
    <row r="47753" ht="14.4" x14ac:dyDescent="0.3"/>
    <row r="47754" ht="14.4" x14ac:dyDescent="0.3"/>
    <row r="47755" ht="14.4" x14ac:dyDescent="0.3"/>
    <row r="47756" ht="14.4" x14ac:dyDescent="0.3"/>
    <row r="47757" ht="14.4" x14ac:dyDescent="0.3"/>
    <row r="47758" ht="14.4" x14ac:dyDescent="0.3"/>
    <row r="47759" ht="14.4" x14ac:dyDescent="0.3"/>
    <row r="47760" ht="14.4" x14ac:dyDescent="0.3"/>
    <row r="47761" ht="14.4" x14ac:dyDescent="0.3"/>
    <row r="47762" ht="14.4" x14ac:dyDescent="0.3"/>
    <row r="47763" ht="14.4" x14ac:dyDescent="0.3"/>
    <row r="47764" ht="14.4" x14ac:dyDescent="0.3"/>
    <row r="47765" ht="14.4" x14ac:dyDescent="0.3"/>
    <row r="47766" ht="14.4" x14ac:dyDescent="0.3"/>
    <row r="47767" ht="14.4" x14ac:dyDescent="0.3"/>
    <row r="47768" ht="14.4" x14ac:dyDescent="0.3"/>
    <row r="47769" ht="14.4" x14ac:dyDescent="0.3"/>
    <row r="47770" ht="14.4" x14ac:dyDescent="0.3"/>
    <row r="47771" ht="14.4" x14ac:dyDescent="0.3"/>
    <row r="47772" ht="14.4" x14ac:dyDescent="0.3"/>
    <row r="47773" ht="14.4" x14ac:dyDescent="0.3"/>
    <row r="47774" ht="14.4" x14ac:dyDescent="0.3"/>
    <row r="47775" ht="14.4" x14ac:dyDescent="0.3"/>
    <row r="47776" ht="14.4" x14ac:dyDescent="0.3"/>
    <row r="47777" ht="14.4" x14ac:dyDescent="0.3"/>
    <row r="47778" ht="14.4" x14ac:dyDescent="0.3"/>
    <row r="47779" ht="14.4" x14ac:dyDescent="0.3"/>
    <row r="47780" ht="14.4" x14ac:dyDescent="0.3"/>
    <row r="47781" ht="14.4" x14ac:dyDescent="0.3"/>
    <row r="47782" ht="14.4" x14ac:dyDescent="0.3"/>
    <row r="47783" ht="14.4" x14ac:dyDescent="0.3"/>
    <row r="47784" ht="14.4" x14ac:dyDescent="0.3"/>
    <row r="47785" ht="14.4" x14ac:dyDescent="0.3"/>
    <row r="47786" ht="14.4" x14ac:dyDescent="0.3"/>
    <row r="47787" ht="14.4" x14ac:dyDescent="0.3"/>
    <row r="47788" ht="14.4" x14ac:dyDescent="0.3"/>
    <row r="47789" ht="14.4" x14ac:dyDescent="0.3"/>
    <row r="47790" ht="14.4" x14ac:dyDescent="0.3"/>
    <row r="47791" ht="14.4" x14ac:dyDescent="0.3"/>
    <row r="47792" ht="14.4" x14ac:dyDescent="0.3"/>
    <row r="47793" ht="14.4" x14ac:dyDescent="0.3"/>
    <row r="47794" ht="14.4" x14ac:dyDescent="0.3"/>
    <row r="47795" ht="14.4" x14ac:dyDescent="0.3"/>
    <row r="47796" ht="14.4" x14ac:dyDescent="0.3"/>
    <row r="47797" ht="14.4" x14ac:dyDescent="0.3"/>
    <row r="47798" ht="14.4" x14ac:dyDescent="0.3"/>
    <row r="47799" ht="14.4" x14ac:dyDescent="0.3"/>
    <row r="47800" ht="14.4" x14ac:dyDescent="0.3"/>
    <row r="47801" ht="14.4" x14ac:dyDescent="0.3"/>
    <row r="47802" ht="14.4" x14ac:dyDescent="0.3"/>
    <row r="47803" ht="14.4" x14ac:dyDescent="0.3"/>
    <row r="47804" ht="14.4" x14ac:dyDescent="0.3"/>
    <row r="47805" ht="14.4" x14ac:dyDescent="0.3"/>
    <row r="47806" ht="14.4" x14ac:dyDescent="0.3"/>
    <row r="47807" ht="14.4" x14ac:dyDescent="0.3"/>
    <row r="47808" ht="14.4" x14ac:dyDescent="0.3"/>
    <row r="47809" ht="14.4" x14ac:dyDescent="0.3"/>
    <row r="47810" ht="14.4" x14ac:dyDescent="0.3"/>
    <row r="47811" ht="14.4" x14ac:dyDescent="0.3"/>
    <row r="47812" ht="14.4" x14ac:dyDescent="0.3"/>
    <row r="47813" ht="14.4" x14ac:dyDescent="0.3"/>
    <row r="47814" ht="14.4" x14ac:dyDescent="0.3"/>
    <row r="47815" ht="14.4" x14ac:dyDescent="0.3"/>
    <row r="47816" ht="14.4" x14ac:dyDescent="0.3"/>
    <row r="47817" ht="14.4" x14ac:dyDescent="0.3"/>
    <row r="47818" ht="14.4" x14ac:dyDescent="0.3"/>
    <row r="47819" ht="14.4" x14ac:dyDescent="0.3"/>
    <row r="47820" ht="14.4" x14ac:dyDescent="0.3"/>
    <row r="47821" ht="14.4" x14ac:dyDescent="0.3"/>
    <row r="47822" ht="14.4" x14ac:dyDescent="0.3"/>
    <row r="47823" ht="14.4" x14ac:dyDescent="0.3"/>
    <row r="47824" ht="14.4" x14ac:dyDescent="0.3"/>
    <row r="47825" ht="14.4" x14ac:dyDescent="0.3"/>
    <row r="47826" ht="14.4" x14ac:dyDescent="0.3"/>
    <row r="47827" ht="14.4" x14ac:dyDescent="0.3"/>
    <row r="47828" ht="14.4" x14ac:dyDescent="0.3"/>
    <row r="47829" ht="14.4" x14ac:dyDescent="0.3"/>
    <row r="47830" ht="14.4" x14ac:dyDescent="0.3"/>
    <row r="47831" ht="14.4" x14ac:dyDescent="0.3"/>
    <row r="47832" ht="14.4" x14ac:dyDescent="0.3"/>
    <row r="47833" ht="14.4" x14ac:dyDescent="0.3"/>
    <row r="47834" ht="14.4" x14ac:dyDescent="0.3"/>
    <row r="47835" ht="14.4" x14ac:dyDescent="0.3"/>
    <row r="47836" ht="14.4" x14ac:dyDescent="0.3"/>
    <row r="47837" ht="14.4" x14ac:dyDescent="0.3"/>
    <row r="47838" ht="14.4" x14ac:dyDescent="0.3"/>
    <row r="47839" ht="14.4" x14ac:dyDescent="0.3"/>
    <row r="47840" ht="14.4" x14ac:dyDescent="0.3"/>
    <row r="47841" ht="14.4" x14ac:dyDescent="0.3"/>
    <row r="47842" ht="14.4" x14ac:dyDescent="0.3"/>
    <row r="47843" ht="14.4" x14ac:dyDescent="0.3"/>
    <row r="47844" ht="14.4" x14ac:dyDescent="0.3"/>
    <row r="47845" ht="14.4" x14ac:dyDescent="0.3"/>
    <row r="47846" ht="14.4" x14ac:dyDescent="0.3"/>
    <row r="47847" ht="14.4" x14ac:dyDescent="0.3"/>
    <row r="47848" ht="14.4" x14ac:dyDescent="0.3"/>
    <row r="47849" ht="14.4" x14ac:dyDescent="0.3"/>
    <row r="47850" ht="14.4" x14ac:dyDescent="0.3"/>
    <row r="47851" ht="14.4" x14ac:dyDescent="0.3"/>
    <row r="47852" ht="14.4" x14ac:dyDescent="0.3"/>
    <row r="47853" ht="14.4" x14ac:dyDescent="0.3"/>
    <row r="47854" ht="14.4" x14ac:dyDescent="0.3"/>
    <row r="47855" ht="14.4" x14ac:dyDescent="0.3"/>
    <row r="47856" ht="14.4" x14ac:dyDescent="0.3"/>
    <row r="47857" ht="14.4" x14ac:dyDescent="0.3"/>
    <row r="47858" ht="14.4" x14ac:dyDescent="0.3"/>
    <row r="47859" ht="14.4" x14ac:dyDescent="0.3"/>
    <row r="47860" ht="14.4" x14ac:dyDescent="0.3"/>
    <row r="47861" ht="14.4" x14ac:dyDescent="0.3"/>
    <row r="47862" ht="14.4" x14ac:dyDescent="0.3"/>
    <row r="47863" ht="14.4" x14ac:dyDescent="0.3"/>
    <row r="47864" ht="14.4" x14ac:dyDescent="0.3"/>
    <row r="47865" ht="14.4" x14ac:dyDescent="0.3"/>
    <row r="47866" ht="14.4" x14ac:dyDescent="0.3"/>
    <row r="47867" ht="14.4" x14ac:dyDescent="0.3"/>
    <row r="47868" ht="14.4" x14ac:dyDescent="0.3"/>
    <row r="47869" ht="14.4" x14ac:dyDescent="0.3"/>
    <row r="47870" ht="14.4" x14ac:dyDescent="0.3"/>
    <row r="47871" ht="14.4" x14ac:dyDescent="0.3"/>
    <row r="47872" ht="14.4" x14ac:dyDescent="0.3"/>
    <row r="47873" ht="14.4" x14ac:dyDescent="0.3"/>
    <row r="47874" ht="14.4" x14ac:dyDescent="0.3"/>
    <row r="47875" ht="14.4" x14ac:dyDescent="0.3"/>
    <row r="47876" ht="14.4" x14ac:dyDescent="0.3"/>
    <row r="47877" ht="14.4" x14ac:dyDescent="0.3"/>
    <row r="47878" ht="14.4" x14ac:dyDescent="0.3"/>
    <row r="47879" ht="14.4" x14ac:dyDescent="0.3"/>
    <row r="47880" ht="14.4" x14ac:dyDescent="0.3"/>
    <row r="47881" ht="14.4" x14ac:dyDescent="0.3"/>
    <row r="47882" ht="14.4" x14ac:dyDescent="0.3"/>
    <row r="47883" ht="14.4" x14ac:dyDescent="0.3"/>
    <row r="47884" ht="14.4" x14ac:dyDescent="0.3"/>
    <row r="47885" ht="14.4" x14ac:dyDescent="0.3"/>
    <row r="47886" ht="14.4" x14ac:dyDescent="0.3"/>
    <row r="47887" ht="14.4" x14ac:dyDescent="0.3"/>
    <row r="47888" ht="14.4" x14ac:dyDescent="0.3"/>
    <row r="47889" ht="14.4" x14ac:dyDescent="0.3"/>
    <row r="47890" ht="14.4" x14ac:dyDescent="0.3"/>
    <row r="47891" ht="14.4" x14ac:dyDescent="0.3"/>
    <row r="47892" ht="14.4" x14ac:dyDescent="0.3"/>
    <row r="47893" ht="14.4" x14ac:dyDescent="0.3"/>
    <row r="47894" ht="14.4" x14ac:dyDescent="0.3"/>
    <row r="47895" ht="14.4" x14ac:dyDescent="0.3"/>
    <row r="47896" ht="14.4" x14ac:dyDescent="0.3"/>
    <row r="47897" ht="14.4" x14ac:dyDescent="0.3"/>
    <row r="47898" ht="14.4" x14ac:dyDescent="0.3"/>
    <row r="47899" ht="14.4" x14ac:dyDescent="0.3"/>
    <row r="47900" ht="14.4" x14ac:dyDescent="0.3"/>
    <row r="47901" ht="14.4" x14ac:dyDescent="0.3"/>
    <row r="47902" ht="14.4" x14ac:dyDescent="0.3"/>
    <row r="47903" ht="14.4" x14ac:dyDescent="0.3"/>
    <row r="47904" ht="14.4" x14ac:dyDescent="0.3"/>
    <row r="47905" ht="14.4" x14ac:dyDescent="0.3"/>
    <row r="47906" ht="14.4" x14ac:dyDescent="0.3"/>
    <row r="47907" ht="14.4" x14ac:dyDescent="0.3"/>
    <row r="47908" ht="14.4" x14ac:dyDescent="0.3"/>
    <row r="47909" ht="14.4" x14ac:dyDescent="0.3"/>
    <row r="47910" ht="14.4" x14ac:dyDescent="0.3"/>
    <row r="47911" ht="14.4" x14ac:dyDescent="0.3"/>
    <row r="47912" ht="14.4" x14ac:dyDescent="0.3"/>
    <row r="47913" ht="14.4" x14ac:dyDescent="0.3"/>
    <row r="47914" ht="14.4" x14ac:dyDescent="0.3"/>
    <row r="47915" ht="14.4" x14ac:dyDescent="0.3"/>
    <row r="47916" ht="14.4" x14ac:dyDescent="0.3"/>
    <row r="47917" ht="14.4" x14ac:dyDescent="0.3"/>
    <row r="47918" ht="14.4" x14ac:dyDescent="0.3"/>
    <row r="47919" ht="14.4" x14ac:dyDescent="0.3"/>
    <row r="47920" ht="14.4" x14ac:dyDescent="0.3"/>
    <row r="47921" ht="14.4" x14ac:dyDescent="0.3"/>
    <row r="47922" ht="14.4" x14ac:dyDescent="0.3"/>
    <row r="47923" ht="14.4" x14ac:dyDescent="0.3"/>
    <row r="47924" ht="14.4" x14ac:dyDescent="0.3"/>
    <row r="47925" ht="14.4" x14ac:dyDescent="0.3"/>
    <row r="47926" ht="14.4" x14ac:dyDescent="0.3"/>
    <row r="47927" ht="14.4" x14ac:dyDescent="0.3"/>
    <row r="47928" ht="14.4" x14ac:dyDescent="0.3"/>
    <row r="47929" ht="14.4" x14ac:dyDescent="0.3"/>
    <row r="47930" ht="14.4" x14ac:dyDescent="0.3"/>
    <row r="47931" ht="14.4" x14ac:dyDescent="0.3"/>
    <row r="47932" ht="14.4" x14ac:dyDescent="0.3"/>
    <row r="47933" ht="14.4" x14ac:dyDescent="0.3"/>
    <row r="47934" ht="14.4" x14ac:dyDescent="0.3"/>
    <row r="47935" ht="14.4" x14ac:dyDescent="0.3"/>
    <row r="47936" ht="14.4" x14ac:dyDescent="0.3"/>
    <row r="47937" ht="14.4" x14ac:dyDescent="0.3"/>
    <row r="47938" ht="14.4" x14ac:dyDescent="0.3"/>
    <row r="47939" ht="14.4" x14ac:dyDescent="0.3"/>
    <row r="47940" ht="14.4" x14ac:dyDescent="0.3"/>
    <row r="47941" ht="14.4" x14ac:dyDescent="0.3"/>
    <row r="47942" ht="14.4" x14ac:dyDescent="0.3"/>
    <row r="47943" ht="14.4" x14ac:dyDescent="0.3"/>
    <row r="47944" ht="14.4" x14ac:dyDescent="0.3"/>
    <row r="47945" ht="14.4" x14ac:dyDescent="0.3"/>
    <row r="47946" ht="14.4" x14ac:dyDescent="0.3"/>
    <row r="47947" ht="14.4" x14ac:dyDescent="0.3"/>
    <row r="47948" ht="14.4" x14ac:dyDescent="0.3"/>
    <row r="47949" ht="14.4" x14ac:dyDescent="0.3"/>
    <row r="47950" ht="14.4" x14ac:dyDescent="0.3"/>
    <row r="47951" ht="14.4" x14ac:dyDescent="0.3"/>
    <row r="47952" ht="14.4" x14ac:dyDescent="0.3"/>
    <row r="47953" ht="14.4" x14ac:dyDescent="0.3"/>
    <row r="47954" ht="14.4" x14ac:dyDescent="0.3"/>
    <row r="47955" ht="14.4" x14ac:dyDescent="0.3"/>
    <row r="47956" ht="14.4" x14ac:dyDescent="0.3"/>
    <row r="47957" ht="14.4" x14ac:dyDescent="0.3"/>
    <row r="47958" ht="14.4" x14ac:dyDescent="0.3"/>
    <row r="47959" ht="14.4" x14ac:dyDescent="0.3"/>
    <row r="47960" ht="14.4" x14ac:dyDescent="0.3"/>
    <row r="47961" ht="14.4" x14ac:dyDescent="0.3"/>
    <row r="47962" ht="14.4" x14ac:dyDescent="0.3"/>
    <row r="47963" ht="14.4" x14ac:dyDescent="0.3"/>
    <row r="47964" ht="14.4" x14ac:dyDescent="0.3"/>
    <row r="47965" ht="14.4" x14ac:dyDescent="0.3"/>
    <row r="47966" ht="14.4" x14ac:dyDescent="0.3"/>
    <row r="47967" ht="14.4" x14ac:dyDescent="0.3"/>
    <row r="47968" ht="14.4" x14ac:dyDescent="0.3"/>
    <row r="47969" ht="14.4" x14ac:dyDescent="0.3"/>
    <row r="47970" ht="14.4" x14ac:dyDescent="0.3"/>
    <row r="47971" ht="14.4" x14ac:dyDescent="0.3"/>
    <row r="47972" ht="14.4" x14ac:dyDescent="0.3"/>
    <row r="47973" ht="14.4" x14ac:dyDescent="0.3"/>
    <row r="47974" ht="14.4" x14ac:dyDescent="0.3"/>
    <row r="47975" ht="14.4" x14ac:dyDescent="0.3"/>
    <row r="47976" ht="14.4" x14ac:dyDescent="0.3"/>
    <row r="47977" ht="14.4" x14ac:dyDescent="0.3"/>
    <row r="47978" ht="14.4" x14ac:dyDescent="0.3"/>
    <row r="47979" ht="14.4" x14ac:dyDescent="0.3"/>
    <row r="47980" ht="14.4" x14ac:dyDescent="0.3"/>
    <row r="47981" ht="14.4" x14ac:dyDescent="0.3"/>
    <row r="47982" ht="14.4" x14ac:dyDescent="0.3"/>
    <row r="47983" ht="14.4" x14ac:dyDescent="0.3"/>
    <row r="47984" ht="14.4" x14ac:dyDescent="0.3"/>
    <row r="47985" ht="14.4" x14ac:dyDescent="0.3"/>
    <row r="47986" ht="14.4" x14ac:dyDescent="0.3"/>
    <row r="47987" ht="14.4" x14ac:dyDescent="0.3"/>
    <row r="47988" ht="14.4" x14ac:dyDescent="0.3"/>
    <row r="47989" ht="14.4" x14ac:dyDescent="0.3"/>
    <row r="47990" ht="14.4" x14ac:dyDescent="0.3"/>
    <row r="47991" ht="14.4" x14ac:dyDescent="0.3"/>
    <row r="47992" ht="14.4" x14ac:dyDescent="0.3"/>
    <row r="47993" ht="14.4" x14ac:dyDescent="0.3"/>
    <row r="47994" ht="14.4" x14ac:dyDescent="0.3"/>
    <row r="47995" ht="14.4" x14ac:dyDescent="0.3"/>
    <row r="47996" ht="14.4" x14ac:dyDescent="0.3"/>
    <row r="47997" ht="14.4" x14ac:dyDescent="0.3"/>
    <row r="47998" ht="14.4" x14ac:dyDescent="0.3"/>
    <row r="47999" ht="14.4" x14ac:dyDescent="0.3"/>
    <row r="48000" ht="14.4" x14ac:dyDescent="0.3"/>
    <row r="48001" ht="14.4" x14ac:dyDescent="0.3"/>
    <row r="48002" ht="14.4" x14ac:dyDescent="0.3"/>
    <row r="48003" ht="14.4" x14ac:dyDescent="0.3"/>
    <row r="48004" ht="14.4" x14ac:dyDescent="0.3"/>
    <row r="48005" ht="14.4" x14ac:dyDescent="0.3"/>
    <row r="48006" ht="14.4" x14ac:dyDescent="0.3"/>
    <row r="48007" ht="14.4" x14ac:dyDescent="0.3"/>
    <row r="48008" ht="14.4" x14ac:dyDescent="0.3"/>
    <row r="48009" ht="14.4" x14ac:dyDescent="0.3"/>
    <row r="48010" ht="14.4" x14ac:dyDescent="0.3"/>
    <row r="48011" ht="14.4" x14ac:dyDescent="0.3"/>
    <row r="48012" ht="14.4" x14ac:dyDescent="0.3"/>
    <row r="48013" ht="14.4" x14ac:dyDescent="0.3"/>
    <row r="48014" ht="14.4" x14ac:dyDescent="0.3"/>
    <row r="48015" ht="14.4" x14ac:dyDescent="0.3"/>
    <row r="48016" ht="14.4" x14ac:dyDescent="0.3"/>
    <row r="48017" ht="14.4" x14ac:dyDescent="0.3"/>
    <row r="48018" ht="14.4" x14ac:dyDescent="0.3"/>
    <row r="48019" ht="14.4" x14ac:dyDescent="0.3"/>
    <row r="48020" ht="14.4" x14ac:dyDescent="0.3"/>
    <row r="48021" ht="14.4" x14ac:dyDescent="0.3"/>
    <row r="48022" ht="14.4" x14ac:dyDescent="0.3"/>
    <row r="48023" ht="14.4" x14ac:dyDescent="0.3"/>
    <row r="48024" ht="14.4" x14ac:dyDescent="0.3"/>
    <row r="48025" ht="14.4" x14ac:dyDescent="0.3"/>
    <row r="48026" ht="14.4" x14ac:dyDescent="0.3"/>
    <row r="48027" ht="14.4" x14ac:dyDescent="0.3"/>
    <row r="48028" ht="14.4" x14ac:dyDescent="0.3"/>
    <row r="48029" ht="14.4" x14ac:dyDescent="0.3"/>
    <row r="48030" ht="14.4" x14ac:dyDescent="0.3"/>
    <row r="48031" ht="14.4" x14ac:dyDescent="0.3"/>
    <row r="48032" ht="14.4" x14ac:dyDescent="0.3"/>
    <row r="48033" ht="14.4" x14ac:dyDescent="0.3"/>
    <row r="48034" ht="14.4" x14ac:dyDescent="0.3"/>
    <row r="48035" ht="14.4" x14ac:dyDescent="0.3"/>
    <row r="48036" ht="14.4" x14ac:dyDescent="0.3"/>
    <row r="48037" ht="14.4" x14ac:dyDescent="0.3"/>
    <row r="48038" ht="14.4" x14ac:dyDescent="0.3"/>
    <row r="48039" ht="14.4" x14ac:dyDescent="0.3"/>
    <row r="48040" ht="14.4" x14ac:dyDescent="0.3"/>
    <row r="48041" ht="14.4" x14ac:dyDescent="0.3"/>
    <row r="48042" ht="14.4" x14ac:dyDescent="0.3"/>
    <row r="48043" ht="14.4" x14ac:dyDescent="0.3"/>
    <row r="48044" ht="14.4" x14ac:dyDescent="0.3"/>
    <row r="48045" ht="14.4" x14ac:dyDescent="0.3"/>
    <row r="48046" ht="14.4" x14ac:dyDescent="0.3"/>
    <row r="48047" ht="14.4" x14ac:dyDescent="0.3"/>
    <row r="48048" ht="14.4" x14ac:dyDescent="0.3"/>
    <row r="48049" ht="14.4" x14ac:dyDescent="0.3"/>
    <row r="48050" ht="14.4" x14ac:dyDescent="0.3"/>
    <row r="48051" ht="14.4" x14ac:dyDescent="0.3"/>
    <row r="48052" ht="14.4" x14ac:dyDescent="0.3"/>
    <row r="48053" ht="14.4" x14ac:dyDescent="0.3"/>
    <row r="48054" ht="14.4" x14ac:dyDescent="0.3"/>
    <row r="48055" ht="14.4" x14ac:dyDescent="0.3"/>
    <row r="48056" ht="14.4" x14ac:dyDescent="0.3"/>
    <row r="48057" ht="14.4" x14ac:dyDescent="0.3"/>
    <row r="48058" ht="14.4" x14ac:dyDescent="0.3"/>
    <row r="48059" ht="14.4" x14ac:dyDescent="0.3"/>
    <row r="48060" ht="14.4" x14ac:dyDescent="0.3"/>
    <row r="48061" ht="14.4" x14ac:dyDescent="0.3"/>
    <row r="48062" ht="14.4" x14ac:dyDescent="0.3"/>
    <row r="48063" ht="14.4" x14ac:dyDescent="0.3"/>
    <row r="48064" ht="14.4" x14ac:dyDescent="0.3"/>
    <row r="48065" ht="14.4" x14ac:dyDescent="0.3"/>
    <row r="48066" ht="14.4" x14ac:dyDescent="0.3"/>
    <row r="48067" ht="14.4" x14ac:dyDescent="0.3"/>
    <row r="48068" ht="14.4" x14ac:dyDescent="0.3"/>
    <row r="48069" ht="14.4" x14ac:dyDescent="0.3"/>
    <row r="48070" ht="14.4" x14ac:dyDescent="0.3"/>
    <row r="48071" ht="14.4" x14ac:dyDescent="0.3"/>
    <row r="48072" ht="14.4" x14ac:dyDescent="0.3"/>
    <row r="48073" ht="14.4" x14ac:dyDescent="0.3"/>
    <row r="48074" ht="14.4" x14ac:dyDescent="0.3"/>
    <row r="48075" ht="14.4" x14ac:dyDescent="0.3"/>
    <row r="48076" ht="14.4" x14ac:dyDescent="0.3"/>
    <row r="48077" ht="14.4" x14ac:dyDescent="0.3"/>
    <row r="48078" ht="14.4" x14ac:dyDescent="0.3"/>
    <row r="48079" ht="14.4" x14ac:dyDescent="0.3"/>
    <row r="48080" ht="14.4" x14ac:dyDescent="0.3"/>
    <row r="48081" ht="14.4" x14ac:dyDescent="0.3"/>
    <row r="48082" ht="14.4" x14ac:dyDescent="0.3"/>
    <row r="48083" ht="14.4" x14ac:dyDescent="0.3"/>
    <row r="48084" ht="14.4" x14ac:dyDescent="0.3"/>
    <row r="48085" ht="14.4" x14ac:dyDescent="0.3"/>
    <row r="48086" ht="14.4" x14ac:dyDescent="0.3"/>
    <row r="48087" ht="14.4" x14ac:dyDescent="0.3"/>
    <row r="48088" ht="14.4" x14ac:dyDescent="0.3"/>
    <row r="48089" ht="14.4" x14ac:dyDescent="0.3"/>
    <row r="48090" ht="14.4" x14ac:dyDescent="0.3"/>
    <row r="48091" ht="14.4" x14ac:dyDescent="0.3"/>
    <row r="48092" ht="14.4" x14ac:dyDescent="0.3"/>
    <row r="48093" ht="14.4" x14ac:dyDescent="0.3"/>
    <row r="48094" ht="14.4" x14ac:dyDescent="0.3"/>
    <row r="48095" ht="14.4" x14ac:dyDescent="0.3"/>
    <row r="48096" ht="14.4" x14ac:dyDescent="0.3"/>
    <row r="48097" ht="14.4" x14ac:dyDescent="0.3"/>
    <row r="48098" ht="14.4" x14ac:dyDescent="0.3"/>
    <row r="48099" ht="14.4" x14ac:dyDescent="0.3"/>
    <row r="48100" ht="14.4" x14ac:dyDescent="0.3"/>
    <row r="48101" ht="14.4" x14ac:dyDescent="0.3"/>
    <row r="48102" ht="14.4" x14ac:dyDescent="0.3"/>
    <row r="48103" ht="14.4" x14ac:dyDescent="0.3"/>
    <row r="48104" ht="14.4" x14ac:dyDescent="0.3"/>
    <row r="48105" ht="14.4" x14ac:dyDescent="0.3"/>
    <row r="48106" ht="14.4" x14ac:dyDescent="0.3"/>
    <row r="48107" ht="14.4" x14ac:dyDescent="0.3"/>
    <row r="48108" ht="14.4" x14ac:dyDescent="0.3"/>
    <row r="48109" ht="14.4" x14ac:dyDescent="0.3"/>
    <row r="48110" ht="14.4" x14ac:dyDescent="0.3"/>
    <row r="48111" ht="14.4" x14ac:dyDescent="0.3"/>
    <row r="48112" ht="14.4" x14ac:dyDescent="0.3"/>
    <row r="48113" ht="14.4" x14ac:dyDescent="0.3"/>
    <row r="48114" ht="14.4" x14ac:dyDescent="0.3"/>
    <row r="48115" ht="14.4" x14ac:dyDescent="0.3"/>
    <row r="48116" ht="14.4" x14ac:dyDescent="0.3"/>
    <row r="48117" ht="14.4" x14ac:dyDescent="0.3"/>
    <row r="48118" ht="14.4" x14ac:dyDescent="0.3"/>
    <row r="48119" ht="14.4" x14ac:dyDescent="0.3"/>
    <row r="48120" ht="14.4" x14ac:dyDescent="0.3"/>
    <row r="48121" ht="14.4" x14ac:dyDescent="0.3"/>
    <row r="48122" ht="14.4" x14ac:dyDescent="0.3"/>
    <row r="48123" ht="14.4" x14ac:dyDescent="0.3"/>
    <row r="48124" ht="14.4" x14ac:dyDescent="0.3"/>
    <row r="48125" ht="14.4" x14ac:dyDescent="0.3"/>
    <row r="48126" ht="14.4" x14ac:dyDescent="0.3"/>
    <row r="48127" ht="14.4" x14ac:dyDescent="0.3"/>
    <row r="48128" ht="14.4" x14ac:dyDescent="0.3"/>
    <row r="48129" ht="14.4" x14ac:dyDescent="0.3"/>
    <row r="48130" ht="14.4" x14ac:dyDescent="0.3"/>
    <row r="48131" ht="14.4" x14ac:dyDescent="0.3"/>
    <row r="48132" ht="14.4" x14ac:dyDescent="0.3"/>
    <row r="48133" ht="14.4" x14ac:dyDescent="0.3"/>
    <row r="48134" ht="14.4" x14ac:dyDescent="0.3"/>
    <row r="48135" ht="14.4" x14ac:dyDescent="0.3"/>
    <row r="48136" ht="14.4" x14ac:dyDescent="0.3"/>
    <row r="48137" ht="14.4" x14ac:dyDescent="0.3"/>
    <row r="48138" ht="14.4" x14ac:dyDescent="0.3"/>
    <row r="48139" ht="14.4" x14ac:dyDescent="0.3"/>
    <row r="48140" ht="14.4" x14ac:dyDescent="0.3"/>
    <row r="48141" ht="14.4" x14ac:dyDescent="0.3"/>
    <row r="48142" ht="14.4" x14ac:dyDescent="0.3"/>
    <row r="48143" ht="14.4" x14ac:dyDescent="0.3"/>
    <row r="48144" ht="14.4" x14ac:dyDescent="0.3"/>
    <row r="48145" ht="14.4" x14ac:dyDescent="0.3"/>
    <row r="48146" ht="14.4" x14ac:dyDescent="0.3"/>
    <row r="48147" ht="14.4" x14ac:dyDescent="0.3"/>
    <row r="48148" ht="14.4" x14ac:dyDescent="0.3"/>
    <row r="48149" ht="14.4" x14ac:dyDescent="0.3"/>
    <row r="48150" ht="14.4" x14ac:dyDescent="0.3"/>
    <row r="48151" ht="14.4" x14ac:dyDescent="0.3"/>
    <row r="48152" ht="14.4" x14ac:dyDescent="0.3"/>
    <row r="48153" ht="14.4" x14ac:dyDescent="0.3"/>
    <row r="48154" ht="14.4" x14ac:dyDescent="0.3"/>
    <row r="48155" ht="14.4" x14ac:dyDescent="0.3"/>
    <row r="48156" ht="14.4" x14ac:dyDescent="0.3"/>
    <row r="48157" ht="14.4" x14ac:dyDescent="0.3"/>
    <row r="48158" ht="14.4" x14ac:dyDescent="0.3"/>
    <row r="48159" ht="14.4" x14ac:dyDescent="0.3"/>
    <row r="48160" ht="14.4" x14ac:dyDescent="0.3"/>
    <row r="48161" ht="14.4" x14ac:dyDescent="0.3"/>
    <row r="48162" ht="14.4" x14ac:dyDescent="0.3"/>
    <row r="48163" ht="14.4" x14ac:dyDescent="0.3"/>
    <row r="48164" ht="14.4" x14ac:dyDescent="0.3"/>
    <row r="48165" ht="14.4" x14ac:dyDescent="0.3"/>
    <row r="48166" ht="14.4" x14ac:dyDescent="0.3"/>
    <row r="48167" ht="14.4" x14ac:dyDescent="0.3"/>
    <row r="48168" ht="14.4" x14ac:dyDescent="0.3"/>
    <row r="48169" ht="14.4" x14ac:dyDescent="0.3"/>
    <row r="48170" ht="14.4" x14ac:dyDescent="0.3"/>
    <row r="48171" ht="14.4" x14ac:dyDescent="0.3"/>
    <row r="48172" ht="14.4" x14ac:dyDescent="0.3"/>
    <row r="48173" ht="14.4" x14ac:dyDescent="0.3"/>
    <row r="48174" ht="14.4" x14ac:dyDescent="0.3"/>
    <row r="48175" ht="14.4" x14ac:dyDescent="0.3"/>
    <row r="48176" ht="14.4" x14ac:dyDescent="0.3"/>
    <row r="48177" ht="14.4" x14ac:dyDescent="0.3"/>
    <row r="48178" ht="14.4" x14ac:dyDescent="0.3"/>
    <row r="48179" ht="14.4" x14ac:dyDescent="0.3"/>
    <row r="48180" ht="14.4" x14ac:dyDescent="0.3"/>
    <row r="48181" ht="14.4" x14ac:dyDescent="0.3"/>
    <row r="48182" ht="14.4" x14ac:dyDescent="0.3"/>
    <row r="48183" ht="14.4" x14ac:dyDescent="0.3"/>
    <row r="48184" ht="14.4" x14ac:dyDescent="0.3"/>
    <row r="48185" ht="14.4" x14ac:dyDescent="0.3"/>
    <row r="48186" ht="14.4" x14ac:dyDescent="0.3"/>
    <row r="48187" ht="14.4" x14ac:dyDescent="0.3"/>
    <row r="48188" ht="14.4" x14ac:dyDescent="0.3"/>
    <row r="48189" ht="14.4" x14ac:dyDescent="0.3"/>
    <row r="48190" ht="14.4" x14ac:dyDescent="0.3"/>
    <row r="48191" ht="14.4" x14ac:dyDescent="0.3"/>
    <row r="48192" ht="14.4" x14ac:dyDescent="0.3"/>
    <row r="48193" ht="14.4" x14ac:dyDescent="0.3"/>
    <row r="48194" ht="14.4" x14ac:dyDescent="0.3"/>
    <row r="48195" ht="14.4" x14ac:dyDescent="0.3"/>
    <row r="48196" ht="14.4" x14ac:dyDescent="0.3"/>
    <row r="48197" ht="14.4" x14ac:dyDescent="0.3"/>
    <row r="48198" ht="14.4" x14ac:dyDescent="0.3"/>
    <row r="48199" ht="14.4" x14ac:dyDescent="0.3"/>
    <row r="48200" ht="14.4" x14ac:dyDescent="0.3"/>
    <row r="48201" ht="14.4" x14ac:dyDescent="0.3"/>
    <row r="48202" ht="14.4" x14ac:dyDescent="0.3"/>
    <row r="48203" ht="14.4" x14ac:dyDescent="0.3"/>
    <row r="48204" ht="14.4" x14ac:dyDescent="0.3"/>
    <row r="48205" ht="14.4" x14ac:dyDescent="0.3"/>
    <row r="48206" ht="14.4" x14ac:dyDescent="0.3"/>
    <row r="48207" ht="14.4" x14ac:dyDescent="0.3"/>
    <row r="48208" ht="14.4" x14ac:dyDescent="0.3"/>
    <row r="48209" ht="14.4" x14ac:dyDescent="0.3"/>
    <row r="48210" ht="14.4" x14ac:dyDescent="0.3"/>
    <row r="48211" ht="14.4" x14ac:dyDescent="0.3"/>
    <row r="48212" ht="14.4" x14ac:dyDescent="0.3"/>
    <row r="48213" ht="14.4" x14ac:dyDescent="0.3"/>
    <row r="48214" ht="14.4" x14ac:dyDescent="0.3"/>
    <row r="48215" ht="14.4" x14ac:dyDescent="0.3"/>
    <row r="48216" ht="14.4" x14ac:dyDescent="0.3"/>
    <row r="48217" ht="14.4" x14ac:dyDescent="0.3"/>
    <row r="48218" ht="14.4" x14ac:dyDescent="0.3"/>
    <row r="48219" ht="14.4" x14ac:dyDescent="0.3"/>
    <row r="48220" ht="14.4" x14ac:dyDescent="0.3"/>
    <row r="48221" ht="14.4" x14ac:dyDescent="0.3"/>
    <row r="48222" ht="14.4" x14ac:dyDescent="0.3"/>
    <row r="48223" ht="14.4" x14ac:dyDescent="0.3"/>
    <row r="48224" ht="14.4" x14ac:dyDescent="0.3"/>
    <row r="48225" ht="14.4" x14ac:dyDescent="0.3"/>
    <row r="48226" ht="14.4" x14ac:dyDescent="0.3"/>
    <row r="48227" ht="14.4" x14ac:dyDescent="0.3"/>
    <row r="48228" ht="14.4" x14ac:dyDescent="0.3"/>
    <row r="48229" ht="14.4" x14ac:dyDescent="0.3"/>
    <row r="48230" ht="14.4" x14ac:dyDescent="0.3"/>
    <row r="48231" ht="14.4" x14ac:dyDescent="0.3"/>
    <row r="48232" ht="14.4" x14ac:dyDescent="0.3"/>
    <row r="48233" ht="14.4" x14ac:dyDescent="0.3"/>
    <row r="48234" ht="14.4" x14ac:dyDescent="0.3"/>
    <row r="48235" ht="14.4" x14ac:dyDescent="0.3"/>
    <row r="48236" ht="14.4" x14ac:dyDescent="0.3"/>
    <row r="48237" ht="14.4" x14ac:dyDescent="0.3"/>
    <row r="48238" ht="14.4" x14ac:dyDescent="0.3"/>
    <row r="48239" ht="14.4" x14ac:dyDescent="0.3"/>
    <row r="48240" ht="14.4" x14ac:dyDescent="0.3"/>
    <row r="48241" ht="14.4" x14ac:dyDescent="0.3"/>
    <row r="48242" ht="14.4" x14ac:dyDescent="0.3"/>
    <row r="48243" ht="14.4" x14ac:dyDescent="0.3"/>
    <row r="48244" ht="14.4" x14ac:dyDescent="0.3"/>
    <row r="48245" ht="14.4" x14ac:dyDescent="0.3"/>
    <row r="48246" ht="14.4" x14ac:dyDescent="0.3"/>
    <row r="48247" ht="14.4" x14ac:dyDescent="0.3"/>
    <row r="48248" ht="14.4" x14ac:dyDescent="0.3"/>
    <row r="48249" ht="14.4" x14ac:dyDescent="0.3"/>
    <row r="48250" ht="14.4" x14ac:dyDescent="0.3"/>
    <row r="48251" ht="14.4" x14ac:dyDescent="0.3"/>
    <row r="48252" ht="14.4" x14ac:dyDescent="0.3"/>
    <row r="48253" ht="14.4" x14ac:dyDescent="0.3"/>
    <row r="48254" ht="14.4" x14ac:dyDescent="0.3"/>
    <row r="48255" ht="14.4" x14ac:dyDescent="0.3"/>
    <row r="48256" ht="14.4" x14ac:dyDescent="0.3"/>
    <row r="48257" ht="14.4" x14ac:dyDescent="0.3"/>
    <row r="48258" ht="14.4" x14ac:dyDescent="0.3"/>
    <row r="48259" ht="14.4" x14ac:dyDescent="0.3"/>
    <row r="48260" ht="14.4" x14ac:dyDescent="0.3"/>
    <row r="48261" ht="14.4" x14ac:dyDescent="0.3"/>
    <row r="48262" ht="14.4" x14ac:dyDescent="0.3"/>
    <row r="48263" ht="14.4" x14ac:dyDescent="0.3"/>
    <row r="48264" ht="14.4" x14ac:dyDescent="0.3"/>
    <row r="48265" ht="14.4" x14ac:dyDescent="0.3"/>
    <row r="48266" ht="14.4" x14ac:dyDescent="0.3"/>
    <row r="48267" ht="14.4" x14ac:dyDescent="0.3"/>
    <row r="48268" ht="14.4" x14ac:dyDescent="0.3"/>
    <row r="48269" ht="14.4" x14ac:dyDescent="0.3"/>
    <row r="48270" ht="14.4" x14ac:dyDescent="0.3"/>
    <row r="48271" ht="14.4" x14ac:dyDescent="0.3"/>
    <row r="48272" ht="14.4" x14ac:dyDescent="0.3"/>
    <row r="48273" ht="14.4" x14ac:dyDescent="0.3"/>
    <row r="48274" ht="14.4" x14ac:dyDescent="0.3"/>
    <row r="48275" ht="14.4" x14ac:dyDescent="0.3"/>
    <row r="48276" ht="14.4" x14ac:dyDescent="0.3"/>
    <row r="48277" ht="14.4" x14ac:dyDescent="0.3"/>
    <row r="48278" ht="14.4" x14ac:dyDescent="0.3"/>
    <row r="48279" ht="14.4" x14ac:dyDescent="0.3"/>
    <row r="48280" ht="14.4" x14ac:dyDescent="0.3"/>
    <row r="48281" ht="14.4" x14ac:dyDescent="0.3"/>
    <row r="48282" ht="14.4" x14ac:dyDescent="0.3"/>
    <row r="48283" ht="14.4" x14ac:dyDescent="0.3"/>
    <row r="48284" ht="14.4" x14ac:dyDescent="0.3"/>
    <row r="48285" ht="14.4" x14ac:dyDescent="0.3"/>
    <row r="48286" ht="14.4" x14ac:dyDescent="0.3"/>
    <row r="48287" ht="14.4" x14ac:dyDescent="0.3"/>
    <row r="48288" ht="14.4" x14ac:dyDescent="0.3"/>
    <row r="48289" ht="14.4" x14ac:dyDescent="0.3"/>
    <row r="48290" ht="14.4" x14ac:dyDescent="0.3"/>
    <row r="48291" ht="14.4" x14ac:dyDescent="0.3"/>
    <row r="48292" ht="14.4" x14ac:dyDescent="0.3"/>
    <row r="48293" ht="14.4" x14ac:dyDescent="0.3"/>
    <row r="48294" ht="14.4" x14ac:dyDescent="0.3"/>
    <row r="48295" ht="14.4" x14ac:dyDescent="0.3"/>
    <row r="48296" ht="14.4" x14ac:dyDescent="0.3"/>
    <row r="48297" ht="14.4" x14ac:dyDescent="0.3"/>
    <row r="48298" ht="14.4" x14ac:dyDescent="0.3"/>
    <row r="48299" ht="14.4" x14ac:dyDescent="0.3"/>
    <row r="48300" ht="14.4" x14ac:dyDescent="0.3"/>
    <row r="48301" ht="14.4" x14ac:dyDescent="0.3"/>
    <row r="48302" ht="14.4" x14ac:dyDescent="0.3"/>
    <row r="48303" ht="14.4" x14ac:dyDescent="0.3"/>
    <row r="48304" ht="14.4" x14ac:dyDescent="0.3"/>
    <row r="48305" ht="14.4" x14ac:dyDescent="0.3"/>
    <row r="48306" ht="14.4" x14ac:dyDescent="0.3"/>
    <row r="48307" ht="14.4" x14ac:dyDescent="0.3"/>
    <row r="48308" ht="14.4" x14ac:dyDescent="0.3"/>
    <row r="48309" ht="14.4" x14ac:dyDescent="0.3"/>
    <row r="48310" ht="14.4" x14ac:dyDescent="0.3"/>
    <row r="48311" ht="14.4" x14ac:dyDescent="0.3"/>
    <row r="48312" ht="14.4" x14ac:dyDescent="0.3"/>
    <row r="48313" ht="14.4" x14ac:dyDescent="0.3"/>
    <row r="48314" ht="14.4" x14ac:dyDescent="0.3"/>
    <row r="48315" ht="14.4" x14ac:dyDescent="0.3"/>
    <row r="48316" ht="14.4" x14ac:dyDescent="0.3"/>
    <row r="48317" ht="14.4" x14ac:dyDescent="0.3"/>
    <row r="48318" ht="14.4" x14ac:dyDescent="0.3"/>
    <row r="48319" ht="14.4" x14ac:dyDescent="0.3"/>
    <row r="48320" ht="14.4" x14ac:dyDescent="0.3"/>
    <row r="48321" ht="14.4" x14ac:dyDescent="0.3"/>
    <row r="48322" ht="14.4" x14ac:dyDescent="0.3"/>
    <row r="48323" ht="14.4" x14ac:dyDescent="0.3"/>
    <row r="48324" ht="14.4" x14ac:dyDescent="0.3"/>
    <row r="48325" ht="14.4" x14ac:dyDescent="0.3"/>
    <row r="48326" ht="14.4" x14ac:dyDescent="0.3"/>
    <row r="48327" ht="14.4" x14ac:dyDescent="0.3"/>
    <row r="48328" ht="14.4" x14ac:dyDescent="0.3"/>
    <row r="48329" ht="14.4" x14ac:dyDescent="0.3"/>
    <row r="48330" ht="14.4" x14ac:dyDescent="0.3"/>
    <row r="48331" ht="14.4" x14ac:dyDescent="0.3"/>
    <row r="48332" ht="14.4" x14ac:dyDescent="0.3"/>
    <row r="48333" ht="14.4" x14ac:dyDescent="0.3"/>
    <row r="48334" ht="14.4" x14ac:dyDescent="0.3"/>
    <row r="48335" ht="14.4" x14ac:dyDescent="0.3"/>
    <row r="48336" ht="14.4" x14ac:dyDescent="0.3"/>
    <row r="48337" ht="14.4" x14ac:dyDescent="0.3"/>
    <row r="48338" ht="14.4" x14ac:dyDescent="0.3"/>
    <row r="48339" ht="14.4" x14ac:dyDescent="0.3"/>
    <row r="48340" ht="14.4" x14ac:dyDescent="0.3"/>
    <row r="48341" ht="14.4" x14ac:dyDescent="0.3"/>
    <row r="48342" ht="14.4" x14ac:dyDescent="0.3"/>
    <row r="48343" ht="14.4" x14ac:dyDescent="0.3"/>
    <row r="48344" ht="14.4" x14ac:dyDescent="0.3"/>
    <row r="48345" ht="14.4" x14ac:dyDescent="0.3"/>
    <row r="48346" ht="14.4" x14ac:dyDescent="0.3"/>
    <row r="48347" ht="14.4" x14ac:dyDescent="0.3"/>
    <row r="48348" ht="14.4" x14ac:dyDescent="0.3"/>
    <row r="48349" ht="14.4" x14ac:dyDescent="0.3"/>
    <row r="48350" ht="14.4" x14ac:dyDescent="0.3"/>
    <row r="48351" ht="14.4" x14ac:dyDescent="0.3"/>
    <row r="48352" ht="14.4" x14ac:dyDescent="0.3"/>
    <row r="48353" ht="14.4" x14ac:dyDescent="0.3"/>
    <row r="48354" ht="14.4" x14ac:dyDescent="0.3"/>
    <row r="48355" ht="14.4" x14ac:dyDescent="0.3"/>
    <row r="48356" ht="14.4" x14ac:dyDescent="0.3"/>
    <row r="48357" ht="14.4" x14ac:dyDescent="0.3"/>
    <row r="48358" ht="14.4" x14ac:dyDescent="0.3"/>
    <row r="48359" ht="14.4" x14ac:dyDescent="0.3"/>
    <row r="48360" ht="14.4" x14ac:dyDescent="0.3"/>
    <row r="48361" ht="14.4" x14ac:dyDescent="0.3"/>
    <row r="48362" ht="14.4" x14ac:dyDescent="0.3"/>
    <row r="48363" ht="14.4" x14ac:dyDescent="0.3"/>
    <row r="48364" ht="14.4" x14ac:dyDescent="0.3"/>
    <row r="48365" ht="14.4" x14ac:dyDescent="0.3"/>
    <row r="48366" ht="14.4" x14ac:dyDescent="0.3"/>
    <row r="48367" ht="14.4" x14ac:dyDescent="0.3"/>
    <row r="48368" ht="14.4" x14ac:dyDescent="0.3"/>
    <row r="48369" ht="14.4" x14ac:dyDescent="0.3"/>
    <row r="48370" ht="14.4" x14ac:dyDescent="0.3"/>
    <row r="48371" ht="14.4" x14ac:dyDescent="0.3"/>
    <row r="48372" ht="14.4" x14ac:dyDescent="0.3"/>
    <row r="48373" ht="14.4" x14ac:dyDescent="0.3"/>
    <row r="48374" ht="14.4" x14ac:dyDescent="0.3"/>
    <row r="48375" ht="14.4" x14ac:dyDescent="0.3"/>
    <row r="48376" ht="14.4" x14ac:dyDescent="0.3"/>
    <row r="48377" ht="14.4" x14ac:dyDescent="0.3"/>
    <row r="48378" ht="14.4" x14ac:dyDescent="0.3"/>
    <row r="48379" ht="14.4" x14ac:dyDescent="0.3"/>
    <row r="48380" ht="14.4" x14ac:dyDescent="0.3"/>
    <row r="48381" ht="14.4" x14ac:dyDescent="0.3"/>
    <row r="48382" ht="14.4" x14ac:dyDescent="0.3"/>
    <row r="48383" ht="14.4" x14ac:dyDescent="0.3"/>
    <row r="48384" ht="14.4" x14ac:dyDescent="0.3"/>
    <row r="48385" ht="14.4" x14ac:dyDescent="0.3"/>
    <row r="48386" ht="14.4" x14ac:dyDescent="0.3"/>
    <row r="48387" ht="14.4" x14ac:dyDescent="0.3"/>
    <row r="48388" ht="14.4" x14ac:dyDescent="0.3"/>
    <row r="48389" ht="14.4" x14ac:dyDescent="0.3"/>
    <row r="48390" ht="14.4" x14ac:dyDescent="0.3"/>
    <row r="48391" ht="14.4" x14ac:dyDescent="0.3"/>
    <row r="48392" ht="14.4" x14ac:dyDescent="0.3"/>
    <row r="48393" ht="14.4" x14ac:dyDescent="0.3"/>
    <row r="48394" ht="14.4" x14ac:dyDescent="0.3"/>
    <row r="48395" ht="14.4" x14ac:dyDescent="0.3"/>
    <row r="48396" ht="14.4" x14ac:dyDescent="0.3"/>
    <row r="48397" ht="14.4" x14ac:dyDescent="0.3"/>
    <row r="48398" ht="14.4" x14ac:dyDescent="0.3"/>
    <row r="48399" ht="14.4" x14ac:dyDescent="0.3"/>
    <row r="48400" ht="14.4" x14ac:dyDescent="0.3"/>
    <row r="48401" ht="14.4" x14ac:dyDescent="0.3"/>
    <row r="48402" ht="14.4" x14ac:dyDescent="0.3"/>
    <row r="48403" ht="14.4" x14ac:dyDescent="0.3"/>
    <row r="48404" ht="14.4" x14ac:dyDescent="0.3"/>
    <row r="48405" ht="14.4" x14ac:dyDescent="0.3"/>
    <row r="48406" ht="14.4" x14ac:dyDescent="0.3"/>
    <row r="48407" ht="14.4" x14ac:dyDescent="0.3"/>
    <row r="48408" ht="14.4" x14ac:dyDescent="0.3"/>
    <row r="48409" ht="14.4" x14ac:dyDescent="0.3"/>
    <row r="48410" ht="14.4" x14ac:dyDescent="0.3"/>
    <row r="48411" ht="14.4" x14ac:dyDescent="0.3"/>
    <row r="48412" ht="14.4" x14ac:dyDescent="0.3"/>
    <row r="48413" ht="14.4" x14ac:dyDescent="0.3"/>
    <row r="48414" ht="14.4" x14ac:dyDescent="0.3"/>
    <row r="48415" ht="14.4" x14ac:dyDescent="0.3"/>
    <row r="48416" ht="14.4" x14ac:dyDescent="0.3"/>
    <row r="48417" ht="14.4" x14ac:dyDescent="0.3"/>
    <row r="48418" ht="14.4" x14ac:dyDescent="0.3"/>
    <row r="48419" ht="14.4" x14ac:dyDescent="0.3"/>
    <row r="48420" ht="14.4" x14ac:dyDescent="0.3"/>
    <row r="48421" ht="14.4" x14ac:dyDescent="0.3"/>
    <row r="48422" ht="14.4" x14ac:dyDescent="0.3"/>
    <row r="48423" ht="14.4" x14ac:dyDescent="0.3"/>
    <row r="48424" ht="14.4" x14ac:dyDescent="0.3"/>
    <row r="48425" ht="14.4" x14ac:dyDescent="0.3"/>
    <row r="48426" ht="14.4" x14ac:dyDescent="0.3"/>
    <row r="48427" ht="14.4" x14ac:dyDescent="0.3"/>
    <row r="48428" ht="14.4" x14ac:dyDescent="0.3"/>
    <row r="48429" ht="14.4" x14ac:dyDescent="0.3"/>
    <row r="48430" ht="14.4" x14ac:dyDescent="0.3"/>
    <row r="48431" ht="14.4" x14ac:dyDescent="0.3"/>
    <row r="48432" ht="14.4" x14ac:dyDescent="0.3"/>
    <row r="48433" ht="14.4" x14ac:dyDescent="0.3"/>
    <row r="48434" ht="14.4" x14ac:dyDescent="0.3"/>
    <row r="48435" ht="14.4" x14ac:dyDescent="0.3"/>
    <row r="48436" ht="14.4" x14ac:dyDescent="0.3"/>
    <row r="48437" ht="14.4" x14ac:dyDescent="0.3"/>
    <row r="48438" ht="14.4" x14ac:dyDescent="0.3"/>
    <row r="48439" ht="14.4" x14ac:dyDescent="0.3"/>
    <row r="48440" ht="14.4" x14ac:dyDescent="0.3"/>
    <row r="48441" ht="14.4" x14ac:dyDescent="0.3"/>
    <row r="48442" ht="14.4" x14ac:dyDescent="0.3"/>
    <row r="48443" ht="14.4" x14ac:dyDescent="0.3"/>
    <row r="48444" ht="14.4" x14ac:dyDescent="0.3"/>
    <row r="48445" ht="14.4" x14ac:dyDescent="0.3"/>
    <row r="48446" ht="14.4" x14ac:dyDescent="0.3"/>
    <row r="48447" ht="14.4" x14ac:dyDescent="0.3"/>
    <row r="48448" ht="14.4" x14ac:dyDescent="0.3"/>
    <row r="48449" ht="14.4" x14ac:dyDescent="0.3"/>
    <row r="48450" ht="14.4" x14ac:dyDescent="0.3"/>
    <row r="48451" ht="14.4" x14ac:dyDescent="0.3"/>
    <row r="48452" ht="14.4" x14ac:dyDescent="0.3"/>
    <row r="48453" ht="14.4" x14ac:dyDescent="0.3"/>
    <row r="48454" ht="14.4" x14ac:dyDescent="0.3"/>
    <row r="48455" ht="14.4" x14ac:dyDescent="0.3"/>
    <row r="48456" ht="14.4" x14ac:dyDescent="0.3"/>
    <row r="48457" ht="14.4" x14ac:dyDescent="0.3"/>
    <row r="48458" ht="14.4" x14ac:dyDescent="0.3"/>
    <row r="48459" ht="14.4" x14ac:dyDescent="0.3"/>
    <row r="48460" ht="14.4" x14ac:dyDescent="0.3"/>
    <row r="48461" ht="14.4" x14ac:dyDescent="0.3"/>
    <row r="48462" ht="14.4" x14ac:dyDescent="0.3"/>
    <row r="48463" ht="14.4" x14ac:dyDescent="0.3"/>
    <row r="48464" ht="14.4" x14ac:dyDescent="0.3"/>
    <row r="48465" ht="14.4" x14ac:dyDescent="0.3"/>
    <row r="48466" ht="14.4" x14ac:dyDescent="0.3"/>
    <row r="48467" ht="14.4" x14ac:dyDescent="0.3"/>
    <row r="48468" ht="14.4" x14ac:dyDescent="0.3"/>
    <row r="48469" ht="14.4" x14ac:dyDescent="0.3"/>
    <row r="48470" ht="14.4" x14ac:dyDescent="0.3"/>
    <row r="48471" ht="14.4" x14ac:dyDescent="0.3"/>
    <row r="48472" ht="14.4" x14ac:dyDescent="0.3"/>
    <row r="48473" ht="14.4" x14ac:dyDescent="0.3"/>
    <row r="48474" ht="14.4" x14ac:dyDescent="0.3"/>
    <row r="48475" ht="14.4" x14ac:dyDescent="0.3"/>
    <row r="48476" ht="14.4" x14ac:dyDescent="0.3"/>
    <row r="48477" ht="14.4" x14ac:dyDescent="0.3"/>
    <row r="48478" ht="14.4" x14ac:dyDescent="0.3"/>
    <row r="48479" ht="14.4" x14ac:dyDescent="0.3"/>
    <row r="48480" ht="14.4" x14ac:dyDescent="0.3"/>
    <row r="48481" ht="14.4" x14ac:dyDescent="0.3"/>
    <row r="48482" ht="14.4" x14ac:dyDescent="0.3"/>
    <row r="48483" ht="14.4" x14ac:dyDescent="0.3"/>
    <row r="48484" ht="14.4" x14ac:dyDescent="0.3"/>
    <row r="48485" ht="14.4" x14ac:dyDescent="0.3"/>
    <row r="48486" ht="14.4" x14ac:dyDescent="0.3"/>
    <row r="48487" ht="14.4" x14ac:dyDescent="0.3"/>
    <row r="48488" ht="14.4" x14ac:dyDescent="0.3"/>
    <row r="48489" ht="14.4" x14ac:dyDescent="0.3"/>
    <row r="48490" ht="14.4" x14ac:dyDescent="0.3"/>
    <row r="48491" ht="14.4" x14ac:dyDescent="0.3"/>
    <row r="48492" ht="14.4" x14ac:dyDescent="0.3"/>
    <row r="48493" ht="14.4" x14ac:dyDescent="0.3"/>
    <row r="48494" ht="14.4" x14ac:dyDescent="0.3"/>
    <row r="48495" ht="14.4" x14ac:dyDescent="0.3"/>
    <row r="48496" ht="14.4" x14ac:dyDescent="0.3"/>
    <row r="48497" ht="14.4" x14ac:dyDescent="0.3"/>
    <row r="48498" ht="14.4" x14ac:dyDescent="0.3"/>
    <row r="48499" ht="14.4" x14ac:dyDescent="0.3"/>
    <row r="48500" ht="14.4" x14ac:dyDescent="0.3"/>
    <row r="48501" ht="14.4" x14ac:dyDescent="0.3"/>
    <row r="48502" ht="14.4" x14ac:dyDescent="0.3"/>
    <row r="48503" ht="14.4" x14ac:dyDescent="0.3"/>
    <row r="48504" ht="14.4" x14ac:dyDescent="0.3"/>
    <row r="48505" ht="14.4" x14ac:dyDescent="0.3"/>
    <row r="48506" ht="14.4" x14ac:dyDescent="0.3"/>
    <row r="48507" ht="14.4" x14ac:dyDescent="0.3"/>
    <row r="48508" ht="14.4" x14ac:dyDescent="0.3"/>
    <row r="48509" ht="14.4" x14ac:dyDescent="0.3"/>
    <row r="48510" ht="14.4" x14ac:dyDescent="0.3"/>
    <row r="48511" ht="14.4" x14ac:dyDescent="0.3"/>
    <row r="48512" ht="14.4" x14ac:dyDescent="0.3"/>
    <row r="48513" ht="14.4" x14ac:dyDescent="0.3"/>
    <row r="48514" ht="14.4" x14ac:dyDescent="0.3"/>
    <row r="48515" ht="14.4" x14ac:dyDescent="0.3"/>
    <row r="48516" ht="14.4" x14ac:dyDescent="0.3"/>
    <row r="48517" ht="14.4" x14ac:dyDescent="0.3"/>
    <row r="48518" ht="14.4" x14ac:dyDescent="0.3"/>
    <row r="48519" ht="14.4" x14ac:dyDescent="0.3"/>
    <row r="48520" ht="14.4" x14ac:dyDescent="0.3"/>
    <row r="48521" ht="14.4" x14ac:dyDescent="0.3"/>
    <row r="48522" ht="14.4" x14ac:dyDescent="0.3"/>
    <row r="48523" ht="14.4" x14ac:dyDescent="0.3"/>
    <row r="48524" ht="14.4" x14ac:dyDescent="0.3"/>
    <row r="48525" ht="14.4" x14ac:dyDescent="0.3"/>
    <row r="48526" ht="14.4" x14ac:dyDescent="0.3"/>
    <row r="48527" ht="14.4" x14ac:dyDescent="0.3"/>
    <row r="48528" ht="14.4" x14ac:dyDescent="0.3"/>
    <row r="48529" ht="14.4" x14ac:dyDescent="0.3"/>
    <row r="48530" ht="14.4" x14ac:dyDescent="0.3"/>
    <row r="48531" ht="14.4" x14ac:dyDescent="0.3"/>
    <row r="48532" ht="14.4" x14ac:dyDescent="0.3"/>
    <row r="48533" ht="14.4" x14ac:dyDescent="0.3"/>
    <row r="48534" ht="14.4" x14ac:dyDescent="0.3"/>
    <row r="48535" ht="14.4" x14ac:dyDescent="0.3"/>
    <row r="48536" ht="14.4" x14ac:dyDescent="0.3"/>
    <row r="48537" ht="14.4" x14ac:dyDescent="0.3"/>
    <row r="48538" ht="14.4" x14ac:dyDescent="0.3"/>
    <row r="48539" ht="14.4" x14ac:dyDescent="0.3"/>
    <row r="48540" ht="14.4" x14ac:dyDescent="0.3"/>
    <row r="48541" ht="14.4" x14ac:dyDescent="0.3"/>
    <row r="48542" ht="14.4" x14ac:dyDescent="0.3"/>
    <row r="48543" ht="14.4" x14ac:dyDescent="0.3"/>
    <row r="48544" ht="14.4" x14ac:dyDescent="0.3"/>
    <row r="48545" ht="14.4" x14ac:dyDescent="0.3"/>
    <row r="48546" ht="14.4" x14ac:dyDescent="0.3"/>
    <row r="48547" ht="14.4" x14ac:dyDescent="0.3"/>
    <row r="48548" ht="14.4" x14ac:dyDescent="0.3"/>
    <row r="48549" ht="14.4" x14ac:dyDescent="0.3"/>
    <row r="48550" ht="14.4" x14ac:dyDescent="0.3"/>
    <row r="48551" ht="14.4" x14ac:dyDescent="0.3"/>
    <row r="48552" ht="14.4" x14ac:dyDescent="0.3"/>
    <row r="48553" ht="14.4" x14ac:dyDescent="0.3"/>
    <row r="48554" ht="14.4" x14ac:dyDescent="0.3"/>
    <row r="48555" ht="14.4" x14ac:dyDescent="0.3"/>
    <row r="48556" ht="14.4" x14ac:dyDescent="0.3"/>
    <row r="48557" ht="14.4" x14ac:dyDescent="0.3"/>
    <row r="48558" ht="14.4" x14ac:dyDescent="0.3"/>
    <row r="48559" ht="14.4" x14ac:dyDescent="0.3"/>
    <row r="48560" ht="14.4" x14ac:dyDescent="0.3"/>
    <row r="48561" ht="14.4" x14ac:dyDescent="0.3"/>
    <row r="48562" ht="14.4" x14ac:dyDescent="0.3"/>
    <row r="48563" ht="14.4" x14ac:dyDescent="0.3"/>
    <row r="48564" ht="14.4" x14ac:dyDescent="0.3"/>
    <row r="48565" ht="14.4" x14ac:dyDescent="0.3"/>
    <row r="48566" ht="14.4" x14ac:dyDescent="0.3"/>
    <row r="48567" ht="14.4" x14ac:dyDescent="0.3"/>
    <row r="48568" ht="14.4" x14ac:dyDescent="0.3"/>
    <row r="48569" ht="14.4" x14ac:dyDescent="0.3"/>
    <row r="48570" ht="14.4" x14ac:dyDescent="0.3"/>
    <row r="48571" ht="14.4" x14ac:dyDescent="0.3"/>
    <row r="48572" ht="14.4" x14ac:dyDescent="0.3"/>
    <row r="48573" ht="14.4" x14ac:dyDescent="0.3"/>
    <row r="48574" ht="14.4" x14ac:dyDescent="0.3"/>
    <row r="48575" ht="14.4" x14ac:dyDescent="0.3"/>
    <row r="48576" ht="14.4" x14ac:dyDescent="0.3"/>
    <row r="48577" ht="14.4" x14ac:dyDescent="0.3"/>
    <row r="48578" ht="14.4" x14ac:dyDescent="0.3"/>
    <row r="48579" ht="14.4" x14ac:dyDescent="0.3"/>
    <row r="48580" ht="14.4" x14ac:dyDescent="0.3"/>
    <row r="48581" ht="14.4" x14ac:dyDescent="0.3"/>
    <row r="48582" ht="14.4" x14ac:dyDescent="0.3"/>
    <row r="48583" ht="14.4" x14ac:dyDescent="0.3"/>
    <row r="48584" ht="14.4" x14ac:dyDescent="0.3"/>
    <row r="48585" ht="14.4" x14ac:dyDescent="0.3"/>
    <row r="48586" ht="14.4" x14ac:dyDescent="0.3"/>
    <row r="48587" ht="14.4" x14ac:dyDescent="0.3"/>
    <row r="48588" ht="14.4" x14ac:dyDescent="0.3"/>
    <row r="48589" ht="14.4" x14ac:dyDescent="0.3"/>
    <row r="48590" ht="14.4" x14ac:dyDescent="0.3"/>
    <row r="48591" ht="14.4" x14ac:dyDescent="0.3"/>
    <row r="48592" ht="14.4" x14ac:dyDescent="0.3"/>
    <row r="48593" ht="14.4" x14ac:dyDescent="0.3"/>
    <row r="48594" ht="14.4" x14ac:dyDescent="0.3"/>
    <row r="48595" ht="14.4" x14ac:dyDescent="0.3"/>
    <row r="48596" ht="14.4" x14ac:dyDescent="0.3"/>
    <row r="48597" ht="14.4" x14ac:dyDescent="0.3"/>
    <row r="48598" ht="14.4" x14ac:dyDescent="0.3"/>
    <row r="48599" ht="14.4" x14ac:dyDescent="0.3"/>
    <row r="48600" ht="14.4" x14ac:dyDescent="0.3"/>
    <row r="48601" ht="14.4" x14ac:dyDescent="0.3"/>
    <row r="48602" ht="14.4" x14ac:dyDescent="0.3"/>
    <row r="48603" ht="14.4" x14ac:dyDescent="0.3"/>
    <row r="48604" ht="14.4" x14ac:dyDescent="0.3"/>
    <row r="48605" ht="14.4" x14ac:dyDescent="0.3"/>
    <row r="48606" ht="14.4" x14ac:dyDescent="0.3"/>
    <row r="48607" ht="14.4" x14ac:dyDescent="0.3"/>
    <row r="48608" ht="14.4" x14ac:dyDescent="0.3"/>
    <row r="48609" ht="14.4" x14ac:dyDescent="0.3"/>
    <row r="48610" ht="14.4" x14ac:dyDescent="0.3"/>
    <row r="48611" ht="14.4" x14ac:dyDescent="0.3"/>
    <row r="48612" ht="14.4" x14ac:dyDescent="0.3"/>
    <row r="48613" ht="14.4" x14ac:dyDescent="0.3"/>
    <row r="48614" ht="14.4" x14ac:dyDescent="0.3"/>
    <row r="48615" ht="14.4" x14ac:dyDescent="0.3"/>
    <row r="48616" ht="14.4" x14ac:dyDescent="0.3"/>
    <row r="48617" ht="14.4" x14ac:dyDescent="0.3"/>
    <row r="48618" ht="14.4" x14ac:dyDescent="0.3"/>
    <row r="48619" ht="14.4" x14ac:dyDescent="0.3"/>
    <row r="48620" ht="14.4" x14ac:dyDescent="0.3"/>
    <row r="48621" ht="14.4" x14ac:dyDescent="0.3"/>
    <row r="48622" ht="14.4" x14ac:dyDescent="0.3"/>
    <row r="48623" ht="14.4" x14ac:dyDescent="0.3"/>
    <row r="48624" ht="14.4" x14ac:dyDescent="0.3"/>
    <row r="48625" ht="14.4" x14ac:dyDescent="0.3"/>
    <row r="48626" ht="14.4" x14ac:dyDescent="0.3"/>
    <row r="48627" ht="14.4" x14ac:dyDescent="0.3"/>
    <row r="48628" ht="14.4" x14ac:dyDescent="0.3"/>
    <row r="48629" ht="14.4" x14ac:dyDescent="0.3"/>
    <row r="48630" ht="14.4" x14ac:dyDescent="0.3"/>
    <row r="48631" ht="14.4" x14ac:dyDescent="0.3"/>
    <row r="48632" ht="14.4" x14ac:dyDescent="0.3"/>
    <row r="48633" ht="14.4" x14ac:dyDescent="0.3"/>
    <row r="48634" ht="14.4" x14ac:dyDescent="0.3"/>
    <row r="48635" ht="14.4" x14ac:dyDescent="0.3"/>
    <row r="48636" ht="14.4" x14ac:dyDescent="0.3"/>
    <row r="48637" ht="14.4" x14ac:dyDescent="0.3"/>
    <row r="48638" ht="14.4" x14ac:dyDescent="0.3"/>
    <row r="48639" ht="14.4" x14ac:dyDescent="0.3"/>
    <row r="48640" ht="14.4" x14ac:dyDescent="0.3"/>
    <row r="48641" ht="14.4" x14ac:dyDescent="0.3"/>
    <row r="48642" ht="14.4" x14ac:dyDescent="0.3"/>
    <row r="48643" ht="14.4" x14ac:dyDescent="0.3"/>
    <row r="48644" ht="14.4" x14ac:dyDescent="0.3"/>
    <row r="48645" ht="14.4" x14ac:dyDescent="0.3"/>
    <row r="48646" ht="14.4" x14ac:dyDescent="0.3"/>
    <row r="48647" ht="14.4" x14ac:dyDescent="0.3"/>
    <row r="48648" ht="14.4" x14ac:dyDescent="0.3"/>
    <row r="48649" ht="14.4" x14ac:dyDescent="0.3"/>
    <row r="48650" ht="14.4" x14ac:dyDescent="0.3"/>
    <row r="48651" ht="14.4" x14ac:dyDescent="0.3"/>
    <row r="48652" ht="14.4" x14ac:dyDescent="0.3"/>
    <row r="48653" ht="14.4" x14ac:dyDescent="0.3"/>
    <row r="48654" ht="14.4" x14ac:dyDescent="0.3"/>
    <row r="48655" ht="14.4" x14ac:dyDescent="0.3"/>
    <row r="48656" ht="14.4" x14ac:dyDescent="0.3"/>
    <row r="48657" ht="14.4" x14ac:dyDescent="0.3"/>
    <row r="48658" ht="14.4" x14ac:dyDescent="0.3"/>
    <row r="48659" ht="14.4" x14ac:dyDescent="0.3"/>
    <row r="48660" ht="14.4" x14ac:dyDescent="0.3"/>
    <row r="48661" ht="14.4" x14ac:dyDescent="0.3"/>
    <row r="48662" ht="14.4" x14ac:dyDescent="0.3"/>
    <row r="48663" ht="14.4" x14ac:dyDescent="0.3"/>
    <row r="48664" ht="14.4" x14ac:dyDescent="0.3"/>
    <row r="48665" ht="14.4" x14ac:dyDescent="0.3"/>
    <row r="48666" ht="14.4" x14ac:dyDescent="0.3"/>
    <row r="48667" ht="14.4" x14ac:dyDescent="0.3"/>
    <row r="48668" ht="14.4" x14ac:dyDescent="0.3"/>
    <row r="48669" ht="14.4" x14ac:dyDescent="0.3"/>
    <row r="48670" ht="14.4" x14ac:dyDescent="0.3"/>
    <row r="48671" ht="14.4" x14ac:dyDescent="0.3"/>
    <row r="48672" ht="14.4" x14ac:dyDescent="0.3"/>
    <row r="48673" ht="14.4" x14ac:dyDescent="0.3"/>
    <row r="48674" ht="14.4" x14ac:dyDescent="0.3"/>
    <row r="48675" ht="14.4" x14ac:dyDescent="0.3"/>
    <row r="48676" ht="14.4" x14ac:dyDescent="0.3"/>
    <row r="48677" ht="14.4" x14ac:dyDescent="0.3"/>
    <row r="48678" ht="14.4" x14ac:dyDescent="0.3"/>
    <row r="48679" ht="14.4" x14ac:dyDescent="0.3"/>
    <row r="48680" ht="14.4" x14ac:dyDescent="0.3"/>
    <row r="48681" ht="14.4" x14ac:dyDescent="0.3"/>
    <row r="48682" ht="14.4" x14ac:dyDescent="0.3"/>
    <row r="48683" ht="14.4" x14ac:dyDescent="0.3"/>
    <row r="48684" ht="14.4" x14ac:dyDescent="0.3"/>
    <row r="48685" ht="14.4" x14ac:dyDescent="0.3"/>
    <row r="48686" ht="14.4" x14ac:dyDescent="0.3"/>
    <row r="48687" ht="14.4" x14ac:dyDescent="0.3"/>
    <row r="48688" ht="14.4" x14ac:dyDescent="0.3"/>
    <row r="48689" ht="14.4" x14ac:dyDescent="0.3"/>
    <row r="48690" ht="14.4" x14ac:dyDescent="0.3"/>
    <row r="48691" ht="14.4" x14ac:dyDescent="0.3"/>
    <row r="48692" ht="14.4" x14ac:dyDescent="0.3"/>
    <row r="48693" ht="14.4" x14ac:dyDescent="0.3"/>
    <row r="48694" ht="14.4" x14ac:dyDescent="0.3"/>
    <row r="48695" ht="14.4" x14ac:dyDescent="0.3"/>
    <row r="48696" ht="14.4" x14ac:dyDescent="0.3"/>
    <row r="48697" ht="14.4" x14ac:dyDescent="0.3"/>
    <row r="48698" ht="14.4" x14ac:dyDescent="0.3"/>
    <row r="48699" ht="14.4" x14ac:dyDescent="0.3"/>
    <row r="48700" ht="14.4" x14ac:dyDescent="0.3"/>
    <row r="48701" ht="14.4" x14ac:dyDescent="0.3"/>
    <row r="48702" ht="14.4" x14ac:dyDescent="0.3"/>
    <row r="48703" ht="14.4" x14ac:dyDescent="0.3"/>
    <row r="48704" ht="14.4" x14ac:dyDescent="0.3"/>
    <row r="48705" ht="14.4" x14ac:dyDescent="0.3"/>
    <row r="48706" ht="14.4" x14ac:dyDescent="0.3"/>
    <row r="48707" ht="14.4" x14ac:dyDescent="0.3"/>
    <row r="48708" ht="14.4" x14ac:dyDescent="0.3"/>
    <row r="48709" ht="14.4" x14ac:dyDescent="0.3"/>
    <row r="48710" ht="14.4" x14ac:dyDescent="0.3"/>
    <row r="48711" ht="14.4" x14ac:dyDescent="0.3"/>
    <row r="48712" ht="14.4" x14ac:dyDescent="0.3"/>
    <row r="48713" ht="14.4" x14ac:dyDescent="0.3"/>
    <row r="48714" ht="14.4" x14ac:dyDescent="0.3"/>
    <row r="48715" ht="14.4" x14ac:dyDescent="0.3"/>
    <row r="48716" ht="14.4" x14ac:dyDescent="0.3"/>
    <row r="48717" ht="14.4" x14ac:dyDescent="0.3"/>
    <row r="48718" ht="14.4" x14ac:dyDescent="0.3"/>
    <row r="48719" ht="14.4" x14ac:dyDescent="0.3"/>
    <row r="48720" ht="14.4" x14ac:dyDescent="0.3"/>
    <row r="48721" ht="14.4" x14ac:dyDescent="0.3"/>
    <row r="48722" ht="14.4" x14ac:dyDescent="0.3"/>
    <row r="48723" ht="14.4" x14ac:dyDescent="0.3"/>
    <row r="48724" ht="14.4" x14ac:dyDescent="0.3"/>
    <row r="48725" ht="14.4" x14ac:dyDescent="0.3"/>
    <row r="48726" ht="14.4" x14ac:dyDescent="0.3"/>
    <row r="48727" ht="14.4" x14ac:dyDescent="0.3"/>
    <row r="48728" ht="14.4" x14ac:dyDescent="0.3"/>
    <row r="48729" ht="14.4" x14ac:dyDescent="0.3"/>
    <row r="48730" ht="14.4" x14ac:dyDescent="0.3"/>
    <row r="48731" ht="14.4" x14ac:dyDescent="0.3"/>
    <row r="48732" ht="14.4" x14ac:dyDescent="0.3"/>
    <row r="48733" ht="14.4" x14ac:dyDescent="0.3"/>
    <row r="48734" ht="14.4" x14ac:dyDescent="0.3"/>
    <row r="48735" ht="14.4" x14ac:dyDescent="0.3"/>
    <row r="48736" ht="14.4" x14ac:dyDescent="0.3"/>
    <row r="48737" ht="14.4" x14ac:dyDescent="0.3"/>
    <row r="48738" ht="14.4" x14ac:dyDescent="0.3"/>
    <row r="48739" ht="14.4" x14ac:dyDescent="0.3"/>
    <row r="48740" ht="14.4" x14ac:dyDescent="0.3"/>
    <row r="48741" ht="14.4" x14ac:dyDescent="0.3"/>
    <row r="48742" ht="14.4" x14ac:dyDescent="0.3"/>
    <row r="48743" ht="14.4" x14ac:dyDescent="0.3"/>
    <row r="48744" ht="14.4" x14ac:dyDescent="0.3"/>
    <row r="48745" ht="14.4" x14ac:dyDescent="0.3"/>
    <row r="48746" ht="14.4" x14ac:dyDescent="0.3"/>
    <row r="48747" ht="14.4" x14ac:dyDescent="0.3"/>
    <row r="48748" ht="14.4" x14ac:dyDescent="0.3"/>
    <row r="48749" ht="14.4" x14ac:dyDescent="0.3"/>
    <row r="48750" ht="14.4" x14ac:dyDescent="0.3"/>
    <row r="48751" ht="14.4" x14ac:dyDescent="0.3"/>
    <row r="48752" ht="14.4" x14ac:dyDescent="0.3"/>
    <row r="48753" ht="14.4" x14ac:dyDescent="0.3"/>
    <row r="48754" ht="14.4" x14ac:dyDescent="0.3"/>
    <row r="48755" ht="14.4" x14ac:dyDescent="0.3"/>
    <row r="48756" ht="14.4" x14ac:dyDescent="0.3"/>
    <row r="48757" ht="14.4" x14ac:dyDescent="0.3"/>
    <row r="48758" ht="14.4" x14ac:dyDescent="0.3"/>
    <row r="48759" ht="14.4" x14ac:dyDescent="0.3"/>
    <row r="48760" ht="14.4" x14ac:dyDescent="0.3"/>
    <row r="48761" ht="14.4" x14ac:dyDescent="0.3"/>
    <row r="48762" ht="14.4" x14ac:dyDescent="0.3"/>
    <row r="48763" ht="14.4" x14ac:dyDescent="0.3"/>
    <row r="48764" ht="14.4" x14ac:dyDescent="0.3"/>
    <row r="48765" ht="14.4" x14ac:dyDescent="0.3"/>
    <row r="48766" ht="14.4" x14ac:dyDescent="0.3"/>
    <row r="48767" ht="14.4" x14ac:dyDescent="0.3"/>
    <row r="48768" ht="14.4" x14ac:dyDescent="0.3"/>
    <row r="48769" ht="14.4" x14ac:dyDescent="0.3"/>
    <row r="48770" ht="14.4" x14ac:dyDescent="0.3"/>
    <row r="48771" ht="14.4" x14ac:dyDescent="0.3"/>
    <row r="48772" ht="14.4" x14ac:dyDescent="0.3"/>
    <row r="48773" ht="14.4" x14ac:dyDescent="0.3"/>
    <row r="48774" ht="14.4" x14ac:dyDescent="0.3"/>
    <row r="48775" ht="14.4" x14ac:dyDescent="0.3"/>
    <row r="48776" ht="14.4" x14ac:dyDescent="0.3"/>
    <row r="48777" ht="14.4" x14ac:dyDescent="0.3"/>
    <row r="48778" ht="14.4" x14ac:dyDescent="0.3"/>
    <row r="48779" ht="14.4" x14ac:dyDescent="0.3"/>
    <row r="48780" ht="14.4" x14ac:dyDescent="0.3"/>
    <row r="48781" ht="14.4" x14ac:dyDescent="0.3"/>
    <row r="48782" ht="14.4" x14ac:dyDescent="0.3"/>
    <row r="48783" ht="14.4" x14ac:dyDescent="0.3"/>
    <row r="48784" ht="14.4" x14ac:dyDescent="0.3"/>
    <row r="48785" ht="14.4" x14ac:dyDescent="0.3"/>
    <row r="48786" ht="14.4" x14ac:dyDescent="0.3"/>
    <row r="48787" ht="14.4" x14ac:dyDescent="0.3"/>
    <row r="48788" ht="14.4" x14ac:dyDescent="0.3"/>
    <row r="48789" ht="14.4" x14ac:dyDescent="0.3"/>
    <row r="48790" ht="14.4" x14ac:dyDescent="0.3"/>
    <row r="48791" ht="14.4" x14ac:dyDescent="0.3"/>
    <row r="48792" ht="14.4" x14ac:dyDescent="0.3"/>
    <row r="48793" ht="14.4" x14ac:dyDescent="0.3"/>
    <row r="48794" ht="14.4" x14ac:dyDescent="0.3"/>
    <row r="48795" ht="14.4" x14ac:dyDescent="0.3"/>
    <row r="48796" ht="14.4" x14ac:dyDescent="0.3"/>
    <row r="48797" ht="14.4" x14ac:dyDescent="0.3"/>
    <row r="48798" ht="14.4" x14ac:dyDescent="0.3"/>
    <row r="48799" ht="14.4" x14ac:dyDescent="0.3"/>
    <row r="48800" ht="14.4" x14ac:dyDescent="0.3"/>
    <row r="48801" ht="14.4" x14ac:dyDescent="0.3"/>
    <row r="48802" ht="14.4" x14ac:dyDescent="0.3"/>
    <row r="48803" ht="14.4" x14ac:dyDescent="0.3"/>
    <row r="48804" ht="14.4" x14ac:dyDescent="0.3"/>
    <row r="48805" ht="14.4" x14ac:dyDescent="0.3"/>
    <row r="48806" ht="14.4" x14ac:dyDescent="0.3"/>
    <row r="48807" ht="14.4" x14ac:dyDescent="0.3"/>
    <row r="48808" ht="14.4" x14ac:dyDescent="0.3"/>
    <row r="48809" ht="14.4" x14ac:dyDescent="0.3"/>
    <row r="48810" ht="14.4" x14ac:dyDescent="0.3"/>
    <row r="48811" ht="14.4" x14ac:dyDescent="0.3"/>
    <row r="48812" ht="14.4" x14ac:dyDescent="0.3"/>
    <row r="48813" ht="14.4" x14ac:dyDescent="0.3"/>
    <row r="48814" ht="14.4" x14ac:dyDescent="0.3"/>
    <row r="48815" ht="14.4" x14ac:dyDescent="0.3"/>
    <row r="48816" ht="14.4" x14ac:dyDescent="0.3"/>
    <row r="48817" ht="14.4" x14ac:dyDescent="0.3"/>
    <row r="48818" ht="14.4" x14ac:dyDescent="0.3"/>
    <row r="48819" ht="14.4" x14ac:dyDescent="0.3"/>
    <row r="48820" ht="14.4" x14ac:dyDescent="0.3"/>
    <row r="48821" ht="14.4" x14ac:dyDescent="0.3"/>
    <row r="48822" ht="14.4" x14ac:dyDescent="0.3"/>
    <row r="48823" ht="14.4" x14ac:dyDescent="0.3"/>
    <row r="48824" ht="14.4" x14ac:dyDescent="0.3"/>
    <row r="48825" ht="14.4" x14ac:dyDescent="0.3"/>
    <row r="48826" ht="14.4" x14ac:dyDescent="0.3"/>
    <row r="48827" ht="14.4" x14ac:dyDescent="0.3"/>
    <row r="48828" ht="14.4" x14ac:dyDescent="0.3"/>
    <row r="48829" ht="14.4" x14ac:dyDescent="0.3"/>
    <row r="48830" ht="14.4" x14ac:dyDescent="0.3"/>
    <row r="48831" ht="14.4" x14ac:dyDescent="0.3"/>
    <row r="48832" ht="14.4" x14ac:dyDescent="0.3"/>
    <row r="48833" ht="14.4" x14ac:dyDescent="0.3"/>
    <row r="48834" ht="14.4" x14ac:dyDescent="0.3"/>
    <row r="48835" ht="14.4" x14ac:dyDescent="0.3"/>
    <row r="48836" ht="14.4" x14ac:dyDescent="0.3"/>
    <row r="48837" ht="14.4" x14ac:dyDescent="0.3"/>
    <row r="48838" ht="14.4" x14ac:dyDescent="0.3"/>
    <row r="48839" ht="14.4" x14ac:dyDescent="0.3"/>
    <row r="48840" ht="14.4" x14ac:dyDescent="0.3"/>
    <row r="48841" ht="14.4" x14ac:dyDescent="0.3"/>
    <row r="48842" ht="14.4" x14ac:dyDescent="0.3"/>
    <row r="48843" ht="14.4" x14ac:dyDescent="0.3"/>
    <row r="48844" ht="14.4" x14ac:dyDescent="0.3"/>
    <row r="48845" ht="14.4" x14ac:dyDescent="0.3"/>
    <row r="48846" ht="14.4" x14ac:dyDescent="0.3"/>
    <row r="48847" ht="14.4" x14ac:dyDescent="0.3"/>
    <row r="48848" ht="14.4" x14ac:dyDescent="0.3"/>
    <row r="48849" ht="14.4" x14ac:dyDescent="0.3"/>
    <row r="48850" ht="14.4" x14ac:dyDescent="0.3"/>
    <row r="48851" ht="14.4" x14ac:dyDescent="0.3"/>
    <row r="48852" ht="14.4" x14ac:dyDescent="0.3"/>
    <row r="48853" ht="14.4" x14ac:dyDescent="0.3"/>
    <row r="48854" ht="14.4" x14ac:dyDescent="0.3"/>
    <row r="48855" ht="14.4" x14ac:dyDescent="0.3"/>
    <row r="48856" ht="14.4" x14ac:dyDescent="0.3"/>
    <row r="48857" ht="14.4" x14ac:dyDescent="0.3"/>
    <row r="48858" ht="14.4" x14ac:dyDescent="0.3"/>
    <row r="48859" ht="14.4" x14ac:dyDescent="0.3"/>
    <row r="48860" ht="14.4" x14ac:dyDescent="0.3"/>
    <row r="48861" ht="14.4" x14ac:dyDescent="0.3"/>
    <row r="48862" ht="14.4" x14ac:dyDescent="0.3"/>
    <row r="48863" ht="14.4" x14ac:dyDescent="0.3"/>
    <row r="48864" ht="14.4" x14ac:dyDescent="0.3"/>
    <row r="48865" ht="14.4" x14ac:dyDescent="0.3"/>
    <row r="48866" ht="14.4" x14ac:dyDescent="0.3"/>
    <row r="48867" ht="14.4" x14ac:dyDescent="0.3"/>
    <row r="48868" ht="14.4" x14ac:dyDescent="0.3"/>
    <row r="48869" ht="14.4" x14ac:dyDescent="0.3"/>
    <row r="48870" ht="14.4" x14ac:dyDescent="0.3"/>
    <row r="48871" ht="14.4" x14ac:dyDescent="0.3"/>
    <row r="48872" ht="14.4" x14ac:dyDescent="0.3"/>
    <row r="48873" ht="14.4" x14ac:dyDescent="0.3"/>
    <row r="48874" ht="14.4" x14ac:dyDescent="0.3"/>
    <row r="48875" ht="14.4" x14ac:dyDescent="0.3"/>
    <row r="48876" ht="14.4" x14ac:dyDescent="0.3"/>
    <row r="48877" ht="14.4" x14ac:dyDescent="0.3"/>
    <row r="48878" ht="14.4" x14ac:dyDescent="0.3"/>
    <row r="48879" ht="14.4" x14ac:dyDescent="0.3"/>
    <row r="48880" ht="14.4" x14ac:dyDescent="0.3"/>
    <row r="48881" ht="14.4" x14ac:dyDescent="0.3"/>
    <row r="48882" ht="14.4" x14ac:dyDescent="0.3"/>
    <row r="48883" ht="14.4" x14ac:dyDescent="0.3"/>
    <row r="48884" ht="14.4" x14ac:dyDescent="0.3"/>
    <row r="48885" ht="14.4" x14ac:dyDescent="0.3"/>
    <row r="48886" ht="14.4" x14ac:dyDescent="0.3"/>
    <row r="48887" ht="14.4" x14ac:dyDescent="0.3"/>
    <row r="48888" ht="14.4" x14ac:dyDescent="0.3"/>
    <row r="48889" ht="14.4" x14ac:dyDescent="0.3"/>
    <row r="48890" ht="14.4" x14ac:dyDescent="0.3"/>
    <row r="48891" ht="14.4" x14ac:dyDescent="0.3"/>
    <row r="48892" ht="14.4" x14ac:dyDescent="0.3"/>
    <row r="48893" ht="14.4" x14ac:dyDescent="0.3"/>
    <row r="48894" ht="14.4" x14ac:dyDescent="0.3"/>
    <row r="48895" ht="14.4" x14ac:dyDescent="0.3"/>
    <row r="48896" ht="14.4" x14ac:dyDescent="0.3"/>
    <row r="48897" ht="14.4" x14ac:dyDescent="0.3"/>
    <row r="48898" ht="14.4" x14ac:dyDescent="0.3"/>
    <row r="48899" ht="14.4" x14ac:dyDescent="0.3"/>
    <row r="48900" ht="14.4" x14ac:dyDescent="0.3"/>
    <row r="48901" ht="14.4" x14ac:dyDescent="0.3"/>
    <row r="48902" ht="14.4" x14ac:dyDescent="0.3"/>
    <row r="48903" ht="14.4" x14ac:dyDescent="0.3"/>
    <row r="48904" ht="14.4" x14ac:dyDescent="0.3"/>
    <row r="48905" ht="14.4" x14ac:dyDescent="0.3"/>
    <row r="48906" ht="14.4" x14ac:dyDescent="0.3"/>
    <row r="48907" ht="14.4" x14ac:dyDescent="0.3"/>
    <row r="48908" ht="14.4" x14ac:dyDescent="0.3"/>
    <row r="48909" ht="14.4" x14ac:dyDescent="0.3"/>
    <row r="48910" ht="14.4" x14ac:dyDescent="0.3"/>
    <row r="48911" ht="14.4" x14ac:dyDescent="0.3"/>
    <row r="48912" ht="14.4" x14ac:dyDescent="0.3"/>
    <row r="48913" ht="14.4" x14ac:dyDescent="0.3"/>
    <row r="48914" ht="14.4" x14ac:dyDescent="0.3"/>
    <row r="48915" ht="14.4" x14ac:dyDescent="0.3"/>
    <row r="48916" ht="14.4" x14ac:dyDescent="0.3"/>
    <row r="48917" ht="14.4" x14ac:dyDescent="0.3"/>
    <row r="48918" ht="14.4" x14ac:dyDescent="0.3"/>
    <row r="48919" ht="14.4" x14ac:dyDescent="0.3"/>
    <row r="48920" ht="14.4" x14ac:dyDescent="0.3"/>
    <row r="48921" ht="14.4" x14ac:dyDescent="0.3"/>
    <row r="48922" ht="14.4" x14ac:dyDescent="0.3"/>
    <row r="48923" ht="14.4" x14ac:dyDescent="0.3"/>
    <row r="48924" ht="14.4" x14ac:dyDescent="0.3"/>
    <row r="48925" ht="14.4" x14ac:dyDescent="0.3"/>
    <row r="48926" ht="14.4" x14ac:dyDescent="0.3"/>
    <row r="48927" ht="14.4" x14ac:dyDescent="0.3"/>
    <row r="48928" ht="14.4" x14ac:dyDescent="0.3"/>
    <row r="48929" ht="14.4" x14ac:dyDescent="0.3"/>
    <row r="48930" ht="14.4" x14ac:dyDescent="0.3"/>
    <row r="48931" ht="14.4" x14ac:dyDescent="0.3"/>
    <row r="48932" ht="14.4" x14ac:dyDescent="0.3"/>
    <row r="48933" ht="14.4" x14ac:dyDescent="0.3"/>
    <row r="48934" ht="14.4" x14ac:dyDescent="0.3"/>
    <row r="48935" ht="14.4" x14ac:dyDescent="0.3"/>
    <row r="48936" ht="14.4" x14ac:dyDescent="0.3"/>
    <row r="48937" ht="14.4" x14ac:dyDescent="0.3"/>
    <row r="48938" ht="14.4" x14ac:dyDescent="0.3"/>
    <row r="48939" ht="14.4" x14ac:dyDescent="0.3"/>
    <row r="48940" ht="14.4" x14ac:dyDescent="0.3"/>
    <row r="48941" ht="14.4" x14ac:dyDescent="0.3"/>
    <row r="48942" ht="14.4" x14ac:dyDescent="0.3"/>
    <row r="48943" ht="14.4" x14ac:dyDescent="0.3"/>
    <row r="48944" ht="14.4" x14ac:dyDescent="0.3"/>
    <row r="48945" ht="14.4" x14ac:dyDescent="0.3"/>
    <row r="48946" ht="14.4" x14ac:dyDescent="0.3"/>
    <row r="48947" ht="14.4" x14ac:dyDescent="0.3"/>
    <row r="48948" ht="14.4" x14ac:dyDescent="0.3"/>
    <row r="48949" ht="14.4" x14ac:dyDescent="0.3"/>
    <row r="48950" ht="14.4" x14ac:dyDescent="0.3"/>
    <row r="48951" ht="14.4" x14ac:dyDescent="0.3"/>
    <row r="48952" ht="14.4" x14ac:dyDescent="0.3"/>
    <row r="48953" ht="14.4" x14ac:dyDescent="0.3"/>
    <row r="48954" ht="14.4" x14ac:dyDescent="0.3"/>
    <row r="48955" ht="14.4" x14ac:dyDescent="0.3"/>
    <row r="48956" ht="14.4" x14ac:dyDescent="0.3"/>
    <row r="48957" ht="14.4" x14ac:dyDescent="0.3"/>
    <row r="48958" ht="14.4" x14ac:dyDescent="0.3"/>
    <row r="48959" ht="14.4" x14ac:dyDescent="0.3"/>
    <row r="48960" ht="14.4" x14ac:dyDescent="0.3"/>
    <row r="48961" ht="14.4" x14ac:dyDescent="0.3"/>
    <row r="48962" ht="14.4" x14ac:dyDescent="0.3"/>
    <row r="48963" ht="14.4" x14ac:dyDescent="0.3"/>
    <row r="48964" ht="14.4" x14ac:dyDescent="0.3"/>
    <row r="48965" ht="14.4" x14ac:dyDescent="0.3"/>
    <row r="48966" ht="14.4" x14ac:dyDescent="0.3"/>
    <row r="48967" ht="14.4" x14ac:dyDescent="0.3"/>
    <row r="48968" ht="14.4" x14ac:dyDescent="0.3"/>
    <row r="48969" ht="14.4" x14ac:dyDescent="0.3"/>
    <row r="48970" ht="14.4" x14ac:dyDescent="0.3"/>
    <row r="48971" ht="14.4" x14ac:dyDescent="0.3"/>
    <row r="48972" ht="14.4" x14ac:dyDescent="0.3"/>
    <row r="48973" ht="14.4" x14ac:dyDescent="0.3"/>
    <row r="48974" ht="14.4" x14ac:dyDescent="0.3"/>
    <row r="48975" ht="14.4" x14ac:dyDescent="0.3"/>
    <row r="48976" ht="14.4" x14ac:dyDescent="0.3"/>
    <row r="48977" ht="14.4" x14ac:dyDescent="0.3"/>
    <row r="48978" ht="14.4" x14ac:dyDescent="0.3"/>
    <row r="48979" ht="14.4" x14ac:dyDescent="0.3"/>
    <row r="48980" ht="14.4" x14ac:dyDescent="0.3"/>
    <row r="48981" ht="14.4" x14ac:dyDescent="0.3"/>
    <row r="48982" ht="14.4" x14ac:dyDescent="0.3"/>
    <row r="48983" ht="14.4" x14ac:dyDescent="0.3"/>
    <row r="48984" ht="14.4" x14ac:dyDescent="0.3"/>
    <row r="48985" ht="14.4" x14ac:dyDescent="0.3"/>
    <row r="48986" ht="14.4" x14ac:dyDescent="0.3"/>
    <row r="48987" ht="14.4" x14ac:dyDescent="0.3"/>
    <row r="48988" ht="14.4" x14ac:dyDescent="0.3"/>
    <row r="48989" ht="14.4" x14ac:dyDescent="0.3"/>
    <row r="48990" ht="14.4" x14ac:dyDescent="0.3"/>
    <row r="48991" ht="14.4" x14ac:dyDescent="0.3"/>
    <row r="48992" ht="14.4" x14ac:dyDescent="0.3"/>
    <row r="48993" ht="14.4" x14ac:dyDescent="0.3"/>
    <row r="48994" ht="14.4" x14ac:dyDescent="0.3"/>
    <row r="48995" ht="14.4" x14ac:dyDescent="0.3"/>
    <row r="48996" ht="14.4" x14ac:dyDescent="0.3"/>
    <row r="48997" ht="14.4" x14ac:dyDescent="0.3"/>
    <row r="48998" ht="14.4" x14ac:dyDescent="0.3"/>
    <row r="48999" ht="14.4" x14ac:dyDescent="0.3"/>
    <row r="49000" ht="14.4" x14ac:dyDescent="0.3"/>
    <row r="49001" ht="14.4" x14ac:dyDescent="0.3"/>
    <row r="49002" ht="14.4" x14ac:dyDescent="0.3"/>
    <row r="49003" ht="14.4" x14ac:dyDescent="0.3"/>
    <row r="49004" ht="14.4" x14ac:dyDescent="0.3"/>
    <row r="49005" ht="14.4" x14ac:dyDescent="0.3"/>
    <row r="49006" ht="14.4" x14ac:dyDescent="0.3"/>
    <row r="49007" ht="14.4" x14ac:dyDescent="0.3"/>
    <row r="49008" ht="14.4" x14ac:dyDescent="0.3"/>
    <row r="49009" ht="14.4" x14ac:dyDescent="0.3"/>
    <row r="49010" ht="14.4" x14ac:dyDescent="0.3"/>
    <row r="49011" ht="14.4" x14ac:dyDescent="0.3"/>
    <row r="49012" ht="14.4" x14ac:dyDescent="0.3"/>
    <row r="49013" ht="14.4" x14ac:dyDescent="0.3"/>
    <row r="49014" ht="14.4" x14ac:dyDescent="0.3"/>
    <row r="49015" ht="14.4" x14ac:dyDescent="0.3"/>
    <row r="49016" ht="14.4" x14ac:dyDescent="0.3"/>
    <row r="49017" ht="14.4" x14ac:dyDescent="0.3"/>
    <row r="49018" ht="14.4" x14ac:dyDescent="0.3"/>
    <row r="49019" ht="14.4" x14ac:dyDescent="0.3"/>
    <row r="49020" ht="14.4" x14ac:dyDescent="0.3"/>
    <row r="49021" ht="14.4" x14ac:dyDescent="0.3"/>
    <row r="49022" ht="14.4" x14ac:dyDescent="0.3"/>
    <row r="49023" ht="14.4" x14ac:dyDescent="0.3"/>
    <row r="49024" ht="14.4" x14ac:dyDescent="0.3"/>
    <row r="49025" ht="14.4" x14ac:dyDescent="0.3"/>
    <row r="49026" ht="14.4" x14ac:dyDescent="0.3"/>
    <row r="49027" ht="14.4" x14ac:dyDescent="0.3"/>
    <row r="49028" ht="14.4" x14ac:dyDescent="0.3"/>
    <row r="49029" ht="14.4" x14ac:dyDescent="0.3"/>
    <row r="49030" ht="14.4" x14ac:dyDescent="0.3"/>
    <row r="49031" ht="14.4" x14ac:dyDescent="0.3"/>
    <row r="49032" ht="14.4" x14ac:dyDescent="0.3"/>
    <row r="49033" ht="14.4" x14ac:dyDescent="0.3"/>
    <row r="49034" ht="14.4" x14ac:dyDescent="0.3"/>
    <row r="49035" ht="14.4" x14ac:dyDescent="0.3"/>
    <row r="49036" ht="14.4" x14ac:dyDescent="0.3"/>
    <row r="49037" ht="14.4" x14ac:dyDescent="0.3"/>
    <row r="49038" ht="14.4" x14ac:dyDescent="0.3"/>
    <row r="49039" ht="14.4" x14ac:dyDescent="0.3"/>
    <row r="49040" ht="14.4" x14ac:dyDescent="0.3"/>
    <row r="49041" ht="14.4" x14ac:dyDescent="0.3"/>
    <row r="49042" ht="14.4" x14ac:dyDescent="0.3"/>
    <row r="49043" ht="14.4" x14ac:dyDescent="0.3"/>
    <row r="49044" ht="14.4" x14ac:dyDescent="0.3"/>
    <row r="49045" ht="14.4" x14ac:dyDescent="0.3"/>
    <row r="49046" ht="14.4" x14ac:dyDescent="0.3"/>
    <row r="49047" ht="14.4" x14ac:dyDescent="0.3"/>
    <row r="49048" ht="14.4" x14ac:dyDescent="0.3"/>
    <row r="49049" ht="14.4" x14ac:dyDescent="0.3"/>
    <row r="49050" ht="14.4" x14ac:dyDescent="0.3"/>
    <row r="49051" ht="14.4" x14ac:dyDescent="0.3"/>
    <row r="49052" ht="14.4" x14ac:dyDescent="0.3"/>
    <row r="49053" ht="14.4" x14ac:dyDescent="0.3"/>
    <row r="49054" ht="14.4" x14ac:dyDescent="0.3"/>
    <row r="49055" ht="14.4" x14ac:dyDescent="0.3"/>
    <row r="49056" ht="14.4" x14ac:dyDescent="0.3"/>
    <row r="49057" ht="14.4" x14ac:dyDescent="0.3"/>
    <row r="49058" ht="14.4" x14ac:dyDescent="0.3"/>
    <row r="49059" ht="14.4" x14ac:dyDescent="0.3"/>
    <row r="49060" ht="14.4" x14ac:dyDescent="0.3"/>
    <row r="49061" ht="14.4" x14ac:dyDescent="0.3"/>
    <row r="49062" ht="14.4" x14ac:dyDescent="0.3"/>
    <row r="49063" ht="14.4" x14ac:dyDescent="0.3"/>
    <row r="49064" ht="14.4" x14ac:dyDescent="0.3"/>
    <row r="49065" ht="14.4" x14ac:dyDescent="0.3"/>
    <row r="49066" ht="14.4" x14ac:dyDescent="0.3"/>
    <row r="49067" ht="14.4" x14ac:dyDescent="0.3"/>
    <row r="49068" ht="14.4" x14ac:dyDescent="0.3"/>
    <row r="49069" ht="14.4" x14ac:dyDescent="0.3"/>
    <row r="49070" ht="14.4" x14ac:dyDescent="0.3"/>
    <row r="49071" ht="14.4" x14ac:dyDescent="0.3"/>
    <row r="49072" ht="14.4" x14ac:dyDescent="0.3"/>
    <row r="49073" ht="14.4" x14ac:dyDescent="0.3"/>
    <row r="49074" ht="14.4" x14ac:dyDescent="0.3"/>
    <row r="49075" ht="14.4" x14ac:dyDescent="0.3"/>
    <row r="49076" ht="14.4" x14ac:dyDescent="0.3"/>
    <row r="49077" ht="14.4" x14ac:dyDescent="0.3"/>
    <row r="49078" ht="14.4" x14ac:dyDescent="0.3"/>
    <row r="49079" ht="14.4" x14ac:dyDescent="0.3"/>
    <row r="49080" ht="14.4" x14ac:dyDescent="0.3"/>
    <row r="49081" ht="14.4" x14ac:dyDescent="0.3"/>
    <row r="49082" ht="14.4" x14ac:dyDescent="0.3"/>
    <row r="49083" ht="14.4" x14ac:dyDescent="0.3"/>
    <row r="49084" ht="14.4" x14ac:dyDescent="0.3"/>
    <row r="49085" ht="14.4" x14ac:dyDescent="0.3"/>
    <row r="49086" ht="14.4" x14ac:dyDescent="0.3"/>
    <row r="49087" ht="14.4" x14ac:dyDescent="0.3"/>
    <row r="49088" ht="14.4" x14ac:dyDescent="0.3"/>
    <row r="49089" ht="14.4" x14ac:dyDescent="0.3"/>
    <row r="49090" ht="14.4" x14ac:dyDescent="0.3"/>
    <row r="49091" ht="14.4" x14ac:dyDescent="0.3"/>
    <row r="49092" ht="14.4" x14ac:dyDescent="0.3"/>
    <row r="49093" ht="14.4" x14ac:dyDescent="0.3"/>
    <row r="49094" ht="14.4" x14ac:dyDescent="0.3"/>
    <row r="49095" ht="14.4" x14ac:dyDescent="0.3"/>
    <row r="49096" ht="14.4" x14ac:dyDescent="0.3"/>
    <row r="49097" ht="14.4" x14ac:dyDescent="0.3"/>
    <row r="49098" ht="14.4" x14ac:dyDescent="0.3"/>
    <row r="49099" ht="14.4" x14ac:dyDescent="0.3"/>
    <row r="49100" ht="14.4" x14ac:dyDescent="0.3"/>
    <row r="49101" ht="14.4" x14ac:dyDescent="0.3"/>
    <row r="49102" ht="14.4" x14ac:dyDescent="0.3"/>
    <row r="49103" ht="14.4" x14ac:dyDescent="0.3"/>
    <row r="49104" ht="14.4" x14ac:dyDescent="0.3"/>
    <row r="49105" ht="14.4" x14ac:dyDescent="0.3"/>
    <row r="49106" ht="14.4" x14ac:dyDescent="0.3"/>
    <row r="49107" ht="14.4" x14ac:dyDescent="0.3"/>
    <row r="49108" ht="14.4" x14ac:dyDescent="0.3"/>
    <row r="49109" ht="14.4" x14ac:dyDescent="0.3"/>
    <row r="49110" ht="14.4" x14ac:dyDescent="0.3"/>
    <row r="49111" ht="14.4" x14ac:dyDescent="0.3"/>
    <row r="49112" ht="14.4" x14ac:dyDescent="0.3"/>
    <row r="49113" ht="14.4" x14ac:dyDescent="0.3"/>
    <row r="49114" ht="14.4" x14ac:dyDescent="0.3"/>
    <row r="49115" ht="14.4" x14ac:dyDescent="0.3"/>
    <row r="49116" ht="14.4" x14ac:dyDescent="0.3"/>
    <row r="49117" ht="14.4" x14ac:dyDescent="0.3"/>
    <row r="49118" ht="14.4" x14ac:dyDescent="0.3"/>
    <row r="49119" ht="14.4" x14ac:dyDescent="0.3"/>
    <row r="49120" ht="14.4" x14ac:dyDescent="0.3"/>
    <row r="49121" ht="14.4" x14ac:dyDescent="0.3"/>
    <row r="49122" ht="14.4" x14ac:dyDescent="0.3"/>
    <row r="49123" ht="14.4" x14ac:dyDescent="0.3"/>
    <row r="49124" ht="14.4" x14ac:dyDescent="0.3"/>
    <row r="49125" ht="14.4" x14ac:dyDescent="0.3"/>
    <row r="49126" ht="14.4" x14ac:dyDescent="0.3"/>
    <row r="49127" ht="14.4" x14ac:dyDescent="0.3"/>
    <row r="49128" ht="14.4" x14ac:dyDescent="0.3"/>
    <row r="49129" ht="14.4" x14ac:dyDescent="0.3"/>
    <row r="49130" ht="14.4" x14ac:dyDescent="0.3"/>
    <row r="49131" ht="14.4" x14ac:dyDescent="0.3"/>
    <row r="49132" ht="14.4" x14ac:dyDescent="0.3"/>
    <row r="49133" ht="14.4" x14ac:dyDescent="0.3"/>
    <row r="49134" ht="14.4" x14ac:dyDescent="0.3"/>
    <row r="49135" ht="14.4" x14ac:dyDescent="0.3"/>
    <row r="49136" ht="14.4" x14ac:dyDescent="0.3"/>
    <row r="49137" ht="14.4" x14ac:dyDescent="0.3"/>
    <row r="49138" ht="14.4" x14ac:dyDescent="0.3"/>
    <row r="49139" ht="14.4" x14ac:dyDescent="0.3"/>
    <row r="49140" ht="14.4" x14ac:dyDescent="0.3"/>
    <row r="49141" ht="14.4" x14ac:dyDescent="0.3"/>
    <row r="49142" ht="14.4" x14ac:dyDescent="0.3"/>
    <row r="49143" ht="14.4" x14ac:dyDescent="0.3"/>
    <row r="49144" ht="14.4" x14ac:dyDescent="0.3"/>
    <row r="49145" ht="14.4" x14ac:dyDescent="0.3"/>
    <row r="49146" ht="14.4" x14ac:dyDescent="0.3"/>
    <row r="49147" ht="14.4" x14ac:dyDescent="0.3"/>
    <row r="49148" ht="14.4" x14ac:dyDescent="0.3"/>
    <row r="49149" ht="14.4" x14ac:dyDescent="0.3"/>
    <row r="49150" ht="14.4" x14ac:dyDescent="0.3"/>
    <row r="49151" ht="14.4" x14ac:dyDescent="0.3"/>
    <row r="49152" ht="14.4" x14ac:dyDescent="0.3"/>
    <row r="49153" ht="14.4" x14ac:dyDescent="0.3"/>
    <row r="49154" ht="14.4" x14ac:dyDescent="0.3"/>
    <row r="49155" ht="14.4" x14ac:dyDescent="0.3"/>
    <row r="49156" ht="14.4" x14ac:dyDescent="0.3"/>
    <row r="49157" ht="14.4" x14ac:dyDescent="0.3"/>
    <row r="49158" ht="14.4" x14ac:dyDescent="0.3"/>
    <row r="49159" ht="14.4" x14ac:dyDescent="0.3"/>
    <row r="49160" ht="14.4" x14ac:dyDescent="0.3"/>
    <row r="49161" ht="14.4" x14ac:dyDescent="0.3"/>
    <row r="49162" ht="14.4" x14ac:dyDescent="0.3"/>
    <row r="49163" ht="14.4" x14ac:dyDescent="0.3"/>
    <row r="49164" ht="14.4" x14ac:dyDescent="0.3"/>
    <row r="49165" ht="14.4" x14ac:dyDescent="0.3"/>
    <row r="49166" ht="14.4" x14ac:dyDescent="0.3"/>
    <row r="49167" ht="14.4" x14ac:dyDescent="0.3"/>
    <row r="49168" ht="14.4" x14ac:dyDescent="0.3"/>
    <row r="49169" spans="1:43" ht="14.4" x14ac:dyDescent="0.3"/>
    <row r="49170" spans="1:43" ht="14.4" x14ac:dyDescent="0.3"/>
    <row r="49171" spans="1:43" ht="14.4" hidden="1" x14ac:dyDescent="0.3">
      <c r="A49171" t="s">
        <v>5898</v>
      </c>
      <c r="B49171">
        <v>4912367</v>
      </c>
      <c r="C49171" t="s">
        <v>538</v>
      </c>
      <c r="D49171" t="s">
        <v>564</v>
      </c>
      <c r="E49171" t="s">
        <v>660</v>
      </c>
      <c r="F49171" t="s">
        <v>682</v>
      </c>
      <c r="H49171" t="s">
        <v>278</v>
      </c>
      <c r="I49171" t="s">
        <v>4919</v>
      </c>
      <c r="J49171" t="s">
        <v>140</v>
      </c>
      <c r="K49171">
        <v>163006.57</v>
      </c>
      <c r="L49171">
        <v>383286.913</v>
      </c>
      <c r="M49171">
        <v>1</v>
      </c>
      <c r="N49171" t="s">
        <v>263</v>
      </c>
      <c r="O49171" t="s">
        <v>1537</v>
      </c>
      <c r="P49171" t="s">
        <v>2022</v>
      </c>
      <c r="Q49171" t="s">
        <v>264</v>
      </c>
      <c r="R49171" t="s">
        <v>145</v>
      </c>
      <c r="S49171">
        <v>36</v>
      </c>
      <c r="T49171">
        <v>2900</v>
      </c>
      <c r="U49171">
        <v>82</v>
      </c>
      <c r="V49171" t="s">
        <v>265</v>
      </c>
      <c r="W49171" t="s">
        <v>415</v>
      </c>
      <c r="X49171" t="s">
        <v>7</v>
      </c>
      <c r="Y49171" t="s">
        <v>4920</v>
      </c>
      <c r="Z49171" t="s">
        <v>3430</v>
      </c>
      <c r="AA49171" t="s">
        <v>1781</v>
      </c>
      <c r="AB49171">
        <v>150</v>
      </c>
      <c r="AC49171" t="s">
        <v>150</v>
      </c>
      <c r="AE49171" t="s">
        <v>4921</v>
      </c>
      <c r="AF49171" t="s">
        <v>3430</v>
      </c>
      <c r="AG49171" t="s">
        <v>1368</v>
      </c>
      <c r="AL49171" t="s">
        <v>5899</v>
      </c>
      <c r="AM49171" t="s">
        <v>5900</v>
      </c>
      <c r="AN49171" t="s">
        <v>5901</v>
      </c>
      <c r="AO49171" t="s">
        <v>263</v>
      </c>
      <c r="AQ49171" t="str">
        <f>IF(ISBLANK(AP49171), IFERROR(IF(VLOOKUP(AO49171, Ellens_additions!$A$2:$B$252, 2, FALSE) = "", "", VLOOKUP(AO49171, Ellens_additions!$A$2:$B$252, 2, FALSE)), 0), AP49171)</f>
        <v/>
      </c>
    </row>
    <row r="49172" spans="1:43" ht="14.4" x14ac:dyDescent="0.3"/>
    <row r="49173" spans="1:43" ht="14.4" x14ac:dyDescent="0.3"/>
    <row r="49174" spans="1:43" ht="14.4" x14ac:dyDescent="0.3"/>
    <row r="49175" spans="1:43" ht="14.4" x14ac:dyDescent="0.3"/>
    <row r="49176" spans="1:43" ht="14.4" x14ac:dyDescent="0.3"/>
    <row r="49177" spans="1:43" ht="14.4" x14ac:dyDescent="0.3"/>
    <row r="49178" spans="1:43" ht="14.4" x14ac:dyDescent="0.3"/>
    <row r="49179" spans="1:43" ht="14.4" x14ac:dyDescent="0.3"/>
    <row r="49180" spans="1:43" ht="14.4" x14ac:dyDescent="0.3"/>
    <row r="49181" spans="1:43" ht="14.4" x14ac:dyDescent="0.3"/>
    <row r="49182" spans="1:43" ht="14.4" x14ac:dyDescent="0.3"/>
    <row r="49183" spans="1:43" ht="14.4" x14ac:dyDescent="0.3"/>
    <row r="49184" spans="1:43" ht="14.4" x14ac:dyDescent="0.3"/>
    <row r="49185" ht="14.4" x14ac:dyDescent="0.3"/>
    <row r="49186" ht="14.4" x14ac:dyDescent="0.3"/>
    <row r="49187" ht="14.4" x14ac:dyDescent="0.3"/>
    <row r="49188" ht="14.4" x14ac:dyDescent="0.3"/>
    <row r="49189" ht="14.4" x14ac:dyDescent="0.3"/>
    <row r="49190" ht="14.4" x14ac:dyDescent="0.3"/>
    <row r="49191" ht="14.4" x14ac:dyDescent="0.3"/>
    <row r="49192" ht="14.4" x14ac:dyDescent="0.3"/>
    <row r="49193" ht="14.4" x14ac:dyDescent="0.3"/>
    <row r="49194" ht="14.4" x14ac:dyDescent="0.3"/>
    <row r="49195" ht="14.4" x14ac:dyDescent="0.3"/>
    <row r="49196" ht="14.4" x14ac:dyDescent="0.3"/>
    <row r="49197" ht="14.4" x14ac:dyDescent="0.3"/>
    <row r="49198" ht="14.4" x14ac:dyDescent="0.3"/>
    <row r="49199" ht="14.4" x14ac:dyDescent="0.3"/>
    <row r="49200" ht="14.4" x14ac:dyDescent="0.3"/>
    <row r="49201" ht="14.4" x14ac:dyDescent="0.3"/>
    <row r="49202" ht="14.4" x14ac:dyDescent="0.3"/>
    <row r="49203" ht="14.4" x14ac:dyDescent="0.3"/>
    <row r="49204" ht="14.4" x14ac:dyDescent="0.3"/>
    <row r="49205" ht="14.4" x14ac:dyDescent="0.3"/>
    <row r="49206" ht="14.4" x14ac:dyDescent="0.3"/>
    <row r="49207" ht="14.4" x14ac:dyDescent="0.3"/>
    <row r="49208" ht="14.4" x14ac:dyDescent="0.3"/>
    <row r="49209" ht="14.4" x14ac:dyDescent="0.3"/>
    <row r="49210" ht="14.4" x14ac:dyDescent="0.3"/>
    <row r="49211" ht="14.4" x14ac:dyDescent="0.3"/>
    <row r="49212" ht="14.4" x14ac:dyDescent="0.3"/>
    <row r="49213" ht="14.4" x14ac:dyDescent="0.3"/>
    <row r="49214" ht="14.4" x14ac:dyDescent="0.3"/>
    <row r="49215" ht="14.4" x14ac:dyDescent="0.3"/>
    <row r="49216" ht="14.4" x14ac:dyDescent="0.3"/>
    <row r="49217" ht="14.4" x14ac:dyDescent="0.3"/>
    <row r="49218" ht="14.4" x14ac:dyDescent="0.3"/>
    <row r="49219" ht="14.4" x14ac:dyDescent="0.3"/>
    <row r="49220" ht="14.4" x14ac:dyDescent="0.3"/>
    <row r="49221" ht="14.4" x14ac:dyDescent="0.3"/>
    <row r="49222" ht="14.4" x14ac:dyDescent="0.3"/>
    <row r="49223" ht="14.4" x14ac:dyDescent="0.3"/>
    <row r="49224" ht="14.4" x14ac:dyDescent="0.3"/>
    <row r="49225" ht="14.4" x14ac:dyDescent="0.3"/>
    <row r="49226" ht="14.4" x14ac:dyDescent="0.3"/>
    <row r="49227" ht="14.4" x14ac:dyDescent="0.3"/>
    <row r="49228" ht="14.4" x14ac:dyDescent="0.3"/>
    <row r="49229" ht="14.4" x14ac:dyDescent="0.3"/>
    <row r="49230" ht="14.4" x14ac:dyDescent="0.3"/>
    <row r="49231" ht="14.4" x14ac:dyDescent="0.3"/>
    <row r="49232" ht="14.4" x14ac:dyDescent="0.3"/>
    <row r="49233" ht="14.4" x14ac:dyDescent="0.3"/>
    <row r="49234" ht="14.4" x14ac:dyDescent="0.3"/>
    <row r="49235" ht="14.4" x14ac:dyDescent="0.3"/>
    <row r="49236" ht="14.4" x14ac:dyDescent="0.3"/>
    <row r="49237" ht="14.4" x14ac:dyDescent="0.3"/>
    <row r="49238" ht="14.4" x14ac:dyDescent="0.3"/>
    <row r="49239" ht="14.4" x14ac:dyDescent="0.3"/>
    <row r="49240" ht="14.4" x14ac:dyDescent="0.3"/>
    <row r="49241" ht="14.4" x14ac:dyDescent="0.3"/>
    <row r="49242" ht="14.4" x14ac:dyDescent="0.3"/>
    <row r="49243" ht="14.4" x14ac:dyDescent="0.3"/>
    <row r="49244" ht="14.4" x14ac:dyDescent="0.3"/>
    <row r="49245" ht="14.4" x14ac:dyDescent="0.3"/>
    <row r="49246" ht="14.4" x14ac:dyDescent="0.3"/>
    <row r="49247" ht="14.4" x14ac:dyDescent="0.3"/>
    <row r="49248" ht="14.4" x14ac:dyDescent="0.3"/>
    <row r="49249" ht="14.4" x14ac:dyDescent="0.3"/>
    <row r="49250" ht="14.4" x14ac:dyDescent="0.3"/>
    <row r="49251" ht="14.4" x14ac:dyDescent="0.3"/>
    <row r="49252" ht="14.4" x14ac:dyDescent="0.3"/>
    <row r="49253" ht="14.4" x14ac:dyDescent="0.3"/>
    <row r="49254" ht="14.4" x14ac:dyDescent="0.3"/>
    <row r="49255" ht="14.4" x14ac:dyDescent="0.3"/>
    <row r="49256" ht="14.4" x14ac:dyDescent="0.3"/>
    <row r="49257" ht="14.4" x14ac:dyDescent="0.3"/>
    <row r="49258" ht="14.4" x14ac:dyDescent="0.3"/>
    <row r="49259" ht="14.4" x14ac:dyDescent="0.3"/>
    <row r="49260" ht="14.4" x14ac:dyDescent="0.3"/>
    <row r="49261" ht="14.4" x14ac:dyDescent="0.3"/>
    <row r="49262" ht="14.4" x14ac:dyDescent="0.3"/>
    <row r="49263" ht="14.4" x14ac:dyDescent="0.3"/>
    <row r="49264" ht="14.4" x14ac:dyDescent="0.3"/>
    <row r="49265" ht="14.4" x14ac:dyDescent="0.3"/>
    <row r="49266" ht="14.4" x14ac:dyDescent="0.3"/>
    <row r="49267" ht="14.4" x14ac:dyDescent="0.3"/>
    <row r="49268" ht="14.4" x14ac:dyDescent="0.3"/>
    <row r="49269" ht="14.4" x14ac:dyDescent="0.3"/>
    <row r="49270" ht="14.4" x14ac:dyDescent="0.3"/>
    <row r="49271" ht="14.4" x14ac:dyDescent="0.3"/>
    <row r="49272" ht="14.4" x14ac:dyDescent="0.3"/>
    <row r="49273" ht="14.4" x14ac:dyDescent="0.3"/>
    <row r="49274" ht="14.4" x14ac:dyDescent="0.3"/>
    <row r="49275" ht="14.4" x14ac:dyDescent="0.3"/>
    <row r="49276" ht="14.4" x14ac:dyDescent="0.3"/>
    <row r="49277" ht="14.4" x14ac:dyDescent="0.3"/>
    <row r="49278" ht="14.4" x14ac:dyDescent="0.3"/>
    <row r="49279" ht="14.4" x14ac:dyDescent="0.3"/>
    <row r="49280" ht="14.4" x14ac:dyDescent="0.3"/>
    <row r="49281" ht="14.4" x14ac:dyDescent="0.3"/>
    <row r="49282" ht="14.4" x14ac:dyDescent="0.3"/>
    <row r="49283" ht="14.4" x14ac:dyDescent="0.3"/>
    <row r="49284" ht="14.4" x14ac:dyDescent="0.3"/>
    <row r="49285" ht="14.4" x14ac:dyDescent="0.3"/>
    <row r="49286" ht="14.4" x14ac:dyDescent="0.3"/>
    <row r="49287" ht="14.4" x14ac:dyDescent="0.3"/>
    <row r="49288" ht="14.4" x14ac:dyDescent="0.3"/>
    <row r="49289" ht="14.4" x14ac:dyDescent="0.3"/>
    <row r="49290" ht="14.4" x14ac:dyDescent="0.3"/>
    <row r="49291" ht="14.4" x14ac:dyDescent="0.3"/>
    <row r="49292" ht="14.4" x14ac:dyDescent="0.3"/>
    <row r="49293" ht="14.4" x14ac:dyDescent="0.3"/>
    <row r="49294" ht="14.4" x14ac:dyDescent="0.3"/>
    <row r="49295" ht="14.4" x14ac:dyDescent="0.3"/>
    <row r="49296" ht="14.4" x14ac:dyDescent="0.3"/>
    <row r="49297" ht="14.4" x14ac:dyDescent="0.3"/>
    <row r="49298" ht="14.4" x14ac:dyDescent="0.3"/>
    <row r="49299" ht="14.4" x14ac:dyDescent="0.3"/>
    <row r="49300" ht="14.4" x14ac:dyDescent="0.3"/>
    <row r="49301" ht="14.4" x14ac:dyDescent="0.3"/>
    <row r="49302" ht="14.4" x14ac:dyDescent="0.3"/>
    <row r="49303" ht="14.4" x14ac:dyDescent="0.3"/>
    <row r="49304" ht="14.4" x14ac:dyDescent="0.3"/>
    <row r="49305" ht="14.4" x14ac:dyDescent="0.3"/>
    <row r="49306" ht="14.4" x14ac:dyDescent="0.3"/>
    <row r="49307" ht="14.4" x14ac:dyDescent="0.3"/>
    <row r="49308" ht="14.4" x14ac:dyDescent="0.3"/>
    <row r="49309" ht="14.4" x14ac:dyDescent="0.3"/>
    <row r="49310" ht="14.4" x14ac:dyDescent="0.3"/>
    <row r="49311" ht="14.4" x14ac:dyDescent="0.3"/>
    <row r="49312" ht="14.4" x14ac:dyDescent="0.3"/>
    <row r="49313" ht="14.4" x14ac:dyDescent="0.3"/>
    <row r="49314" ht="14.4" x14ac:dyDescent="0.3"/>
    <row r="49315" ht="14.4" x14ac:dyDescent="0.3"/>
    <row r="49316" ht="14.4" x14ac:dyDescent="0.3"/>
    <row r="49317" ht="14.4" x14ac:dyDescent="0.3"/>
    <row r="49318" ht="14.4" x14ac:dyDescent="0.3"/>
    <row r="49319" ht="14.4" x14ac:dyDescent="0.3"/>
    <row r="49320" ht="14.4" x14ac:dyDescent="0.3"/>
    <row r="49321" ht="14.4" x14ac:dyDescent="0.3"/>
    <row r="49322" ht="14.4" x14ac:dyDescent="0.3"/>
    <row r="49323" ht="14.4" x14ac:dyDescent="0.3"/>
    <row r="49324" ht="14.4" x14ac:dyDescent="0.3"/>
    <row r="49325" ht="14.4" x14ac:dyDescent="0.3"/>
    <row r="49326" ht="14.4" x14ac:dyDescent="0.3"/>
    <row r="49327" ht="14.4" x14ac:dyDescent="0.3"/>
    <row r="49328" ht="14.4" x14ac:dyDescent="0.3"/>
    <row r="49329" ht="14.4" x14ac:dyDescent="0.3"/>
    <row r="49330" ht="14.4" x14ac:dyDescent="0.3"/>
    <row r="49331" ht="14.4" x14ac:dyDescent="0.3"/>
    <row r="49332" ht="14.4" x14ac:dyDescent="0.3"/>
    <row r="49333" ht="14.4" x14ac:dyDescent="0.3"/>
    <row r="49334" ht="14.4" x14ac:dyDescent="0.3"/>
    <row r="49335" ht="14.4" x14ac:dyDescent="0.3"/>
    <row r="49336" ht="14.4" x14ac:dyDescent="0.3"/>
    <row r="49337" ht="14.4" x14ac:dyDescent="0.3"/>
    <row r="49338" ht="14.4" x14ac:dyDescent="0.3"/>
    <row r="49339" ht="14.4" x14ac:dyDescent="0.3"/>
    <row r="49340" ht="14.4" x14ac:dyDescent="0.3"/>
    <row r="49341" ht="14.4" x14ac:dyDescent="0.3"/>
    <row r="49342" ht="14.4" x14ac:dyDescent="0.3"/>
    <row r="49343" ht="14.4" x14ac:dyDescent="0.3"/>
    <row r="49344" ht="14.4" x14ac:dyDescent="0.3"/>
    <row r="49345" spans="1:43" ht="14.4" x14ac:dyDescent="0.3"/>
    <row r="49346" spans="1:43" ht="14.4" x14ac:dyDescent="0.3"/>
    <row r="49347" spans="1:43" ht="14.4" x14ac:dyDescent="0.3"/>
    <row r="49348" spans="1:43" ht="14.4" x14ac:dyDescent="0.3"/>
    <row r="49349" spans="1:43" ht="14.4" hidden="1" x14ac:dyDescent="0.3">
      <c r="A49349" t="s">
        <v>5902</v>
      </c>
      <c r="B49349">
        <v>4897413</v>
      </c>
      <c r="C49349" t="s">
        <v>1045</v>
      </c>
      <c r="D49349" t="s">
        <v>1046</v>
      </c>
      <c r="E49349" t="s">
        <v>1048</v>
      </c>
      <c r="F49349" t="s">
        <v>1051</v>
      </c>
      <c r="H49349" t="s">
        <v>295</v>
      </c>
      <c r="J49349" t="s">
        <v>140</v>
      </c>
      <c r="K49349">
        <v>160141.54999999999</v>
      </c>
      <c r="L49349">
        <v>381844.32</v>
      </c>
      <c r="M49349">
        <v>1</v>
      </c>
      <c r="N49349" t="s">
        <v>4926</v>
      </c>
      <c r="O49349" t="s">
        <v>552</v>
      </c>
      <c r="P49349" t="s">
        <v>1397</v>
      </c>
      <c r="Q49349" t="s">
        <v>144</v>
      </c>
      <c r="S49349">
        <v>16</v>
      </c>
      <c r="T49349">
        <v>0</v>
      </c>
      <c r="V49349" t="s">
        <v>146</v>
      </c>
      <c r="W49349" t="s">
        <v>184</v>
      </c>
      <c r="X49349" t="s">
        <v>7</v>
      </c>
      <c r="Y49349" t="s">
        <v>863</v>
      </c>
      <c r="Z49349" t="s">
        <v>552</v>
      </c>
      <c r="AA49349" t="s">
        <v>404</v>
      </c>
      <c r="AB49349">
        <v>0</v>
      </c>
      <c r="AE49349" t="s">
        <v>1407</v>
      </c>
      <c r="AF49349" t="s">
        <v>552</v>
      </c>
      <c r="AG49349" t="s">
        <v>1399</v>
      </c>
      <c r="AL49349" t="s">
        <v>5903</v>
      </c>
      <c r="AM49349" t="s">
        <v>5904</v>
      </c>
      <c r="AN49349" t="s">
        <v>5905</v>
      </c>
      <c r="AO49349" t="s">
        <v>4926</v>
      </c>
      <c r="AQ49349" t="str">
        <f>IF(ISBLANK(AP49349), IFERROR(IF(VLOOKUP(AO49349, Ellens_additions!$A$2:$B$252, 2, FALSE) = "", "", VLOOKUP(AO49349, Ellens_additions!$A$2:$B$252, 2, FALSE)), 0), AP49349)</f>
        <v/>
      </c>
    </row>
    <row r="49350" spans="1:43" ht="14.4" x14ac:dyDescent="0.3"/>
    <row r="49351" spans="1:43" ht="14.4" x14ac:dyDescent="0.3"/>
    <row r="49352" spans="1:43" ht="14.4" x14ac:dyDescent="0.3"/>
    <row r="49353" spans="1:43" ht="14.4" x14ac:dyDescent="0.3"/>
    <row r="49354" spans="1:43" ht="14.4" x14ac:dyDescent="0.3"/>
    <row r="49355" spans="1:43" ht="14.4" x14ac:dyDescent="0.3"/>
    <row r="49356" spans="1:43" ht="14.4" x14ac:dyDescent="0.3"/>
    <row r="49357" spans="1:43" ht="14.4" x14ac:dyDescent="0.3"/>
    <row r="49358" spans="1:43" ht="14.4" x14ac:dyDescent="0.3"/>
    <row r="49359" spans="1:43" ht="14.4" x14ac:dyDescent="0.3"/>
    <row r="49360" spans="1:43" ht="14.4" x14ac:dyDescent="0.3"/>
    <row r="49361" ht="14.4" x14ac:dyDescent="0.3"/>
    <row r="49362" ht="14.4" x14ac:dyDescent="0.3"/>
    <row r="49363" ht="14.4" x14ac:dyDescent="0.3"/>
    <row r="49364" ht="14.4" x14ac:dyDescent="0.3"/>
    <row r="49365" ht="14.4" x14ac:dyDescent="0.3"/>
    <row r="49366" ht="14.4" x14ac:dyDescent="0.3"/>
    <row r="49367" ht="14.4" x14ac:dyDescent="0.3"/>
    <row r="49368" ht="14.4" x14ac:dyDescent="0.3"/>
    <row r="49369" ht="14.4" x14ac:dyDescent="0.3"/>
    <row r="49370" ht="14.4" x14ac:dyDescent="0.3"/>
    <row r="49371" ht="14.4" x14ac:dyDescent="0.3"/>
    <row r="49372" ht="14.4" x14ac:dyDescent="0.3"/>
    <row r="49373" ht="14.4" x14ac:dyDescent="0.3"/>
    <row r="49374" ht="14.4" x14ac:dyDescent="0.3"/>
    <row r="49375" ht="14.4" x14ac:dyDescent="0.3"/>
    <row r="49376" ht="14.4" x14ac:dyDescent="0.3"/>
    <row r="49377" spans="1:43" ht="14.4" x14ac:dyDescent="0.3"/>
    <row r="49378" spans="1:43" ht="14.4" x14ac:dyDescent="0.3"/>
    <row r="49379" spans="1:43" ht="14.4" x14ac:dyDescent="0.3"/>
    <row r="49380" spans="1:43" ht="14.4" x14ac:dyDescent="0.3"/>
    <row r="49381" spans="1:43" ht="14.4" hidden="1" x14ac:dyDescent="0.3">
      <c r="A49381" t="s">
        <v>5906</v>
      </c>
      <c r="B49381">
        <v>4897438</v>
      </c>
      <c r="C49381" t="s">
        <v>1045</v>
      </c>
      <c r="D49381" t="s">
        <v>1062</v>
      </c>
      <c r="E49381" t="s">
        <v>1223</v>
      </c>
      <c r="F49381" t="s">
        <v>1967</v>
      </c>
      <c r="H49381" t="s">
        <v>274</v>
      </c>
      <c r="J49381" t="s">
        <v>140</v>
      </c>
      <c r="K49381">
        <v>160690.89000000001</v>
      </c>
      <c r="L49381">
        <v>382610.31</v>
      </c>
      <c r="N49381" t="s">
        <v>814</v>
      </c>
      <c r="O49381" t="s">
        <v>568</v>
      </c>
      <c r="P49381" t="s">
        <v>1014</v>
      </c>
      <c r="S49381">
        <v>10.4</v>
      </c>
      <c r="T49381">
        <v>1600</v>
      </c>
      <c r="V49381" t="s">
        <v>146</v>
      </c>
      <c r="W49381" t="s">
        <v>147</v>
      </c>
      <c r="Y49381" t="s">
        <v>815</v>
      </c>
      <c r="Z49381" t="s">
        <v>568</v>
      </c>
      <c r="AA49381" t="s">
        <v>1968</v>
      </c>
      <c r="AB49381">
        <v>0</v>
      </c>
      <c r="AE49381" t="s">
        <v>1407</v>
      </c>
      <c r="AF49381" t="s">
        <v>568</v>
      </c>
      <c r="AG49381" t="s">
        <v>1969</v>
      </c>
      <c r="AL49381" t="s">
        <v>5907</v>
      </c>
      <c r="AM49381" t="s">
        <v>5908</v>
      </c>
      <c r="AN49381" t="s">
        <v>5909</v>
      </c>
      <c r="AO49381" t="s">
        <v>814</v>
      </c>
      <c r="AQ49381" t="str">
        <f>IF(ISBLANK(AP49381), IFERROR(IF(VLOOKUP(AO49381, Ellens_additions!$A$2:$B$252, 2, FALSE) = "", "", VLOOKUP(AO49381, Ellens_additions!$A$2:$B$252, 2, FALSE)), 0), AP49381)</f>
        <v/>
      </c>
    </row>
    <row r="49382" spans="1:43" ht="14.4" hidden="1" x14ac:dyDescent="0.3">
      <c r="A49382" t="s">
        <v>5910</v>
      </c>
      <c r="B49382">
        <v>4897439</v>
      </c>
      <c r="C49382" t="s">
        <v>1045</v>
      </c>
      <c r="D49382" t="s">
        <v>1062</v>
      </c>
      <c r="E49382" t="s">
        <v>1223</v>
      </c>
      <c r="F49382" t="s">
        <v>1967</v>
      </c>
      <c r="H49382" t="s">
        <v>244</v>
      </c>
      <c r="J49382" t="s">
        <v>140</v>
      </c>
      <c r="K49382">
        <v>160680.25</v>
      </c>
      <c r="L49382">
        <v>382634.49</v>
      </c>
      <c r="N49382" t="s">
        <v>814</v>
      </c>
      <c r="O49382" t="s">
        <v>568</v>
      </c>
      <c r="P49382" t="s">
        <v>1014</v>
      </c>
      <c r="S49382">
        <v>10.4</v>
      </c>
      <c r="T49382">
        <v>1600</v>
      </c>
      <c r="V49382" t="s">
        <v>146</v>
      </c>
      <c r="W49382" t="s">
        <v>147</v>
      </c>
      <c r="Y49382" t="s">
        <v>815</v>
      </c>
      <c r="Z49382" t="s">
        <v>568</v>
      </c>
      <c r="AA49382" t="s">
        <v>1968</v>
      </c>
      <c r="AB49382">
        <v>0</v>
      </c>
      <c r="AE49382" t="s">
        <v>1407</v>
      </c>
      <c r="AF49382" t="s">
        <v>568</v>
      </c>
      <c r="AG49382" t="s">
        <v>1969</v>
      </c>
      <c r="AL49382" t="s">
        <v>5911</v>
      </c>
      <c r="AM49382" t="s">
        <v>5912</v>
      </c>
      <c r="AN49382" t="s">
        <v>5913</v>
      </c>
      <c r="AO49382" t="s">
        <v>814</v>
      </c>
      <c r="AQ49382" t="str">
        <f>IF(ISBLANK(AP49382), IFERROR(IF(VLOOKUP(AO49382, Ellens_additions!$A$2:$B$252, 2, FALSE) = "", "", VLOOKUP(AO49382, Ellens_additions!$A$2:$B$252, 2, FALSE)), 0), AP49382)</f>
        <v/>
      </c>
    </row>
    <row r="49383" spans="1:43" ht="14.4" hidden="1" x14ac:dyDescent="0.3">
      <c r="A49383" t="s">
        <v>5914</v>
      </c>
      <c r="B49383">
        <v>4897440</v>
      </c>
      <c r="C49383" t="s">
        <v>1045</v>
      </c>
      <c r="D49383" t="s">
        <v>1062</v>
      </c>
      <c r="E49383" t="s">
        <v>1223</v>
      </c>
      <c r="F49383" t="s">
        <v>1967</v>
      </c>
      <c r="H49383" t="s">
        <v>275</v>
      </c>
      <c r="J49383" t="s">
        <v>140</v>
      </c>
      <c r="K49383">
        <v>160655.69680000001</v>
      </c>
      <c r="L49383">
        <v>382644.89039999997</v>
      </c>
      <c r="N49383" t="s">
        <v>814</v>
      </c>
      <c r="O49383" t="s">
        <v>568</v>
      </c>
      <c r="P49383" t="s">
        <v>1014</v>
      </c>
      <c r="S49383">
        <v>10.4</v>
      </c>
      <c r="T49383">
        <v>1600</v>
      </c>
      <c r="V49383" t="s">
        <v>146</v>
      </c>
      <c r="W49383" t="s">
        <v>147</v>
      </c>
      <c r="Y49383" t="s">
        <v>815</v>
      </c>
      <c r="Z49383" t="s">
        <v>568</v>
      </c>
      <c r="AA49383" t="s">
        <v>1968</v>
      </c>
      <c r="AB49383">
        <v>0</v>
      </c>
      <c r="AE49383" t="s">
        <v>1407</v>
      </c>
      <c r="AF49383" t="s">
        <v>568</v>
      </c>
      <c r="AG49383" t="s">
        <v>1969</v>
      </c>
      <c r="AL49383" t="s">
        <v>5915</v>
      </c>
      <c r="AM49383" t="s">
        <v>5916</v>
      </c>
      <c r="AN49383" t="s">
        <v>5917</v>
      </c>
      <c r="AO49383" t="s">
        <v>814</v>
      </c>
      <c r="AQ49383" t="str">
        <f>IF(ISBLANK(AP49383), IFERROR(IF(VLOOKUP(AO49383, Ellens_additions!$A$2:$B$252, 2, FALSE) = "", "", VLOOKUP(AO49383, Ellens_additions!$A$2:$B$252, 2, FALSE)), 0), AP49383)</f>
        <v/>
      </c>
    </row>
    <row r="49384" spans="1:43" ht="14.4" hidden="1" x14ac:dyDescent="0.3">
      <c r="A49384" t="s">
        <v>5918</v>
      </c>
      <c r="B49384">
        <v>4897443</v>
      </c>
      <c r="C49384" t="s">
        <v>1045</v>
      </c>
      <c r="D49384" t="s">
        <v>1062</v>
      </c>
      <c r="E49384" t="s">
        <v>1223</v>
      </c>
      <c r="F49384" t="s">
        <v>1967</v>
      </c>
      <c r="H49384" t="s">
        <v>255</v>
      </c>
      <c r="J49384" t="s">
        <v>140</v>
      </c>
      <c r="K49384">
        <v>160618.15</v>
      </c>
      <c r="L49384">
        <v>382695.3</v>
      </c>
      <c r="N49384" t="s">
        <v>814</v>
      </c>
      <c r="O49384" t="s">
        <v>568</v>
      </c>
      <c r="P49384" t="s">
        <v>1014</v>
      </c>
      <c r="S49384">
        <v>10.4</v>
      </c>
      <c r="T49384">
        <v>1600</v>
      </c>
      <c r="V49384" t="s">
        <v>146</v>
      </c>
      <c r="W49384" t="s">
        <v>147</v>
      </c>
      <c r="Y49384" t="s">
        <v>815</v>
      </c>
      <c r="Z49384" t="s">
        <v>568</v>
      </c>
      <c r="AA49384" t="s">
        <v>1968</v>
      </c>
      <c r="AB49384">
        <v>0</v>
      </c>
      <c r="AE49384" t="s">
        <v>1407</v>
      </c>
      <c r="AF49384" t="s">
        <v>568</v>
      </c>
      <c r="AG49384" t="s">
        <v>1969</v>
      </c>
      <c r="AL49384" t="s">
        <v>5919</v>
      </c>
      <c r="AM49384" t="s">
        <v>5920</v>
      </c>
      <c r="AN49384" t="s">
        <v>5921</v>
      </c>
      <c r="AO49384" t="s">
        <v>814</v>
      </c>
      <c r="AQ49384" t="str">
        <f>IF(ISBLANK(AP49384), IFERROR(IF(VLOOKUP(AO49384, Ellens_additions!$A$2:$B$252, 2, FALSE) = "", "", VLOOKUP(AO49384, Ellens_additions!$A$2:$B$252, 2, FALSE)), 0), AP49384)</f>
        <v/>
      </c>
    </row>
    <row r="49385" spans="1:43" ht="14.4" hidden="1" x14ac:dyDescent="0.3">
      <c r="A49385" t="s">
        <v>5922</v>
      </c>
      <c r="B49385">
        <v>4897444</v>
      </c>
      <c r="C49385" t="s">
        <v>1045</v>
      </c>
      <c r="D49385" t="s">
        <v>1062</v>
      </c>
      <c r="E49385" t="s">
        <v>1223</v>
      </c>
      <c r="F49385" t="s">
        <v>1967</v>
      </c>
      <c r="H49385" t="s">
        <v>256</v>
      </c>
      <c r="J49385" t="s">
        <v>140</v>
      </c>
      <c r="K49385">
        <v>160606.73639999999</v>
      </c>
      <c r="L49385">
        <v>382712.96620000002</v>
      </c>
      <c r="N49385" t="s">
        <v>814</v>
      </c>
      <c r="O49385" t="s">
        <v>568</v>
      </c>
      <c r="P49385" t="s">
        <v>1014</v>
      </c>
      <c r="S49385">
        <v>10.4</v>
      </c>
      <c r="T49385">
        <v>1600</v>
      </c>
      <c r="V49385" t="s">
        <v>146</v>
      </c>
      <c r="W49385" t="s">
        <v>147</v>
      </c>
      <c r="Y49385" t="s">
        <v>815</v>
      </c>
      <c r="Z49385" t="s">
        <v>568</v>
      </c>
      <c r="AA49385" t="s">
        <v>1968</v>
      </c>
      <c r="AB49385">
        <v>0</v>
      </c>
      <c r="AE49385" t="s">
        <v>1407</v>
      </c>
      <c r="AF49385" t="s">
        <v>568</v>
      </c>
      <c r="AG49385" t="s">
        <v>1969</v>
      </c>
      <c r="AL49385" t="s">
        <v>5923</v>
      </c>
      <c r="AM49385" t="s">
        <v>5924</v>
      </c>
      <c r="AN49385" t="s">
        <v>5925</v>
      </c>
      <c r="AO49385" t="s">
        <v>814</v>
      </c>
      <c r="AQ49385" t="str">
        <f>IF(ISBLANK(AP49385), IFERROR(IF(VLOOKUP(AO49385, Ellens_additions!$A$2:$B$252, 2, FALSE) = "", "", VLOOKUP(AO49385, Ellens_additions!$A$2:$B$252, 2, FALSE)), 0), AP49385)</f>
        <v/>
      </c>
    </row>
    <row r="49386" spans="1:43" ht="14.4" x14ac:dyDescent="0.3"/>
    <row r="49387" spans="1:43" ht="14.4" x14ac:dyDescent="0.3"/>
    <row r="49388" spans="1:43" ht="14.4" x14ac:dyDescent="0.3"/>
    <row r="49389" spans="1:43" ht="14.4" x14ac:dyDescent="0.3"/>
    <row r="49390" spans="1:43" ht="14.4" hidden="1" x14ac:dyDescent="0.3">
      <c r="A49390" t="s">
        <v>5926</v>
      </c>
      <c r="B49390">
        <v>4897459</v>
      </c>
      <c r="C49390" t="s">
        <v>1045</v>
      </c>
      <c r="D49390" t="s">
        <v>1059</v>
      </c>
      <c r="E49390" t="s">
        <v>1064</v>
      </c>
      <c r="F49390" t="s">
        <v>1092</v>
      </c>
      <c r="H49390" t="s">
        <v>555</v>
      </c>
      <c r="J49390" t="s">
        <v>140</v>
      </c>
      <c r="K49390">
        <v>158031.4394</v>
      </c>
      <c r="L49390">
        <v>380279.85090000002</v>
      </c>
      <c r="N49390" t="s">
        <v>5877</v>
      </c>
      <c r="O49390" t="s">
        <v>521</v>
      </c>
      <c r="P49390" t="s">
        <v>732</v>
      </c>
      <c r="S49390">
        <v>19</v>
      </c>
      <c r="T49390">
        <v>2340</v>
      </c>
      <c r="V49390" t="s">
        <v>146</v>
      </c>
      <c r="W49390" t="s">
        <v>531</v>
      </c>
      <c r="Y49390" t="s">
        <v>815</v>
      </c>
      <c r="Z49390" t="s">
        <v>521</v>
      </c>
      <c r="AA49390" t="s">
        <v>5878</v>
      </c>
      <c r="AB49390">
        <v>0</v>
      </c>
      <c r="AE49390" t="s">
        <v>1407</v>
      </c>
      <c r="AF49390" t="s">
        <v>521</v>
      </c>
      <c r="AG49390" t="s">
        <v>5879</v>
      </c>
      <c r="AL49390" t="s">
        <v>5927</v>
      </c>
      <c r="AM49390" t="s">
        <v>5928</v>
      </c>
      <c r="AN49390" t="s">
        <v>5929</v>
      </c>
      <c r="AO49390" t="s">
        <v>5877</v>
      </c>
      <c r="AQ49390" t="str">
        <f>IF(ISBLANK(AP49390), IFERROR(IF(VLOOKUP(AO49390, Ellens_additions!$A$2:$B$252, 2, FALSE) = "", "", VLOOKUP(AO49390, Ellens_additions!$A$2:$B$252, 2, FALSE)), 0), AP49390)</f>
        <v/>
      </c>
    </row>
    <row r="49391" spans="1:43" ht="14.4" x14ac:dyDescent="0.3"/>
    <row r="49392" spans="1:43" ht="14.4" x14ac:dyDescent="0.3"/>
    <row r="49393" ht="14.4" x14ac:dyDescent="0.3"/>
    <row r="49394" ht="14.4" x14ac:dyDescent="0.3"/>
    <row r="49395" ht="14.4" x14ac:dyDescent="0.3"/>
    <row r="49396" ht="14.4" x14ac:dyDescent="0.3"/>
    <row r="49397" ht="14.4" x14ac:dyDescent="0.3"/>
    <row r="49398" ht="14.4" x14ac:dyDescent="0.3"/>
    <row r="49399" ht="14.4" x14ac:dyDescent="0.3"/>
    <row r="49400" ht="14.4" x14ac:dyDescent="0.3"/>
    <row r="49401" ht="14.4" x14ac:dyDescent="0.3"/>
    <row r="49402" ht="14.4" x14ac:dyDescent="0.3"/>
    <row r="49403" ht="14.4" x14ac:dyDescent="0.3"/>
    <row r="49404" ht="14.4" x14ac:dyDescent="0.3"/>
    <row r="49405" ht="14.4" x14ac:dyDescent="0.3"/>
    <row r="49406" ht="14.4" x14ac:dyDescent="0.3"/>
    <row r="49407" ht="14.4" x14ac:dyDescent="0.3"/>
    <row r="49408" ht="14.4" x14ac:dyDescent="0.3"/>
    <row r="49409" ht="14.4" x14ac:dyDescent="0.3"/>
    <row r="49410" ht="14.4" x14ac:dyDescent="0.3"/>
    <row r="49411" ht="14.4" x14ac:dyDescent="0.3"/>
    <row r="49412" ht="14.4" x14ac:dyDescent="0.3"/>
    <row r="49413" ht="14.4" x14ac:dyDescent="0.3"/>
    <row r="49414" ht="14.4" x14ac:dyDescent="0.3"/>
    <row r="49415" ht="14.4" x14ac:dyDescent="0.3"/>
    <row r="49416" ht="14.4" x14ac:dyDescent="0.3"/>
    <row r="49417" ht="14.4" x14ac:dyDescent="0.3"/>
    <row r="49418" ht="14.4" x14ac:dyDescent="0.3"/>
    <row r="49419" ht="14.4" x14ac:dyDescent="0.3"/>
    <row r="49420" ht="14.4" x14ac:dyDescent="0.3"/>
    <row r="49421" ht="14.4" x14ac:dyDescent="0.3"/>
    <row r="49422" ht="14.4" x14ac:dyDescent="0.3"/>
    <row r="49423" ht="14.4" x14ac:dyDescent="0.3"/>
    <row r="49424" ht="14.4" x14ac:dyDescent="0.3"/>
    <row r="49425" ht="14.4" x14ac:dyDescent="0.3"/>
    <row r="49426" ht="14.4" x14ac:dyDescent="0.3"/>
    <row r="49427" ht="14.4" x14ac:dyDescent="0.3"/>
    <row r="49428" ht="14.4" x14ac:dyDescent="0.3"/>
    <row r="49429" ht="14.4" x14ac:dyDescent="0.3"/>
    <row r="49430" ht="14.4" x14ac:dyDescent="0.3"/>
    <row r="49431" ht="14.4" x14ac:dyDescent="0.3"/>
    <row r="49432" ht="14.4" x14ac:dyDescent="0.3"/>
    <row r="49433" ht="14.4" x14ac:dyDescent="0.3"/>
    <row r="49434" ht="14.4" x14ac:dyDescent="0.3"/>
    <row r="49435" ht="14.4" x14ac:dyDescent="0.3"/>
    <row r="49436" ht="14.4" x14ac:dyDescent="0.3"/>
    <row r="49437" ht="14.4" x14ac:dyDescent="0.3"/>
    <row r="49438" ht="14.4" x14ac:dyDescent="0.3"/>
    <row r="49439" ht="14.4" x14ac:dyDescent="0.3"/>
    <row r="49440" ht="14.4" x14ac:dyDescent="0.3"/>
    <row r="49441" ht="14.4" x14ac:dyDescent="0.3"/>
    <row r="49442" ht="14.4" x14ac:dyDescent="0.3"/>
    <row r="49443" ht="14.4" x14ac:dyDescent="0.3"/>
    <row r="49444" ht="14.4" x14ac:dyDescent="0.3"/>
    <row r="49445" ht="14.4" x14ac:dyDescent="0.3"/>
    <row r="49446" ht="14.4" x14ac:dyDescent="0.3"/>
    <row r="49447" ht="14.4" x14ac:dyDescent="0.3"/>
    <row r="49448" ht="14.4" x14ac:dyDescent="0.3"/>
    <row r="49449" ht="14.4" x14ac:dyDescent="0.3"/>
    <row r="49450" ht="14.4" x14ac:dyDescent="0.3"/>
    <row r="49451" ht="14.4" x14ac:dyDescent="0.3"/>
    <row r="49452" ht="14.4" x14ac:dyDescent="0.3"/>
    <row r="49453" ht="14.4" x14ac:dyDescent="0.3"/>
    <row r="49454" ht="14.4" x14ac:dyDescent="0.3"/>
    <row r="49455" ht="14.4" x14ac:dyDescent="0.3"/>
    <row r="49456" ht="14.4" x14ac:dyDescent="0.3"/>
    <row r="49457" ht="14.4" x14ac:dyDescent="0.3"/>
    <row r="49458" ht="14.4" x14ac:dyDescent="0.3"/>
    <row r="49459" ht="14.4" x14ac:dyDescent="0.3"/>
    <row r="49460" ht="14.4" x14ac:dyDescent="0.3"/>
    <row r="49461" ht="14.4" x14ac:dyDescent="0.3"/>
    <row r="49462" ht="14.4" x14ac:dyDescent="0.3"/>
    <row r="49463" ht="14.4" x14ac:dyDescent="0.3"/>
    <row r="49464" ht="14.4" x14ac:dyDescent="0.3"/>
    <row r="49465" ht="14.4" x14ac:dyDescent="0.3"/>
    <row r="49466" ht="14.4" x14ac:dyDescent="0.3"/>
    <row r="49467" ht="14.4" x14ac:dyDescent="0.3"/>
    <row r="49468" ht="14.4" x14ac:dyDescent="0.3"/>
    <row r="49469" ht="14.4" x14ac:dyDescent="0.3"/>
    <row r="49470" ht="14.4" x14ac:dyDescent="0.3"/>
    <row r="49471" ht="14.4" x14ac:dyDescent="0.3"/>
    <row r="49472" ht="14.4" x14ac:dyDescent="0.3"/>
    <row r="49473" ht="14.4" x14ac:dyDescent="0.3"/>
    <row r="49474" ht="14.4" x14ac:dyDescent="0.3"/>
    <row r="49475" ht="14.4" x14ac:dyDescent="0.3"/>
    <row r="49476" ht="14.4" x14ac:dyDescent="0.3"/>
    <row r="49477" ht="14.4" x14ac:dyDescent="0.3"/>
    <row r="49478" ht="14.4" x14ac:dyDescent="0.3"/>
    <row r="49479" ht="14.4" x14ac:dyDescent="0.3"/>
    <row r="49480" ht="14.4" x14ac:dyDescent="0.3"/>
    <row r="49481" ht="14.4" x14ac:dyDescent="0.3"/>
    <row r="49482" ht="14.4" x14ac:dyDescent="0.3"/>
    <row r="49483" ht="14.4" x14ac:dyDescent="0.3"/>
    <row r="49484" ht="14.4" x14ac:dyDescent="0.3"/>
    <row r="49485" ht="14.4" x14ac:dyDescent="0.3"/>
    <row r="49486" ht="14.4" x14ac:dyDescent="0.3"/>
    <row r="49487" ht="14.4" x14ac:dyDescent="0.3"/>
    <row r="49488" ht="14.4" x14ac:dyDescent="0.3"/>
    <row r="49489" ht="14.4" x14ac:dyDescent="0.3"/>
    <row r="49490" ht="14.4" x14ac:dyDescent="0.3"/>
    <row r="49491" ht="14.4" x14ac:dyDescent="0.3"/>
    <row r="49492" ht="14.4" x14ac:dyDescent="0.3"/>
    <row r="49493" ht="14.4" x14ac:dyDescent="0.3"/>
    <row r="49494" ht="14.4" x14ac:dyDescent="0.3"/>
    <row r="49495" ht="14.4" x14ac:dyDescent="0.3"/>
    <row r="49496" ht="14.4" x14ac:dyDescent="0.3"/>
    <row r="49497" ht="14.4" x14ac:dyDescent="0.3"/>
    <row r="49498" ht="14.4" x14ac:dyDescent="0.3"/>
    <row r="49499" ht="14.4" x14ac:dyDescent="0.3"/>
    <row r="49500" ht="14.4" x14ac:dyDescent="0.3"/>
    <row r="49501" ht="14.4" x14ac:dyDescent="0.3"/>
    <row r="49502" ht="14.4" x14ac:dyDescent="0.3"/>
    <row r="49503" ht="14.4" x14ac:dyDescent="0.3"/>
    <row r="49504" ht="14.4" x14ac:dyDescent="0.3"/>
    <row r="49505" ht="14.4" x14ac:dyDescent="0.3"/>
    <row r="49506" ht="14.4" x14ac:dyDescent="0.3"/>
    <row r="49507" ht="14.4" x14ac:dyDescent="0.3"/>
    <row r="49508" ht="14.4" x14ac:dyDescent="0.3"/>
    <row r="49509" ht="14.4" x14ac:dyDescent="0.3"/>
    <row r="49510" ht="14.4" x14ac:dyDescent="0.3"/>
    <row r="49511" ht="14.4" x14ac:dyDescent="0.3"/>
    <row r="49512" ht="14.4" x14ac:dyDescent="0.3"/>
    <row r="49513" ht="14.4" x14ac:dyDescent="0.3"/>
    <row r="49514" ht="14.4" x14ac:dyDescent="0.3"/>
    <row r="49515" ht="14.4" x14ac:dyDescent="0.3"/>
    <row r="49516" ht="14.4" x14ac:dyDescent="0.3"/>
    <row r="49517" ht="14.4" x14ac:dyDescent="0.3"/>
    <row r="49518" ht="14.4" x14ac:dyDescent="0.3"/>
    <row r="49519" ht="14.4" x14ac:dyDescent="0.3"/>
    <row r="49520" ht="14.4" x14ac:dyDescent="0.3"/>
    <row r="49521" ht="14.4" x14ac:dyDescent="0.3"/>
    <row r="49522" ht="14.4" x14ac:dyDescent="0.3"/>
    <row r="49523" ht="14.4" x14ac:dyDescent="0.3"/>
    <row r="49524" ht="14.4" x14ac:dyDescent="0.3"/>
    <row r="49525" ht="14.4" x14ac:dyDescent="0.3"/>
    <row r="49526" ht="14.4" x14ac:dyDescent="0.3"/>
    <row r="49527" ht="14.4" x14ac:dyDescent="0.3"/>
    <row r="49528" ht="14.4" x14ac:dyDescent="0.3"/>
    <row r="49529" ht="14.4" x14ac:dyDescent="0.3"/>
    <row r="49530" ht="14.4" x14ac:dyDescent="0.3"/>
    <row r="49531" ht="14.4" x14ac:dyDescent="0.3"/>
    <row r="49532" ht="14.4" x14ac:dyDescent="0.3"/>
    <row r="49533" ht="14.4" x14ac:dyDescent="0.3"/>
    <row r="49534" ht="14.4" x14ac:dyDescent="0.3"/>
    <row r="49535" ht="14.4" x14ac:dyDescent="0.3"/>
    <row r="49536" ht="14.4" x14ac:dyDescent="0.3"/>
    <row r="49537" ht="14.4" x14ac:dyDescent="0.3"/>
    <row r="49538" ht="14.4" x14ac:dyDescent="0.3"/>
    <row r="49539" ht="14.4" x14ac:dyDescent="0.3"/>
    <row r="49540" ht="14.4" x14ac:dyDescent="0.3"/>
    <row r="49541" ht="14.4" x14ac:dyDescent="0.3"/>
    <row r="49542" ht="14.4" x14ac:dyDescent="0.3"/>
    <row r="49543" ht="14.4" x14ac:dyDescent="0.3"/>
    <row r="49544" ht="14.4" x14ac:dyDescent="0.3"/>
    <row r="49545" ht="14.4" x14ac:dyDescent="0.3"/>
    <row r="49546" ht="14.4" x14ac:dyDescent="0.3"/>
    <row r="49547" ht="14.4" x14ac:dyDescent="0.3"/>
    <row r="49548" ht="14.4" x14ac:dyDescent="0.3"/>
    <row r="49549" ht="14.4" x14ac:dyDescent="0.3"/>
    <row r="49550" ht="14.4" x14ac:dyDescent="0.3"/>
    <row r="49551" ht="14.4" x14ac:dyDescent="0.3"/>
    <row r="49552" ht="14.4" x14ac:dyDescent="0.3"/>
    <row r="49553" ht="14.4" x14ac:dyDescent="0.3"/>
    <row r="49554" ht="14.4" x14ac:dyDescent="0.3"/>
    <row r="49555" ht="14.4" x14ac:dyDescent="0.3"/>
    <row r="49556" ht="14.4" x14ac:dyDescent="0.3"/>
    <row r="49557" ht="14.4" x14ac:dyDescent="0.3"/>
    <row r="49558" ht="14.4" x14ac:dyDescent="0.3"/>
    <row r="49559" ht="14.4" x14ac:dyDescent="0.3"/>
    <row r="49560" ht="14.4" x14ac:dyDescent="0.3"/>
    <row r="49561" ht="14.4" x14ac:dyDescent="0.3"/>
    <row r="49562" ht="14.4" x14ac:dyDescent="0.3"/>
    <row r="49563" ht="14.4" x14ac:dyDescent="0.3"/>
    <row r="49564" ht="14.4" x14ac:dyDescent="0.3"/>
    <row r="49565" ht="14.4" x14ac:dyDescent="0.3"/>
    <row r="49566" ht="14.4" x14ac:dyDescent="0.3"/>
    <row r="49567" ht="14.4" x14ac:dyDescent="0.3"/>
    <row r="49568" ht="14.4" x14ac:dyDescent="0.3"/>
    <row r="49569" ht="14.4" x14ac:dyDescent="0.3"/>
    <row r="49570" ht="14.4" x14ac:dyDescent="0.3"/>
    <row r="49571" ht="14.4" x14ac:dyDescent="0.3"/>
    <row r="49572" ht="14.4" x14ac:dyDescent="0.3"/>
    <row r="49573" ht="14.4" x14ac:dyDescent="0.3"/>
    <row r="49574" ht="14.4" x14ac:dyDescent="0.3"/>
    <row r="49575" ht="14.4" x14ac:dyDescent="0.3"/>
    <row r="49576" ht="14.4" x14ac:dyDescent="0.3"/>
    <row r="49577" ht="14.4" x14ac:dyDescent="0.3"/>
    <row r="49578" ht="14.4" x14ac:dyDescent="0.3"/>
    <row r="49579" ht="14.4" x14ac:dyDescent="0.3"/>
    <row r="49580" ht="14.4" x14ac:dyDescent="0.3"/>
    <row r="49581" ht="14.4" x14ac:dyDescent="0.3"/>
    <row r="49582" ht="14.4" x14ac:dyDescent="0.3"/>
    <row r="49583" ht="14.4" x14ac:dyDescent="0.3"/>
    <row r="49584" ht="14.4" x14ac:dyDescent="0.3"/>
    <row r="49585" ht="14.4" x14ac:dyDescent="0.3"/>
    <row r="49586" ht="14.4" x14ac:dyDescent="0.3"/>
    <row r="49587" ht="14.4" x14ac:dyDescent="0.3"/>
    <row r="49588" ht="14.4" x14ac:dyDescent="0.3"/>
    <row r="49589" ht="14.4" x14ac:dyDescent="0.3"/>
    <row r="49590" ht="14.4" x14ac:dyDescent="0.3"/>
    <row r="49591" ht="14.4" x14ac:dyDescent="0.3"/>
    <row r="49592" ht="14.4" x14ac:dyDescent="0.3"/>
    <row r="49593" ht="14.4" x14ac:dyDescent="0.3"/>
    <row r="49594" ht="14.4" x14ac:dyDescent="0.3"/>
    <row r="49595" ht="14.4" x14ac:dyDescent="0.3"/>
    <row r="49596" ht="14.4" x14ac:dyDescent="0.3"/>
    <row r="49597" ht="14.4" x14ac:dyDescent="0.3"/>
    <row r="49598" ht="14.4" x14ac:dyDescent="0.3"/>
    <row r="49599" ht="14.4" x14ac:dyDescent="0.3"/>
    <row r="49600" ht="14.4" x14ac:dyDescent="0.3"/>
    <row r="49601" ht="14.4" x14ac:dyDescent="0.3"/>
    <row r="49602" ht="14.4" x14ac:dyDescent="0.3"/>
    <row r="49603" ht="14.4" x14ac:dyDescent="0.3"/>
    <row r="49604" ht="14.4" x14ac:dyDescent="0.3"/>
    <row r="49605" ht="14.4" x14ac:dyDescent="0.3"/>
    <row r="49606" ht="14.4" x14ac:dyDescent="0.3"/>
    <row r="49607" ht="14.4" x14ac:dyDescent="0.3"/>
    <row r="49608" ht="14.4" x14ac:dyDescent="0.3"/>
    <row r="49609" ht="14.4" x14ac:dyDescent="0.3"/>
    <row r="49610" ht="14.4" x14ac:dyDescent="0.3"/>
    <row r="49611" ht="14.4" x14ac:dyDescent="0.3"/>
    <row r="49612" ht="14.4" x14ac:dyDescent="0.3"/>
    <row r="49613" ht="14.4" x14ac:dyDescent="0.3"/>
    <row r="49614" ht="14.4" x14ac:dyDescent="0.3"/>
    <row r="49615" ht="14.4" x14ac:dyDescent="0.3"/>
    <row r="49616" ht="14.4" x14ac:dyDescent="0.3"/>
    <row r="49617" spans="1:43" ht="14.4" x14ac:dyDescent="0.3"/>
    <row r="49618" spans="1:43" ht="14.4" x14ac:dyDescent="0.3"/>
    <row r="49619" spans="1:43" ht="14.4" x14ac:dyDescent="0.3"/>
    <row r="49620" spans="1:43" ht="14.4" x14ac:dyDescent="0.3"/>
    <row r="49621" spans="1:43" ht="14.4" x14ac:dyDescent="0.3"/>
    <row r="49622" spans="1:43" ht="14.4" x14ac:dyDescent="0.3"/>
    <row r="49623" spans="1:43" ht="14.4" x14ac:dyDescent="0.3"/>
    <row r="49624" spans="1:43" ht="14.4" x14ac:dyDescent="0.3"/>
    <row r="49625" spans="1:43" ht="14.4" hidden="1" x14ac:dyDescent="0.3">
      <c r="A49625" t="s">
        <v>5931</v>
      </c>
      <c r="B49625">
        <v>4891206</v>
      </c>
      <c r="C49625" t="s">
        <v>842</v>
      </c>
      <c r="D49625" t="s">
        <v>843</v>
      </c>
      <c r="E49625" t="s">
        <v>846</v>
      </c>
      <c r="F49625" t="s">
        <v>1991</v>
      </c>
      <c r="H49625" t="s">
        <v>296</v>
      </c>
      <c r="J49625" t="s">
        <v>140</v>
      </c>
      <c r="K49625">
        <v>161261.53400000001</v>
      </c>
      <c r="L49625">
        <v>383846.62</v>
      </c>
      <c r="M49625">
        <v>1</v>
      </c>
      <c r="N49625" t="s">
        <v>871</v>
      </c>
      <c r="O49625" t="s">
        <v>832</v>
      </c>
      <c r="P49625" t="s">
        <v>567</v>
      </c>
      <c r="Q49625" t="s">
        <v>761</v>
      </c>
      <c r="R49625" t="s">
        <v>145</v>
      </c>
      <c r="S49625">
        <v>36</v>
      </c>
      <c r="T49625">
        <v>3350</v>
      </c>
      <c r="V49625" t="s">
        <v>848</v>
      </c>
      <c r="W49625" t="s">
        <v>390</v>
      </c>
      <c r="X49625" t="s">
        <v>7</v>
      </c>
      <c r="Y49625" t="s">
        <v>1948</v>
      </c>
      <c r="Z49625" t="s">
        <v>1992</v>
      </c>
      <c r="AA49625" t="s">
        <v>1552</v>
      </c>
      <c r="AB49625">
        <v>100</v>
      </c>
      <c r="AC49625" t="s">
        <v>150</v>
      </c>
      <c r="AE49625" t="s">
        <v>1960</v>
      </c>
      <c r="AF49625" t="s">
        <v>485</v>
      </c>
      <c r="AG49625" t="s">
        <v>486</v>
      </c>
      <c r="AL49625" t="s">
        <v>5932</v>
      </c>
      <c r="AM49625" t="s">
        <v>5933</v>
      </c>
      <c r="AN49625" t="s">
        <v>5934</v>
      </c>
      <c r="AO49625" t="s">
        <v>871</v>
      </c>
      <c r="AQ49625" t="str">
        <f>IF(ISBLANK(AP49625), IFERROR(IF(VLOOKUP(AO49625, Ellens_additions!$A$2:$B$252, 2, FALSE) = "", "", VLOOKUP(AO49625, Ellens_additions!$A$2:$B$252, 2, FALSE)), 0), AP49625)</f>
        <v/>
      </c>
    </row>
    <row r="49626" spans="1:43" ht="14.4" hidden="1" x14ac:dyDescent="0.3">
      <c r="A49626" t="s">
        <v>5935</v>
      </c>
      <c r="B49626">
        <v>4891210</v>
      </c>
      <c r="C49626" t="s">
        <v>842</v>
      </c>
      <c r="D49626" t="s">
        <v>843</v>
      </c>
      <c r="E49626" t="s">
        <v>846</v>
      </c>
      <c r="F49626" t="s">
        <v>1991</v>
      </c>
      <c r="H49626" t="s">
        <v>255</v>
      </c>
      <c r="J49626" t="s">
        <v>140</v>
      </c>
      <c r="K49626">
        <v>161247.86799999999</v>
      </c>
      <c r="L49626">
        <v>383842.39199999999</v>
      </c>
      <c r="M49626">
        <v>1</v>
      </c>
      <c r="N49626" t="s">
        <v>871</v>
      </c>
      <c r="O49626" t="s">
        <v>832</v>
      </c>
      <c r="P49626" t="s">
        <v>567</v>
      </c>
      <c r="Q49626" t="s">
        <v>761</v>
      </c>
      <c r="R49626" t="s">
        <v>145</v>
      </c>
      <c r="S49626">
        <v>36</v>
      </c>
      <c r="T49626">
        <v>3350</v>
      </c>
      <c r="V49626" t="s">
        <v>848</v>
      </c>
      <c r="W49626" t="s">
        <v>390</v>
      </c>
      <c r="X49626" t="s">
        <v>7</v>
      </c>
      <c r="Y49626" t="s">
        <v>1948</v>
      </c>
      <c r="Z49626" t="s">
        <v>1992</v>
      </c>
      <c r="AA49626" t="s">
        <v>1552</v>
      </c>
      <c r="AB49626">
        <v>100</v>
      </c>
      <c r="AC49626" t="s">
        <v>150</v>
      </c>
      <c r="AE49626" t="s">
        <v>1960</v>
      </c>
      <c r="AF49626" t="s">
        <v>485</v>
      </c>
      <c r="AG49626" t="s">
        <v>486</v>
      </c>
      <c r="AL49626" t="s">
        <v>5936</v>
      </c>
      <c r="AM49626" t="s">
        <v>5937</v>
      </c>
      <c r="AN49626" t="s">
        <v>5938</v>
      </c>
      <c r="AO49626" t="s">
        <v>871</v>
      </c>
      <c r="AQ49626" t="str">
        <f>IF(ISBLANK(AP49626), IFERROR(IF(VLOOKUP(AO49626, Ellens_additions!$A$2:$B$252, 2, FALSE) = "", "", VLOOKUP(AO49626, Ellens_additions!$A$2:$B$252, 2, FALSE)), 0), AP49626)</f>
        <v/>
      </c>
    </row>
    <row r="49627" spans="1:43" ht="14.4" hidden="1" x14ac:dyDescent="0.3">
      <c r="A49627" t="s">
        <v>5939</v>
      </c>
      <c r="B49627">
        <v>4891213</v>
      </c>
      <c r="C49627" t="s">
        <v>842</v>
      </c>
      <c r="D49627" t="s">
        <v>843</v>
      </c>
      <c r="E49627" t="s">
        <v>846</v>
      </c>
      <c r="F49627" t="s">
        <v>2001</v>
      </c>
      <c r="H49627" t="s">
        <v>377</v>
      </c>
      <c r="J49627" t="s">
        <v>140</v>
      </c>
      <c r="K49627">
        <v>161280.23000000001</v>
      </c>
      <c r="L49627">
        <v>383878.59</v>
      </c>
      <c r="M49627">
        <v>1</v>
      </c>
      <c r="N49627" t="s">
        <v>1377</v>
      </c>
      <c r="O49627" t="s">
        <v>520</v>
      </c>
      <c r="P49627" t="s">
        <v>4534</v>
      </c>
      <c r="Q49627" t="s">
        <v>144</v>
      </c>
      <c r="S49627">
        <v>16</v>
      </c>
      <c r="T49627">
        <v>2200</v>
      </c>
      <c r="V49627" t="s">
        <v>146</v>
      </c>
      <c r="W49627" t="s">
        <v>849</v>
      </c>
      <c r="X49627" t="s">
        <v>7</v>
      </c>
      <c r="Y49627" t="s">
        <v>1349</v>
      </c>
      <c r="Z49627" t="s">
        <v>520</v>
      </c>
      <c r="AA49627" t="s">
        <v>1375</v>
      </c>
      <c r="AB49627">
        <v>100</v>
      </c>
      <c r="AC49627" t="s">
        <v>150</v>
      </c>
      <c r="AE49627" t="s">
        <v>1960</v>
      </c>
      <c r="AF49627" t="s">
        <v>485</v>
      </c>
      <c r="AG49627" t="s">
        <v>486</v>
      </c>
      <c r="AL49627" t="s">
        <v>5940</v>
      </c>
      <c r="AM49627" t="s">
        <v>5941</v>
      </c>
      <c r="AN49627" t="s">
        <v>5942</v>
      </c>
      <c r="AO49627" t="s">
        <v>1377</v>
      </c>
      <c r="AQ49627">
        <f>IF(ISBLANK(AP49627), IFERROR(IF(VLOOKUP(AO49627, Ellens_additions!$A$2:$B$252, 2, FALSE) = "", "", VLOOKUP(AO49627, Ellens_additions!$A$2:$B$252, 2, FALSE)), 0), AP49627)</f>
        <v>3000</v>
      </c>
    </row>
    <row r="49628" spans="1:43" ht="14.4" hidden="1" x14ac:dyDescent="0.3">
      <c r="A49628" t="s">
        <v>5943</v>
      </c>
      <c r="B49628">
        <v>4891214</v>
      </c>
      <c r="C49628" t="s">
        <v>842</v>
      </c>
      <c r="D49628" t="s">
        <v>843</v>
      </c>
      <c r="E49628" t="s">
        <v>846</v>
      </c>
      <c r="F49628" t="s">
        <v>2001</v>
      </c>
      <c r="H49628" t="s">
        <v>296</v>
      </c>
      <c r="J49628" t="s">
        <v>140</v>
      </c>
      <c r="K49628">
        <v>161268.89799999999</v>
      </c>
      <c r="L49628">
        <v>383913.19</v>
      </c>
      <c r="M49628">
        <v>1</v>
      </c>
      <c r="N49628" t="s">
        <v>1246</v>
      </c>
      <c r="O49628" t="s">
        <v>438</v>
      </c>
      <c r="P49628" t="s">
        <v>861</v>
      </c>
      <c r="Q49628" t="s">
        <v>761</v>
      </c>
      <c r="R49628" t="s">
        <v>145</v>
      </c>
      <c r="S49628">
        <v>18</v>
      </c>
      <c r="T49628">
        <v>0</v>
      </c>
      <c r="V49628" t="s">
        <v>848</v>
      </c>
      <c r="W49628" t="s">
        <v>849</v>
      </c>
      <c r="X49628" t="s">
        <v>7</v>
      </c>
      <c r="Y49628" t="s">
        <v>2004</v>
      </c>
      <c r="Z49628" t="s">
        <v>1511</v>
      </c>
      <c r="AA49628" t="s">
        <v>1947</v>
      </c>
      <c r="AB49628">
        <v>100</v>
      </c>
      <c r="AC49628" t="s">
        <v>150</v>
      </c>
      <c r="AE49628" t="s">
        <v>1960</v>
      </c>
      <c r="AF49628" t="s">
        <v>485</v>
      </c>
      <c r="AG49628" t="s">
        <v>486</v>
      </c>
      <c r="AL49628" t="s">
        <v>5944</v>
      </c>
      <c r="AM49628" t="s">
        <v>5945</v>
      </c>
      <c r="AN49628" t="s">
        <v>5946</v>
      </c>
      <c r="AO49628" t="s">
        <v>1246</v>
      </c>
      <c r="AQ49628" t="str">
        <f>IF(ISBLANK(AP49628), IFERROR(IF(VLOOKUP(AO49628, Ellens_additions!$A$2:$B$252, 2, FALSE) = "", "", VLOOKUP(AO49628, Ellens_additions!$A$2:$B$252, 2, FALSE)), 0), AP49628)</f>
        <v/>
      </c>
    </row>
    <row r="49629" spans="1:43" ht="14.4" hidden="1" x14ac:dyDescent="0.3">
      <c r="A49629" t="s">
        <v>5947</v>
      </c>
      <c r="B49629">
        <v>4891215</v>
      </c>
      <c r="C49629" t="s">
        <v>842</v>
      </c>
      <c r="D49629" t="s">
        <v>843</v>
      </c>
      <c r="E49629" t="s">
        <v>846</v>
      </c>
      <c r="F49629" t="s">
        <v>2001</v>
      </c>
      <c r="H49629" t="s">
        <v>274</v>
      </c>
      <c r="J49629" t="s">
        <v>140</v>
      </c>
      <c r="K49629">
        <v>161277.65299999999</v>
      </c>
      <c r="L49629">
        <v>383915.47399999999</v>
      </c>
      <c r="M49629">
        <v>1</v>
      </c>
      <c r="N49629" t="s">
        <v>1246</v>
      </c>
      <c r="O49629" t="s">
        <v>1543</v>
      </c>
      <c r="P49629" t="s">
        <v>2017</v>
      </c>
      <c r="Q49629" t="s">
        <v>761</v>
      </c>
      <c r="R49629" t="s">
        <v>145</v>
      </c>
      <c r="S49629">
        <v>18</v>
      </c>
      <c r="T49629">
        <v>0</v>
      </c>
      <c r="V49629" t="s">
        <v>848</v>
      </c>
      <c r="W49629" t="s">
        <v>849</v>
      </c>
      <c r="X49629" t="s">
        <v>7</v>
      </c>
      <c r="Y49629" t="s">
        <v>2004</v>
      </c>
      <c r="Z49629" t="s">
        <v>1511</v>
      </c>
      <c r="AA49629" t="s">
        <v>1947</v>
      </c>
      <c r="AB49629">
        <v>100</v>
      </c>
      <c r="AC49629" t="s">
        <v>150</v>
      </c>
      <c r="AE49629" t="s">
        <v>1960</v>
      </c>
      <c r="AF49629" t="s">
        <v>485</v>
      </c>
      <c r="AG49629" t="s">
        <v>486</v>
      </c>
      <c r="AL49629" t="s">
        <v>5948</v>
      </c>
      <c r="AM49629" t="s">
        <v>5949</v>
      </c>
      <c r="AN49629" t="s">
        <v>5950</v>
      </c>
      <c r="AO49629" t="s">
        <v>1246</v>
      </c>
      <c r="AQ49629" t="str">
        <f>IF(ISBLANK(AP49629), IFERROR(IF(VLOOKUP(AO49629, Ellens_additions!$A$2:$B$252, 2, FALSE) = "", "", VLOOKUP(AO49629, Ellens_additions!$A$2:$B$252, 2, FALSE)), 0), AP49629)</f>
        <v/>
      </c>
    </row>
    <row r="49630" spans="1:43" ht="14.4" hidden="1" x14ac:dyDescent="0.3">
      <c r="A49630" t="s">
        <v>5951</v>
      </c>
      <c r="B49630">
        <v>4891216</v>
      </c>
      <c r="C49630" t="s">
        <v>842</v>
      </c>
      <c r="D49630" t="s">
        <v>843</v>
      </c>
      <c r="E49630" t="s">
        <v>846</v>
      </c>
      <c r="F49630" t="s">
        <v>2001</v>
      </c>
      <c r="H49630" t="s">
        <v>244</v>
      </c>
      <c r="J49630" t="s">
        <v>140</v>
      </c>
      <c r="K49630">
        <v>161267.30300000001</v>
      </c>
      <c r="L49630">
        <v>383919.424</v>
      </c>
      <c r="M49630">
        <v>1</v>
      </c>
      <c r="N49630" t="s">
        <v>2002</v>
      </c>
      <c r="O49630" t="s">
        <v>1268</v>
      </c>
      <c r="P49630" t="s">
        <v>2003</v>
      </c>
      <c r="Q49630" t="s">
        <v>761</v>
      </c>
      <c r="R49630" t="s">
        <v>145</v>
      </c>
      <c r="S49630">
        <v>18</v>
      </c>
      <c r="T49630">
        <v>0</v>
      </c>
      <c r="V49630" t="s">
        <v>848</v>
      </c>
      <c r="W49630" t="s">
        <v>849</v>
      </c>
      <c r="X49630" t="s">
        <v>7</v>
      </c>
      <c r="Y49630" t="s">
        <v>2004</v>
      </c>
      <c r="Z49630" t="s">
        <v>1511</v>
      </c>
      <c r="AA49630" t="s">
        <v>1947</v>
      </c>
      <c r="AB49630">
        <v>100</v>
      </c>
      <c r="AC49630" t="s">
        <v>150</v>
      </c>
      <c r="AE49630" t="s">
        <v>1960</v>
      </c>
      <c r="AF49630" t="s">
        <v>485</v>
      </c>
      <c r="AG49630" t="s">
        <v>486</v>
      </c>
      <c r="AL49630" t="s">
        <v>5952</v>
      </c>
      <c r="AM49630" t="s">
        <v>5953</v>
      </c>
      <c r="AN49630" t="s">
        <v>5954</v>
      </c>
      <c r="AO49630" t="s">
        <v>2002</v>
      </c>
      <c r="AQ49630" t="str">
        <f>IF(ISBLANK(AP49630), IFERROR(IF(VLOOKUP(AO49630, Ellens_additions!$A$2:$B$252, 2, FALSE) = "", "", VLOOKUP(AO49630, Ellens_additions!$A$2:$B$252, 2, FALSE)), 0), AP49630)</f>
        <v/>
      </c>
    </row>
    <row r="49631" spans="1:43" ht="14.4" hidden="1" x14ac:dyDescent="0.3">
      <c r="A49631" t="s">
        <v>5955</v>
      </c>
      <c r="B49631">
        <v>4891217</v>
      </c>
      <c r="C49631" t="s">
        <v>842</v>
      </c>
      <c r="D49631" t="s">
        <v>843</v>
      </c>
      <c r="E49631" t="s">
        <v>846</v>
      </c>
      <c r="F49631" t="s">
        <v>2001</v>
      </c>
      <c r="H49631" t="s">
        <v>275</v>
      </c>
      <c r="J49631" t="s">
        <v>140</v>
      </c>
      <c r="K49631">
        <v>161276.05900000001</v>
      </c>
      <c r="L49631">
        <v>383921.62300000002</v>
      </c>
      <c r="M49631">
        <v>1</v>
      </c>
      <c r="N49631" t="s">
        <v>2002</v>
      </c>
      <c r="O49631" t="s">
        <v>1268</v>
      </c>
      <c r="P49631" t="s">
        <v>2003</v>
      </c>
      <c r="Q49631" t="s">
        <v>761</v>
      </c>
      <c r="R49631" t="s">
        <v>145</v>
      </c>
      <c r="S49631">
        <v>18</v>
      </c>
      <c r="T49631">
        <v>0</v>
      </c>
      <c r="V49631" t="s">
        <v>848</v>
      </c>
      <c r="W49631" t="s">
        <v>849</v>
      </c>
      <c r="X49631" t="s">
        <v>7</v>
      </c>
      <c r="Y49631" t="s">
        <v>2004</v>
      </c>
      <c r="Z49631" t="s">
        <v>1511</v>
      </c>
      <c r="AA49631" t="s">
        <v>1947</v>
      </c>
      <c r="AB49631">
        <v>100</v>
      </c>
      <c r="AC49631" t="s">
        <v>150</v>
      </c>
      <c r="AE49631" t="s">
        <v>1960</v>
      </c>
      <c r="AF49631" t="s">
        <v>485</v>
      </c>
      <c r="AG49631" t="s">
        <v>486</v>
      </c>
      <c r="AL49631" t="s">
        <v>5956</v>
      </c>
      <c r="AM49631" t="s">
        <v>5957</v>
      </c>
      <c r="AN49631" t="s">
        <v>5958</v>
      </c>
      <c r="AO49631" t="s">
        <v>2002</v>
      </c>
      <c r="AQ49631" t="str">
        <f>IF(ISBLANK(AP49631), IFERROR(IF(VLOOKUP(AO49631, Ellens_additions!$A$2:$B$252, 2, FALSE) = "", "", VLOOKUP(AO49631, Ellens_additions!$A$2:$B$252, 2, FALSE)), 0), AP49631)</f>
        <v/>
      </c>
    </row>
    <row r="49632" spans="1:43" ht="14.4" x14ac:dyDescent="0.3"/>
    <row r="49633" ht="14.4" x14ac:dyDescent="0.3"/>
    <row r="49634" ht="14.4" x14ac:dyDescent="0.3"/>
    <row r="49635" ht="14.4" x14ac:dyDescent="0.3"/>
    <row r="49636" ht="14.4" x14ac:dyDescent="0.3"/>
    <row r="49637" ht="14.4" x14ac:dyDescent="0.3"/>
    <row r="49638" ht="14.4" x14ac:dyDescent="0.3"/>
    <row r="49639" ht="14.4" x14ac:dyDescent="0.3"/>
    <row r="49640" ht="14.4" x14ac:dyDescent="0.3"/>
    <row r="49641" ht="14.4" x14ac:dyDescent="0.3"/>
    <row r="49642" ht="14.4" x14ac:dyDescent="0.3"/>
    <row r="49643" ht="14.4" x14ac:dyDescent="0.3"/>
    <row r="49644" ht="14.4" x14ac:dyDescent="0.3"/>
    <row r="49645" ht="14.4" x14ac:dyDescent="0.3"/>
    <row r="49646" ht="14.4" x14ac:dyDescent="0.3"/>
    <row r="49647" ht="14.4" x14ac:dyDescent="0.3"/>
    <row r="49648" ht="14.4" x14ac:dyDescent="0.3"/>
    <row r="49649" ht="14.4" x14ac:dyDescent="0.3"/>
    <row r="49650" ht="14.4" x14ac:dyDescent="0.3"/>
    <row r="49651" ht="14.4" x14ac:dyDescent="0.3"/>
    <row r="49652" ht="14.4" x14ac:dyDescent="0.3"/>
    <row r="49653" ht="14.4" x14ac:dyDescent="0.3"/>
    <row r="49654" ht="14.4" x14ac:dyDescent="0.3"/>
    <row r="49655" ht="14.4" x14ac:dyDescent="0.3"/>
    <row r="49656" ht="14.4" x14ac:dyDescent="0.3"/>
    <row r="49657" ht="14.4" x14ac:dyDescent="0.3"/>
    <row r="49658" ht="14.4" x14ac:dyDescent="0.3"/>
    <row r="49659" ht="14.4" x14ac:dyDescent="0.3"/>
    <row r="49660" ht="14.4" x14ac:dyDescent="0.3"/>
    <row r="49661" ht="14.4" x14ac:dyDescent="0.3"/>
    <row r="49662" ht="14.4" x14ac:dyDescent="0.3"/>
    <row r="49663" ht="14.4" x14ac:dyDescent="0.3"/>
    <row r="49664" ht="14.4" x14ac:dyDescent="0.3"/>
    <row r="49665" ht="14.4" x14ac:dyDescent="0.3"/>
    <row r="49666" ht="14.4" x14ac:dyDescent="0.3"/>
    <row r="49667" ht="14.4" x14ac:dyDescent="0.3"/>
    <row r="49668" ht="14.4" x14ac:dyDescent="0.3"/>
    <row r="49669" ht="14.4" x14ac:dyDescent="0.3"/>
    <row r="49670" ht="14.4" x14ac:dyDescent="0.3"/>
    <row r="49671" ht="14.4" x14ac:dyDescent="0.3"/>
    <row r="49672" ht="14.4" x14ac:dyDescent="0.3"/>
    <row r="49673" ht="14.4" x14ac:dyDescent="0.3"/>
    <row r="49674" ht="14.4" x14ac:dyDescent="0.3"/>
    <row r="49675" ht="14.4" x14ac:dyDescent="0.3"/>
    <row r="49676" ht="14.4" x14ac:dyDescent="0.3"/>
    <row r="49677" ht="14.4" x14ac:dyDescent="0.3"/>
    <row r="49678" ht="14.4" x14ac:dyDescent="0.3"/>
    <row r="49679" ht="14.4" x14ac:dyDescent="0.3"/>
    <row r="49680" ht="14.4" x14ac:dyDescent="0.3"/>
    <row r="49681" ht="14.4" x14ac:dyDescent="0.3"/>
    <row r="49682" ht="14.4" x14ac:dyDescent="0.3"/>
    <row r="49683" ht="14.4" x14ac:dyDescent="0.3"/>
    <row r="49684" ht="14.4" x14ac:dyDescent="0.3"/>
    <row r="49685" ht="14.4" x14ac:dyDescent="0.3"/>
    <row r="49686" ht="14.4" x14ac:dyDescent="0.3"/>
    <row r="49687" ht="14.4" x14ac:dyDescent="0.3"/>
    <row r="49688" ht="14.4" x14ac:dyDescent="0.3"/>
    <row r="49689" ht="14.4" x14ac:dyDescent="0.3"/>
    <row r="49690" ht="14.4" x14ac:dyDescent="0.3"/>
    <row r="49691" ht="14.4" x14ac:dyDescent="0.3"/>
    <row r="49692" ht="14.4" x14ac:dyDescent="0.3"/>
    <row r="49693" ht="14.4" x14ac:dyDescent="0.3"/>
    <row r="49694" ht="14.4" x14ac:dyDescent="0.3"/>
    <row r="49695" ht="14.4" x14ac:dyDescent="0.3"/>
    <row r="49696" ht="14.4" x14ac:dyDescent="0.3"/>
    <row r="49697" ht="14.4" x14ac:dyDescent="0.3"/>
    <row r="49698" ht="14.4" x14ac:dyDescent="0.3"/>
    <row r="49699" ht="14.4" x14ac:dyDescent="0.3"/>
    <row r="49700" ht="14.4" x14ac:dyDescent="0.3"/>
    <row r="49701" ht="14.4" x14ac:dyDescent="0.3"/>
    <row r="49702" ht="14.4" x14ac:dyDescent="0.3"/>
    <row r="49703" ht="14.4" x14ac:dyDescent="0.3"/>
    <row r="49704" ht="14.4" x14ac:dyDescent="0.3"/>
    <row r="49705" ht="14.4" x14ac:dyDescent="0.3"/>
    <row r="49706" ht="14.4" x14ac:dyDescent="0.3"/>
    <row r="49707" ht="14.4" x14ac:dyDescent="0.3"/>
    <row r="49708" ht="14.4" x14ac:dyDescent="0.3"/>
    <row r="49709" ht="14.4" x14ac:dyDescent="0.3"/>
    <row r="49710" ht="14.4" x14ac:dyDescent="0.3"/>
    <row r="49711" ht="14.4" x14ac:dyDescent="0.3"/>
    <row r="49712" ht="14.4" x14ac:dyDescent="0.3"/>
    <row r="49713" ht="14.4" x14ac:dyDescent="0.3"/>
    <row r="49714" ht="14.4" x14ac:dyDescent="0.3"/>
    <row r="49715" ht="14.4" x14ac:dyDescent="0.3"/>
    <row r="49716" ht="14.4" x14ac:dyDescent="0.3"/>
    <row r="49717" ht="14.4" x14ac:dyDescent="0.3"/>
    <row r="49718" ht="14.4" x14ac:dyDescent="0.3"/>
    <row r="49719" ht="14.4" x14ac:dyDescent="0.3"/>
    <row r="49720" ht="14.4" x14ac:dyDescent="0.3"/>
    <row r="49721" ht="14.4" x14ac:dyDescent="0.3"/>
    <row r="49722" ht="14.4" x14ac:dyDescent="0.3"/>
    <row r="49723" ht="14.4" x14ac:dyDescent="0.3"/>
    <row r="49724" ht="14.4" x14ac:dyDescent="0.3"/>
    <row r="49725" ht="14.4" x14ac:dyDescent="0.3"/>
    <row r="49726" ht="14.4" x14ac:dyDescent="0.3"/>
    <row r="49727" ht="14.4" x14ac:dyDescent="0.3"/>
    <row r="49728" ht="14.4" x14ac:dyDescent="0.3"/>
    <row r="49729" ht="14.4" x14ac:dyDescent="0.3"/>
    <row r="49730" ht="14.4" x14ac:dyDescent="0.3"/>
    <row r="49731" ht="14.4" x14ac:dyDescent="0.3"/>
    <row r="49732" ht="14.4" x14ac:dyDescent="0.3"/>
    <row r="49733" ht="14.4" x14ac:dyDescent="0.3"/>
    <row r="49734" ht="14.4" x14ac:dyDescent="0.3"/>
    <row r="49735" ht="14.4" x14ac:dyDescent="0.3"/>
    <row r="49736" ht="14.4" x14ac:dyDescent="0.3"/>
    <row r="49737" ht="14.4" x14ac:dyDescent="0.3"/>
    <row r="49738" ht="14.4" x14ac:dyDescent="0.3"/>
    <row r="49739" ht="14.4" x14ac:dyDescent="0.3"/>
    <row r="49740" ht="14.4" x14ac:dyDescent="0.3"/>
    <row r="49741" ht="14.4" x14ac:dyDescent="0.3"/>
    <row r="49742" ht="14.4" x14ac:dyDescent="0.3"/>
    <row r="49743" ht="14.4" x14ac:dyDescent="0.3"/>
    <row r="49744" ht="14.4" x14ac:dyDescent="0.3"/>
    <row r="49745" ht="14.4" x14ac:dyDescent="0.3"/>
    <row r="49746" ht="14.4" x14ac:dyDescent="0.3"/>
    <row r="49747" ht="14.4" x14ac:dyDescent="0.3"/>
    <row r="49748" ht="14.4" x14ac:dyDescent="0.3"/>
    <row r="49749" ht="14.4" x14ac:dyDescent="0.3"/>
    <row r="49750" ht="14.4" x14ac:dyDescent="0.3"/>
    <row r="49751" ht="14.4" x14ac:dyDescent="0.3"/>
    <row r="49752" ht="14.4" x14ac:dyDescent="0.3"/>
    <row r="49753" ht="14.4" x14ac:dyDescent="0.3"/>
    <row r="49754" ht="14.4" x14ac:dyDescent="0.3"/>
    <row r="49755" ht="14.4" x14ac:dyDescent="0.3"/>
    <row r="49756" ht="14.4" x14ac:dyDescent="0.3"/>
    <row r="49757" ht="14.4" x14ac:dyDescent="0.3"/>
    <row r="49758" ht="14.4" x14ac:dyDescent="0.3"/>
    <row r="49759" ht="14.4" x14ac:dyDescent="0.3"/>
    <row r="49760" ht="14.4" x14ac:dyDescent="0.3"/>
    <row r="49761" ht="14.4" x14ac:dyDescent="0.3"/>
    <row r="49762" ht="14.4" x14ac:dyDescent="0.3"/>
    <row r="49763" ht="14.4" x14ac:dyDescent="0.3"/>
    <row r="49764" ht="14.4" x14ac:dyDescent="0.3"/>
    <row r="49765" ht="14.4" x14ac:dyDescent="0.3"/>
    <row r="49766" ht="14.4" x14ac:dyDescent="0.3"/>
    <row r="49767" ht="14.4" x14ac:dyDescent="0.3"/>
    <row r="49768" ht="14.4" x14ac:dyDescent="0.3"/>
    <row r="49769" ht="14.4" x14ac:dyDescent="0.3"/>
    <row r="49770" ht="14.4" x14ac:dyDescent="0.3"/>
    <row r="49771" ht="14.4" x14ac:dyDescent="0.3"/>
    <row r="49772" ht="14.4" x14ac:dyDescent="0.3"/>
    <row r="49773" ht="14.4" x14ac:dyDescent="0.3"/>
    <row r="49774" ht="14.4" x14ac:dyDescent="0.3"/>
    <row r="49775" ht="14.4" x14ac:dyDescent="0.3"/>
    <row r="49776" ht="14.4" x14ac:dyDescent="0.3"/>
    <row r="49777" ht="14.4" x14ac:dyDescent="0.3"/>
    <row r="49778" ht="14.4" x14ac:dyDescent="0.3"/>
    <row r="49779" ht="14.4" x14ac:dyDescent="0.3"/>
    <row r="49780" ht="14.4" x14ac:dyDescent="0.3"/>
    <row r="49781" ht="14.4" x14ac:dyDescent="0.3"/>
    <row r="49782" ht="14.4" x14ac:dyDescent="0.3"/>
    <row r="49783" ht="14.4" x14ac:dyDescent="0.3"/>
    <row r="49784" ht="14.4" x14ac:dyDescent="0.3"/>
    <row r="49785" ht="14.4" x14ac:dyDescent="0.3"/>
    <row r="49786" ht="14.4" x14ac:dyDescent="0.3"/>
    <row r="49787" ht="14.4" x14ac:dyDescent="0.3"/>
    <row r="49788" ht="14.4" x14ac:dyDescent="0.3"/>
    <row r="49789" ht="14.4" x14ac:dyDescent="0.3"/>
    <row r="49790" ht="14.4" x14ac:dyDescent="0.3"/>
    <row r="49791" ht="14.4" x14ac:dyDescent="0.3"/>
    <row r="49792" ht="14.4" x14ac:dyDescent="0.3"/>
    <row r="49793" ht="14.4" x14ac:dyDescent="0.3"/>
    <row r="49794" ht="14.4" x14ac:dyDescent="0.3"/>
    <row r="49795" ht="14.4" x14ac:dyDescent="0.3"/>
    <row r="49796" ht="14.4" x14ac:dyDescent="0.3"/>
    <row r="49797" ht="14.4" x14ac:dyDescent="0.3"/>
    <row r="49798" ht="14.4" x14ac:dyDescent="0.3"/>
    <row r="49799" ht="14.4" x14ac:dyDescent="0.3"/>
    <row r="49800" ht="14.4" x14ac:dyDescent="0.3"/>
    <row r="49801" ht="14.4" x14ac:dyDescent="0.3"/>
    <row r="49802" ht="14.4" x14ac:dyDescent="0.3"/>
    <row r="49803" ht="14.4" x14ac:dyDescent="0.3"/>
    <row r="49804" ht="14.4" x14ac:dyDescent="0.3"/>
    <row r="49805" ht="14.4" x14ac:dyDescent="0.3"/>
    <row r="49806" ht="14.4" x14ac:dyDescent="0.3"/>
    <row r="49807" ht="14.4" x14ac:dyDescent="0.3"/>
    <row r="49808" ht="14.4" x14ac:dyDescent="0.3"/>
    <row r="49809" ht="14.4" x14ac:dyDescent="0.3"/>
    <row r="49810" ht="14.4" x14ac:dyDescent="0.3"/>
    <row r="49811" ht="14.4" x14ac:dyDescent="0.3"/>
    <row r="49812" ht="14.4" x14ac:dyDescent="0.3"/>
    <row r="49813" ht="14.4" x14ac:dyDescent="0.3"/>
    <row r="49814" ht="14.4" x14ac:dyDescent="0.3"/>
    <row r="49815" ht="14.4" x14ac:dyDescent="0.3"/>
    <row r="49816" ht="14.4" x14ac:dyDescent="0.3"/>
    <row r="49817" ht="14.4" x14ac:dyDescent="0.3"/>
    <row r="49818" ht="14.4" x14ac:dyDescent="0.3"/>
    <row r="49819" ht="14.4" x14ac:dyDescent="0.3"/>
    <row r="49820" ht="14.4" x14ac:dyDescent="0.3"/>
    <row r="49821" ht="14.4" x14ac:dyDescent="0.3"/>
    <row r="49822" ht="14.4" x14ac:dyDescent="0.3"/>
    <row r="49823" ht="14.4" x14ac:dyDescent="0.3"/>
    <row r="49824" ht="14.4" x14ac:dyDescent="0.3"/>
    <row r="49825" ht="14.4" x14ac:dyDescent="0.3"/>
    <row r="49826" ht="14.4" x14ac:dyDescent="0.3"/>
    <row r="49827" ht="14.4" x14ac:dyDescent="0.3"/>
    <row r="49828" ht="14.4" x14ac:dyDescent="0.3"/>
    <row r="49829" ht="14.4" x14ac:dyDescent="0.3"/>
    <row r="49830" ht="14.4" x14ac:dyDescent="0.3"/>
    <row r="49831" ht="14.4" x14ac:dyDescent="0.3"/>
    <row r="49832" ht="14.4" x14ac:dyDescent="0.3"/>
    <row r="49833" ht="14.4" x14ac:dyDescent="0.3"/>
    <row r="49834" ht="14.4" x14ac:dyDescent="0.3"/>
    <row r="49835" ht="14.4" x14ac:dyDescent="0.3"/>
    <row r="49836" ht="14.4" x14ac:dyDescent="0.3"/>
    <row r="49837" ht="14.4" x14ac:dyDescent="0.3"/>
    <row r="49838" ht="14.4" x14ac:dyDescent="0.3"/>
    <row r="49839" ht="14.4" x14ac:dyDescent="0.3"/>
    <row r="49840" ht="14.4" x14ac:dyDescent="0.3"/>
    <row r="49841" ht="14.4" x14ac:dyDescent="0.3"/>
    <row r="49842" ht="14.4" x14ac:dyDescent="0.3"/>
    <row r="49843" ht="14.4" x14ac:dyDescent="0.3"/>
    <row r="49844" ht="14.4" x14ac:dyDescent="0.3"/>
    <row r="49845" ht="14.4" x14ac:dyDescent="0.3"/>
    <row r="49846" ht="14.4" x14ac:dyDescent="0.3"/>
    <row r="49847" ht="14.4" x14ac:dyDescent="0.3"/>
    <row r="49848" ht="14.4" x14ac:dyDescent="0.3"/>
    <row r="49849" ht="14.4" x14ac:dyDescent="0.3"/>
    <row r="49850" ht="14.4" x14ac:dyDescent="0.3"/>
    <row r="49851" ht="14.4" x14ac:dyDescent="0.3"/>
    <row r="49852" ht="14.4" x14ac:dyDescent="0.3"/>
    <row r="49853" ht="14.4" x14ac:dyDescent="0.3"/>
    <row r="49854" ht="14.4" x14ac:dyDescent="0.3"/>
    <row r="49855" ht="14.4" x14ac:dyDescent="0.3"/>
    <row r="49856" ht="14.4" x14ac:dyDescent="0.3"/>
    <row r="49857" ht="14.4" x14ac:dyDescent="0.3"/>
    <row r="49858" ht="14.4" x14ac:dyDescent="0.3"/>
    <row r="49859" ht="14.4" x14ac:dyDescent="0.3"/>
    <row r="49860" ht="14.4" x14ac:dyDescent="0.3"/>
    <row r="49861" ht="14.4" x14ac:dyDescent="0.3"/>
    <row r="49862" ht="14.4" x14ac:dyDescent="0.3"/>
    <row r="49863" ht="14.4" x14ac:dyDescent="0.3"/>
    <row r="49864" ht="14.4" x14ac:dyDescent="0.3"/>
    <row r="49865" ht="14.4" x14ac:dyDescent="0.3"/>
    <row r="49866" ht="14.4" x14ac:dyDescent="0.3"/>
    <row r="49867" ht="14.4" x14ac:dyDescent="0.3"/>
    <row r="49868" ht="14.4" x14ac:dyDescent="0.3"/>
    <row r="49869" ht="14.4" x14ac:dyDescent="0.3"/>
    <row r="49870" ht="14.4" x14ac:dyDescent="0.3"/>
    <row r="49871" ht="14.4" x14ac:dyDescent="0.3"/>
    <row r="49872" ht="14.4" x14ac:dyDescent="0.3"/>
    <row r="49873" ht="14.4" x14ac:dyDescent="0.3"/>
    <row r="49874" ht="14.4" x14ac:dyDescent="0.3"/>
    <row r="49875" ht="14.4" x14ac:dyDescent="0.3"/>
    <row r="49876" ht="14.4" x14ac:dyDescent="0.3"/>
    <row r="49877" ht="14.4" x14ac:dyDescent="0.3"/>
    <row r="49878" ht="14.4" x14ac:dyDescent="0.3"/>
    <row r="49879" ht="14.4" x14ac:dyDescent="0.3"/>
    <row r="49880" ht="14.4" x14ac:dyDescent="0.3"/>
    <row r="49881" ht="14.4" x14ac:dyDescent="0.3"/>
    <row r="49882" ht="14.4" x14ac:dyDescent="0.3"/>
    <row r="49883" ht="14.4" x14ac:dyDescent="0.3"/>
    <row r="49884" ht="14.4" x14ac:dyDescent="0.3"/>
    <row r="49885" ht="14.4" x14ac:dyDescent="0.3"/>
    <row r="49886" ht="14.4" x14ac:dyDescent="0.3"/>
    <row r="49887" ht="14.4" x14ac:dyDescent="0.3"/>
    <row r="49888" ht="14.4" x14ac:dyDescent="0.3"/>
    <row r="49889" ht="14.4" x14ac:dyDescent="0.3"/>
    <row r="49890" ht="14.4" x14ac:dyDescent="0.3"/>
    <row r="49891" ht="14.4" x14ac:dyDescent="0.3"/>
    <row r="49892" ht="14.4" x14ac:dyDescent="0.3"/>
    <row r="49893" ht="14.4" x14ac:dyDescent="0.3"/>
    <row r="49894" ht="14.4" x14ac:dyDescent="0.3"/>
    <row r="49895" ht="14.4" x14ac:dyDescent="0.3"/>
    <row r="49896" ht="14.4" x14ac:dyDescent="0.3"/>
    <row r="49897" ht="14.4" x14ac:dyDescent="0.3"/>
    <row r="49898" ht="14.4" x14ac:dyDescent="0.3"/>
    <row r="49899" ht="14.4" x14ac:dyDescent="0.3"/>
    <row r="49900" ht="14.4" x14ac:dyDescent="0.3"/>
    <row r="49901" ht="14.4" x14ac:dyDescent="0.3"/>
    <row r="49902" ht="14.4" x14ac:dyDescent="0.3"/>
    <row r="49903" ht="14.4" x14ac:dyDescent="0.3"/>
    <row r="49904" ht="14.4" x14ac:dyDescent="0.3"/>
    <row r="49905" ht="14.4" x14ac:dyDescent="0.3"/>
    <row r="49906" ht="14.4" x14ac:dyDescent="0.3"/>
    <row r="49907" ht="14.4" x14ac:dyDescent="0.3"/>
    <row r="49908" ht="14.4" x14ac:dyDescent="0.3"/>
    <row r="49909" ht="14.4" x14ac:dyDescent="0.3"/>
    <row r="49910" ht="14.4" x14ac:dyDescent="0.3"/>
    <row r="49911" ht="14.4" x14ac:dyDescent="0.3"/>
    <row r="49912" ht="14.4" x14ac:dyDescent="0.3"/>
    <row r="49913" ht="14.4" x14ac:dyDescent="0.3"/>
    <row r="49914" ht="14.4" x14ac:dyDescent="0.3"/>
    <row r="49915" ht="14.4" x14ac:dyDescent="0.3"/>
    <row r="49916" ht="14.4" x14ac:dyDescent="0.3"/>
    <row r="49917" ht="14.4" x14ac:dyDescent="0.3"/>
    <row r="49918" ht="14.4" x14ac:dyDescent="0.3"/>
    <row r="49919" ht="14.4" x14ac:dyDescent="0.3"/>
    <row r="49920" ht="14.4" x14ac:dyDescent="0.3"/>
    <row r="49921" ht="14.4" x14ac:dyDescent="0.3"/>
    <row r="49922" ht="14.4" x14ac:dyDescent="0.3"/>
    <row r="49923" ht="14.4" x14ac:dyDescent="0.3"/>
    <row r="49924" ht="14.4" x14ac:dyDescent="0.3"/>
    <row r="49925" ht="14.4" x14ac:dyDescent="0.3"/>
    <row r="49926" ht="14.4" x14ac:dyDescent="0.3"/>
    <row r="49927" ht="14.4" x14ac:dyDescent="0.3"/>
    <row r="49928" ht="14.4" x14ac:dyDescent="0.3"/>
    <row r="49929" ht="14.4" x14ac:dyDescent="0.3"/>
    <row r="49930" ht="14.4" x14ac:dyDescent="0.3"/>
    <row r="49931" ht="14.4" x14ac:dyDescent="0.3"/>
    <row r="49932" ht="14.4" x14ac:dyDescent="0.3"/>
    <row r="49933" ht="14.4" x14ac:dyDescent="0.3"/>
    <row r="49934" ht="14.4" x14ac:dyDescent="0.3"/>
    <row r="49935" ht="14.4" x14ac:dyDescent="0.3"/>
    <row r="49936" ht="14.4" x14ac:dyDescent="0.3"/>
    <row r="49937" ht="14.4" x14ac:dyDescent="0.3"/>
    <row r="49938" ht="14.4" x14ac:dyDescent="0.3"/>
    <row r="49939" ht="14.4" x14ac:dyDescent="0.3"/>
    <row r="49940" ht="14.4" x14ac:dyDescent="0.3"/>
    <row r="49941" ht="14.4" x14ac:dyDescent="0.3"/>
    <row r="49942" ht="14.4" x14ac:dyDescent="0.3"/>
    <row r="49943" ht="14.4" x14ac:dyDescent="0.3"/>
    <row r="49944" ht="14.4" x14ac:dyDescent="0.3"/>
    <row r="49945" ht="14.4" x14ac:dyDescent="0.3"/>
    <row r="49946" ht="14.4" x14ac:dyDescent="0.3"/>
    <row r="49947" ht="14.4" x14ac:dyDescent="0.3"/>
    <row r="49948" ht="14.4" x14ac:dyDescent="0.3"/>
    <row r="49949" ht="14.4" x14ac:dyDescent="0.3"/>
    <row r="49950" ht="14.4" x14ac:dyDescent="0.3"/>
    <row r="49951" ht="14.4" x14ac:dyDescent="0.3"/>
    <row r="49952" ht="14.4" x14ac:dyDescent="0.3"/>
    <row r="49953" ht="14.4" x14ac:dyDescent="0.3"/>
    <row r="49954" ht="14.4" x14ac:dyDescent="0.3"/>
    <row r="49955" ht="14.4" x14ac:dyDescent="0.3"/>
    <row r="49956" ht="14.4" x14ac:dyDescent="0.3"/>
    <row r="49957" ht="14.4" x14ac:dyDescent="0.3"/>
    <row r="49958" ht="14.4" x14ac:dyDescent="0.3"/>
    <row r="49959" ht="14.4" x14ac:dyDescent="0.3"/>
    <row r="49960" ht="14.4" x14ac:dyDescent="0.3"/>
    <row r="49961" ht="14.4" x14ac:dyDescent="0.3"/>
    <row r="49962" ht="14.4" x14ac:dyDescent="0.3"/>
    <row r="49963" ht="14.4" x14ac:dyDescent="0.3"/>
    <row r="49964" ht="14.4" x14ac:dyDescent="0.3"/>
    <row r="49965" ht="14.4" x14ac:dyDescent="0.3"/>
    <row r="49966" ht="14.4" x14ac:dyDescent="0.3"/>
    <row r="49967" ht="14.4" x14ac:dyDescent="0.3"/>
    <row r="49968" ht="14.4" x14ac:dyDescent="0.3"/>
    <row r="49969" ht="14.4" x14ac:dyDescent="0.3"/>
    <row r="49970" ht="14.4" x14ac:dyDescent="0.3"/>
    <row r="49971" ht="14.4" x14ac:dyDescent="0.3"/>
    <row r="49972" ht="14.4" x14ac:dyDescent="0.3"/>
    <row r="49973" ht="14.4" x14ac:dyDescent="0.3"/>
    <row r="49974" ht="14.4" x14ac:dyDescent="0.3"/>
    <row r="49975" ht="14.4" x14ac:dyDescent="0.3"/>
    <row r="49976" ht="14.4" x14ac:dyDescent="0.3"/>
    <row r="49977" ht="14.4" x14ac:dyDescent="0.3"/>
    <row r="49978" ht="14.4" x14ac:dyDescent="0.3"/>
    <row r="49979" ht="14.4" x14ac:dyDescent="0.3"/>
    <row r="49980" ht="14.4" x14ac:dyDescent="0.3"/>
    <row r="49981" ht="14.4" x14ac:dyDescent="0.3"/>
    <row r="49982" ht="14.4" x14ac:dyDescent="0.3"/>
    <row r="49983" ht="14.4" x14ac:dyDescent="0.3"/>
    <row r="49984" ht="14.4" x14ac:dyDescent="0.3"/>
    <row r="49985" ht="14.4" x14ac:dyDescent="0.3"/>
    <row r="49986" ht="14.4" x14ac:dyDescent="0.3"/>
    <row r="49987" ht="14.4" x14ac:dyDescent="0.3"/>
    <row r="49988" ht="14.4" x14ac:dyDescent="0.3"/>
    <row r="49989" ht="14.4" x14ac:dyDescent="0.3"/>
    <row r="49990" ht="14.4" x14ac:dyDescent="0.3"/>
    <row r="49991" ht="14.4" x14ac:dyDescent="0.3"/>
    <row r="49992" ht="14.4" x14ac:dyDescent="0.3"/>
    <row r="49993" ht="14.4" x14ac:dyDescent="0.3"/>
    <row r="49994" ht="14.4" x14ac:dyDescent="0.3"/>
    <row r="49995" ht="14.4" x14ac:dyDescent="0.3"/>
    <row r="49996" ht="14.4" x14ac:dyDescent="0.3"/>
    <row r="49997" ht="14.4" x14ac:dyDescent="0.3"/>
    <row r="49998" ht="14.4" x14ac:dyDescent="0.3"/>
    <row r="49999" ht="14.4" x14ac:dyDescent="0.3"/>
    <row r="50000" ht="14.4" x14ac:dyDescent="0.3"/>
    <row r="50001" ht="14.4" x14ac:dyDescent="0.3"/>
    <row r="50002" ht="14.4" x14ac:dyDescent="0.3"/>
    <row r="50003" ht="14.4" x14ac:dyDescent="0.3"/>
    <row r="50004" ht="14.4" x14ac:dyDescent="0.3"/>
    <row r="50005" ht="14.4" x14ac:dyDescent="0.3"/>
    <row r="50006" ht="14.4" x14ac:dyDescent="0.3"/>
    <row r="50007" ht="14.4" x14ac:dyDescent="0.3"/>
    <row r="50008" ht="14.4" x14ac:dyDescent="0.3"/>
    <row r="50009" ht="14.4" x14ac:dyDescent="0.3"/>
    <row r="50010" ht="14.4" x14ac:dyDescent="0.3"/>
    <row r="50011" ht="14.4" x14ac:dyDescent="0.3"/>
    <row r="50012" ht="14.4" x14ac:dyDescent="0.3"/>
    <row r="50013" ht="14.4" x14ac:dyDescent="0.3"/>
    <row r="50014" ht="14.4" x14ac:dyDescent="0.3"/>
    <row r="50015" ht="14.4" x14ac:dyDescent="0.3"/>
    <row r="50016" ht="14.4" x14ac:dyDescent="0.3"/>
    <row r="50017" ht="14.4" x14ac:dyDescent="0.3"/>
    <row r="50018" ht="14.4" x14ac:dyDescent="0.3"/>
    <row r="50019" ht="14.4" x14ac:dyDescent="0.3"/>
    <row r="50020" ht="14.4" x14ac:dyDescent="0.3"/>
    <row r="50021" ht="14.4" x14ac:dyDescent="0.3"/>
    <row r="50022" ht="14.4" x14ac:dyDescent="0.3"/>
    <row r="50023" ht="14.4" x14ac:dyDescent="0.3"/>
    <row r="50024" ht="14.4" x14ac:dyDescent="0.3"/>
    <row r="50025" ht="14.4" x14ac:dyDescent="0.3"/>
    <row r="50026" ht="14.4" x14ac:dyDescent="0.3"/>
    <row r="50027" ht="14.4" x14ac:dyDescent="0.3"/>
    <row r="50028" ht="14.4" x14ac:dyDescent="0.3"/>
    <row r="50029" ht="14.4" x14ac:dyDescent="0.3"/>
    <row r="50030" ht="14.4" x14ac:dyDescent="0.3"/>
    <row r="50031" ht="14.4" x14ac:dyDescent="0.3"/>
    <row r="50032" ht="14.4" x14ac:dyDescent="0.3"/>
    <row r="50033" ht="14.4" x14ac:dyDescent="0.3"/>
    <row r="50034" ht="14.4" x14ac:dyDescent="0.3"/>
    <row r="50035" ht="14.4" x14ac:dyDescent="0.3"/>
    <row r="50036" ht="14.4" x14ac:dyDescent="0.3"/>
    <row r="50037" ht="14.4" x14ac:dyDescent="0.3"/>
    <row r="50038" ht="14.4" x14ac:dyDescent="0.3"/>
    <row r="50039" ht="14.4" x14ac:dyDescent="0.3"/>
    <row r="50040" ht="14.4" x14ac:dyDescent="0.3"/>
    <row r="50041" ht="14.4" x14ac:dyDescent="0.3"/>
    <row r="50042" ht="14.4" x14ac:dyDescent="0.3"/>
    <row r="50043" ht="14.4" x14ac:dyDescent="0.3"/>
    <row r="50044" ht="14.4" x14ac:dyDescent="0.3"/>
    <row r="50045" ht="14.4" x14ac:dyDescent="0.3"/>
    <row r="50046" ht="14.4" x14ac:dyDescent="0.3"/>
    <row r="50047" ht="14.4" x14ac:dyDescent="0.3"/>
    <row r="50048" ht="14.4" x14ac:dyDescent="0.3"/>
    <row r="50049" ht="14.4" x14ac:dyDescent="0.3"/>
    <row r="50050" ht="14.4" x14ac:dyDescent="0.3"/>
    <row r="50051" ht="14.4" x14ac:dyDescent="0.3"/>
    <row r="50052" ht="14.4" x14ac:dyDescent="0.3"/>
    <row r="50053" ht="14.4" x14ac:dyDescent="0.3"/>
    <row r="50054" ht="14.4" x14ac:dyDescent="0.3"/>
    <row r="50055" ht="14.4" x14ac:dyDescent="0.3"/>
    <row r="50056" ht="14.4" x14ac:dyDescent="0.3"/>
    <row r="50057" ht="14.4" x14ac:dyDescent="0.3"/>
    <row r="50058" ht="14.4" x14ac:dyDescent="0.3"/>
    <row r="50059" ht="14.4" x14ac:dyDescent="0.3"/>
    <row r="50060" ht="14.4" x14ac:dyDescent="0.3"/>
    <row r="50061" ht="14.4" x14ac:dyDescent="0.3"/>
    <row r="50062" ht="14.4" x14ac:dyDescent="0.3"/>
    <row r="50063" ht="14.4" x14ac:dyDescent="0.3"/>
    <row r="50064" ht="14.4" x14ac:dyDescent="0.3"/>
    <row r="50065" ht="14.4" x14ac:dyDescent="0.3"/>
    <row r="50066" ht="14.4" x14ac:dyDescent="0.3"/>
    <row r="50067" ht="14.4" x14ac:dyDescent="0.3"/>
    <row r="50068" ht="14.4" x14ac:dyDescent="0.3"/>
    <row r="50069" ht="14.4" x14ac:dyDescent="0.3"/>
    <row r="50070" ht="14.4" x14ac:dyDescent="0.3"/>
    <row r="50071" ht="14.4" x14ac:dyDescent="0.3"/>
    <row r="50072" ht="14.4" x14ac:dyDescent="0.3"/>
    <row r="50073" ht="14.4" x14ac:dyDescent="0.3"/>
    <row r="50074" ht="14.4" x14ac:dyDescent="0.3"/>
    <row r="50075" ht="14.4" x14ac:dyDescent="0.3"/>
    <row r="50076" ht="14.4" x14ac:dyDescent="0.3"/>
    <row r="50077" ht="14.4" x14ac:dyDescent="0.3"/>
    <row r="50078" ht="14.4" x14ac:dyDescent="0.3"/>
    <row r="50079" ht="14.4" x14ac:dyDescent="0.3"/>
    <row r="50080" ht="14.4" x14ac:dyDescent="0.3"/>
    <row r="50081" ht="14.4" x14ac:dyDescent="0.3"/>
    <row r="50082" ht="14.4" x14ac:dyDescent="0.3"/>
    <row r="50083" ht="14.4" x14ac:dyDescent="0.3"/>
    <row r="50084" ht="14.4" x14ac:dyDescent="0.3"/>
    <row r="50085" ht="14.4" x14ac:dyDescent="0.3"/>
    <row r="50086" ht="14.4" x14ac:dyDescent="0.3"/>
    <row r="50087" ht="14.4" x14ac:dyDescent="0.3"/>
    <row r="50088" ht="14.4" x14ac:dyDescent="0.3"/>
    <row r="50089" ht="14.4" x14ac:dyDescent="0.3"/>
    <row r="50090" ht="14.4" x14ac:dyDescent="0.3"/>
    <row r="50091" ht="14.4" x14ac:dyDescent="0.3"/>
    <row r="50092" ht="14.4" x14ac:dyDescent="0.3"/>
    <row r="50093" ht="14.4" x14ac:dyDescent="0.3"/>
    <row r="50094" ht="14.4" x14ac:dyDescent="0.3"/>
    <row r="50095" ht="14.4" x14ac:dyDescent="0.3"/>
    <row r="50096" ht="14.4" x14ac:dyDescent="0.3"/>
    <row r="50097" ht="14.4" x14ac:dyDescent="0.3"/>
    <row r="50098" ht="14.4" x14ac:dyDescent="0.3"/>
    <row r="50099" ht="14.4" x14ac:dyDescent="0.3"/>
    <row r="50100" ht="14.4" x14ac:dyDescent="0.3"/>
    <row r="50101" ht="14.4" x14ac:dyDescent="0.3"/>
    <row r="50102" ht="14.4" x14ac:dyDescent="0.3"/>
    <row r="50103" ht="14.4" x14ac:dyDescent="0.3"/>
    <row r="50104" ht="14.4" x14ac:dyDescent="0.3"/>
    <row r="50105" ht="14.4" x14ac:dyDescent="0.3"/>
    <row r="50106" ht="14.4" x14ac:dyDescent="0.3"/>
    <row r="50107" ht="14.4" x14ac:dyDescent="0.3"/>
    <row r="50108" ht="14.4" x14ac:dyDescent="0.3"/>
    <row r="50109" ht="14.4" x14ac:dyDescent="0.3"/>
    <row r="50110" ht="14.4" x14ac:dyDescent="0.3"/>
    <row r="50111" ht="14.4" x14ac:dyDescent="0.3"/>
    <row r="50112" ht="14.4" x14ac:dyDescent="0.3"/>
    <row r="50113" ht="14.4" x14ac:dyDescent="0.3"/>
    <row r="50114" ht="14.4" x14ac:dyDescent="0.3"/>
    <row r="50115" ht="14.4" x14ac:dyDescent="0.3"/>
    <row r="50116" ht="14.4" x14ac:dyDescent="0.3"/>
    <row r="50117" ht="14.4" x14ac:dyDescent="0.3"/>
    <row r="50118" ht="14.4" x14ac:dyDescent="0.3"/>
    <row r="50119" ht="14.4" x14ac:dyDescent="0.3"/>
    <row r="50120" ht="14.4" x14ac:dyDescent="0.3"/>
    <row r="50121" ht="14.4" x14ac:dyDescent="0.3"/>
    <row r="50122" ht="14.4" x14ac:dyDescent="0.3"/>
    <row r="50123" ht="14.4" x14ac:dyDescent="0.3"/>
    <row r="50124" ht="14.4" x14ac:dyDescent="0.3"/>
    <row r="50125" ht="14.4" x14ac:dyDescent="0.3"/>
    <row r="50126" ht="14.4" x14ac:dyDescent="0.3"/>
    <row r="50127" ht="14.4" x14ac:dyDescent="0.3"/>
    <row r="50128" ht="14.4" x14ac:dyDescent="0.3"/>
    <row r="50129" ht="14.4" x14ac:dyDescent="0.3"/>
    <row r="50130" ht="14.4" x14ac:dyDescent="0.3"/>
    <row r="50131" ht="14.4" x14ac:dyDescent="0.3"/>
    <row r="50132" ht="14.4" x14ac:dyDescent="0.3"/>
    <row r="50133" ht="14.4" x14ac:dyDescent="0.3"/>
    <row r="50134" ht="14.4" x14ac:dyDescent="0.3"/>
    <row r="50135" ht="14.4" x14ac:dyDescent="0.3"/>
    <row r="50136" ht="14.4" x14ac:dyDescent="0.3"/>
    <row r="50137" ht="14.4" x14ac:dyDescent="0.3"/>
    <row r="50138" ht="14.4" x14ac:dyDescent="0.3"/>
    <row r="50139" ht="14.4" x14ac:dyDescent="0.3"/>
    <row r="50140" ht="14.4" x14ac:dyDescent="0.3"/>
    <row r="50141" ht="14.4" x14ac:dyDescent="0.3"/>
    <row r="50142" ht="14.4" x14ac:dyDescent="0.3"/>
    <row r="50143" ht="14.4" x14ac:dyDescent="0.3"/>
    <row r="50144" ht="14.4" x14ac:dyDescent="0.3"/>
    <row r="50145" ht="14.4" x14ac:dyDescent="0.3"/>
    <row r="50146" ht="14.4" x14ac:dyDescent="0.3"/>
    <row r="50147" ht="14.4" x14ac:dyDescent="0.3"/>
    <row r="50148" ht="14.4" x14ac:dyDescent="0.3"/>
    <row r="50149" ht="14.4" x14ac:dyDescent="0.3"/>
    <row r="50150" ht="14.4" x14ac:dyDescent="0.3"/>
    <row r="50151" ht="14.4" x14ac:dyDescent="0.3"/>
    <row r="50152" ht="14.4" x14ac:dyDescent="0.3"/>
    <row r="50153" ht="14.4" x14ac:dyDescent="0.3"/>
    <row r="50154" ht="14.4" x14ac:dyDescent="0.3"/>
    <row r="50155" ht="14.4" x14ac:dyDescent="0.3"/>
    <row r="50156" ht="14.4" x14ac:dyDescent="0.3"/>
    <row r="50157" ht="14.4" x14ac:dyDescent="0.3"/>
    <row r="50158" ht="14.4" x14ac:dyDescent="0.3"/>
    <row r="50159" ht="14.4" x14ac:dyDescent="0.3"/>
    <row r="50160" ht="14.4" x14ac:dyDescent="0.3"/>
    <row r="50161" ht="14.4" x14ac:dyDescent="0.3"/>
    <row r="50162" ht="14.4" x14ac:dyDescent="0.3"/>
    <row r="50163" ht="14.4" x14ac:dyDescent="0.3"/>
    <row r="50164" ht="14.4" x14ac:dyDescent="0.3"/>
    <row r="50165" ht="14.4" x14ac:dyDescent="0.3"/>
    <row r="50166" ht="14.4" x14ac:dyDescent="0.3"/>
    <row r="50167" ht="14.4" x14ac:dyDescent="0.3"/>
    <row r="50168" ht="14.4" x14ac:dyDescent="0.3"/>
    <row r="50169" ht="14.4" x14ac:dyDescent="0.3"/>
    <row r="50170" ht="14.4" x14ac:dyDescent="0.3"/>
    <row r="50171" ht="14.4" x14ac:dyDescent="0.3"/>
    <row r="50172" ht="14.4" x14ac:dyDescent="0.3"/>
    <row r="50173" ht="14.4" x14ac:dyDescent="0.3"/>
    <row r="50174" ht="14.4" x14ac:dyDescent="0.3"/>
    <row r="50175" ht="14.4" x14ac:dyDescent="0.3"/>
    <row r="50176" ht="14.4" x14ac:dyDescent="0.3"/>
    <row r="50177" ht="14.4" x14ac:dyDescent="0.3"/>
    <row r="50178" ht="14.4" x14ac:dyDescent="0.3"/>
    <row r="50179" ht="14.4" x14ac:dyDescent="0.3"/>
    <row r="50180" ht="14.4" x14ac:dyDescent="0.3"/>
    <row r="50181" ht="14.4" x14ac:dyDescent="0.3"/>
    <row r="50182" ht="14.4" x14ac:dyDescent="0.3"/>
    <row r="50183" ht="14.4" x14ac:dyDescent="0.3"/>
    <row r="50184" ht="14.4" x14ac:dyDescent="0.3"/>
    <row r="50185" ht="14.4" x14ac:dyDescent="0.3"/>
    <row r="50186" ht="14.4" x14ac:dyDescent="0.3"/>
    <row r="50187" ht="14.4" x14ac:dyDescent="0.3"/>
    <row r="50188" ht="14.4" x14ac:dyDescent="0.3"/>
    <row r="50189" ht="14.4" x14ac:dyDescent="0.3"/>
    <row r="50190" ht="14.4" x14ac:dyDescent="0.3"/>
    <row r="50191" ht="14.4" x14ac:dyDescent="0.3"/>
    <row r="50192" ht="14.4" x14ac:dyDescent="0.3"/>
    <row r="50193" ht="14.4" x14ac:dyDescent="0.3"/>
    <row r="50194" ht="14.4" x14ac:dyDescent="0.3"/>
    <row r="50195" ht="14.4" x14ac:dyDescent="0.3"/>
    <row r="50196" ht="14.4" x14ac:dyDescent="0.3"/>
    <row r="50197" ht="14.4" x14ac:dyDescent="0.3"/>
    <row r="50198" ht="14.4" x14ac:dyDescent="0.3"/>
    <row r="50199" ht="14.4" x14ac:dyDescent="0.3"/>
    <row r="50200" ht="14.4" x14ac:dyDescent="0.3"/>
    <row r="50201" ht="14.4" x14ac:dyDescent="0.3"/>
    <row r="50202" ht="14.4" x14ac:dyDescent="0.3"/>
    <row r="50203" ht="14.4" x14ac:dyDescent="0.3"/>
    <row r="50204" ht="14.4" x14ac:dyDescent="0.3"/>
    <row r="50205" ht="14.4" x14ac:dyDescent="0.3"/>
    <row r="50206" ht="14.4" x14ac:dyDescent="0.3"/>
    <row r="50207" ht="14.4" x14ac:dyDescent="0.3"/>
    <row r="50208" ht="14.4" x14ac:dyDescent="0.3"/>
    <row r="50209" ht="14.4" x14ac:dyDescent="0.3"/>
    <row r="50210" ht="14.4" x14ac:dyDescent="0.3"/>
    <row r="50211" ht="14.4" x14ac:dyDescent="0.3"/>
    <row r="50212" ht="14.4" x14ac:dyDescent="0.3"/>
    <row r="50213" ht="14.4" x14ac:dyDescent="0.3"/>
    <row r="50214" ht="14.4" x14ac:dyDescent="0.3"/>
    <row r="50215" ht="14.4" x14ac:dyDescent="0.3"/>
    <row r="50216" ht="14.4" x14ac:dyDescent="0.3"/>
    <row r="50217" ht="14.4" x14ac:dyDescent="0.3"/>
    <row r="50218" ht="14.4" x14ac:dyDescent="0.3"/>
    <row r="50219" ht="14.4" x14ac:dyDescent="0.3"/>
    <row r="50220" ht="14.4" x14ac:dyDescent="0.3"/>
    <row r="50221" ht="14.4" x14ac:dyDescent="0.3"/>
    <row r="50222" ht="14.4" x14ac:dyDescent="0.3"/>
    <row r="50223" ht="14.4" x14ac:dyDescent="0.3"/>
    <row r="50224" ht="14.4" x14ac:dyDescent="0.3"/>
    <row r="50225" ht="14.4" x14ac:dyDescent="0.3"/>
    <row r="50226" ht="14.4" x14ac:dyDescent="0.3"/>
    <row r="50227" ht="14.4" x14ac:dyDescent="0.3"/>
    <row r="50228" ht="14.4" x14ac:dyDescent="0.3"/>
    <row r="50229" ht="14.4" x14ac:dyDescent="0.3"/>
    <row r="50230" ht="14.4" x14ac:dyDescent="0.3"/>
    <row r="50231" ht="14.4" x14ac:dyDescent="0.3"/>
    <row r="50232" ht="14.4" x14ac:dyDescent="0.3"/>
    <row r="50233" ht="14.4" x14ac:dyDescent="0.3"/>
    <row r="50234" ht="14.4" x14ac:dyDescent="0.3"/>
    <row r="50235" ht="14.4" x14ac:dyDescent="0.3"/>
    <row r="50236" ht="14.4" x14ac:dyDescent="0.3"/>
    <row r="50237" ht="14.4" x14ac:dyDescent="0.3"/>
    <row r="50238" ht="14.4" x14ac:dyDescent="0.3"/>
    <row r="50239" ht="14.4" x14ac:dyDescent="0.3"/>
    <row r="50240" ht="14.4" x14ac:dyDescent="0.3"/>
    <row r="50241" ht="14.4" x14ac:dyDescent="0.3"/>
    <row r="50242" ht="14.4" x14ac:dyDescent="0.3"/>
    <row r="50243" ht="14.4" x14ac:dyDescent="0.3"/>
    <row r="50244" ht="14.4" x14ac:dyDescent="0.3"/>
    <row r="50245" ht="14.4" x14ac:dyDescent="0.3"/>
    <row r="50246" ht="14.4" x14ac:dyDescent="0.3"/>
    <row r="50247" ht="14.4" x14ac:dyDescent="0.3"/>
    <row r="50248" ht="14.4" x14ac:dyDescent="0.3"/>
    <row r="50249" ht="14.4" x14ac:dyDescent="0.3"/>
    <row r="50250" ht="14.4" x14ac:dyDescent="0.3"/>
    <row r="50251" ht="14.4" x14ac:dyDescent="0.3"/>
    <row r="50252" ht="14.4" x14ac:dyDescent="0.3"/>
    <row r="50253" ht="14.4" x14ac:dyDescent="0.3"/>
    <row r="50254" ht="14.4" x14ac:dyDescent="0.3"/>
    <row r="50255" ht="14.4" x14ac:dyDescent="0.3"/>
    <row r="50256" ht="14.4" x14ac:dyDescent="0.3"/>
    <row r="50257" ht="14.4" x14ac:dyDescent="0.3"/>
    <row r="50258" ht="14.4" x14ac:dyDescent="0.3"/>
    <row r="50259" ht="14.4" x14ac:dyDescent="0.3"/>
    <row r="50260" ht="14.4" x14ac:dyDescent="0.3"/>
    <row r="50261" ht="14.4" x14ac:dyDescent="0.3"/>
    <row r="50262" ht="14.4" x14ac:dyDescent="0.3"/>
    <row r="50263" ht="14.4" x14ac:dyDescent="0.3"/>
    <row r="50264" ht="14.4" x14ac:dyDescent="0.3"/>
    <row r="50265" ht="14.4" x14ac:dyDescent="0.3"/>
    <row r="50266" ht="14.4" x14ac:dyDescent="0.3"/>
    <row r="50267" ht="14.4" x14ac:dyDescent="0.3"/>
    <row r="50268" ht="14.4" x14ac:dyDescent="0.3"/>
    <row r="50269" ht="14.4" x14ac:dyDescent="0.3"/>
    <row r="50270" ht="14.4" x14ac:dyDescent="0.3"/>
    <row r="50271" ht="14.4" x14ac:dyDescent="0.3"/>
    <row r="50272" ht="14.4" x14ac:dyDescent="0.3"/>
    <row r="50273" ht="14.4" x14ac:dyDescent="0.3"/>
    <row r="50274" ht="14.4" x14ac:dyDescent="0.3"/>
    <row r="50275" ht="14.4" x14ac:dyDescent="0.3"/>
    <row r="50276" ht="14.4" x14ac:dyDescent="0.3"/>
    <row r="50277" ht="14.4" x14ac:dyDescent="0.3"/>
    <row r="50278" ht="14.4" x14ac:dyDescent="0.3"/>
    <row r="50279" ht="14.4" x14ac:dyDescent="0.3"/>
    <row r="50280" ht="14.4" x14ac:dyDescent="0.3"/>
    <row r="50281" ht="14.4" x14ac:dyDescent="0.3"/>
    <row r="50282" ht="14.4" x14ac:dyDescent="0.3"/>
    <row r="50283" ht="14.4" x14ac:dyDescent="0.3"/>
    <row r="50284" ht="14.4" x14ac:dyDescent="0.3"/>
    <row r="50285" ht="14.4" x14ac:dyDescent="0.3"/>
    <row r="50286" ht="14.4" x14ac:dyDescent="0.3"/>
    <row r="50287" ht="14.4" x14ac:dyDescent="0.3"/>
    <row r="50288" ht="14.4" x14ac:dyDescent="0.3"/>
    <row r="50289" ht="14.4" x14ac:dyDescent="0.3"/>
    <row r="50290" ht="14.4" x14ac:dyDescent="0.3"/>
    <row r="50291" ht="14.4" x14ac:dyDescent="0.3"/>
    <row r="50292" ht="14.4" x14ac:dyDescent="0.3"/>
    <row r="50293" ht="14.4" x14ac:dyDescent="0.3"/>
    <row r="50294" ht="14.4" x14ac:dyDescent="0.3"/>
    <row r="50295" ht="14.4" x14ac:dyDescent="0.3"/>
    <row r="50296" ht="14.4" x14ac:dyDescent="0.3"/>
    <row r="50297" ht="14.4" x14ac:dyDescent="0.3"/>
    <row r="50298" ht="14.4" x14ac:dyDescent="0.3"/>
    <row r="50299" ht="14.4" x14ac:dyDescent="0.3"/>
    <row r="50300" ht="14.4" x14ac:dyDescent="0.3"/>
    <row r="50301" ht="14.4" x14ac:dyDescent="0.3"/>
    <row r="50302" ht="14.4" x14ac:dyDescent="0.3"/>
    <row r="50303" ht="14.4" x14ac:dyDescent="0.3"/>
    <row r="50304" ht="14.4" x14ac:dyDescent="0.3"/>
    <row r="50305" ht="14.4" x14ac:dyDescent="0.3"/>
    <row r="50306" ht="14.4" x14ac:dyDescent="0.3"/>
    <row r="50307" ht="14.4" x14ac:dyDescent="0.3"/>
    <row r="50308" ht="14.4" x14ac:dyDescent="0.3"/>
    <row r="50309" ht="14.4" x14ac:dyDescent="0.3"/>
    <row r="50310" ht="14.4" x14ac:dyDescent="0.3"/>
    <row r="50311" ht="14.4" x14ac:dyDescent="0.3"/>
    <row r="50312" ht="14.4" x14ac:dyDescent="0.3"/>
    <row r="50313" ht="14.4" x14ac:dyDescent="0.3"/>
    <row r="50314" ht="14.4" x14ac:dyDescent="0.3"/>
    <row r="50315" ht="14.4" x14ac:dyDescent="0.3"/>
    <row r="50316" ht="14.4" x14ac:dyDescent="0.3"/>
    <row r="50317" ht="14.4" x14ac:dyDescent="0.3"/>
    <row r="50318" ht="14.4" x14ac:dyDescent="0.3"/>
    <row r="50319" ht="14.4" x14ac:dyDescent="0.3"/>
    <row r="50320" ht="14.4" x14ac:dyDescent="0.3"/>
    <row r="50321" ht="14.4" x14ac:dyDescent="0.3"/>
    <row r="50322" ht="14.4" x14ac:dyDescent="0.3"/>
    <row r="50323" ht="14.4" x14ac:dyDescent="0.3"/>
    <row r="50324" ht="14.4" x14ac:dyDescent="0.3"/>
    <row r="50325" ht="14.4" x14ac:dyDescent="0.3"/>
    <row r="50326" ht="14.4" x14ac:dyDescent="0.3"/>
    <row r="50327" ht="14.4" x14ac:dyDescent="0.3"/>
    <row r="50328" ht="14.4" x14ac:dyDescent="0.3"/>
    <row r="50329" ht="14.4" x14ac:dyDescent="0.3"/>
    <row r="50330" ht="14.4" x14ac:dyDescent="0.3"/>
    <row r="50331" ht="14.4" x14ac:dyDescent="0.3"/>
    <row r="50332" ht="14.4" x14ac:dyDescent="0.3"/>
    <row r="50333" ht="14.4" x14ac:dyDescent="0.3"/>
    <row r="50334" ht="14.4" x14ac:dyDescent="0.3"/>
    <row r="50335" ht="14.4" x14ac:dyDescent="0.3"/>
    <row r="50336" ht="14.4" x14ac:dyDescent="0.3"/>
    <row r="50337" ht="14.4" x14ac:dyDescent="0.3"/>
    <row r="50338" ht="14.4" x14ac:dyDescent="0.3"/>
    <row r="50339" ht="14.4" x14ac:dyDescent="0.3"/>
    <row r="50340" ht="14.4" x14ac:dyDescent="0.3"/>
    <row r="50341" ht="14.4" x14ac:dyDescent="0.3"/>
    <row r="50342" ht="14.4" x14ac:dyDescent="0.3"/>
    <row r="50343" ht="14.4" x14ac:dyDescent="0.3"/>
    <row r="50344" ht="14.4" x14ac:dyDescent="0.3"/>
    <row r="50345" ht="14.4" x14ac:dyDescent="0.3"/>
    <row r="50346" ht="14.4" x14ac:dyDescent="0.3"/>
    <row r="50347" ht="14.4" x14ac:dyDescent="0.3"/>
    <row r="50348" ht="14.4" x14ac:dyDescent="0.3"/>
    <row r="50349" ht="14.4" x14ac:dyDescent="0.3"/>
    <row r="50350" ht="14.4" x14ac:dyDescent="0.3"/>
    <row r="50351" ht="14.4" x14ac:dyDescent="0.3"/>
    <row r="50352" ht="14.4" x14ac:dyDescent="0.3"/>
    <row r="50353" ht="14.4" x14ac:dyDescent="0.3"/>
    <row r="50354" ht="14.4" x14ac:dyDescent="0.3"/>
    <row r="50355" ht="14.4" x14ac:dyDescent="0.3"/>
    <row r="50356" ht="14.4" x14ac:dyDescent="0.3"/>
    <row r="50357" ht="14.4" x14ac:dyDescent="0.3"/>
    <row r="50358" ht="14.4" x14ac:dyDescent="0.3"/>
    <row r="50359" ht="14.4" x14ac:dyDescent="0.3"/>
    <row r="50360" ht="14.4" x14ac:dyDescent="0.3"/>
    <row r="50361" ht="14.4" x14ac:dyDescent="0.3"/>
    <row r="50362" ht="14.4" x14ac:dyDescent="0.3"/>
    <row r="50363" ht="14.4" x14ac:dyDescent="0.3"/>
    <row r="50364" ht="14.4" x14ac:dyDescent="0.3"/>
    <row r="50365" ht="14.4" x14ac:dyDescent="0.3"/>
    <row r="50366" ht="14.4" x14ac:dyDescent="0.3"/>
    <row r="50367" ht="14.4" x14ac:dyDescent="0.3"/>
    <row r="50368" ht="14.4" x14ac:dyDescent="0.3"/>
    <row r="50369" spans="1:43" ht="14.4" x14ac:dyDescent="0.3"/>
    <row r="50370" spans="1:43" ht="14.4" x14ac:dyDescent="0.3"/>
    <row r="50371" spans="1:43" ht="14.4" x14ac:dyDescent="0.3"/>
    <row r="50372" spans="1:43" ht="14.4" hidden="1" x14ac:dyDescent="0.3">
      <c r="A50372" t="s">
        <v>5960</v>
      </c>
      <c r="B50372">
        <v>4905872</v>
      </c>
      <c r="C50372" t="s">
        <v>135</v>
      </c>
      <c r="D50372" t="s">
        <v>136</v>
      </c>
      <c r="E50372" t="s">
        <v>318</v>
      </c>
      <c r="F50372" t="s">
        <v>537</v>
      </c>
      <c r="H50372" t="s">
        <v>351</v>
      </c>
      <c r="J50372" t="s">
        <v>140</v>
      </c>
      <c r="K50372">
        <v>155402.13</v>
      </c>
      <c r="L50372">
        <v>385280.44</v>
      </c>
      <c r="M50372">
        <v>1</v>
      </c>
      <c r="N50372" t="s">
        <v>2032</v>
      </c>
      <c r="O50372" t="s">
        <v>862</v>
      </c>
      <c r="P50372" t="s">
        <v>536</v>
      </c>
      <c r="Q50372" t="s">
        <v>144</v>
      </c>
      <c r="S50372">
        <v>53</v>
      </c>
      <c r="T50372">
        <v>6800</v>
      </c>
      <c r="V50372" t="s">
        <v>146</v>
      </c>
      <c r="W50372" t="s">
        <v>147</v>
      </c>
      <c r="X50372" t="s">
        <v>7</v>
      </c>
      <c r="Y50372" t="s">
        <v>2033</v>
      </c>
      <c r="Z50372" t="s">
        <v>862</v>
      </c>
      <c r="AA50372" t="s">
        <v>2034</v>
      </c>
      <c r="AB50372">
        <v>0</v>
      </c>
      <c r="AE50372" t="s">
        <v>2035</v>
      </c>
      <c r="AF50372" t="s">
        <v>862</v>
      </c>
      <c r="AG50372" t="s">
        <v>2036</v>
      </c>
      <c r="AL50372" t="s">
        <v>5961</v>
      </c>
      <c r="AM50372" t="s">
        <v>5962</v>
      </c>
      <c r="AN50372" t="s">
        <v>5963</v>
      </c>
      <c r="AO50372" t="s">
        <v>2032</v>
      </c>
      <c r="AP50372" t="s">
        <v>158</v>
      </c>
      <c r="AQ50372" t="str">
        <f>IF(ISBLANK(AP50372), IFERROR(IF(VLOOKUP(AO50372, Ellens_additions!$A$2:$B$252, 2, FALSE) = "", "", VLOOKUP(AO50372, Ellens_additions!$A$2:$B$252, 2, FALSE)), 0), AP50372)</f>
        <v>3000</v>
      </c>
    </row>
    <row r="50373" spans="1:43" ht="14.4" x14ac:dyDescent="0.3"/>
    <row r="50374" spans="1:43" ht="14.4" x14ac:dyDescent="0.3"/>
    <row r="50375" spans="1:43" ht="14.4" x14ac:dyDescent="0.3"/>
    <row r="50376" spans="1:43" ht="14.4" x14ac:dyDescent="0.3"/>
    <row r="50377" spans="1:43" ht="14.4" x14ac:dyDescent="0.3"/>
    <row r="50378" spans="1:43" ht="14.4" x14ac:dyDescent="0.3"/>
    <row r="50379" spans="1:43" ht="14.4" x14ac:dyDescent="0.3"/>
    <row r="50380" spans="1:43" ht="14.4" x14ac:dyDescent="0.3"/>
    <row r="50381" spans="1:43" ht="14.4" x14ac:dyDescent="0.3"/>
    <row r="50382" spans="1:43" ht="14.4" x14ac:dyDescent="0.3"/>
    <row r="50383" spans="1:43" ht="14.4" x14ac:dyDescent="0.3"/>
    <row r="50384" spans="1:43" ht="14.4" x14ac:dyDescent="0.3"/>
    <row r="50385" ht="14.4" x14ac:dyDescent="0.3"/>
    <row r="50386" ht="14.4" x14ac:dyDescent="0.3"/>
    <row r="50387" ht="14.4" x14ac:dyDescent="0.3"/>
    <row r="50388" ht="14.4" x14ac:dyDescent="0.3"/>
    <row r="50389" ht="14.4" x14ac:dyDescent="0.3"/>
    <row r="50390" ht="14.4" x14ac:dyDescent="0.3"/>
    <row r="50391" ht="14.4" x14ac:dyDescent="0.3"/>
    <row r="50392" ht="14.4" x14ac:dyDescent="0.3"/>
    <row r="50393" ht="14.4" x14ac:dyDescent="0.3"/>
    <row r="50394" ht="14.4" x14ac:dyDescent="0.3"/>
    <row r="50395" ht="14.4" x14ac:dyDescent="0.3"/>
    <row r="50396" ht="14.4" x14ac:dyDescent="0.3"/>
    <row r="50397" ht="14.4" x14ac:dyDescent="0.3"/>
    <row r="50398" ht="14.4" x14ac:dyDescent="0.3"/>
    <row r="50399" ht="14.4" x14ac:dyDescent="0.3"/>
    <row r="50400" ht="14.4" x14ac:dyDescent="0.3"/>
    <row r="50401" ht="14.4" x14ac:dyDescent="0.3"/>
    <row r="50402" ht="14.4" x14ac:dyDescent="0.3"/>
    <row r="50403" ht="14.4" x14ac:dyDescent="0.3"/>
    <row r="50404" ht="14.4" x14ac:dyDescent="0.3"/>
    <row r="50405" ht="14.4" x14ac:dyDescent="0.3"/>
    <row r="50406" ht="14.4" x14ac:dyDescent="0.3"/>
    <row r="50407" ht="14.4" x14ac:dyDescent="0.3"/>
    <row r="50408" ht="14.4" x14ac:dyDescent="0.3"/>
    <row r="50409" ht="14.4" x14ac:dyDescent="0.3"/>
    <row r="50410" ht="14.4" x14ac:dyDescent="0.3"/>
    <row r="50411" ht="14.4" x14ac:dyDescent="0.3"/>
    <row r="50412" ht="14.4" x14ac:dyDescent="0.3"/>
    <row r="50413" ht="14.4" x14ac:dyDescent="0.3"/>
    <row r="50414" ht="14.4" x14ac:dyDescent="0.3"/>
    <row r="50415" ht="14.4" x14ac:dyDescent="0.3"/>
    <row r="50416" ht="14.4" x14ac:dyDescent="0.3"/>
    <row r="50417" ht="14.4" x14ac:dyDescent="0.3"/>
    <row r="50418" ht="14.4" x14ac:dyDescent="0.3"/>
    <row r="50419" ht="14.4" x14ac:dyDescent="0.3"/>
    <row r="50420" ht="14.4" x14ac:dyDescent="0.3"/>
    <row r="50421" ht="14.4" x14ac:dyDescent="0.3"/>
    <row r="50422" ht="14.4" x14ac:dyDescent="0.3"/>
    <row r="50423" ht="14.4" x14ac:dyDescent="0.3"/>
    <row r="50424" ht="14.4" x14ac:dyDescent="0.3"/>
    <row r="50425" ht="14.4" x14ac:dyDescent="0.3"/>
    <row r="50426" ht="14.4" x14ac:dyDescent="0.3"/>
    <row r="50427" ht="14.4" x14ac:dyDescent="0.3"/>
    <row r="50428" ht="14.4" x14ac:dyDescent="0.3"/>
    <row r="50429" ht="14.4" x14ac:dyDescent="0.3"/>
    <row r="50430" ht="14.4" x14ac:dyDescent="0.3"/>
    <row r="50431" ht="14.4" x14ac:dyDescent="0.3"/>
    <row r="50432" ht="14.4" x14ac:dyDescent="0.3"/>
    <row r="50433" ht="14.4" x14ac:dyDescent="0.3"/>
    <row r="50434" ht="14.4" x14ac:dyDescent="0.3"/>
    <row r="50435" ht="14.4" x14ac:dyDescent="0.3"/>
    <row r="50436" ht="14.4" x14ac:dyDescent="0.3"/>
    <row r="50437" ht="14.4" x14ac:dyDescent="0.3"/>
    <row r="50438" ht="14.4" x14ac:dyDescent="0.3"/>
    <row r="50439" ht="14.4" x14ac:dyDescent="0.3"/>
    <row r="50440" ht="14.4" x14ac:dyDescent="0.3"/>
    <row r="50441" ht="14.4" x14ac:dyDescent="0.3"/>
    <row r="50442" ht="14.4" x14ac:dyDescent="0.3"/>
    <row r="50443" ht="14.4" x14ac:dyDescent="0.3"/>
    <row r="50444" ht="14.4" x14ac:dyDescent="0.3"/>
    <row r="50445" ht="14.4" x14ac:dyDescent="0.3"/>
    <row r="50446" ht="14.4" x14ac:dyDescent="0.3"/>
    <row r="50447" ht="14.4" x14ac:dyDescent="0.3"/>
    <row r="50448" ht="14.4" x14ac:dyDescent="0.3"/>
    <row r="50449" ht="14.4" x14ac:dyDescent="0.3"/>
    <row r="50450" ht="14.4" x14ac:dyDescent="0.3"/>
    <row r="50451" ht="14.4" x14ac:dyDescent="0.3"/>
    <row r="50452" ht="14.4" x14ac:dyDescent="0.3"/>
    <row r="50453" ht="14.4" x14ac:dyDescent="0.3"/>
    <row r="50454" ht="14.4" x14ac:dyDescent="0.3"/>
    <row r="50455" ht="14.4" x14ac:dyDescent="0.3"/>
    <row r="50456" ht="14.4" x14ac:dyDescent="0.3"/>
    <row r="50457" ht="14.4" x14ac:dyDescent="0.3"/>
    <row r="50458" ht="14.4" x14ac:dyDescent="0.3"/>
    <row r="50459" ht="14.4" x14ac:dyDescent="0.3"/>
    <row r="50460" ht="14.4" x14ac:dyDescent="0.3"/>
    <row r="50461" ht="14.4" x14ac:dyDescent="0.3"/>
    <row r="50462" ht="14.4" x14ac:dyDescent="0.3"/>
    <row r="50463" ht="14.4" x14ac:dyDescent="0.3"/>
    <row r="50464" ht="14.4" x14ac:dyDescent="0.3"/>
    <row r="50465" ht="14.4" x14ac:dyDescent="0.3"/>
    <row r="50466" ht="14.4" x14ac:dyDescent="0.3"/>
    <row r="50467" ht="14.4" x14ac:dyDescent="0.3"/>
    <row r="50468" ht="14.4" x14ac:dyDescent="0.3"/>
    <row r="50469" ht="14.4" x14ac:dyDescent="0.3"/>
    <row r="50470" ht="14.4" x14ac:dyDescent="0.3"/>
    <row r="50471" ht="14.4" x14ac:dyDescent="0.3"/>
    <row r="50472" ht="14.4" x14ac:dyDescent="0.3"/>
    <row r="50473" ht="14.4" x14ac:dyDescent="0.3"/>
    <row r="50474" ht="14.4" x14ac:dyDescent="0.3"/>
    <row r="50475" ht="14.4" x14ac:dyDescent="0.3"/>
    <row r="50476" ht="14.4" x14ac:dyDescent="0.3"/>
    <row r="50477" ht="14.4" x14ac:dyDescent="0.3"/>
    <row r="50478" ht="14.4" x14ac:dyDescent="0.3"/>
    <row r="50479" ht="14.4" x14ac:dyDescent="0.3"/>
    <row r="50480" ht="14.4" x14ac:dyDescent="0.3"/>
    <row r="50481" ht="14.4" x14ac:dyDescent="0.3"/>
    <row r="50482" ht="14.4" x14ac:dyDescent="0.3"/>
    <row r="50483" ht="14.4" x14ac:dyDescent="0.3"/>
    <row r="50484" ht="14.4" x14ac:dyDescent="0.3"/>
    <row r="50485" ht="14.4" x14ac:dyDescent="0.3"/>
    <row r="50486" ht="14.4" x14ac:dyDescent="0.3"/>
    <row r="50487" ht="14.4" x14ac:dyDescent="0.3"/>
    <row r="50488" ht="14.4" x14ac:dyDescent="0.3"/>
    <row r="50489" ht="14.4" x14ac:dyDescent="0.3"/>
    <row r="50490" ht="14.4" x14ac:dyDescent="0.3"/>
    <row r="50491" ht="14.4" x14ac:dyDescent="0.3"/>
    <row r="50492" ht="14.4" x14ac:dyDescent="0.3"/>
    <row r="50493" ht="14.4" x14ac:dyDescent="0.3"/>
    <row r="50494" ht="14.4" x14ac:dyDescent="0.3"/>
    <row r="50495" ht="14.4" x14ac:dyDescent="0.3"/>
    <row r="50496" ht="14.4" x14ac:dyDescent="0.3"/>
    <row r="50497" ht="14.4" x14ac:dyDescent="0.3"/>
    <row r="50498" ht="14.4" x14ac:dyDescent="0.3"/>
    <row r="50499" ht="14.4" x14ac:dyDescent="0.3"/>
    <row r="50500" ht="14.4" x14ac:dyDescent="0.3"/>
    <row r="50501" ht="14.4" x14ac:dyDescent="0.3"/>
    <row r="50502" ht="14.4" x14ac:dyDescent="0.3"/>
    <row r="50503" ht="14.4" x14ac:dyDescent="0.3"/>
    <row r="50504" ht="14.4" x14ac:dyDescent="0.3"/>
    <row r="50505" ht="14.4" x14ac:dyDescent="0.3"/>
    <row r="50506" ht="14.4" x14ac:dyDescent="0.3"/>
    <row r="50507" ht="14.4" x14ac:dyDescent="0.3"/>
    <row r="50508" ht="14.4" x14ac:dyDescent="0.3"/>
    <row r="50509" ht="14.4" x14ac:dyDescent="0.3"/>
    <row r="50510" ht="14.4" x14ac:dyDescent="0.3"/>
    <row r="50511" ht="14.4" x14ac:dyDescent="0.3"/>
    <row r="50512" ht="14.4" x14ac:dyDescent="0.3"/>
    <row r="50513" ht="14.4" x14ac:dyDescent="0.3"/>
    <row r="50514" ht="14.4" x14ac:dyDescent="0.3"/>
    <row r="50515" ht="14.4" x14ac:dyDescent="0.3"/>
    <row r="50516" ht="14.4" x14ac:dyDescent="0.3"/>
    <row r="50517" ht="14.4" x14ac:dyDescent="0.3"/>
    <row r="50518" ht="14.4" x14ac:dyDescent="0.3"/>
    <row r="50519" ht="14.4" x14ac:dyDescent="0.3"/>
    <row r="50520" ht="14.4" x14ac:dyDescent="0.3"/>
    <row r="50521" ht="14.4" x14ac:dyDescent="0.3"/>
    <row r="50522" ht="14.4" x14ac:dyDescent="0.3"/>
    <row r="50523" ht="14.4" x14ac:dyDescent="0.3"/>
    <row r="50524" ht="14.4" x14ac:dyDescent="0.3"/>
    <row r="50525" ht="14.4" x14ac:dyDescent="0.3"/>
    <row r="50526" ht="14.4" x14ac:dyDescent="0.3"/>
    <row r="50527" ht="14.4" x14ac:dyDescent="0.3"/>
    <row r="50528" ht="14.4" x14ac:dyDescent="0.3"/>
    <row r="50529" ht="14.4" x14ac:dyDescent="0.3"/>
    <row r="50530" ht="14.4" x14ac:dyDescent="0.3"/>
    <row r="50531" ht="14.4" x14ac:dyDescent="0.3"/>
    <row r="50532" ht="14.4" x14ac:dyDescent="0.3"/>
    <row r="50533" ht="14.4" x14ac:dyDescent="0.3"/>
    <row r="50534" ht="14.4" x14ac:dyDescent="0.3"/>
    <row r="50535" ht="14.4" x14ac:dyDescent="0.3"/>
    <row r="50536" ht="14.4" x14ac:dyDescent="0.3"/>
    <row r="50537" ht="14.4" x14ac:dyDescent="0.3"/>
    <row r="50538" ht="14.4" x14ac:dyDescent="0.3"/>
    <row r="50539" ht="14.4" x14ac:dyDescent="0.3"/>
    <row r="50540" ht="14.4" x14ac:dyDescent="0.3"/>
    <row r="50541" ht="14.4" x14ac:dyDescent="0.3"/>
    <row r="50542" ht="14.4" x14ac:dyDescent="0.3"/>
    <row r="50543" ht="14.4" x14ac:dyDescent="0.3"/>
    <row r="50544" ht="14.4" x14ac:dyDescent="0.3"/>
    <row r="50545" ht="14.4" x14ac:dyDescent="0.3"/>
    <row r="50546" ht="14.4" x14ac:dyDescent="0.3"/>
    <row r="50547" ht="14.4" x14ac:dyDescent="0.3"/>
    <row r="50548" ht="14.4" x14ac:dyDescent="0.3"/>
    <row r="50549" ht="14.4" x14ac:dyDescent="0.3"/>
    <row r="50550" ht="14.4" x14ac:dyDescent="0.3"/>
    <row r="50551" ht="14.4" x14ac:dyDescent="0.3"/>
    <row r="50552" ht="14.4" x14ac:dyDescent="0.3"/>
    <row r="50553" ht="14.4" x14ac:dyDescent="0.3"/>
    <row r="50554" ht="14.4" x14ac:dyDescent="0.3"/>
    <row r="50555" ht="14.4" x14ac:dyDescent="0.3"/>
    <row r="50556" ht="14.4" x14ac:dyDescent="0.3"/>
    <row r="50557" ht="14.4" x14ac:dyDescent="0.3"/>
    <row r="50558" ht="14.4" x14ac:dyDescent="0.3"/>
    <row r="50559" ht="14.4" x14ac:dyDescent="0.3"/>
    <row r="50560" ht="14.4" x14ac:dyDescent="0.3"/>
    <row r="50561" ht="14.4" x14ac:dyDescent="0.3"/>
    <row r="50562" ht="14.4" x14ac:dyDescent="0.3"/>
    <row r="50563" ht="14.4" x14ac:dyDescent="0.3"/>
    <row r="50564" ht="14.4" x14ac:dyDescent="0.3"/>
    <row r="50565" ht="14.4" x14ac:dyDescent="0.3"/>
    <row r="50566" ht="14.4" x14ac:dyDescent="0.3"/>
    <row r="50567" ht="14.4" x14ac:dyDescent="0.3"/>
    <row r="50568" ht="14.4" x14ac:dyDescent="0.3"/>
    <row r="50569" ht="14.4" x14ac:dyDescent="0.3"/>
    <row r="50570" ht="14.4" x14ac:dyDescent="0.3"/>
    <row r="50571" ht="14.4" x14ac:dyDescent="0.3"/>
    <row r="50572" ht="14.4" x14ac:dyDescent="0.3"/>
    <row r="50573" ht="14.4" x14ac:dyDescent="0.3"/>
    <row r="50574" ht="14.4" x14ac:dyDescent="0.3"/>
    <row r="50575" ht="14.4" x14ac:dyDescent="0.3"/>
    <row r="50576" ht="14.4" x14ac:dyDescent="0.3"/>
    <row r="50577" ht="14.4" x14ac:dyDescent="0.3"/>
    <row r="50578" ht="14.4" x14ac:dyDescent="0.3"/>
    <row r="50579" ht="14.4" x14ac:dyDescent="0.3"/>
    <row r="50580" ht="14.4" x14ac:dyDescent="0.3"/>
    <row r="50581" ht="14.4" x14ac:dyDescent="0.3"/>
    <row r="50582" ht="14.4" x14ac:dyDescent="0.3"/>
    <row r="50583" ht="14.4" x14ac:dyDescent="0.3"/>
    <row r="50584" ht="14.4" x14ac:dyDescent="0.3"/>
    <row r="50585" ht="14.4" x14ac:dyDescent="0.3"/>
    <row r="50586" ht="14.4" x14ac:dyDescent="0.3"/>
    <row r="50587" ht="14.4" x14ac:dyDescent="0.3"/>
    <row r="50588" ht="14.4" x14ac:dyDescent="0.3"/>
    <row r="50589" ht="14.4" x14ac:dyDescent="0.3"/>
    <row r="50590" ht="14.4" x14ac:dyDescent="0.3"/>
    <row r="50591" ht="14.4" x14ac:dyDescent="0.3"/>
    <row r="50592" ht="14.4" x14ac:dyDescent="0.3"/>
    <row r="50593" ht="14.4" x14ac:dyDescent="0.3"/>
    <row r="50594" ht="14.4" x14ac:dyDescent="0.3"/>
    <row r="50595" ht="14.4" x14ac:dyDescent="0.3"/>
    <row r="50596" ht="14.4" x14ac:dyDescent="0.3"/>
    <row r="50597" ht="14.4" x14ac:dyDescent="0.3"/>
    <row r="50598" ht="14.4" x14ac:dyDescent="0.3"/>
    <row r="50599" ht="14.4" x14ac:dyDescent="0.3"/>
    <row r="50600" ht="14.4" x14ac:dyDescent="0.3"/>
    <row r="50601" ht="14.4" x14ac:dyDescent="0.3"/>
    <row r="50602" ht="14.4" x14ac:dyDescent="0.3"/>
    <row r="50603" ht="14.4" x14ac:dyDescent="0.3"/>
    <row r="50604" ht="14.4" x14ac:dyDescent="0.3"/>
    <row r="50605" ht="14.4" x14ac:dyDescent="0.3"/>
    <row r="50606" ht="14.4" x14ac:dyDescent="0.3"/>
    <row r="50607" ht="14.4" x14ac:dyDescent="0.3"/>
    <row r="50608" ht="14.4" x14ac:dyDescent="0.3"/>
    <row r="50609" ht="14.4" x14ac:dyDescent="0.3"/>
    <row r="50610" ht="14.4" x14ac:dyDescent="0.3"/>
    <row r="50611" ht="14.4" x14ac:dyDescent="0.3"/>
    <row r="50612" ht="14.4" x14ac:dyDescent="0.3"/>
    <row r="50613" ht="14.4" x14ac:dyDescent="0.3"/>
    <row r="50614" ht="14.4" x14ac:dyDescent="0.3"/>
    <row r="50615" ht="14.4" x14ac:dyDescent="0.3"/>
    <row r="50616" ht="14.4" x14ac:dyDescent="0.3"/>
    <row r="50617" ht="14.4" x14ac:dyDescent="0.3"/>
    <row r="50618" ht="14.4" x14ac:dyDescent="0.3"/>
    <row r="50619" ht="14.4" x14ac:dyDescent="0.3"/>
    <row r="50620" ht="14.4" x14ac:dyDescent="0.3"/>
    <row r="50621" ht="14.4" x14ac:dyDescent="0.3"/>
    <row r="50622" ht="14.4" x14ac:dyDescent="0.3"/>
    <row r="50623" ht="14.4" x14ac:dyDescent="0.3"/>
    <row r="50624" ht="14.4" x14ac:dyDescent="0.3"/>
    <row r="50625" ht="14.4" x14ac:dyDescent="0.3"/>
    <row r="50626" ht="14.4" x14ac:dyDescent="0.3"/>
    <row r="50627" ht="14.4" x14ac:dyDescent="0.3"/>
    <row r="50628" ht="14.4" x14ac:dyDescent="0.3"/>
    <row r="50629" ht="14.4" x14ac:dyDescent="0.3"/>
    <row r="50630" ht="14.4" x14ac:dyDescent="0.3"/>
    <row r="50631" ht="14.4" x14ac:dyDescent="0.3"/>
    <row r="50632" ht="14.4" x14ac:dyDescent="0.3"/>
    <row r="50633" ht="14.4" x14ac:dyDescent="0.3"/>
    <row r="50634" ht="14.4" x14ac:dyDescent="0.3"/>
    <row r="50635" ht="14.4" x14ac:dyDescent="0.3"/>
    <row r="50636" ht="14.4" x14ac:dyDescent="0.3"/>
    <row r="50637" ht="14.4" x14ac:dyDescent="0.3"/>
    <row r="50638" ht="14.4" x14ac:dyDescent="0.3"/>
    <row r="50639" ht="14.4" x14ac:dyDescent="0.3"/>
    <row r="50640" ht="14.4" x14ac:dyDescent="0.3"/>
    <row r="50641" ht="14.4" x14ac:dyDescent="0.3"/>
    <row r="50642" ht="14.4" x14ac:dyDescent="0.3"/>
    <row r="50643" ht="14.4" x14ac:dyDescent="0.3"/>
    <row r="50644" ht="14.4" x14ac:dyDescent="0.3"/>
    <row r="50645" ht="14.4" x14ac:dyDescent="0.3"/>
    <row r="50646" ht="14.4" x14ac:dyDescent="0.3"/>
    <row r="50647" ht="14.4" x14ac:dyDescent="0.3"/>
    <row r="50648" ht="14.4" x14ac:dyDescent="0.3"/>
    <row r="50649" ht="14.4" x14ac:dyDescent="0.3"/>
    <row r="50650" ht="14.4" x14ac:dyDescent="0.3"/>
    <row r="50651" ht="14.4" x14ac:dyDescent="0.3"/>
    <row r="50652" ht="14.4" x14ac:dyDescent="0.3"/>
    <row r="50653" ht="14.4" x14ac:dyDescent="0.3"/>
    <row r="50654" ht="14.4" x14ac:dyDescent="0.3"/>
    <row r="50655" ht="14.4" x14ac:dyDescent="0.3"/>
    <row r="50656" ht="14.4" x14ac:dyDescent="0.3"/>
    <row r="50657" ht="14.4" x14ac:dyDescent="0.3"/>
    <row r="50658" ht="14.4" x14ac:dyDescent="0.3"/>
    <row r="50659" ht="14.4" x14ac:dyDescent="0.3"/>
    <row r="50660" ht="14.4" x14ac:dyDescent="0.3"/>
    <row r="50661" ht="14.4" x14ac:dyDescent="0.3"/>
    <row r="50662" ht="14.4" x14ac:dyDescent="0.3"/>
    <row r="50663" ht="14.4" x14ac:dyDescent="0.3"/>
    <row r="50664" ht="14.4" x14ac:dyDescent="0.3"/>
    <row r="50665" ht="14.4" x14ac:dyDescent="0.3"/>
    <row r="50666" ht="14.4" x14ac:dyDescent="0.3"/>
    <row r="50667" ht="14.4" x14ac:dyDescent="0.3"/>
    <row r="50668" ht="14.4" x14ac:dyDescent="0.3"/>
    <row r="50669" ht="14.4" x14ac:dyDescent="0.3"/>
    <row r="50670" ht="14.4" x14ac:dyDescent="0.3"/>
    <row r="50671" ht="14.4" x14ac:dyDescent="0.3"/>
    <row r="50672" ht="14.4" x14ac:dyDescent="0.3"/>
    <row r="50673" ht="14.4" x14ac:dyDescent="0.3"/>
    <row r="50674" ht="14.4" x14ac:dyDescent="0.3"/>
    <row r="50675" ht="14.4" x14ac:dyDescent="0.3"/>
    <row r="50676" ht="14.4" x14ac:dyDescent="0.3"/>
    <row r="50677" ht="14.4" x14ac:dyDescent="0.3"/>
    <row r="50678" ht="14.4" x14ac:dyDescent="0.3"/>
    <row r="50679" ht="14.4" x14ac:dyDescent="0.3"/>
    <row r="50680" ht="14.4" x14ac:dyDescent="0.3"/>
    <row r="50681" ht="14.4" x14ac:dyDescent="0.3"/>
    <row r="50682" ht="14.4" x14ac:dyDescent="0.3"/>
    <row r="50683" ht="14.4" x14ac:dyDescent="0.3"/>
    <row r="50684" ht="14.4" x14ac:dyDescent="0.3"/>
    <row r="50685" ht="14.4" x14ac:dyDescent="0.3"/>
    <row r="50686" ht="14.4" x14ac:dyDescent="0.3"/>
    <row r="50687" ht="14.4" x14ac:dyDescent="0.3"/>
    <row r="50688" ht="14.4" x14ac:dyDescent="0.3"/>
    <row r="50689" ht="14.4" x14ac:dyDescent="0.3"/>
    <row r="50690" ht="14.4" x14ac:dyDescent="0.3"/>
    <row r="50691" ht="14.4" x14ac:dyDescent="0.3"/>
    <row r="50692" ht="14.4" x14ac:dyDescent="0.3"/>
    <row r="50693" ht="14.4" x14ac:dyDescent="0.3"/>
    <row r="50694" ht="14.4" x14ac:dyDescent="0.3"/>
    <row r="50695" ht="14.4" x14ac:dyDescent="0.3"/>
    <row r="50696" ht="14.4" x14ac:dyDescent="0.3"/>
    <row r="50697" ht="14.4" x14ac:dyDescent="0.3"/>
    <row r="50698" ht="14.4" x14ac:dyDescent="0.3"/>
    <row r="50699" ht="14.4" x14ac:dyDescent="0.3"/>
    <row r="50700" ht="14.4" x14ac:dyDescent="0.3"/>
    <row r="50701" ht="14.4" x14ac:dyDescent="0.3"/>
    <row r="50702" ht="14.4" x14ac:dyDescent="0.3"/>
    <row r="50703" ht="14.4" x14ac:dyDescent="0.3"/>
    <row r="50704" ht="14.4" x14ac:dyDescent="0.3"/>
    <row r="50705" ht="14.4" x14ac:dyDescent="0.3"/>
    <row r="50706" ht="14.4" x14ac:dyDescent="0.3"/>
    <row r="50707" ht="14.4" x14ac:dyDescent="0.3"/>
    <row r="50708" ht="14.4" x14ac:dyDescent="0.3"/>
    <row r="50709" ht="14.4" x14ac:dyDescent="0.3"/>
    <row r="50710" ht="14.4" x14ac:dyDescent="0.3"/>
    <row r="50711" ht="14.4" x14ac:dyDescent="0.3"/>
    <row r="50712" ht="14.4" x14ac:dyDescent="0.3"/>
    <row r="50713" ht="14.4" x14ac:dyDescent="0.3"/>
    <row r="50714" ht="14.4" x14ac:dyDescent="0.3"/>
    <row r="50715" ht="14.4" x14ac:dyDescent="0.3"/>
    <row r="50716" ht="14.4" x14ac:dyDescent="0.3"/>
    <row r="50717" ht="14.4" x14ac:dyDescent="0.3"/>
    <row r="50718" ht="14.4" x14ac:dyDescent="0.3"/>
    <row r="50719" ht="14.4" x14ac:dyDescent="0.3"/>
    <row r="50720" ht="14.4" x14ac:dyDescent="0.3"/>
    <row r="50721" ht="14.4" x14ac:dyDescent="0.3"/>
    <row r="50722" ht="14.4" x14ac:dyDescent="0.3"/>
    <row r="50723" ht="14.4" x14ac:dyDescent="0.3"/>
    <row r="50724" ht="14.4" x14ac:dyDescent="0.3"/>
    <row r="50725" ht="14.4" x14ac:dyDescent="0.3"/>
    <row r="50726" ht="14.4" x14ac:dyDescent="0.3"/>
    <row r="50727" ht="14.4" x14ac:dyDescent="0.3"/>
    <row r="50728" ht="14.4" x14ac:dyDescent="0.3"/>
    <row r="50729" ht="14.4" x14ac:dyDescent="0.3"/>
    <row r="50730" ht="14.4" x14ac:dyDescent="0.3"/>
    <row r="50731" ht="14.4" x14ac:dyDescent="0.3"/>
    <row r="50732" ht="14.4" x14ac:dyDescent="0.3"/>
    <row r="50733" ht="14.4" x14ac:dyDescent="0.3"/>
    <row r="50734" ht="14.4" x14ac:dyDescent="0.3"/>
    <row r="50735" ht="14.4" x14ac:dyDescent="0.3"/>
    <row r="50736" ht="14.4" x14ac:dyDescent="0.3"/>
    <row r="50737" ht="14.4" x14ac:dyDescent="0.3"/>
    <row r="50738" ht="14.4" x14ac:dyDescent="0.3"/>
    <row r="50739" ht="14.4" x14ac:dyDescent="0.3"/>
    <row r="50740" ht="14.4" x14ac:dyDescent="0.3"/>
    <row r="50741" ht="14.4" x14ac:dyDescent="0.3"/>
    <row r="50742" ht="14.4" x14ac:dyDescent="0.3"/>
    <row r="50743" ht="14.4" x14ac:dyDescent="0.3"/>
    <row r="50744" ht="14.4" x14ac:dyDescent="0.3"/>
    <row r="50745" ht="14.4" x14ac:dyDescent="0.3"/>
    <row r="50746" ht="14.4" x14ac:dyDescent="0.3"/>
    <row r="50747" ht="14.4" x14ac:dyDescent="0.3"/>
    <row r="50748" ht="14.4" x14ac:dyDescent="0.3"/>
    <row r="50749" ht="14.4" x14ac:dyDescent="0.3"/>
    <row r="50750" ht="14.4" x14ac:dyDescent="0.3"/>
    <row r="50751" ht="14.4" x14ac:dyDescent="0.3"/>
    <row r="50752" ht="14.4" x14ac:dyDescent="0.3"/>
    <row r="50753" ht="14.4" x14ac:dyDescent="0.3"/>
    <row r="50754" ht="14.4" x14ac:dyDescent="0.3"/>
    <row r="50755" ht="14.4" x14ac:dyDescent="0.3"/>
    <row r="50756" ht="14.4" x14ac:dyDescent="0.3"/>
    <row r="50757" ht="14.4" x14ac:dyDescent="0.3"/>
    <row r="50758" ht="14.4" x14ac:dyDescent="0.3"/>
    <row r="50759" ht="14.4" x14ac:dyDescent="0.3"/>
    <row r="50760" ht="14.4" x14ac:dyDescent="0.3"/>
    <row r="50761" ht="14.4" x14ac:dyDescent="0.3"/>
    <row r="50762" ht="14.4" x14ac:dyDescent="0.3"/>
    <row r="50763" ht="14.4" x14ac:dyDescent="0.3"/>
    <row r="50764" ht="14.4" x14ac:dyDescent="0.3"/>
    <row r="50765" ht="14.4" x14ac:dyDescent="0.3"/>
    <row r="50766" ht="14.4" x14ac:dyDescent="0.3"/>
    <row r="50767" ht="14.4" x14ac:dyDescent="0.3"/>
    <row r="50768" ht="14.4" x14ac:dyDescent="0.3"/>
    <row r="50769" ht="14.4" x14ac:dyDescent="0.3"/>
    <row r="50770" ht="14.4" x14ac:dyDescent="0.3"/>
    <row r="50771" ht="14.4" x14ac:dyDescent="0.3"/>
    <row r="50772" ht="14.4" x14ac:dyDescent="0.3"/>
    <row r="50773" ht="14.4" x14ac:dyDescent="0.3"/>
    <row r="50774" ht="14.4" x14ac:dyDescent="0.3"/>
    <row r="50775" ht="14.4" x14ac:dyDescent="0.3"/>
    <row r="50776" ht="14.4" x14ac:dyDescent="0.3"/>
    <row r="50777" ht="14.4" x14ac:dyDescent="0.3"/>
    <row r="50778" ht="14.4" x14ac:dyDescent="0.3"/>
    <row r="50779" ht="14.4" x14ac:dyDescent="0.3"/>
    <row r="50780" ht="14.4" x14ac:dyDescent="0.3"/>
    <row r="50781" ht="14.4" x14ac:dyDescent="0.3"/>
    <row r="50782" ht="14.4" x14ac:dyDescent="0.3"/>
    <row r="50783" ht="14.4" x14ac:dyDescent="0.3"/>
    <row r="50784" ht="14.4" x14ac:dyDescent="0.3"/>
    <row r="50785" ht="14.4" x14ac:dyDescent="0.3"/>
    <row r="50786" ht="14.4" x14ac:dyDescent="0.3"/>
    <row r="50787" ht="14.4" x14ac:dyDescent="0.3"/>
    <row r="50788" ht="14.4" x14ac:dyDescent="0.3"/>
    <row r="50789" ht="14.4" x14ac:dyDescent="0.3"/>
    <row r="50790" ht="14.4" x14ac:dyDescent="0.3"/>
    <row r="50791" ht="14.4" x14ac:dyDescent="0.3"/>
    <row r="50792" ht="14.4" x14ac:dyDescent="0.3"/>
    <row r="50793" ht="14.4" x14ac:dyDescent="0.3"/>
    <row r="50794" ht="14.4" x14ac:dyDescent="0.3"/>
    <row r="50795" ht="14.4" x14ac:dyDescent="0.3"/>
    <row r="50796" ht="14.4" x14ac:dyDescent="0.3"/>
    <row r="50797" ht="14.4" x14ac:dyDescent="0.3"/>
    <row r="50798" ht="14.4" x14ac:dyDescent="0.3"/>
    <row r="50799" ht="14.4" x14ac:dyDescent="0.3"/>
    <row r="50800" ht="14.4" x14ac:dyDescent="0.3"/>
    <row r="50801" ht="14.4" x14ac:dyDescent="0.3"/>
    <row r="50802" ht="14.4" x14ac:dyDescent="0.3"/>
    <row r="50803" ht="14.4" x14ac:dyDescent="0.3"/>
    <row r="50804" ht="14.4" x14ac:dyDescent="0.3"/>
    <row r="50805" ht="14.4" x14ac:dyDescent="0.3"/>
    <row r="50806" ht="14.4" x14ac:dyDescent="0.3"/>
    <row r="50807" ht="14.4" x14ac:dyDescent="0.3"/>
    <row r="50808" ht="14.4" x14ac:dyDescent="0.3"/>
    <row r="50809" ht="14.4" x14ac:dyDescent="0.3"/>
    <row r="50810" ht="14.4" x14ac:dyDescent="0.3"/>
    <row r="50811" ht="14.4" x14ac:dyDescent="0.3"/>
    <row r="50812" ht="14.4" x14ac:dyDescent="0.3"/>
    <row r="50813" ht="14.4" x14ac:dyDescent="0.3"/>
    <row r="50814" ht="14.4" x14ac:dyDescent="0.3"/>
    <row r="50815" ht="14.4" x14ac:dyDescent="0.3"/>
    <row r="50816" ht="14.4" x14ac:dyDescent="0.3"/>
    <row r="50817" ht="14.4" x14ac:dyDescent="0.3"/>
    <row r="50818" ht="14.4" x14ac:dyDescent="0.3"/>
    <row r="50819" ht="14.4" x14ac:dyDescent="0.3"/>
    <row r="50820" ht="14.4" x14ac:dyDescent="0.3"/>
    <row r="50821" ht="14.4" x14ac:dyDescent="0.3"/>
    <row r="50822" ht="14.4" x14ac:dyDescent="0.3"/>
    <row r="50823" ht="14.4" x14ac:dyDescent="0.3"/>
    <row r="50824" ht="14.4" x14ac:dyDescent="0.3"/>
    <row r="50825" ht="14.4" x14ac:dyDescent="0.3"/>
    <row r="50826" ht="14.4" x14ac:dyDescent="0.3"/>
    <row r="50827" ht="14.4" x14ac:dyDescent="0.3"/>
    <row r="50828" ht="14.4" x14ac:dyDescent="0.3"/>
    <row r="50829" ht="14.4" x14ac:dyDescent="0.3"/>
    <row r="50830" ht="14.4" x14ac:dyDescent="0.3"/>
    <row r="50831" ht="14.4" x14ac:dyDescent="0.3"/>
    <row r="50832" ht="14.4" x14ac:dyDescent="0.3"/>
    <row r="50833" ht="14.4" x14ac:dyDescent="0.3"/>
    <row r="50834" ht="14.4" x14ac:dyDescent="0.3"/>
    <row r="50835" ht="14.4" x14ac:dyDescent="0.3"/>
    <row r="50836" ht="14.4" x14ac:dyDescent="0.3"/>
    <row r="50837" ht="14.4" x14ac:dyDescent="0.3"/>
    <row r="50838" ht="14.4" x14ac:dyDescent="0.3"/>
    <row r="50839" ht="14.4" x14ac:dyDescent="0.3"/>
    <row r="50840" ht="14.4" x14ac:dyDescent="0.3"/>
    <row r="50841" ht="14.4" x14ac:dyDescent="0.3"/>
    <row r="50842" ht="14.4" x14ac:dyDescent="0.3"/>
    <row r="50843" ht="14.4" x14ac:dyDescent="0.3"/>
    <row r="50844" ht="14.4" x14ac:dyDescent="0.3"/>
    <row r="50845" ht="14.4" x14ac:dyDescent="0.3"/>
    <row r="50846" ht="14.4" x14ac:dyDescent="0.3"/>
    <row r="50847" ht="14.4" x14ac:dyDescent="0.3"/>
    <row r="50848" ht="14.4" x14ac:dyDescent="0.3"/>
    <row r="50849" ht="14.4" x14ac:dyDescent="0.3"/>
    <row r="50850" ht="14.4" x14ac:dyDescent="0.3"/>
    <row r="50851" ht="14.4" x14ac:dyDescent="0.3"/>
    <row r="50852" ht="14.4" x14ac:dyDescent="0.3"/>
    <row r="50853" ht="14.4" x14ac:dyDescent="0.3"/>
    <row r="50854" ht="14.4" x14ac:dyDescent="0.3"/>
    <row r="50855" ht="14.4" x14ac:dyDescent="0.3"/>
    <row r="50856" ht="14.4" x14ac:dyDescent="0.3"/>
    <row r="50857" ht="14.4" x14ac:dyDescent="0.3"/>
    <row r="50858" ht="14.4" x14ac:dyDescent="0.3"/>
    <row r="50859" ht="14.4" x14ac:dyDescent="0.3"/>
    <row r="50860" ht="14.4" x14ac:dyDescent="0.3"/>
    <row r="50861" ht="14.4" x14ac:dyDescent="0.3"/>
    <row r="50862" ht="14.4" x14ac:dyDescent="0.3"/>
    <row r="50863" ht="14.4" x14ac:dyDescent="0.3"/>
    <row r="50864" ht="14.4" x14ac:dyDescent="0.3"/>
    <row r="50865" ht="14.4" x14ac:dyDescent="0.3"/>
    <row r="50866" ht="14.4" x14ac:dyDescent="0.3"/>
    <row r="50867" ht="14.4" x14ac:dyDescent="0.3"/>
    <row r="50868" ht="14.4" x14ac:dyDescent="0.3"/>
    <row r="50869" ht="14.4" x14ac:dyDescent="0.3"/>
    <row r="50870" ht="14.4" x14ac:dyDescent="0.3"/>
    <row r="50871" ht="14.4" x14ac:dyDescent="0.3"/>
    <row r="50872" ht="14.4" x14ac:dyDescent="0.3"/>
    <row r="50873" ht="14.4" x14ac:dyDescent="0.3"/>
    <row r="50874" ht="14.4" x14ac:dyDescent="0.3"/>
    <row r="50875" ht="14.4" x14ac:dyDescent="0.3"/>
    <row r="50876" ht="14.4" x14ac:dyDescent="0.3"/>
    <row r="50877" ht="14.4" x14ac:dyDescent="0.3"/>
    <row r="50878" ht="14.4" x14ac:dyDescent="0.3"/>
    <row r="50879" ht="14.4" x14ac:dyDescent="0.3"/>
    <row r="50880" ht="14.4" x14ac:dyDescent="0.3"/>
    <row r="50881" ht="14.4" x14ac:dyDescent="0.3"/>
    <row r="50882" ht="14.4" x14ac:dyDescent="0.3"/>
    <row r="50883" ht="14.4" x14ac:dyDescent="0.3"/>
    <row r="50884" ht="14.4" x14ac:dyDescent="0.3"/>
    <row r="50885" ht="14.4" x14ac:dyDescent="0.3"/>
    <row r="50886" ht="14.4" x14ac:dyDescent="0.3"/>
    <row r="50887" ht="14.4" x14ac:dyDescent="0.3"/>
    <row r="50888" ht="14.4" x14ac:dyDescent="0.3"/>
    <row r="50889" ht="14.4" x14ac:dyDescent="0.3"/>
    <row r="50890" ht="14.4" x14ac:dyDescent="0.3"/>
    <row r="50891" ht="14.4" x14ac:dyDescent="0.3"/>
    <row r="50892" ht="14.4" x14ac:dyDescent="0.3"/>
    <row r="50893" ht="14.4" x14ac:dyDescent="0.3"/>
    <row r="50894" ht="14.4" x14ac:dyDescent="0.3"/>
    <row r="50895" ht="14.4" x14ac:dyDescent="0.3"/>
    <row r="50896" ht="14.4" x14ac:dyDescent="0.3"/>
    <row r="50897" ht="14.4" x14ac:dyDescent="0.3"/>
    <row r="50898" ht="14.4" x14ac:dyDescent="0.3"/>
    <row r="50899" ht="14.4" x14ac:dyDescent="0.3"/>
    <row r="50900" ht="14.4" x14ac:dyDescent="0.3"/>
    <row r="50901" ht="14.4" x14ac:dyDescent="0.3"/>
    <row r="50902" ht="14.4" x14ac:dyDescent="0.3"/>
    <row r="50903" ht="14.4" x14ac:dyDescent="0.3"/>
    <row r="50904" ht="14.4" x14ac:dyDescent="0.3"/>
    <row r="50905" ht="14.4" x14ac:dyDescent="0.3"/>
    <row r="50906" ht="14.4" x14ac:dyDescent="0.3"/>
    <row r="50907" ht="14.4" x14ac:dyDescent="0.3"/>
    <row r="50908" ht="14.4" x14ac:dyDescent="0.3"/>
    <row r="50909" ht="14.4" x14ac:dyDescent="0.3"/>
    <row r="50910" ht="14.4" x14ac:dyDescent="0.3"/>
    <row r="50911" ht="14.4" x14ac:dyDescent="0.3"/>
    <row r="50912" ht="14.4" x14ac:dyDescent="0.3"/>
    <row r="50913" ht="14.4" x14ac:dyDescent="0.3"/>
    <row r="50914" ht="14.4" x14ac:dyDescent="0.3"/>
    <row r="50915" ht="14.4" x14ac:dyDescent="0.3"/>
    <row r="50916" ht="14.4" x14ac:dyDescent="0.3"/>
    <row r="50917" ht="14.4" x14ac:dyDescent="0.3"/>
    <row r="50918" ht="14.4" x14ac:dyDescent="0.3"/>
    <row r="50919" ht="14.4" x14ac:dyDescent="0.3"/>
    <row r="50920" ht="14.4" x14ac:dyDescent="0.3"/>
    <row r="50921" ht="14.4" x14ac:dyDescent="0.3"/>
    <row r="50922" ht="14.4" x14ac:dyDescent="0.3"/>
    <row r="50923" ht="14.4" x14ac:dyDescent="0.3"/>
    <row r="50924" ht="14.4" x14ac:dyDescent="0.3"/>
    <row r="50925" ht="14.4" x14ac:dyDescent="0.3"/>
    <row r="50926" ht="14.4" x14ac:dyDescent="0.3"/>
    <row r="50927" ht="14.4" x14ac:dyDescent="0.3"/>
    <row r="50928" ht="14.4" x14ac:dyDescent="0.3"/>
    <row r="50929" ht="14.4" x14ac:dyDescent="0.3"/>
    <row r="50930" ht="14.4" x14ac:dyDescent="0.3"/>
    <row r="50931" ht="14.4" x14ac:dyDescent="0.3"/>
    <row r="50932" ht="14.4" x14ac:dyDescent="0.3"/>
    <row r="50933" ht="14.4" x14ac:dyDescent="0.3"/>
    <row r="50934" ht="14.4" x14ac:dyDescent="0.3"/>
    <row r="50935" ht="14.4" x14ac:dyDescent="0.3"/>
    <row r="50936" ht="14.4" x14ac:dyDescent="0.3"/>
    <row r="50937" ht="14.4" x14ac:dyDescent="0.3"/>
    <row r="50938" ht="14.4" x14ac:dyDescent="0.3"/>
    <row r="50939" ht="14.4" x14ac:dyDescent="0.3"/>
    <row r="50940" ht="14.4" x14ac:dyDescent="0.3"/>
    <row r="50941" ht="14.4" x14ac:dyDescent="0.3"/>
    <row r="50942" ht="14.4" x14ac:dyDescent="0.3"/>
    <row r="50943" ht="14.4" x14ac:dyDescent="0.3"/>
    <row r="50944" ht="14.4" x14ac:dyDescent="0.3"/>
    <row r="50945" ht="14.4" x14ac:dyDescent="0.3"/>
    <row r="50946" ht="14.4" x14ac:dyDescent="0.3"/>
    <row r="50947" ht="14.4" x14ac:dyDescent="0.3"/>
    <row r="50948" ht="14.4" x14ac:dyDescent="0.3"/>
    <row r="50949" ht="14.4" x14ac:dyDescent="0.3"/>
    <row r="50950" ht="14.4" x14ac:dyDescent="0.3"/>
    <row r="50951" ht="14.4" x14ac:dyDescent="0.3"/>
    <row r="50952" ht="14.4" x14ac:dyDescent="0.3"/>
    <row r="50953" ht="14.4" x14ac:dyDescent="0.3"/>
    <row r="50954" ht="14.4" x14ac:dyDescent="0.3"/>
    <row r="50955" ht="14.4" x14ac:dyDescent="0.3"/>
    <row r="50956" ht="14.4" x14ac:dyDescent="0.3"/>
    <row r="50957" ht="14.4" x14ac:dyDescent="0.3"/>
    <row r="50958" ht="14.4" x14ac:dyDescent="0.3"/>
    <row r="50959" ht="14.4" x14ac:dyDescent="0.3"/>
    <row r="50960" ht="14.4" x14ac:dyDescent="0.3"/>
    <row r="50961" ht="14.4" x14ac:dyDescent="0.3"/>
    <row r="50962" ht="14.4" x14ac:dyDescent="0.3"/>
    <row r="50963" ht="14.4" x14ac:dyDescent="0.3"/>
    <row r="50964" ht="14.4" x14ac:dyDescent="0.3"/>
    <row r="50965" ht="14.4" x14ac:dyDescent="0.3"/>
    <row r="50966" ht="14.4" x14ac:dyDescent="0.3"/>
    <row r="50967" ht="14.4" x14ac:dyDescent="0.3"/>
    <row r="50968" ht="14.4" x14ac:dyDescent="0.3"/>
    <row r="50969" ht="14.4" x14ac:dyDescent="0.3"/>
    <row r="50970" ht="14.4" x14ac:dyDescent="0.3"/>
    <row r="50971" ht="14.4" x14ac:dyDescent="0.3"/>
    <row r="50972" ht="14.4" x14ac:dyDescent="0.3"/>
    <row r="50973" ht="14.4" x14ac:dyDescent="0.3"/>
    <row r="50974" ht="14.4" x14ac:dyDescent="0.3"/>
    <row r="50975" ht="14.4" x14ac:dyDescent="0.3"/>
    <row r="50976" ht="14.4" x14ac:dyDescent="0.3"/>
    <row r="50977" ht="14.4" x14ac:dyDescent="0.3"/>
    <row r="50978" ht="14.4" x14ac:dyDescent="0.3"/>
    <row r="50979" ht="14.4" x14ac:dyDescent="0.3"/>
    <row r="50980" ht="14.4" x14ac:dyDescent="0.3"/>
    <row r="50981" ht="14.4" x14ac:dyDescent="0.3"/>
    <row r="50982" ht="14.4" x14ac:dyDescent="0.3"/>
    <row r="50983" ht="14.4" x14ac:dyDescent="0.3"/>
    <row r="50984" ht="14.4" x14ac:dyDescent="0.3"/>
    <row r="50985" ht="14.4" x14ac:dyDescent="0.3"/>
    <row r="50986" ht="14.4" x14ac:dyDescent="0.3"/>
    <row r="50987" ht="14.4" x14ac:dyDescent="0.3"/>
    <row r="50988" ht="14.4" x14ac:dyDescent="0.3"/>
    <row r="50989" ht="14.4" x14ac:dyDescent="0.3"/>
    <row r="50990" ht="14.4" x14ac:dyDescent="0.3"/>
    <row r="50991" ht="14.4" x14ac:dyDescent="0.3"/>
    <row r="50992" ht="14.4" x14ac:dyDescent="0.3"/>
    <row r="50993" ht="14.4" x14ac:dyDescent="0.3"/>
    <row r="50994" ht="14.4" x14ac:dyDescent="0.3"/>
    <row r="50995" ht="14.4" x14ac:dyDescent="0.3"/>
    <row r="50996" ht="14.4" x14ac:dyDescent="0.3"/>
    <row r="50997" ht="14.4" x14ac:dyDescent="0.3"/>
    <row r="50998" ht="14.4" x14ac:dyDescent="0.3"/>
    <row r="50999" ht="14.4" x14ac:dyDescent="0.3"/>
    <row r="51000" ht="14.4" x14ac:dyDescent="0.3"/>
    <row r="51001" ht="14.4" x14ac:dyDescent="0.3"/>
    <row r="51002" ht="14.4" x14ac:dyDescent="0.3"/>
    <row r="51003" ht="14.4" x14ac:dyDescent="0.3"/>
    <row r="51004" ht="14.4" x14ac:dyDescent="0.3"/>
    <row r="51005" ht="14.4" x14ac:dyDescent="0.3"/>
    <row r="51006" ht="14.4" x14ac:dyDescent="0.3"/>
    <row r="51007" ht="14.4" x14ac:dyDescent="0.3"/>
    <row r="51008" ht="14.4" x14ac:dyDescent="0.3"/>
    <row r="51009" ht="14.4" x14ac:dyDescent="0.3"/>
    <row r="51010" ht="14.4" x14ac:dyDescent="0.3"/>
    <row r="51011" ht="14.4" x14ac:dyDescent="0.3"/>
    <row r="51012" ht="14.4" x14ac:dyDescent="0.3"/>
    <row r="51013" ht="14.4" x14ac:dyDescent="0.3"/>
    <row r="51014" ht="14.4" x14ac:dyDescent="0.3"/>
    <row r="51015" ht="14.4" x14ac:dyDescent="0.3"/>
    <row r="51016" ht="14.4" x14ac:dyDescent="0.3"/>
    <row r="51017" ht="14.4" x14ac:dyDescent="0.3"/>
    <row r="51018" ht="14.4" x14ac:dyDescent="0.3"/>
    <row r="51019" ht="14.4" x14ac:dyDescent="0.3"/>
    <row r="51020" ht="14.4" x14ac:dyDescent="0.3"/>
    <row r="51021" ht="14.4" x14ac:dyDescent="0.3"/>
    <row r="51022" ht="14.4" x14ac:dyDescent="0.3"/>
    <row r="51023" ht="14.4" x14ac:dyDescent="0.3"/>
    <row r="51024" ht="14.4" x14ac:dyDescent="0.3"/>
    <row r="51025" ht="14.4" x14ac:dyDescent="0.3"/>
    <row r="51026" ht="14.4" x14ac:dyDescent="0.3"/>
    <row r="51027" ht="14.4" x14ac:dyDescent="0.3"/>
    <row r="51028" ht="14.4" x14ac:dyDescent="0.3"/>
    <row r="51029" ht="14.4" x14ac:dyDescent="0.3"/>
    <row r="51030" ht="14.4" x14ac:dyDescent="0.3"/>
    <row r="51031" ht="14.4" x14ac:dyDescent="0.3"/>
    <row r="51032" ht="14.4" x14ac:dyDescent="0.3"/>
    <row r="51033" ht="14.4" x14ac:dyDescent="0.3"/>
    <row r="51034" ht="14.4" x14ac:dyDescent="0.3"/>
    <row r="51035" ht="14.4" x14ac:dyDescent="0.3"/>
    <row r="51036" ht="14.4" x14ac:dyDescent="0.3"/>
    <row r="51037" ht="14.4" x14ac:dyDescent="0.3"/>
    <row r="51038" ht="14.4" x14ac:dyDescent="0.3"/>
    <row r="51039" ht="14.4" x14ac:dyDescent="0.3"/>
    <row r="51040" ht="14.4" x14ac:dyDescent="0.3"/>
    <row r="51041" ht="14.4" x14ac:dyDescent="0.3"/>
    <row r="51042" ht="14.4" x14ac:dyDescent="0.3"/>
    <row r="51043" ht="14.4" x14ac:dyDescent="0.3"/>
    <row r="51044" ht="14.4" x14ac:dyDescent="0.3"/>
    <row r="51045" ht="14.4" x14ac:dyDescent="0.3"/>
    <row r="51046" ht="14.4" x14ac:dyDescent="0.3"/>
    <row r="51047" ht="14.4" x14ac:dyDescent="0.3"/>
    <row r="51048" ht="14.4" x14ac:dyDescent="0.3"/>
    <row r="51049" ht="14.4" x14ac:dyDescent="0.3"/>
    <row r="51050" ht="14.4" x14ac:dyDescent="0.3"/>
    <row r="51051" ht="14.4" x14ac:dyDescent="0.3"/>
    <row r="51052" ht="14.4" x14ac:dyDescent="0.3"/>
    <row r="51053" ht="14.4" x14ac:dyDescent="0.3"/>
    <row r="51054" ht="14.4" x14ac:dyDescent="0.3"/>
    <row r="51055" ht="14.4" x14ac:dyDescent="0.3"/>
    <row r="51056" ht="14.4" x14ac:dyDescent="0.3"/>
    <row r="51057" ht="14.4" x14ac:dyDescent="0.3"/>
    <row r="51058" ht="14.4" x14ac:dyDescent="0.3"/>
    <row r="51059" ht="14.4" x14ac:dyDescent="0.3"/>
    <row r="51060" ht="14.4" x14ac:dyDescent="0.3"/>
    <row r="51061" ht="14.4" x14ac:dyDescent="0.3"/>
    <row r="51062" ht="14.4" x14ac:dyDescent="0.3"/>
    <row r="51063" ht="14.4" x14ac:dyDescent="0.3"/>
    <row r="51064" ht="14.4" x14ac:dyDescent="0.3"/>
    <row r="51065" ht="14.4" x14ac:dyDescent="0.3"/>
    <row r="51066" ht="14.4" x14ac:dyDescent="0.3"/>
    <row r="51067" ht="14.4" x14ac:dyDescent="0.3"/>
    <row r="51068" ht="14.4" x14ac:dyDescent="0.3"/>
    <row r="51069" ht="14.4" x14ac:dyDescent="0.3"/>
    <row r="51070" ht="14.4" x14ac:dyDescent="0.3"/>
    <row r="51071" ht="14.4" x14ac:dyDescent="0.3"/>
    <row r="51072" ht="14.4" x14ac:dyDescent="0.3"/>
    <row r="51073" ht="14.4" x14ac:dyDescent="0.3"/>
    <row r="51074" ht="14.4" x14ac:dyDescent="0.3"/>
    <row r="51075" ht="14.4" x14ac:dyDescent="0.3"/>
    <row r="51076" ht="14.4" x14ac:dyDescent="0.3"/>
    <row r="51077" ht="14.4" x14ac:dyDescent="0.3"/>
    <row r="51078" ht="14.4" x14ac:dyDescent="0.3"/>
    <row r="51079" ht="14.4" x14ac:dyDescent="0.3"/>
    <row r="51080" ht="14.4" x14ac:dyDescent="0.3"/>
    <row r="51081" ht="14.4" x14ac:dyDescent="0.3"/>
    <row r="51082" ht="14.4" x14ac:dyDescent="0.3"/>
    <row r="51083" ht="14.4" x14ac:dyDescent="0.3"/>
    <row r="51084" ht="14.4" x14ac:dyDescent="0.3"/>
    <row r="51085" ht="14.4" x14ac:dyDescent="0.3"/>
    <row r="51086" ht="14.4" x14ac:dyDescent="0.3"/>
    <row r="51087" ht="14.4" x14ac:dyDescent="0.3"/>
    <row r="51088" ht="14.4" x14ac:dyDescent="0.3"/>
    <row r="51089" ht="14.4" x14ac:dyDescent="0.3"/>
    <row r="51090" ht="14.4" x14ac:dyDescent="0.3"/>
    <row r="51091" ht="14.4" x14ac:dyDescent="0.3"/>
    <row r="51092" ht="14.4" x14ac:dyDescent="0.3"/>
    <row r="51093" ht="14.4" x14ac:dyDescent="0.3"/>
    <row r="51094" ht="14.4" x14ac:dyDescent="0.3"/>
    <row r="51095" ht="14.4" x14ac:dyDescent="0.3"/>
    <row r="51096" ht="14.4" x14ac:dyDescent="0.3"/>
    <row r="51097" ht="14.4" x14ac:dyDescent="0.3"/>
    <row r="51098" ht="14.4" x14ac:dyDescent="0.3"/>
    <row r="51099" ht="14.4" x14ac:dyDescent="0.3"/>
    <row r="51100" ht="14.4" x14ac:dyDescent="0.3"/>
    <row r="51101" ht="14.4" x14ac:dyDescent="0.3"/>
    <row r="51102" ht="14.4" x14ac:dyDescent="0.3"/>
    <row r="51103" ht="14.4" x14ac:dyDescent="0.3"/>
    <row r="51104" ht="14.4" x14ac:dyDescent="0.3"/>
    <row r="51105" ht="14.4" x14ac:dyDescent="0.3"/>
    <row r="51106" ht="14.4" x14ac:dyDescent="0.3"/>
    <row r="51107" ht="14.4" x14ac:dyDescent="0.3"/>
    <row r="51108" ht="14.4" x14ac:dyDescent="0.3"/>
    <row r="51109" ht="14.4" x14ac:dyDescent="0.3"/>
    <row r="51110" ht="14.4" x14ac:dyDescent="0.3"/>
    <row r="51111" ht="14.4" x14ac:dyDescent="0.3"/>
    <row r="51112" ht="14.4" x14ac:dyDescent="0.3"/>
    <row r="51113" ht="14.4" x14ac:dyDescent="0.3"/>
    <row r="51114" ht="14.4" x14ac:dyDescent="0.3"/>
    <row r="51115" ht="14.4" x14ac:dyDescent="0.3"/>
    <row r="51116" ht="14.4" x14ac:dyDescent="0.3"/>
    <row r="51117" ht="14.4" x14ac:dyDescent="0.3"/>
    <row r="51118" ht="14.4" x14ac:dyDescent="0.3"/>
    <row r="51119" ht="14.4" x14ac:dyDescent="0.3"/>
    <row r="51120" ht="14.4" x14ac:dyDescent="0.3"/>
    <row r="51121" ht="14.4" x14ac:dyDescent="0.3"/>
    <row r="51122" ht="14.4" x14ac:dyDescent="0.3"/>
    <row r="51123" ht="14.4" x14ac:dyDescent="0.3"/>
    <row r="51124" ht="14.4" x14ac:dyDescent="0.3"/>
    <row r="51125" ht="14.4" x14ac:dyDescent="0.3"/>
    <row r="51126" ht="14.4" x14ac:dyDescent="0.3"/>
    <row r="51127" ht="14.4" x14ac:dyDescent="0.3"/>
    <row r="51128" ht="14.4" x14ac:dyDescent="0.3"/>
    <row r="51129" ht="14.4" x14ac:dyDescent="0.3"/>
    <row r="51130" ht="14.4" x14ac:dyDescent="0.3"/>
    <row r="51131" ht="14.4" x14ac:dyDescent="0.3"/>
    <row r="51132" ht="14.4" x14ac:dyDescent="0.3"/>
    <row r="51133" ht="14.4" x14ac:dyDescent="0.3"/>
    <row r="51134" ht="14.4" x14ac:dyDescent="0.3"/>
    <row r="51135" ht="14.4" x14ac:dyDescent="0.3"/>
    <row r="51136" ht="14.4" x14ac:dyDescent="0.3"/>
    <row r="51137" ht="14.4" x14ac:dyDescent="0.3"/>
    <row r="51138" ht="14.4" x14ac:dyDescent="0.3"/>
    <row r="51139" ht="14.4" x14ac:dyDescent="0.3"/>
    <row r="51140" ht="14.4" x14ac:dyDescent="0.3"/>
    <row r="51141" ht="14.4" x14ac:dyDescent="0.3"/>
    <row r="51142" ht="14.4" x14ac:dyDescent="0.3"/>
    <row r="51143" ht="14.4" x14ac:dyDescent="0.3"/>
    <row r="51144" ht="14.4" x14ac:dyDescent="0.3"/>
    <row r="51145" ht="14.4" x14ac:dyDescent="0.3"/>
    <row r="51146" ht="14.4" x14ac:dyDescent="0.3"/>
    <row r="51147" ht="14.4" x14ac:dyDescent="0.3"/>
    <row r="51148" ht="14.4" x14ac:dyDescent="0.3"/>
    <row r="51149" ht="14.4" x14ac:dyDescent="0.3"/>
    <row r="51150" ht="14.4" x14ac:dyDescent="0.3"/>
    <row r="51151" ht="14.4" x14ac:dyDescent="0.3"/>
    <row r="51152" ht="14.4" x14ac:dyDescent="0.3"/>
    <row r="51153" ht="14.4" x14ac:dyDescent="0.3"/>
    <row r="51154" ht="14.4" x14ac:dyDescent="0.3"/>
    <row r="51155" ht="14.4" x14ac:dyDescent="0.3"/>
    <row r="51156" ht="14.4" x14ac:dyDescent="0.3"/>
    <row r="51157" ht="14.4" x14ac:dyDescent="0.3"/>
    <row r="51158" ht="14.4" x14ac:dyDescent="0.3"/>
    <row r="51159" ht="14.4" x14ac:dyDescent="0.3"/>
    <row r="51160" ht="14.4" x14ac:dyDescent="0.3"/>
    <row r="51161" ht="14.4" x14ac:dyDescent="0.3"/>
    <row r="51162" ht="14.4" x14ac:dyDescent="0.3"/>
    <row r="51163" ht="14.4" x14ac:dyDescent="0.3"/>
    <row r="51164" ht="14.4" x14ac:dyDescent="0.3"/>
    <row r="51165" ht="14.4" x14ac:dyDescent="0.3"/>
    <row r="51166" ht="14.4" x14ac:dyDescent="0.3"/>
    <row r="51167" ht="14.4" x14ac:dyDescent="0.3"/>
    <row r="51168" ht="14.4" x14ac:dyDescent="0.3"/>
    <row r="51169" ht="14.4" x14ac:dyDescent="0.3"/>
    <row r="51170" ht="14.4" x14ac:dyDescent="0.3"/>
    <row r="51171" ht="14.4" x14ac:dyDescent="0.3"/>
    <row r="51172" ht="14.4" x14ac:dyDescent="0.3"/>
    <row r="51173" ht="14.4" x14ac:dyDescent="0.3"/>
    <row r="51174" ht="14.4" x14ac:dyDescent="0.3"/>
    <row r="51175" ht="14.4" x14ac:dyDescent="0.3"/>
    <row r="51176" ht="14.4" x14ac:dyDescent="0.3"/>
    <row r="51177" ht="14.4" x14ac:dyDescent="0.3"/>
    <row r="51178" ht="14.4" x14ac:dyDescent="0.3"/>
    <row r="51179" ht="14.4" x14ac:dyDescent="0.3"/>
    <row r="51180" ht="14.4" x14ac:dyDescent="0.3"/>
    <row r="51181" ht="14.4" x14ac:dyDescent="0.3"/>
    <row r="51182" ht="14.4" x14ac:dyDescent="0.3"/>
    <row r="51183" ht="14.4" x14ac:dyDescent="0.3"/>
    <row r="51184" ht="14.4" x14ac:dyDescent="0.3"/>
    <row r="51185" ht="14.4" x14ac:dyDescent="0.3"/>
    <row r="51186" ht="14.4" x14ac:dyDescent="0.3"/>
    <row r="51187" ht="14.4" x14ac:dyDescent="0.3"/>
    <row r="51188" ht="14.4" x14ac:dyDescent="0.3"/>
    <row r="51189" ht="14.4" x14ac:dyDescent="0.3"/>
    <row r="51190" ht="14.4" x14ac:dyDescent="0.3"/>
    <row r="51191" ht="14.4" x14ac:dyDescent="0.3"/>
    <row r="51192" ht="14.4" x14ac:dyDescent="0.3"/>
    <row r="51193" ht="14.4" x14ac:dyDescent="0.3"/>
    <row r="51194" ht="14.4" x14ac:dyDescent="0.3"/>
    <row r="51195" ht="14.4" x14ac:dyDescent="0.3"/>
    <row r="51196" ht="14.4" x14ac:dyDescent="0.3"/>
    <row r="51197" ht="14.4" x14ac:dyDescent="0.3"/>
    <row r="51198" ht="14.4" x14ac:dyDescent="0.3"/>
    <row r="51199" ht="14.4" x14ac:dyDescent="0.3"/>
    <row r="51200" ht="14.4" x14ac:dyDescent="0.3"/>
    <row r="51201" ht="14.4" x14ac:dyDescent="0.3"/>
    <row r="51202" ht="14.4" x14ac:dyDescent="0.3"/>
    <row r="51203" ht="14.4" x14ac:dyDescent="0.3"/>
    <row r="51204" ht="14.4" x14ac:dyDescent="0.3"/>
    <row r="51205" ht="14.4" x14ac:dyDescent="0.3"/>
    <row r="51206" ht="14.4" x14ac:dyDescent="0.3"/>
    <row r="51207" ht="14.4" x14ac:dyDescent="0.3"/>
    <row r="51208" ht="14.4" x14ac:dyDescent="0.3"/>
    <row r="51209" ht="14.4" x14ac:dyDescent="0.3"/>
    <row r="51210" ht="14.4" x14ac:dyDescent="0.3"/>
    <row r="51211" ht="14.4" x14ac:dyDescent="0.3"/>
    <row r="51212" ht="14.4" x14ac:dyDescent="0.3"/>
    <row r="51213" ht="14.4" x14ac:dyDescent="0.3"/>
    <row r="51214" ht="14.4" x14ac:dyDescent="0.3"/>
    <row r="51215" ht="14.4" x14ac:dyDescent="0.3"/>
    <row r="51216" ht="14.4" x14ac:dyDescent="0.3"/>
    <row r="51217" ht="14.4" x14ac:dyDescent="0.3"/>
    <row r="51218" ht="14.4" x14ac:dyDescent="0.3"/>
    <row r="51219" ht="14.4" x14ac:dyDescent="0.3"/>
    <row r="51220" ht="14.4" x14ac:dyDescent="0.3"/>
    <row r="51221" ht="14.4" x14ac:dyDescent="0.3"/>
    <row r="51222" ht="14.4" x14ac:dyDescent="0.3"/>
    <row r="51223" ht="14.4" x14ac:dyDescent="0.3"/>
    <row r="51224" ht="14.4" x14ac:dyDescent="0.3"/>
    <row r="51225" ht="14.4" x14ac:dyDescent="0.3"/>
    <row r="51226" ht="14.4" x14ac:dyDescent="0.3"/>
    <row r="51227" ht="14.4" x14ac:dyDescent="0.3"/>
    <row r="51228" ht="14.4" x14ac:dyDescent="0.3"/>
    <row r="51229" ht="14.4" x14ac:dyDescent="0.3"/>
    <row r="51230" ht="14.4" x14ac:dyDescent="0.3"/>
    <row r="51231" ht="14.4" x14ac:dyDescent="0.3"/>
    <row r="51232" ht="14.4" x14ac:dyDescent="0.3"/>
    <row r="51233" ht="14.4" x14ac:dyDescent="0.3"/>
    <row r="51234" ht="14.4" x14ac:dyDescent="0.3"/>
    <row r="51235" ht="14.4" x14ac:dyDescent="0.3"/>
    <row r="51236" ht="14.4" x14ac:dyDescent="0.3"/>
    <row r="51237" ht="14.4" x14ac:dyDescent="0.3"/>
    <row r="51238" ht="14.4" x14ac:dyDescent="0.3"/>
    <row r="51239" ht="14.4" x14ac:dyDescent="0.3"/>
    <row r="51240" ht="14.4" x14ac:dyDescent="0.3"/>
    <row r="51241" ht="14.4" x14ac:dyDescent="0.3"/>
    <row r="51242" ht="14.4" x14ac:dyDescent="0.3"/>
    <row r="51243" ht="14.4" x14ac:dyDescent="0.3"/>
    <row r="51244" ht="14.4" x14ac:dyDescent="0.3"/>
    <row r="51245" ht="14.4" x14ac:dyDescent="0.3"/>
    <row r="51246" ht="14.4" x14ac:dyDescent="0.3"/>
    <row r="51247" ht="14.4" x14ac:dyDescent="0.3"/>
    <row r="51248" ht="14.4" x14ac:dyDescent="0.3"/>
    <row r="51249" ht="14.4" x14ac:dyDescent="0.3"/>
    <row r="51250" ht="14.4" x14ac:dyDescent="0.3"/>
    <row r="51251" ht="14.4" x14ac:dyDescent="0.3"/>
    <row r="51252" ht="14.4" x14ac:dyDescent="0.3"/>
    <row r="51253" ht="14.4" x14ac:dyDescent="0.3"/>
    <row r="51254" ht="14.4" x14ac:dyDescent="0.3"/>
    <row r="51255" ht="14.4" x14ac:dyDescent="0.3"/>
    <row r="51256" ht="14.4" x14ac:dyDescent="0.3"/>
    <row r="51257" ht="14.4" x14ac:dyDescent="0.3"/>
    <row r="51258" ht="14.4" x14ac:dyDescent="0.3"/>
    <row r="51259" ht="14.4" x14ac:dyDescent="0.3"/>
    <row r="51260" ht="14.4" x14ac:dyDescent="0.3"/>
    <row r="51261" ht="14.4" x14ac:dyDescent="0.3"/>
    <row r="51262" ht="14.4" x14ac:dyDescent="0.3"/>
    <row r="51263" ht="14.4" x14ac:dyDescent="0.3"/>
    <row r="51264" ht="14.4" x14ac:dyDescent="0.3"/>
    <row r="51265" ht="14.4" x14ac:dyDescent="0.3"/>
    <row r="51266" ht="14.4" x14ac:dyDescent="0.3"/>
    <row r="51267" ht="14.4" x14ac:dyDescent="0.3"/>
    <row r="51268" ht="14.4" x14ac:dyDescent="0.3"/>
    <row r="51269" ht="14.4" x14ac:dyDescent="0.3"/>
    <row r="51270" ht="14.4" x14ac:dyDescent="0.3"/>
    <row r="51271" ht="14.4" x14ac:dyDescent="0.3"/>
    <row r="51272" ht="14.4" x14ac:dyDescent="0.3"/>
    <row r="51273" ht="14.4" x14ac:dyDescent="0.3"/>
    <row r="51274" ht="14.4" x14ac:dyDescent="0.3"/>
    <row r="51275" ht="14.4" x14ac:dyDescent="0.3"/>
    <row r="51276" ht="14.4" x14ac:dyDescent="0.3"/>
    <row r="51277" ht="14.4" x14ac:dyDescent="0.3"/>
    <row r="51278" ht="14.4" x14ac:dyDescent="0.3"/>
    <row r="51279" ht="14.4" x14ac:dyDescent="0.3"/>
    <row r="51280" ht="14.4" x14ac:dyDescent="0.3"/>
    <row r="51281" ht="14.4" x14ac:dyDescent="0.3"/>
    <row r="51282" ht="14.4" x14ac:dyDescent="0.3"/>
    <row r="51283" ht="14.4" x14ac:dyDescent="0.3"/>
    <row r="51284" ht="14.4" x14ac:dyDescent="0.3"/>
    <row r="51285" ht="14.4" x14ac:dyDescent="0.3"/>
    <row r="51286" ht="14.4" x14ac:dyDescent="0.3"/>
    <row r="51287" ht="14.4" x14ac:dyDescent="0.3"/>
    <row r="51288" ht="14.4" x14ac:dyDescent="0.3"/>
    <row r="51289" ht="14.4" x14ac:dyDescent="0.3"/>
    <row r="51290" ht="14.4" x14ac:dyDescent="0.3"/>
    <row r="51291" ht="14.4" x14ac:dyDescent="0.3"/>
    <row r="51292" ht="14.4" x14ac:dyDescent="0.3"/>
    <row r="51293" ht="14.4" x14ac:dyDescent="0.3"/>
    <row r="51294" ht="14.4" x14ac:dyDescent="0.3"/>
    <row r="51295" ht="14.4" x14ac:dyDescent="0.3"/>
    <row r="51296" ht="14.4" x14ac:dyDescent="0.3"/>
    <row r="51297" ht="14.4" x14ac:dyDescent="0.3"/>
    <row r="51298" ht="14.4" x14ac:dyDescent="0.3"/>
    <row r="51299" ht="14.4" x14ac:dyDescent="0.3"/>
    <row r="51300" ht="14.4" x14ac:dyDescent="0.3"/>
    <row r="51301" ht="14.4" x14ac:dyDescent="0.3"/>
    <row r="51302" ht="14.4" x14ac:dyDescent="0.3"/>
    <row r="51303" ht="14.4" x14ac:dyDescent="0.3"/>
    <row r="51304" ht="14.4" x14ac:dyDescent="0.3"/>
    <row r="51305" ht="14.4" x14ac:dyDescent="0.3"/>
    <row r="51306" ht="14.4" x14ac:dyDescent="0.3"/>
    <row r="51307" ht="14.4" x14ac:dyDescent="0.3"/>
    <row r="51308" ht="14.4" x14ac:dyDescent="0.3"/>
    <row r="51309" ht="14.4" x14ac:dyDescent="0.3"/>
    <row r="51310" ht="14.4" x14ac:dyDescent="0.3"/>
    <row r="51311" ht="14.4" x14ac:dyDescent="0.3"/>
    <row r="51312" ht="14.4" x14ac:dyDescent="0.3"/>
    <row r="51313" ht="14.4" x14ac:dyDescent="0.3"/>
    <row r="51314" ht="14.4" x14ac:dyDescent="0.3"/>
    <row r="51315" ht="14.4" x14ac:dyDescent="0.3"/>
    <row r="51316" ht="14.4" x14ac:dyDescent="0.3"/>
    <row r="51317" ht="14.4" x14ac:dyDescent="0.3"/>
    <row r="51318" ht="14.4" x14ac:dyDescent="0.3"/>
    <row r="51319" ht="14.4" x14ac:dyDescent="0.3"/>
    <row r="51320" ht="14.4" x14ac:dyDescent="0.3"/>
    <row r="51321" ht="14.4" x14ac:dyDescent="0.3"/>
    <row r="51322" ht="14.4" x14ac:dyDescent="0.3"/>
    <row r="51323" ht="14.4" x14ac:dyDescent="0.3"/>
    <row r="51324" ht="14.4" x14ac:dyDescent="0.3"/>
    <row r="51325" ht="14.4" x14ac:dyDescent="0.3"/>
    <row r="51326" ht="14.4" x14ac:dyDescent="0.3"/>
    <row r="51327" ht="14.4" x14ac:dyDescent="0.3"/>
    <row r="51328" ht="14.4" x14ac:dyDescent="0.3"/>
    <row r="51329" ht="14.4" x14ac:dyDescent="0.3"/>
    <row r="51330" ht="14.4" x14ac:dyDescent="0.3"/>
    <row r="51331" ht="14.4" x14ac:dyDescent="0.3"/>
    <row r="51332" ht="14.4" x14ac:dyDescent="0.3"/>
    <row r="51333" ht="14.4" x14ac:dyDescent="0.3"/>
    <row r="51334" ht="14.4" x14ac:dyDescent="0.3"/>
    <row r="51335" ht="14.4" x14ac:dyDescent="0.3"/>
    <row r="51336" ht="14.4" x14ac:dyDescent="0.3"/>
    <row r="51337" ht="14.4" x14ac:dyDescent="0.3"/>
    <row r="51338" ht="14.4" x14ac:dyDescent="0.3"/>
    <row r="51339" ht="14.4" x14ac:dyDescent="0.3"/>
    <row r="51340" ht="14.4" x14ac:dyDescent="0.3"/>
    <row r="51341" ht="14.4" x14ac:dyDescent="0.3"/>
    <row r="51342" ht="14.4" x14ac:dyDescent="0.3"/>
    <row r="51343" ht="14.4" x14ac:dyDescent="0.3"/>
    <row r="51344" ht="14.4" x14ac:dyDescent="0.3"/>
    <row r="51345" ht="14.4" x14ac:dyDescent="0.3"/>
    <row r="51346" ht="14.4" x14ac:dyDescent="0.3"/>
    <row r="51347" ht="14.4" x14ac:dyDescent="0.3"/>
    <row r="51348" ht="14.4" x14ac:dyDescent="0.3"/>
    <row r="51349" ht="14.4" x14ac:dyDescent="0.3"/>
    <row r="51350" ht="14.4" x14ac:dyDescent="0.3"/>
    <row r="51351" ht="14.4" x14ac:dyDescent="0.3"/>
    <row r="51352" ht="14.4" x14ac:dyDescent="0.3"/>
    <row r="51353" ht="14.4" x14ac:dyDescent="0.3"/>
    <row r="51354" ht="14.4" x14ac:dyDescent="0.3"/>
    <row r="51355" ht="14.4" x14ac:dyDescent="0.3"/>
    <row r="51356" ht="14.4" x14ac:dyDescent="0.3"/>
    <row r="51357" ht="14.4" x14ac:dyDescent="0.3"/>
    <row r="51358" ht="14.4" x14ac:dyDescent="0.3"/>
    <row r="51359" ht="14.4" x14ac:dyDescent="0.3"/>
    <row r="51360" ht="14.4" x14ac:dyDescent="0.3"/>
    <row r="51361" ht="14.4" x14ac:dyDescent="0.3"/>
    <row r="51362" ht="14.4" x14ac:dyDescent="0.3"/>
    <row r="51363" ht="14.4" x14ac:dyDescent="0.3"/>
    <row r="51364" ht="14.4" x14ac:dyDescent="0.3"/>
    <row r="51365" ht="14.4" x14ac:dyDescent="0.3"/>
    <row r="51366" ht="14.4" x14ac:dyDescent="0.3"/>
    <row r="51367" ht="14.4" x14ac:dyDescent="0.3"/>
    <row r="51368" ht="14.4" x14ac:dyDescent="0.3"/>
    <row r="51369" ht="14.4" x14ac:dyDescent="0.3"/>
    <row r="51370" ht="14.4" x14ac:dyDescent="0.3"/>
    <row r="51371" ht="14.4" x14ac:dyDescent="0.3"/>
    <row r="51372" ht="14.4" x14ac:dyDescent="0.3"/>
    <row r="51373" ht="14.4" x14ac:dyDescent="0.3"/>
    <row r="51374" ht="14.4" x14ac:dyDescent="0.3"/>
    <row r="51375" ht="14.4" x14ac:dyDescent="0.3"/>
    <row r="51376" ht="14.4" x14ac:dyDescent="0.3"/>
    <row r="51377" ht="14.4" x14ac:dyDescent="0.3"/>
    <row r="51378" ht="14.4" x14ac:dyDescent="0.3"/>
    <row r="51379" ht="14.4" x14ac:dyDescent="0.3"/>
    <row r="51380" ht="14.4" x14ac:dyDescent="0.3"/>
    <row r="51381" ht="14.4" x14ac:dyDescent="0.3"/>
    <row r="51382" ht="14.4" x14ac:dyDescent="0.3"/>
    <row r="51383" ht="14.4" x14ac:dyDescent="0.3"/>
    <row r="51384" ht="14.4" x14ac:dyDescent="0.3"/>
    <row r="51385" ht="14.4" x14ac:dyDescent="0.3"/>
    <row r="51386" ht="14.4" x14ac:dyDescent="0.3"/>
    <row r="51387" ht="14.4" x14ac:dyDescent="0.3"/>
    <row r="51388" ht="14.4" x14ac:dyDescent="0.3"/>
    <row r="51389" ht="14.4" x14ac:dyDescent="0.3"/>
    <row r="51390" ht="14.4" x14ac:dyDescent="0.3"/>
    <row r="51391" ht="14.4" x14ac:dyDescent="0.3"/>
    <row r="51392" ht="14.4" x14ac:dyDescent="0.3"/>
    <row r="51393" ht="14.4" x14ac:dyDescent="0.3"/>
    <row r="51394" ht="14.4" x14ac:dyDescent="0.3"/>
    <row r="51395" ht="14.4" x14ac:dyDescent="0.3"/>
    <row r="51396" ht="14.4" x14ac:dyDescent="0.3"/>
    <row r="51397" ht="14.4" x14ac:dyDescent="0.3"/>
    <row r="51398" ht="14.4" x14ac:dyDescent="0.3"/>
    <row r="51399" ht="14.4" x14ac:dyDescent="0.3"/>
    <row r="51400" ht="14.4" x14ac:dyDescent="0.3"/>
    <row r="51401" ht="14.4" x14ac:dyDescent="0.3"/>
    <row r="51402" ht="14.4" x14ac:dyDescent="0.3"/>
    <row r="51403" ht="14.4" x14ac:dyDescent="0.3"/>
    <row r="51404" ht="14.4" x14ac:dyDescent="0.3"/>
    <row r="51405" ht="14.4" x14ac:dyDescent="0.3"/>
    <row r="51406" ht="14.4" x14ac:dyDescent="0.3"/>
    <row r="51407" ht="14.4" x14ac:dyDescent="0.3"/>
    <row r="51408" ht="14.4" x14ac:dyDescent="0.3"/>
    <row r="51409" ht="14.4" x14ac:dyDescent="0.3"/>
    <row r="51410" ht="14.4" x14ac:dyDescent="0.3"/>
    <row r="51411" ht="14.4" x14ac:dyDescent="0.3"/>
    <row r="51412" ht="14.4" x14ac:dyDescent="0.3"/>
    <row r="51413" ht="14.4" x14ac:dyDescent="0.3"/>
    <row r="51414" ht="14.4" x14ac:dyDescent="0.3"/>
    <row r="51415" ht="14.4" x14ac:dyDescent="0.3"/>
    <row r="51416" ht="14.4" x14ac:dyDescent="0.3"/>
    <row r="51417" ht="14.4" x14ac:dyDescent="0.3"/>
    <row r="51418" ht="14.4" x14ac:dyDescent="0.3"/>
    <row r="51419" ht="14.4" x14ac:dyDescent="0.3"/>
    <row r="51420" ht="14.4" x14ac:dyDescent="0.3"/>
    <row r="51421" ht="14.4" x14ac:dyDescent="0.3"/>
    <row r="51422" ht="14.4" x14ac:dyDescent="0.3"/>
    <row r="51423" ht="14.4" x14ac:dyDescent="0.3"/>
    <row r="51424" ht="14.4" x14ac:dyDescent="0.3"/>
    <row r="51425" ht="14.4" x14ac:dyDescent="0.3"/>
    <row r="51426" ht="14.4" x14ac:dyDescent="0.3"/>
    <row r="51427" ht="14.4" x14ac:dyDescent="0.3"/>
    <row r="51428" ht="14.4" x14ac:dyDescent="0.3"/>
    <row r="51429" ht="14.4" x14ac:dyDescent="0.3"/>
    <row r="51430" ht="14.4" x14ac:dyDescent="0.3"/>
    <row r="51431" ht="14.4" x14ac:dyDescent="0.3"/>
    <row r="51432" ht="14.4" x14ac:dyDescent="0.3"/>
    <row r="51433" ht="14.4" x14ac:dyDescent="0.3"/>
    <row r="51434" ht="14.4" x14ac:dyDescent="0.3"/>
    <row r="51435" ht="14.4" x14ac:dyDescent="0.3"/>
    <row r="51436" ht="14.4" x14ac:dyDescent="0.3"/>
    <row r="51437" ht="14.4" x14ac:dyDescent="0.3"/>
    <row r="51438" ht="14.4" x14ac:dyDescent="0.3"/>
    <row r="51439" ht="14.4" x14ac:dyDescent="0.3"/>
    <row r="51440" ht="14.4" x14ac:dyDescent="0.3"/>
    <row r="51441" ht="14.4" x14ac:dyDescent="0.3"/>
    <row r="51442" ht="14.4" x14ac:dyDescent="0.3"/>
    <row r="51443" ht="14.4" x14ac:dyDescent="0.3"/>
    <row r="51444" ht="14.4" x14ac:dyDescent="0.3"/>
    <row r="51445" ht="14.4" x14ac:dyDescent="0.3"/>
    <row r="51446" ht="14.4" x14ac:dyDescent="0.3"/>
    <row r="51447" ht="14.4" x14ac:dyDescent="0.3"/>
    <row r="51448" ht="14.4" x14ac:dyDescent="0.3"/>
    <row r="51449" ht="14.4" x14ac:dyDescent="0.3"/>
    <row r="51450" ht="14.4" x14ac:dyDescent="0.3"/>
    <row r="51451" ht="14.4" x14ac:dyDescent="0.3"/>
    <row r="51452" ht="14.4" x14ac:dyDescent="0.3"/>
    <row r="51453" ht="14.4" x14ac:dyDescent="0.3"/>
    <row r="51454" ht="14.4" x14ac:dyDescent="0.3"/>
    <row r="51455" ht="14.4" x14ac:dyDescent="0.3"/>
    <row r="51456" ht="14.4" x14ac:dyDescent="0.3"/>
    <row r="51457" ht="14.4" x14ac:dyDescent="0.3"/>
    <row r="51458" ht="14.4" x14ac:dyDescent="0.3"/>
    <row r="51459" ht="14.4" x14ac:dyDescent="0.3"/>
    <row r="51460" ht="14.4" x14ac:dyDescent="0.3"/>
    <row r="51461" ht="14.4" x14ac:dyDescent="0.3"/>
    <row r="51462" ht="14.4" x14ac:dyDescent="0.3"/>
    <row r="51463" ht="14.4" x14ac:dyDescent="0.3"/>
    <row r="51464" ht="14.4" x14ac:dyDescent="0.3"/>
    <row r="51465" ht="14.4" x14ac:dyDescent="0.3"/>
    <row r="51466" ht="14.4" x14ac:dyDescent="0.3"/>
    <row r="51467" ht="14.4" x14ac:dyDescent="0.3"/>
    <row r="51468" ht="14.4" x14ac:dyDescent="0.3"/>
    <row r="51469" ht="14.4" x14ac:dyDescent="0.3"/>
    <row r="51470" ht="14.4" x14ac:dyDescent="0.3"/>
    <row r="51471" ht="14.4" x14ac:dyDescent="0.3"/>
    <row r="51472" ht="14.4" x14ac:dyDescent="0.3"/>
    <row r="51473" ht="14.4" x14ac:dyDescent="0.3"/>
    <row r="51474" ht="14.4" x14ac:dyDescent="0.3"/>
    <row r="51475" ht="14.4" x14ac:dyDescent="0.3"/>
    <row r="51476" ht="14.4" x14ac:dyDescent="0.3"/>
    <row r="51477" ht="14.4" x14ac:dyDescent="0.3"/>
    <row r="51478" ht="14.4" x14ac:dyDescent="0.3"/>
    <row r="51479" ht="14.4" x14ac:dyDescent="0.3"/>
    <row r="51480" ht="14.4" x14ac:dyDescent="0.3"/>
    <row r="51481" ht="14.4" x14ac:dyDescent="0.3"/>
    <row r="51482" ht="14.4" x14ac:dyDescent="0.3"/>
    <row r="51483" ht="14.4" x14ac:dyDescent="0.3"/>
    <row r="51484" ht="14.4" x14ac:dyDescent="0.3"/>
    <row r="51485" ht="14.4" x14ac:dyDescent="0.3"/>
    <row r="51486" ht="14.4" x14ac:dyDescent="0.3"/>
    <row r="51487" ht="14.4" x14ac:dyDescent="0.3"/>
    <row r="51488" ht="14.4" x14ac:dyDescent="0.3"/>
    <row r="51489" ht="14.4" x14ac:dyDescent="0.3"/>
    <row r="51490" ht="14.4" x14ac:dyDescent="0.3"/>
    <row r="51491" ht="14.4" x14ac:dyDescent="0.3"/>
    <row r="51492" ht="14.4" x14ac:dyDescent="0.3"/>
    <row r="51493" ht="14.4" x14ac:dyDescent="0.3"/>
    <row r="51494" ht="14.4" x14ac:dyDescent="0.3"/>
    <row r="51495" ht="14.4" x14ac:dyDescent="0.3"/>
    <row r="51496" ht="14.4" x14ac:dyDescent="0.3"/>
    <row r="51497" ht="14.4" x14ac:dyDescent="0.3"/>
    <row r="51498" ht="14.4" x14ac:dyDescent="0.3"/>
    <row r="51499" ht="14.4" x14ac:dyDescent="0.3"/>
    <row r="51500" ht="14.4" x14ac:dyDescent="0.3"/>
    <row r="51501" ht="14.4" x14ac:dyDescent="0.3"/>
    <row r="51502" ht="14.4" x14ac:dyDescent="0.3"/>
    <row r="51503" ht="14.4" x14ac:dyDescent="0.3"/>
    <row r="51504" ht="14.4" x14ac:dyDescent="0.3"/>
    <row r="51505" ht="14.4" x14ac:dyDescent="0.3"/>
    <row r="51506" ht="14.4" x14ac:dyDescent="0.3"/>
    <row r="51507" ht="14.4" x14ac:dyDescent="0.3"/>
    <row r="51508" ht="14.4" x14ac:dyDescent="0.3"/>
    <row r="51509" ht="14.4" x14ac:dyDescent="0.3"/>
    <row r="51510" ht="14.4" x14ac:dyDescent="0.3"/>
    <row r="51511" ht="14.4" x14ac:dyDescent="0.3"/>
    <row r="51512" ht="14.4" x14ac:dyDescent="0.3"/>
    <row r="51513" ht="14.4" x14ac:dyDescent="0.3"/>
    <row r="51514" ht="14.4" x14ac:dyDescent="0.3"/>
    <row r="51515" ht="14.4" x14ac:dyDescent="0.3"/>
    <row r="51516" ht="14.4" x14ac:dyDescent="0.3"/>
    <row r="51517" ht="14.4" x14ac:dyDescent="0.3"/>
    <row r="51518" ht="14.4" x14ac:dyDescent="0.3"/>
    <row r="51519" ht="14.4" x14ac:dyDescent="0.3"/>
    <row r="51520" ht="14.4" x14ac:dyDescent="0.3"/>
    <row r="51521" ht="14.4" x14ac:dyDescent="0.3"/>
    <row r="51522" ht="14.4" x14ac:dyDescent="0.3"/>
    <row r="51523" ht="14.4" x14ac:dyDescent="0.3"/>
    <row r="51524" ht="14.4" x14ac:dyDescent="0.3"/>
    <row r="51525" ht="14.4" x14ac:dyDescent="0.3"/>
    <row r="51526" ht="14.4" x14ac:dyDescent="0.3"/>
    <row r="51527" ht="14.4" x14ac:dyDescent="0.3"/>
    <row r="51528" ht="14.4" x14ac:dyDescent="0.3"/>
    <row r="51529" ht="14.4" x14ac:dyDescent="0.3"/>
    <row r="51530" ht="14.4" x14ac:dyDescent="0.3"/>
    <row r="51531" ht="14.4" x14ac:dyDescent="0.3"/>
    <row r="51532" ht="14.4" x14ac:dyDescent="0.3"/>
    <row r="51533" ht="14.4" x14ac:dyDescent="0.3"/>
    <row r="51534" ht="14.4" x14ac:dyDescent="0.3"/>
    <row r="51535" ht="14.4" x14ac:dyDescent="0.3"/>
    <row r="51536" ht="14.4" x14ac:dyDescent="0.3"/>
    <row r="51537" ht="14.4" x14ac:dyDescent="0.3"/>
    <row r="51538" ht="14.4" x14ac:dyDescent="0.3"/>
    <row r="51539" ht="14.4" x14ac:dyDescent="0.3"/>
    <row r="51540" ht="14.4" x14ac:dyDescent="0.3"/>
    <row r="51541" ht="14.4" x14ac:dyDescent="0.3"/>
    <row r="51542" ht="14.4" x14ac:dyDescent="0.3"/>
    <row r="51543" ht="14.4" x14ac:dyDescent="0.3"/>
    <row r="51544" ht="14.4" x14ac:dyDescent="0.3"/>
    <row r="51545" ht="14.4" x14ac:dyDescent="0.3"/>
    <row r="51546" ht="14.4" x14ac:dyDescent="0.3"/>
    <row r="51547" ht="14.4" x14ac:dyDescent="0.3"/>
    <row r="51548" ht="14.4" x14ac:dyDescent="0.3"/>
    <row r="51549" ht="14.4" x14ac:dyDescent="0.3"/>
    <row r="51550" ht="14.4" x14ac:dyDescent="0.3"/>
    <row r="51551" ht="14.4" x14ac:dyDescent="0.3"/>
    <row r="51552" ht="14.4" x14ac:dyDescent="0.3"/>
    <row r="51553" spans="1:43" ht="14.4" hidden="1" x14ac:dyDescent="0.3">
      <c r="A51553" t="s">
        <v>5968</v>
      </c>
      <c r="B51553">
        <v>4901960</v>
      </c>
      <c r="C51553" t="s">
        <v>968</v>
      </c>
      <c r="D51553" t="s">
        <v>990</v>
      </c>
      <c r="E51553" t="s">
        <v>991</v>
      </c>
      <c r="F51553" t="s">
        <v>992</v>
      </c>
      <c r="H51553" t="s">
        <v>1374</v>
      </c>
      <c r="J51553" t="s">
        <v>140</v>
      </c>
      <c r="K51553">
        <v>162790.48000000001</v>
      </c>
      <c r="L51553">
        <v>381180.62</v>
      </c>
      <c r="M51553">
        <v>1</v>
      </c>
      <c r="N51553" t="s">
        <v>2123</v>
      </c>
      <c r="O51553" t="s">
        <v>652</v>
      </c>
      <c r="P51553" t="s">
        <v>778</v>
      </c>
      <c r="Q51553" t="s">
        <v>144</v>
      </c>
      <c r="S51553">
        <v>28</v>
      </c>
      <c r="T51553">
        <v>1512</v>
      </c>
      <c r="V51553" t="s">
        <v>146</v>
      </c>
      <c r="W51553" t="s">
        <v>184</v>
      </c>
      <c r="X51553" t="s">
        <v>7</v>
      </c>
      <c r="Y51553" t="s">
        <v>2124</v>
      </c>
      <c r="Z51553" t="s">
        <v>652</v>
      </c>
      <c r="AA51553" t="s">
        <v>3737</v>
      </c>
      <c r="AB51553">
        <v>0</v>
      </c>
      <c r="AE51553" t="s">
        <v>1460</v>
      </c>
      <c r="AF51553" t="s">
        <v>529</v>
      </c>
      <c r="AG51553" t="s">
        <v>566</v>
      </c>
      <c r="AL51553" t="s">
        <v>5969</v>
      </c>
      <c r="AM51553" t="s">
        <v>5970</v>
      </c>
      <c r="AN51553" t="s">
        <v>5971</v>
      </c>
      <c r="AO51553" t="s">
        <v>2123</v>
      </c>
      <c r="AQ51553">
        <f>IF(ISBLANK(AP51553), IFERROR(IF(VLOOKUP(AO51553, Ellens_additions!$A$2:$B$252, 2, FALSE) = "", "", VLOOKUP(AO51553, Ellens_additions!$A$2:$B$252, 2, FALSE)), 0), AP51553)</f>
        <v>0</v>
      </c>
    </row>
    <row r="51554" spans="1:43" ht="14.4" x14ac:dyDescent="0.3"/>
    <row r="51555" spans="1:43" ht="14.4" x14ac:dyDescent="0.3"/>
    <row r="51556" spans="1:43" ht="14.4" x14ac:dyDescent="0.3"/>
    <row r="51557" spans="1:43" ht="14.4" x14ac:dyDescent="0.3"/>
    <row r="51558" spans="1:43" ht="14.4" x14ac:dyDescent="0.3"/>
    <row r="51559" spans="1:43" ht="14.4" x14ac:dyDescent="0.3"/>
    <row r="51560" spans="1:43" ht="14.4" x14ac:dyDescent="0.3"/>
    <row r="51561" spans="1:43" ht="14.4" x14ac:dyDescent="0.3"/>
    <row r="51562" spans="1:43" ht="14.4" x14ac:dyDescent="0.3"/>
    <row r="51563" spans="1:43" ht="14.4" x14ac:dyDescent="0.3"/>
    <row r="51564" spans="1:43" ht="14.4" x14ac:dyDescent="0.3"/>
    <row r="51565" spans="1:43" ht="14.4" x14ac:dyDescent="0.3"/>
    <row r="51566" spans="1:43" ht="14.4" x14ac:dyDescent="0.3"/>
    <row r="51567" spans="1:43" ht="14.4" x14ac:dyDescent="0.3"/>
    <row r="51568" spans="1:43" ht="14.4" x14ac:dyDescent="0.3"/>
    <row r="51569" ht="14.4" x14ac:dyDescent="0.3"/>
    <row r="51570" ht="14.4" x14ac:dyDescent="0.3"/>
    <row r="51571" ht="14.4" x14ac:dyDescent="0.3"/>
    <row r="51572" ht="14.4" x14ac:dyDescent="0.3"/>
    <row r="51573" ht="14.4" x14ac:dyDescent="0.3"/>
    <row r="51574" ht="14.4" x14ac:dyDescent="0.3"/>
    <row r="51575" ht="14.4" x14ac:dyDescent="0.3"/>
    <row r="51576" ht="14.4" x14ac:dyDescent="0.3"/>
    <row r="51577" ht="14.4" x14ac:dyDescent="0.3"/>
    <row r="51578" ht="14.4" x14ac:dyDescent="0.3"/>
    <row r="51579" ht="14.4" x14ac:dyDescent="0.3"/>
    <row r="51580" ht="14.4" x14ac:dyDescent="0.3"/>
    <row r="51581" ht="14.4" x14ac:dyDescent="0.3"/>
    <row r="51582" ht="14.4" x14ac:dyDescent="0.3"/>
    <row r="51583" ht="14.4" x14ac:dyDescent="0.3"/>
    <row r="51584" ht="14.4" x14ac:dyDescent="0.3"/>
    <row r="51585" ht="14.4" x14ac:dyDescent="0.3"/>
    <row r="51586" ht="14.4" x14ac:dyDescent="0.3"/>
    <row r="51587" ht="14.4" x14ac:dyDescent="0.3"/>
    <row r="51588" ht="14.4" x14ac:dyDescent="0.3"/>
    <row r="51589" ht="14.4" x14ac:dyDescent="0.3"/>
    <row r="51590" ht="14.4" x14ac:dyDescent="0.3"/>
    <row r="51591" ht="14.4" x14ac:dyDescent="0.3"/>
    <row r="51592" ht="14.4" x14ac:dyDescent="0.3"/>
    <row r="51593" ht="14.4" x14ac:dyDescent="0.3"/>
    <row r="51594" ht="14.4" x14ac:dyDescent="0.3"/>
    <row r="51595" ht="14.4" x14ac:dyDescent="0.3"/>
    <row r="51596" ht="14.4" x14ac:dyDescent="0.3"/>
    <row r="51597" ht="14.4" x14ac:dyDescent="0.3"/>
    <row r="51598" ht="14.4" x14ac:dyDescent="0.3"/>
    <row r="51599" ht="14.4" x14ac:dyDescent="0.3"/>
    <row r="51600" ht="14.4" x14ac:dyDescent="0.3"/>
    <row r="51601" ht="14.4" x14ac:dyDescent="0.3"/>
    <row r="51602" ht="14.4" x14ac:dyDescent="0.3"/>
    <row r="51603" ht="14.4" x14ac:dyDescent="0.3"/>
    <row r="51604" ht="14.4" x14ac:dyDescent="0.3"/>
    <row r="51605" ht="14.4" x14ac:dyDescent="0.3"/>
    <row r="51606" ht="14.4" x14ac:dyDescent="0.3"/>
    <row r="51607" ht="14.4" x14ac:dyDescent="0.3"/>
    <row r="51608" ht="14.4" x14ac:dyDescent="0.3"/>
    <row r="51609" ht="14.4" x14ac:dyDescent="0.3"/>
    <row r="51610" ht="14.4" x14ac:dyDescent="0.3"/>
    <row r="51611" ht="14.4" x14ac:dyDescent="0.3"/>
    <row r="51612" ht="14.4" x14ac:dyDescent="0.3"/>
    <row r="51613" ht="14.4" x14ac:dyDescent="0.3"/>
    <row r="51614" ht="14.4" x14ac:dyDescent="0.3"/>
    <row r="51615" ht="14.4" x14ac:dyDescent="0.3"/>
    <row r="51616" ht="14.4" x14ac:dyDescent="0.3"/>
    <row r="51617" ht="14.4" x14ac:dyDescent="0.3"/>
    <row r="51618" ht="14.4" x14ac:dyDescent="0.3"/>
    <row r="51619" ht="14.4" x14ac:dyDescent="0.3"/>
    <row r="51620" ht="14.4" x14ac:dyDescent="0.3"/>
    <row r="51621" ht="14.4" x14ac:dyDescent="0.3"/>
    <row r="51622" ht="14.4" x14ac:dyDescent="0.3"/>
    <row r="51623" ht="14.4" x14ac:dyDescent="0.3"/>
    <row r="51624" ht="14.4" x14ac:dyDescent="0.3"/>
    <row r="51625" ht="14.4" x14ac:dyDescent="0.3"/>
    <row r="51626" ht="14.4" x14ac:dyDescent="0.3"/>
    <row r="51627" ht="14.4" x14ac:dyDescent="0.3"/>
    <row r="51628" ht="14.4" x14ac:dyDescent="0.3"/>
    <row r="51629" ht="14.4" x14ac:dyDescent="0.3"/>
    <row r="51630" ht="14.4" x14ac:dyDescent="0.3"/>
    <row r="51631" ht="14.4" x14ac:dyDescent="0.3"/>
    <row r="51632" ht="14.4" x14ac:dyDescent="0.3"/>
    <row r="51633" ht="14.4" x14ac:dyDescent="0.3"/>
    <row r="51634" ht="14.4" x14ac:dyDescent="0.3"/>
    <row r="51635" ht="14.4" x14ac:dyDescent="0.3"/>
    <row r="51636" ht="14.4" x14ac:dyDescent="0.3"/>
    <row r="51637" ht="14.4" x14ac:dyDescent="0.3"/>
    <row r="51638" ht="14.4" x14ac:dyDescent="0.3"/>
    <row r="51639" ht="14.4" x14ac:dyDescent="0.3"/>
    <row r="51640" ht="14.4" x14ac:dyDescent="0.3"/>
    <row r="51641" ht="14.4" x14ac:dyDescent="0.3"/>
    <row r="51642" ht="14.4" x14ac:dyDescent="0.3"/>
    <row r="51643" ht="14.4" x14ac:dyDescent="0.3"/>
    <row r="51644" ht="14.4" x14ac:dyDescent="0.3"/>
    <row r="51645" ht="14.4" x14ac:dyDescent="0.3"/>
    <row r="51646" ht="14.4" x14ac:dyDescent="0.3"/>
    <row r="51647" ht="14.4" x14ac:dyDescent="0.3"/>
    <row r="51648" ht="14.4" x14ac:dyDescent="0.3"/>
    <row r="51649" spans="1:43" ht="14.4" x14ac:dyDescent="0.3"/>
    <row r="51650" spans="1:43" ht="14.4" x14ac:dyDescent="0.3"/>
    <row r="51651" spans="1:43" ht="14.4" x14ac:dyDescent="0.3"/>
    <row r="51652" spans="1:43" ht="14.4" hidden="1" x14ac:dyDescent="0.3">
      <c r="A51652" t="s">
        <v>5972</v>
      </c>
      <c r="B51652">
        <v>4902243</v>
      </c>
      <c r="C51652" t="s">
        <v>968</v>
      </c>
      <c r="D51652" t="s">
        <v>990</v>
      </c>
      <c r="E51652" t="s">
        <v>1247</v>
      </c>
      <c r="F51652" t="s">
        <v>1874</v>
      </c>
      <c r="H51652" t="s">
        <v>229</v>
      </c>
      <c r="J51652" t="s">
        <v>140</v>
      </c>
      <c r="K51652">
        <v>162442.10999999999</v>
      </c>
      <c r="L51652">
        <v>381701.01</v>
      </c>
      <c r="M51652">
        <v>1</v>
      </c>
      <c r="N51652" t="s">
        <v>804</v>
      </c>
      <c r="O51652" t="s">
        <v>631</v>
      </c>
      <c r="P51652" t="s">
        <v>1885</v>
      </c>
      <c r="Q51652" t="s">
        <v>144</v>
      </c>
      <c r="R51652" t="s">
        <v>145</v>
      </c>
      <c r="S51652">
        <v>21.3</v>
      </c>
      <c r="T51652">
        <v>2100</v>
      </c>
      <c r="V51652" t="s">
        <v>146</v>
      </c>
      <c r="W51652" t="s">
        <v>147</v>
      </c>
      <c r="X51652" t="s">
        <v>7</v>
      </c>
      <c r="Y51652" t="s">
        <v>781</v>
      </c>
      <c r="Z51652" t="s">
        <v>631</v>
      </c>
      <c r="AA51652" t="s">
        <v>475</v>
      </c>
      <c r="AB51652">
        <v>0</v>
      </c>
      <c r="AE51652" t="s">
        <v>816</v>
      </c>
      <c r="AF51652" t="s">
        <v>631</v>
      </c>
      <c r="AG51652" t="s">
        <v>856</v>
      </c>
      <c r="AL51652" t="s">
        <v>5973</v>
      </c>
      <c r="AM51652" t="s">
        <v>5974</v>
      </c>
      <c r="AN51652" t="s">
        <v>5975</v>
      </c>
      <c r="AO51652" t="s">
        <v>804</v>
      </c>
      <c r="AP51652" t="s">
        <v>158</v>
      </c>
      <c r="AQ51652" t="str">
        <f>IF(ISBLANK(AP51652), IFERROR(IF(VLOOKUP(AO51652, Ellens_additions!$A$2:$B$252, 2, FALSE) = "", "", VLOOKUP(AO51652, Ellens_additions!$A$2:$B$252, 2, FALSE)), 0), AP51652)</f>
        <v>3000</v>
      </c>
    </row>
    <row r="51653" spans="1:43" ht="14.4" x14ac:dyDescent="0.3"/>
    <row r="51654" spans="1:43" ht="14.4" hidden="1" x14ac:dyDescent="0.3">
      <c r="A51654" t="s">
        <v>5976</v>
      </c>
      <c r="B51654">
        <v>4902251</v>
      </c>
      <c r="C51654" t="s">
        <v>968</v>
      </c>
      <c r="D51654" t="s">
        <v>990</v>
      </c>
      <c r="E51654" t="s">
        <v>1247</v>
      </c>
      <c r="F51654" t="s">
        <v>2051</v>
      </c>
      <c r="H51654" t="s">
        <v>255</v>
      </c>
      <c r="J51654" t="s">
        <v>140</v>
      </c>
      <c r="K51654">
        <v>162477.66</v>
      </c>
      <c r="L51654">
        <v>381545.96</v>
      </c>
      <c r="M51654">
        <v>1</v>
      </c>
      <c r="N51654" t="s">
        <v>804</v>
      </c>
      <c r="O51654" t="s">
        <v>631</v>
      </c>
      <c r="P51654" t="s">
        <v>1885</v>
      </c>
      <c r="Q51654" t="s">
        <v>144</v>
      </c>
      <c r="R51654" t="s">
        <v>145</v>
      </c>
      <c r="S51654">
        <v>21.3</v>
      </c>
      <c r="T51654">
        <v>2100</v>
      </c>
      <c r="V51654" t="s">
        <v>146</v>
      </c>
      <c r="W51654" t="s">
        <v>147</v>
      </c>
      <c r="X51654" t="s">
        <v>7</v>
      </c>
      <c r="Y51654" t="s">
        <v>781</v>
      </c>
      <c r="Z51654" t="s">
        <v>631</v>
      </c>
      <c r="AA51654" t="s">
        <v>475</v>
      </c>
      <c r="AB51654">
        <v>0</v>
      </c>
      <c r="AE51654" t="s">
        <v>816</v>
      </c>
      <c r="AF51654" t="s">
        <v>631</v>
      </c>
      <c r="AG51654" t="s">
        <v>856</v>
      </c>
      <c r="AL51654" t="s">
        <v>5977</v>
      </c>
      <c r="AM51654" t="s">
        <v>5978</v>
      </c>
      <c r="AN51654" t="s">
        <v>5979</v>
      </c>
      <c r="AO51654" t="s">
        <v>804</v>
      </c>
      <c r="AP51654" t="s">
        <v>158</v>
      </c>
      <c r="AQ51654" t="str">
        <f>IF(ISBLANK(AP51654), IFERROR(IF(VLOOKUP(AO51654, Ellens_additions!$A$2:$B$252, 2, FALSE) = "", "", VLOOKUP(AO51654, Ellens_additions!$A$2:$B$252, 2, FALSE)), 0), AP51654)</f>
        <v>3000</v>
      </c>
    </row>
    <row r="51655" spans="1:43" ht="14.4" hidden="1" x14ac:dyDescent="0.3">
      <c r="A51655" t="s">
        <v>5980</v>
      </c>
      <c r="B51655">
        <v>4902252</v>
      </c>
      <c r="C51655" t="s">
        <v>968</v>
      </c>
      <c r="D51655" t="s">
        <v>990</v>
      </c>
      <c r="E51655" t="s">
        <v>1247</v>
      </c>
      <c r="F51655" t="s">
        <v>2051</v>
      </c>
      <c r="H51655" t="s">
        <v>256</v>
      </c>
      <c r="J51655" t="s">
        <v>140</v>
      </c>
      <c r="K51655">
        <v>162488.85999999999</v>
      </c>
      <c r="L51655">
        <v>381523.85</v>
      </c>
      <c r="M51655">
        <v>1</v>
      </c>
      <c r="N51655" t="s">
        <v>804</v>
      </c>
      <c r="O51655" t="s">
        <v>631</v>
      </c>
      <c r="P51655" t="s">
        <v>1885</v>
      </c>
      <c r="Q51655" t="s">
        <v>144</v>
      </c>
      <c r="R51655" t="s">
        <v>145</v>
      </c>
      <c r="S51655">
        <v>21.3</v>
      </c>
      <c r="T51655">
        <v>2100</v>
      </c>
      <c r="V51655" t="s">
        <v>146</v>
      </c>
      <c r="W51655" t="s">
        <v>147</v>
      </c>
      <c r="X51655" t="s">
        <v>7</v>
      </c>
      <c r="Y51655" t="s">
        <v>781</v>
      </c>
      <c r="Z51655" t="s">
        <v>631</v>
      </c>
      <c r="AA51655" t="s">
        <v>475</v>
      </c>
      <c r="AB51655">
        <v>0</v>
      </c>
      <c r="AE51655" t="s">
        <v>816</v>
      </c>
      <c r="AF51655" t="s">
        <v>631</v>
      </c>
      <c r="AG51655" t="s">
        <v>856</v>
      </c>
      <c r="AL51655" t="s">
        <v>5981</v>
      </c>
      <c r="AM51655" t="s">
        <v>5982</v>
      </c>
      <c r="AN51655" t="s">
        <v>5983</v>
      </c>
      <c r="AO51655" t="s">
        <v>804</v>
      </c>
      <c r="AP51655" t="s">
        <v>158</v>
      </c>
      <c r="AQ51655" t="str">
        <f>IF(ISBLANK(AP51655), IFERROR(IF(VLOOKUP(AO51655, Ellens_additions!$A$2:$B$252, 2, FALSE) = "", "", VLOOKUP(AO51655, Ellens_additions!$A$2:$B$252, 2, FALSE)), 0), AP51655)</f>
        <v>3000</v>
      </c>
    </row>
    <row r="51656" spans="1:43" ht="14.4" hidden="1" x14ac:dyDescent="0.3">
      <c r="A51656" t="s">
        <v>5984</v>
      </c>
      <c r="B51656">
        <v>4902253</v>
      </c>
      <c r="C51656" t="s">
        <v>968</v>
      </c>
      <c r="D51656" t="s">
        <v>990</v>
      </c>
      <c r="E51656" t="s">
        <v>1247</v>
      </c>
      <c r="F51656" t="s">
        <v>2051</v>
      </c>
      <c r="H51656" t="s">
        <v>278</v>
      </c>
      <c r="J51656" t="s">
        <v>140</v>
      </c>
      <c r="K51656">
        <v>162509.07</v>
      </c>
      <c r="L51656">
        <v>381535.89</v>
      </c>
      <c r="M51656">
        <v>1</v>
      </c>
      <c r="N51656" t="s">
        <v>804</v>
      </c>
      <c r="O51656" t="s">
        <v>631</v>
      </c>
      <c r="P51656" t="s">
        <v>1885</v>
      </c>
      <c r="Q51656" t="s">
        <v>144</v>
      </c>
      <c r="R51656" t="s">
        <v>145</v>
      </c>
      <c r="S51656">
        <v>21.3</v>
      </c>
      <c r="T51656">
        <v>2100</v>
      </c>
      <c r="V51656" t="s">
        <v>146</v>
      </c>
      <c r="W51656" t="s">
        <v>147</v>
      </c>
      <c r="X51656" t="s">
        <v>7</v>
      </c>
      <c r="Y51656" t="s">
        <v>781</v>
      </c>
      <c r="Z51656" t="s">
        <v>631</v>
      </c>
      <c r="AA51656" t="s">
        <v>475</v>
      </c>
      <c r="AB51656">
        <v>0</v>
      </c>
      <c r="AE51656" t="s">
        <v>816</v>
      </c>
      <c r="AF51656" t="s">
        <v>631</v>
      </c>
      <c r="AG51656" t="s">
        <v>856</v>
      </c>
      <c r="AL51656" t="s">
        <v>5985</v>
      </c>
      <c r="AM51656" t="s">
        <v>5986</v>
      </c>
      <c r="AN51656" t="s">
        <v>5987</v>
      </c>
      <c r="AO51656" t="s">
        <v>804</v>
      </c>
      <c r="AP51656" t="s">
        <v>158</v>
      </c>
      <c r="AQ51656" t="str">
        <f>IF(ISBLANK(AP51656), IFERROR(IF(VLOOKUP(AO51656, Ellens_additions!$A$2:$B$252, 2, FALSE) = "", "", VLOOKUP(AO51656, Ellens_additions!$A$2:$B$252, 2, FALSE)), 0), AP51656)</f>
        <v>3000</v>
      </c>
    </row>
    <row r="51657" spans="1:43" ht="14.4" hidden="1" x14ac:dyDescent="0.3">
      <c r="A51657" t="s">
        <v>5988</v>
      </c>
      <c r="B51657">
        <v>4902258</v>
      </c>
      <c r="C51657" t="s">
        <v>968</v>
      </c>
      <c r="D51657" t="s">
        <v>990</v>
      </c>
      <c r="E51657" t="s">
        <v>1247</v>
      </c>
      <c r="F51657" t="s">
        <v>1874</v>
      </c>
      <c r="H51657" t="s">
        <v>303</v>
      </c>
      <c r="J51657" t="s">
        <v>140</v>
      </c>
      <c r="K51657">
        <v>162495.54999999999</v>
      </c>
      <c r="L51657">
        <v>381613.55</v>
      </c>
      <c r="M51657">
        <v>1</v>
      </c>
      <c r="N51657" t="s">
        <v>804</v>
      </c>
      <c r="O51657" t="s">
        <v>631</v>
      </c>
      <c r="P51657" t="s">
        <v>1885</v>
      </c>
      <c r="Q51657" t="s">
        <v>144</v>
      </c>
      <c r="R51657" t="s">
        <v>145</v>
      </c>
      <c r="S51657">
        <v>21.3</v>
      </c>
      <c r="T51657">
        <v>2100</v>
      </c>
      <c r="V51657" t="s">
        <v>146</v>
      </c>
      <c r="W51657" t="s">
        <v>147</v>
      </c>
      <c r="X51657" t="s">
        <v>7</v>
      </c>
      <c r="Y51657" t="s">
        <v>781</v>
      </c>
      <c r="Z51657" t="s">
        <v>631</v>
      </c>
      <c r="AA51657" t="s">
        <v>475</v>
      </c>
      <c r="AB51657">
        <v>0</v>
      </c>
      <c r="AE51657" t="s">
        <v>816</v>
      </c>
      <c r="AF51657" t="s">
        <v>631</v>
      </c>
      <c r="AG51657" t="s">
        <v>856</v>
      </c>
      <c r="AL51657" t="s">
        <v>5989</v>
      </c>
      <c r="AM51657" t="s">
        <v>5990</v>
      </c>
      <c r="AN51657" t="s">
        <v>5991</v>
      </c>
      <c r="AO51657" t="s">
        <v>804</v>
      </c>
      <c r="AP51657" t="s">
        <v>158</v>
      </c>
      <c r="AQ51657" t="str">
        <f>IF(ISBLANK(AP51657), IFERROR(IF(VLOOKUP(AO51657, Ellens_additions!$A$2:$B$252, 2, FALSE) = "", "", VLOOKUP(AO51657, Ellens_additions!$A$2:$B$252, 2, FALSE)), 0), AP51657)</f>
        <v>3000</v>
      </c>
    </row>
    <row r="51658" spans="1:43" ht="14.4" hidden="1" x14ac:dyDescent="0.3">
      <c r="A51658" t="s">
        <v>5992</v>
      </c>
      <c r="B51658">
        <v>4902259</v>
      </c>
      <c r="C51658" t="s">
        <v>968</v>
      </c>
      <c r="D51658" t="s">
        <v>990</v>
      </c>
      <c r="E51658" t="s">
        <v>1247</v>
      </c>
      <c r="F51658" t="s">
        <v>1874</v>
      </c>
      <c r="H51658" t="s">
        <v>255</v>
      </c>
      <c r="J51658" t="s">
        <v>140</v>
      </c>
      <c r="K51658">
        <v>162507.32</v>
      </c>
      <c r="L51658">
        <v>381594.99</v>
      </c>
      <c r="M51658">
        <v>1</v>
      </c>
      <c r="N51658" t="s">
        <v>804</v>
      </c>
      <c r="O51658" t="s">
        <v>631</v>
      </c>
      <c r="P51658" t="s">
        <v>1885</v>
      </c>
      <c r="Q51658" t="s">
        <v>144</v>
      </c>
      <c r="R51658" t="s">
        <v>145</v>
      </c>
      <c r="S51658">
        <v>21.3</v>
      </c>
      <c r="T51658">
        <v>2100</v>
      </c>
      <c r="V51658" t="s">
        <v>146</v>
      </c>
      <c r="W51658" t="s">
        <v>147</v>
      </c>
      <c r="X51658" t="s">
        <v>7</v>
      </c>
      <c r="Y51658" t="s">
        <v>781</v>
      </c>
      <c r="Z51658" t="s">
        <v>631</v>
      </c>
      <c r="AA51658" t="s">
        <v>475</v>
      </c>
      <c r="AB51658">
        <v>0</v>
      </c>
      <c r="AE51658" t="s">
        <v>816</v>
      </c>
      <c r="AF51658" t="s">
        <v>631</v>
      </c>
      <c r="AG51658" t="s">
        <v>856</v>
      </c>
      <c r="AL51658" t="s">
        <v>5993</v>
      </c>
      <c r="AM51658" t="s">
        <v>5994</v>
      </c>
      <c r="AN51658" t="s">
        <v>5995</v>
      </c>
      <c r="AO51658" t="s">
        <v>804</v>
      </c>
      <c r="AP51658" t="s">
        <v>158</v>
      </c>
      <c r="AQ51658" t="str">
        <f>IF(ISBLANK(AP51658), IFERROR(IF(VLOOKUP(AO51658, Ellens_additions!$A$2:$B$252, 2, FALSE) = "", "", VLOOKUP(AO51658, Ellens_additions!$A$2:$B$252, 2, FALSE)), 0), AP51658)</f>
        <v>3000</v>
      </c>
    </row>
    <row r="51659" spans="1:43" ht="14.4" x14ac:dyDescent="0.3"/>
    <row r="51660" spans="1:43" ht="14.4" x14ac:dyDescent="0.3"/>
    <row r="51661" spans="1:43" ht="14.4" x14ac:dyDescent="0.3"/>
    <row r="51662" spans="1:43" ht="14.4" x14ac:dyDescent="0.3"/>
    <row r="51663" spans="1:43" ht="14.4" x14ac:dyDescent="0.3"/>
    <row r="51664" spans="1:43" ht="14.4" x14ac:dyDescent="0.3"/>
    <row r="51665" spans="1:43" ht="14.4" x14ac:dyDescent="0.3"/>
    <row r="51666" spans="1:43" ht="14.4" x14ac:dyDescent="0.3"/>
    <row r="51667" spans="1:43" ht="14.4" x14ac:dyDescent="0.3"/>
    <row r="51668" spans="1:43" ht="14.4" x14ac:dyDescent="0.3"/>
    <row r="51669" spans="1:43" ht="14.4" x14ac:dyDescent="0.3"/>
    <row r="51670" spans="1:43" ht="14.4" x14ac:dyDescent="0.3"/>
    <row r="51671" spans="1:43" ht="14.4" x14ac:dyDescent="0.3"/>
    <row r="51672" spans="1:43" ht="14.4" hidden="1" x14ac:dyDescent="0.3">
      <c r="A51672" t="s">
        <v>5996</v>
      </c>
      <c r="B51672">
        <v>4902312</v>
      </c>
      <c r="C51672" t="s">
        <v>968</v>
      </c>
      <c r="D51672" t="s">
        <v>990</v>
      </c>
      <c r="E51672" t="s">
        <v>991</v>
      </c>
      <c r="F51672" t="s">
        <v>992</v>
      </c>
      <c r="H51672" t="s">
        <v>1800</v>
      </c>
      <c r="J51672" t="s">
        <v>140</v>
      </c>
      <c r="K51672">
        <v>162784.16</v>
      </c>
      <c r="L51672">
        <v>381204.53</v>
      </c>
      <c r="M51672">
        <v>1</v>
      </c>
      <c r="N51672" t="s">
        <v>2123</v>
      </c>
      <c r="O51672" t="s">
        <v>508</v>
      </c>
      <c r="P51672" t="s">
        <v>3775</v>
      </c>
      <c r="Q51672" t="s">
        <v>144</v>
      </c>
      <c r="S51672">
        <v>28</v>
      </c>
      <c r="T51672">
        <v>1512</v>
      </c>
      <c r="V51672" t="s">
        <v>146</v>
      </c>
      <c r="W51672" t="s">
        <v>184</v>
      </c>
      <c r="X51672" t="s">
        <v>7</v>
      </c>
      <c r="Y51672" t="s">
        <v>2124</v>
      </c>
      <c r="Z51672" t="s">
        <v>508</v>
      </c>
      <c r="AA51672" t="s">
        <v>1877</v>
      </c>
      <c r="AB51672">
        <v>0</v>
      </c>
      <c r="AE51672" t="s">
        <v>1460</v>
      </c>
      <c r="AF51672" t="s">
        <v>529</v>
      </c>
      <c r="AG51672" t="s">
        <v>566</v>
      </c>
      <c r="AL51672" t="s">
        <v>5997</v>
      </c>
      <c r="AM51672" t="s">
        <v>5998</v>
      </c>
      <c r="AN51672" t="s">
        <v>5999</v>
      </c>
      <c r="AO51672" t="s">
        <v>2123</v>
      </c>
      <c r="AQ51672">
        <f>IF(ISBLANK(AP51672), IFERROR(IF(VLOOKUP(AO51672, Ellens_additions!$A$2:$B$252, 2, FALSE) = "", "", VLOOKUP(AO51672, Ellens_additions!$A$2:$B$252, 2, FALSE)), 0), AP51672)</f>
        <v>0</v>
      </c>
    </row>
    <row r="51673" spans="1:43" ht="14.4" x14ac:dyDescent="0.3"/>
    <row r="51674" spans="1:43" ht="14.4" x14ac:dyDescent="0.3"/>
    <row r="51675" spans="1:43" ht="14.4" x14ac:dyDescent="0.3"/>
    <row r="51676" spans="1:43" ht="14.4" x14ac:dyDescent="0.3"/>
    <row r="51677" spans="1:43" ht="14.4" x14ac:dyDescent="0.3"/>
    <row r="51678" spans="1:43" ht="14.4" x14ac:dyDescent="0.3"/>
    <row r="51679" spans="1:43" ht="14.4" x14ac:dyDescent="0.3"/>
    <row r="51680" spans="1:43" ht="14.4" x14ac:dyDescent="0.3"/>
    <row r="51681" spans="1:43" ht="14.4" x14ac:dyDescent="0.3"/>
    <row r="51682" spans="1:43" ht="14.4" x14ac:dyDescent="0.3"/>
    <row r="51683" spans="1:43" ht="14.4" x14ac:dyDescent="0.3"/>
    <row r="51684" spans="1:43" ht="14.4" x14ac:dyDescent="0.3"/>
    <row r="51685" spans="1:43" ht="14.4" hidden="1" x14ac:dyDescent="0.3">
      <c r="A51685" t="s">
        <v>6001</v>
      </c>
      <c r="B51685">
        <v>4902355</v>
      </c>
      <c r="C51685" t="s">
        <v>968</v>
      </c>
      <c r="D51685" t="s">
        <v>990</v>
      </c>
      <c r="E51685" t="s">
        <v>991</v>
      </c>
      <c r="F51685" t="s">
        <v>992</v>
      </c>
      <c r="H51685" t="s">
        <v>1230</v>
      </c>
      <c r="J51685" t="s">
        <v>140</v>
      </c>
      <c r="K51685">
        <v>162758.07</v>
      </c>
      <c r="L51685">
        <v>381300.22</v>
      </c>
      <c r="M51685">
        <v>1</v>
      </c>
      <c r="N51685" t="s">
        <v>2123</v>
      </c>
      <c r="O51685" t="s">
        <v>529</v>
      </c>
      <c r="P51685" t="s">
        <v>1798</v>
      </c>
      <c r="Q51685" t="s">
        <v>144</v>
      </c>
      <c r="S51685">
        <v>28</v>
      </c>
      <c r="T51685">
        <v>1512</v>
      </c>
      <c r="V51685" t="s">
        <v>146</v>
      </c>
      <c r="W51685" t="s">
        <v>184</v>
      </c>
      <c r="X51685" t="s">
        <v>7</v>
      </c>
      <c r="Y51685" t="s">
        <v>2124</v>
      </c>
      <c r="Z51685" t="s">
        <v>529</v>
      </c>
      <c r="AA51685" t="s">
        <v>528</v>
      </c>
      <c r="AB51685">
        <v>0</v>
      </c>
      <c r="AE51685" t="s">
        <v>1460</v>
      </c>
      <c r="AF51685" t="s">
        <v>529</v>
      </c>
      <c r="AG51685" t="s">
        <v>566</v>
      </c>
      <c r="AL51685" t="s">
        <v>6002</v>
      </c>
      <c r="AM51685" t="s">
        <v>6003</v>
      </c>
      <c r="AN51685" t="s">
        <v>6004</v>
      </c>
      <c r="AO51685" t="s">
        <v>2123</v>
      </c>
      <c r="AQ51685">
        <f>IF(ISBLANK(AP51685), IFERROR(IF(VLOOKUP(AO51685, Ellens_additions!$A$2:$B$252, 2, FALSE) = "", "", VLOOKUP(AO51685, Ellens_additions!$A$2:$B$252, 2, FALSE)), 0), AP51685)</f>
        <v>0</v>
      </c>
    </row>
    <row r="51686" spans="1:43" ht="14.4" x14ac:dyDescent="0.3"/>
    <row r="51687" spans="1:43" ht="14.4" x14ac:dyDescent="0.3"/>
    <row r="51688" spans="1:43" ht="14.4" x14ac:dyDescent="0.3"/>
    <row r="51689" spans="1:43" ht="14.4" x14ac:dyDescent="0.3"/>
    <row r="51690" spans="1:43" ht="14.4" x14ac:dyDescent="0.3"/>
    <row r="51691" spans="1:43" ht="14.4" x14ac:dyDescent="0.3"/>
    <row r="51692" spans="1:43" ht="14.4" x14ac:dyDescent="0.3"/>
    <row r="51693" spans="1:43" ht="14.4" x14ac:dyDescent="0.3"/>
    <row r="51694" spans="1:43" ht="14.4" x14ac:dyDescent="0.3"/>
    <row r="51695" spans="1:43" ht="14.4" x14ac:dyDescent="0.3"/>
    <row r="51696" spans="1:43" ht="14.4" hidden="1" x14ac:dyDescent="0.3">
      <c r="A51696" t="s">
        <v>6005</v>
      </c>
      <c r="B51696">
        <v>4908884</v>
      </c>
      <c r="C51696" t="s">
        <v>135</v>
      </c>
      <c r="D51696" t="s">
        <v>174</v>
      </c>
      <c r="E51696" t="s">
        <v>316</v>
      </c>
      <c r="F51696" t="s">
        <v>288</v>
      </c>
      <c r="H51696" t="s">
        <v>6006</v>
      </c>
      <c r="J51696" t="s">
        <v>140</v>
      </c>
      <c r="K51696">
        <v>159373</v>
      </c>
      <c r="L51696">
        <v>383551</v>
      </c>
      <c r="N51696" t="s">
        <v>1494</v>
      </c>
      <c r="O51696" t="s">
        <v>448</v>
      </c>
      <c r="P51696" t="s">
        <v>1495</v>
      </c>
      <c r="Q51696" t="s">
        <v>144</v>
      </c>
      <c r="S51696">
        <v>0</v>
      </c>
      <c r="T51696">
        <v>0</v>
      </c>
      <c r="V51696" t="s">
        <v>146</v>
      </c>
      <c r="W51696" t="s">
        <v>184</v>
      </c>
      <c r="X51696" t="s">
        <v>7</v>
      </c>
      <c r="Y51696" t="s">
        <v>1494</v>
      </c>
      <c r="Z51696" t="s">
        <v>448</v>
      </c>
      <c r="AA51696" t="s">
        <v>456</v>
      </c>
      <c r="AB51696">
        <v>0</v>
      </c>
      <c r="AE51696" t="s">
        <v>1496</v>
      </c>
      <c r="AF51696" t="s">
        <v>448</v>
      </c>
      <c r="AG51696" t="s">
        <v>560</v>
      </c>
      <c r="AL51696" t="s">
        <v>6007</v>
      </c>
      <c r="AM51696" t="s">
        <v>6008</v>
      </c>
      <c r="AN51696" t="s">
        <v>6009</v>
      </c>
      <c r="AO51696" t="s">
        <v>1494</v>
      </c>
      <c r="AQ51696">
        <f>IF(ISBLANK(AP51696), IFERROR(IF(VLOOKUP(AO51696, Ellens_additions!$A$2:$B$252, 2, FALSE) = "", "", VLOOKUP(AO51696, Ellens_additions!$A$2:$B$252, 2, FALSE)), 0), AP51696)</f>
        <v>0</v>
      </c>
    </row>
    <row r="51697" spans="1:43" ht="14.4" hidden="1" x14ac:dyDescent="0.3">
      <c r="A51697" t="s">
        <v>6010</v>
      </c>
      <c r="B51697">
        <v>4908888</v>
      </c>
      <c r="C51697" t="s">
        <v>135</v>
      </c>
      <c r="D51697" t="s">
        <v>174</v>
      </c>
      <c r="E51697" t="s">
        <v>316</v>
      </c>
      <c r="F51697" t="s">
        <v>288</v>
      </c>
      <c r="H51697" t="s">
        <v>6011</v>
      </c>
      <c r="J51697" t="s">
        <v>140</v>
      </c>
      <c r="K51697">
        <v>159379.84</v>
      </c>
      <c r="L51697">
        <v>383565.73</v>
      </c>
      <c r="N51697" t="s">
        <v>1494</v>
      </c>
      <c r="O51697" t="s">
        <v>448</v>
      </c>
      <c r="P51697" t="s">
        <v>1495</v>
      </c>
      <c r="Q51697" t="s">
        <v>144</v>
      </c>
      <c r="S51697">
        <v>0</v>
      </c>
      <c r="T51697">
        <v>0</v>
      </c>
      <c r="V51697" t="s">
        <v>146</v>
      </c>
      <c r="W51697" t="s">
        <v>184</v>
      </c>
      <c r="X51697" t="s">
        <v>7</v>
      </c>
      <c r="Y51697" t="s">
        <v>1494</v>
      </c>
      <c r="Z51697" t="s">
        <v>448</v>
      </c>
      <c r="AA51697" t="s">
        <v>456</v>
      </c>
      <c r="AB51697">
        <v>0</v>
      </c>
      <c r="AE51697" t="s">
        <v>1496</v>
      </c>
      <c r="AF51697" t="s">
        <v>448</v>
      </c>
      <c r="AG51697" t="s">
        <v>560</v>
      </c>
      <c r="AL51697" t="s">
        <v>6012</v>
      </c>
      <c r="AM51697" t="s">
        <v>6013</v>
      </c>
      <c r="AN51697" t="s">
        <v>6014</v>
      </c>
      <c r="AO51697" t="s">
        <v>1494</v>
      </c>
      <c r="AQ51697">
        <f>IF(ISBLANK(AP51697), IFERROR(IF(VLOOKUP(AO51697, Ellens_additions!$A$2:$B$252, 2, FALSE) = "", "", VLOOKUP(AO51697, Ellens_additions!$A$2:$B$252, 2, FALSE)), 0), AP51697)</f>
        <v>0</v>
      </c>
    </row>
    <row r="51698" spans="1:43" ht="14.4" hidden="1" x14ac:dyDescent="0.3">
      <c r="A51698" t="s">
        <v>6015</v>
      </c>
      <c r="B51698">
        <v>4908894</v>
      </c>
      <c r="C51698" t="s">
        <v>135</v>
      </c>
      <c r="D51698" t="s">
        <v>174</v>
      </c>
      <c r="E51698" t="s">
        <v>316</v>
      </c>
      <c r="F51698" t="s">
        <v>288</v>
      </c>
      <c r="H51698" t="s">
        <v>6016</v>
      </c>
      <c r="J51698" t="s">
        <v>140</v>
      </c>
      <c r="K51698">
        <v>159332</v>
      </c>
      <c r="L51698">
        <v>383607</v>
      </c>
      <c r="N51698" t="s">
        <v>1494</v>
      </c>
      <c r="O51698" t="s">
        <v>448</v>
      </c>
      <c r="P51698" t="s">
        <v>1495</v>
      </c>
      <c r="Q51698" t="s">
        <v>144</v>
      </c>
      <c r="S51698">
        <v>0</v>
      </c>
      <c r="T51698">
        <v>0</v>
      </c>
      <c r="V51698" t="s">
        <v>146</v>
      </c>
      <c r="W51698" t="s">
        <v>184</v>
      </c>
      <c r="X51698" t="s">
        <v>7</v>
      </c>
      <c r="Y51698" t="s">
        <v>1494</v>
      </c>
      <c r="Z51698" t="s">
        <v>448</v>
      </c>
      <c r="AA51698" t="s">
        <v>456</v>
      </c>
      <c r="AB51698">
        <v>0</v>
      </c>
      <c r="AE51698" t="s">
        <v>1496</v>
      </c>
      <c r="AF51698" t="s">
        <v>448</v>
      </c>
      <c r="AG51698" t="s">
        <v>560</v>
      </c>
      <c r="AL51698" t="s">
        <v>6017</v>
      </c>
      <c r="AM51698" t="s">
        <v>6018</v>
      </c>
      <c r="AN51698" t="s">
        <v>6019</v>
      </c>
      <c r="AO51698" t="s">
        <v>1494</v>
      </c>
      <c r="AQ51698">
        <f>IF(ISBLANK(AP51698), IFERROR(IF(VLOOKUP(AO51698, Ellens_additions!$A$2:$B$252, 2, FALSE) = "", "", VLOOKUP(AO51698, Ellens_additions!$A$2:$B$252, 2, FALSE)), 0), AP51698)</f>
        <v>0</v>
      </c>
    </row>
    <row r="51699" spans="1:43" ht="14.4" hidden="1" x14ac:dyDescent="0.3">
      <c r="A51699" t="s">
        <v>6020</v>
      </c>
      <c r="B51699">
        <v>4908901</v>
      </c>
      <c r="C51699" t="s">
        <v>135</v>
      </c>
      <c r="D51699" t="s">
        <v>174</v>
      </c>
      <c r="E51699" t="s">
        <v>316</v>
      </c>
      <c r="F51699" t="s">
        <v>288</v>
      </c>
      <c r="H51699" t="s">
        <v>6021</v>
      </c>
      <c r="J51699" t="s">
        <v>140</v>
      </c>
      <c r="K51699">
        <v>159314</v>
      </c>
      <c r="L51699">
        <v>383594</v>
      </c>
      <c r="N51699" t="s">
        <v>1494</v>
      </c>
      <c r="O51699" t="s">
        <v>448</v>
      </c>
      <c r="P51699" t="s">
        <v>1495</v>
      </c>
      <c r="Q51699" t="s">
        <v>144</v>
      </c>
      <c r="S51699">
        <v>0</v>
      </c>
      <c r="T51699">
        <v>0</v>
      </c>
      <c r="V51699" t="s">
        <v>146</v>
      </c>
      <c r="W51699" t="s">
        <v>184</v>
      </c>
      <c r="X51699" t="s">
        <v>7</v>
      </c>
      <c r="Y51699" t="s">
        <v>1494</v>
      </c>
      <c r="Z51699" t="s">
        <v>448</v>
      </c>
      <c r="AA51699" t="s">
        <v>456</v>
      </c>
      <c r="AB51699">
        <v>0</v>
      </c>
      <c r="AE51699" t="s">
        <v>1496</v>
      </c>
      <c r="AF51699" t="s">
        <v>448</v>
      </c>
      <c r="AG51699" t="s">
        <v>560</v>
      </c>
      <c r="AL51699" t="s">
        <v>6022</v>
      </c>
      <c r="AM51699" t="s">
        <v>6023</v>
      </c>
      <c r="AN51699" t="s">
        <v>6024</v>
      </c>
      <c r="AO51699" t="s">
        <v>1494</v>
      </c>
      <c r="AQ51699">
        <f>IF(ISBLANK(AP51699), IFERROR(IF(VLOOKUP(AO51699, Ellens_additions!$A$2:$B$252, 2, FALSE) = "", "", VLOOKUP(AO51699, Ellens_additions!$A$2:$B$252, 2, FALSE)), 0), AP51699)</f>
        <v>0</v>
      </c>
    </row>
    <row r="51700" spans="1:43" ht="14.4" hidden="1" x14ac:dyDescent="0.3">
      <c r="A51700" t="s">
        <v>6025</v>
      </c>
      <c r="B51700">
        <v>4908902</v>
      </c>
      <c r="C51700" t="s">
        <v>135</v>
      </c>
      <c r="D51700" t="s">
        <v>174</v>
      </c>
      <c r="E51700" t="s">
        <v>316</v>
      </c>
      <c r="F51700" t="s">
        <v>288</v>
      </c>
      <c r="H51700" t="s">
        <v>6026</v>
      </c>
      <c r="J51700" t="s">
        <v>140</v>
      </c>
      <c r="K51700">
        <v>159312</v>
      </c>
      <c r="L51700">
        <v>383591</v>
      </c>
      <c r="N51700" t="s">
        <v>1494</v>
      </c>
      <c r="O51700" t="s">
        <v>448</v>
      </c>
      <c r="P51700" t="s">
        <v>1495</v>
      </c>
      <c r="Q51700" t="s">
        <v>144</v>
      </c>
      <c r="S51700">
        <v>0</v>
      </c>
      <c r="T51700">
        <v>0</v>
      </c>
      <c r="V51700" t="s">
        <v>146</v>
      </c>
      <c r="W51700" t="s">
        <v>184</v>
      </c>
      <c r="X51700" t="s">
        <v>7</v>
      </c>
      <c r="Y51700" t="s">
        <v>1494</v>
      </c>
      <c r="Z51700" t="s">
        <v>448</v>
      </c>
      <c r="AA51700" t="s">
        <v>456</v>
      </c>
      <c r="AB51700">
        <v>0</v>
      </c>
      <c r="AE51700" t="s">
        <v>1496</v>
      </c>
      <c r="AF51700" t="s">
        <v>448</v>
      </c>
      <c r="AG51700" t="s">
        <v>560</v>
      </c>
      <c r="AL51700" t="s">
        <v>6027</v>
      </c>
      <c r="AM51700" t="s">
        <v>6028</v>
      </c>
      <c r="AN51700" t="s">
        <v>6029</v>
      </c>
      <c r="AO51700" t="s">
        <v>1494</v>
      </c>
      <c r="AQ51700">
        <f>IF(ISBLANK(AP51700), IFERROR(IF(VLOOKUP(AO51700, Ellens_additions!$A$2:$B$252, 2, FALSE) = "", "", VLOOKUP(AO51700, Ellens_additions!$A$2:$B$252, 2, FALSE)), 0), AP51700)</f>
        <v>0</v>
      </c>
    </row>
    <row r="51701" spans="1:43" ht="14.4" hidden="1" x14ac:dyDescent="0.3">
      <c r="A51701" t="s">
        <v>6030</v>
      </c>
      <c r="B51701">
        <v>4908907</v>
      </c>
      <c r="C51701" t="s">
        <v>135</v>
      </c>
      <c r="D51701" t="s">
        <v>174</v>
      </c>
      <c r="E51701" t="s">
        <v>316</v>
      </c>
      <c r="F51701" t="s">
        <v>288</v>
      </c>
      <c r="H51701" t="s">
        <v>6031</v>
      </c>
      <c r="J51701" t="s">
        <v>140</v>
      </c>
      <c r="K51701">
        <v>159307.18</v>
      </c>
      <c r="L51701">
        <v>383574.13</v>
      </c>
      <c r="N51701" t="s">
        <v>1494</v>
      </c>
      <c r="O51701" t="s">
        <v>448</v>
      </c>
      <c r="P51701" t="s">
        <v>1495</v>
      </c>
      <c r="Q51701" t="s">
        <v>144</v>
      </c>
      <c r="S51701">
        <v>0</v>
      </c>
      <c r="T51701">
        <v>0</v>
      </c>
      <c r="V51701" t="s">
        <v>146</v>
      </c>
      <c r="W51701" t="s">
        <v>184</v>
      </c>
      <c r="X51701" t="s">
        <v>7</v>
      </c>
      <c r="Y51701" t="s">
        <v>1494</v>
      </c>
      <c r="Z51701" t="s">
        <v>448</v>
      </c>
      <c r="AA51701" t="s">
        <v>456</v>
      </c>
      <c r="AB51701">
        <v>0</v>
      </c>
      <c r="AE51701" t="s">
        <v>1496</v>
      </c>
      <c r="AF51701" t="s">
        <v>448</v>
      </c>
      <c r="AG51701" t="s">
        <v>560</v>
      </c>
      <c r="AL51701" t="s">
        <v>6032</v>
      </c>
      <c r="AM51701" t="s">
        <v>6033</v>
      </c>
      <c r="AN51701" t="s">
        <v>6034</v>
      </c>
      <c r="AO51701" t="s">
        <v>1494</v>
      </c>
      <c r="AQ51701">
        <f>IF(ISBLANK(AP51701), IFERROR(IF(VLOOKUP(AO51701, Ellens_additions!$A$2:$B$252, 2, FALSE) = "", "", VLOOKUP(AO51701, Ellens_additions!$A$2:$B$252, 2, FALSE)), 0), AP51701)</f>
        <v>0</v>
      </c>
    </row>
    <row r="51702" spans="1:43" ht="14.4" hidden="1" x14ac:dyDescent="0.3">
      <c r="A51702" t="s">
        <v>6035</v>
      </c>
      <c r="B51702">
        <v>4908917</v>
      </c>
      <c r="C51702" t="s">
        <v>135</v>
      </c>
      <c r="D51702" t="s">
        <v>174</v>
      </c>
      <c r="E51702" t="s">
        <v>316</v>
      </c>
      <c r="F51702" t="s">
        <v>288</v>
      </c>
      <c r="H51702" t="s">
        <v>6036</v>
      </c>
      <c r="J51702" t="s">
        <v>140</v>
      </c>
      <c r="K51702">
        <v>159326</v>
      </c>
      <c r="L51702">
        <v>383538</v>
      </c>
      <c r="N51702" t="s">
        <v>1494</v>
      </c>
      <c r="O51702" t="s">
        <v>448</v>
      </c>
      <c r="P51702" t="s">
        <v>1495</v>
      </c>
      <c r="Q51702" t="s">
        <v>144</v>
      </c>
      <c r="S51702">
        <v>0</v>
      </c>
      <c r="T51702">
        <v>0</v>
      </c>
      <c r="V51702" t="s">
        <v>146</v>
      </c>
      <c r="W51702" t="s">
        <v>184</v>
      </c>
      <c r="X51702" t="s">
        <v>7</v>
      </c>
      <c r="Y51702" t="s">
        <v>1494</v>
      </c>
      <c r="Z51702" t="s">
        <v>448</v>
      </c>
      <c r="AA51702" t="s">
        <v>456</v>
      </c>
      <c r="AB51702">
        <v>0</v>
      </c>
      <c r="AE51702" t="s">
        <v>1496</v>
      </c>
      <c r="AF51702" t="s">
        <v>448</v>
      </c>
      <c r="AG51702" t="s">
        <v>560</v>
      </c>
      <c r="AL51702" t="s">
        <v>6037</v>
      </c>
      <c r="AM51702" t="s">
        <v>6038</v>
      </c>
      <c r="AN51702" t="s">
        <v>6039</v>
      </c>
      <c r="AO51702" t="s">
        <v>1494</v>
      </c>
      <c r="AQ51702">
        <f>IF(ISBLANK(AP51702), IFERROR(IF(VLOOKUP(AO51702, Ellens_additions!$A$2:$B$252, 2, FALSE) = "", "", VLOOKUP(AO51702, Ellens_additions!$A$2:$B$252, 2, FALSE)), 0), AP51702)</f>
        <v>0</v>
      </c>
    </row>
    <row r="51703" spans="1:43" ht="14.4" hidden="1" x14ac:dyDescent="0.3">
      <c r="A51703" t="s">
        <v>6040</v>
      </c>
      <c r="B51703">
        <v>4908922</v>
      </c>
      <c r="C51703" t="s">
        <v>135</v>
      </c>
      <c r="D51703" t="s">
        <v>174</v>
      </c>
      <c r="E51703" t="s">
        <v>316</v>
      </c>
      <c r="F51703" t="s">
        <v>288</v>
      </c>
      <c r="H51703" t="s">
        <v>6041</v>
      </c>
      <c r="J51703" t="s">
        <v>140</v>
      </c>
      <c r="K51703">
        <v>159342.84</v>
      </c>
      <c r="L51703">
        <v>383534.82</v>
      </c>
      <c r="N51703" t="s">
        <v>1494</v>
      </c>
      <c r="O51703" t="s">
        <v>448</v>
      </c>
      <c r="P51703" t="s">
        <v>1495</v>
      </c>
      <c r="Q51703" t="s">
        <v>144</v>
      </c>
      <c r="S51703">
        <v>0</v>
      </c>
      <c r="T51703">
        <v>0</v>
      </c>
      <c r="V51703" t="s">
        <v>146</v>
      </c>
      <c r="W51703" t="s">
        <v>184</v>
      </c>
      <c r="X51703" t="s">
        <v>7</v>
      </c>
      <c r="Y51703" t="s">
        <v>1494</v>
      </c>
      <c r="Z51703" t="s">
        <v>448</v>
      </c>
      <c r="AA51703" t="s">
        <v>456</v>
      </c>
      <c r="AB51703">
        <v>0</v>
      </c>
      <c r="AE51703" t="s">
        <v>1496</v>
      </c>
      <c r="AF51703" t="s">
        <v>448</v>
      </c>
      <c r="AG51703" t="s">
        <v>560</v>
      </c>
      <c r="AL51703" t="s">
        <v>6042</v>
      </c>
      <c r="AM51703" t="s">
        <v>6043</v>
      </c>
      <c r="AN51703" t="s">
        <v>6044</v>
      </c>
      <c r="AO51703" t="s">
        <v>1494</v>
      </c>
      <c r="AQ51703">
        <f>IF(ISBLANK(AP51703), IFERROR(IF(VLOOKUP(AO51703, Ellens_additions!$A$2:$B$252, 2, FALSE) = "", "", VLOOKUP(AO51703, Ellens_additions!$A$2:$B$252, 2, FALSE)), 0), AP51703)</f>
        <v>0</v>
      </c>
    </row>
    <row r="51704" spans="1:43" ht="14.4" hidden="1" x14ac:dyDescent="0.3">
      <c r="A51704" t="s">
        <v>6045</v>
      </c>
      <c r="B51704">
        <v>4908925</v>
      </c>
      <c r="C51704" t="s">
        <v>135</v>
      </c>
      <c r="D51704" t="s">
        <v>174</v>
      </c>
      <c r="E51704" t="s">
        <v>316</v>
      </c>
      <c r="F51704" t="s">
        <v>288</v>
      </c>
      <c r="H51704" t="s">
        <v>6046</v>
      </c>
      <c r="J51704" t="s">
        <v>140</v>
      </c>
      <c r="K51704">
        <v>159385.79999999999</v>
      </c>
      <c r="L51704">
        <v>383561.4</v>
      </c>
      <c r="N51704" t="s">
        <v>1494</v>
      </c>
      <c r="O51704" t="s">
        <v>448</v>
      </c>
      <c r="P51704" t="s">
        <v>1495</v>
      </c>
      <c r="Q51704" t="s">
        <v>144</v>
      </c>
      <c r="S51704">
        <v>0</v>
      </c>
      <c r="T51704">
        <v>0</v>
      </c>
      <c r="V51704" t="s">
        <v>146</v>
      </c>
      <c r="W51704" t="s">
        <v>184</v>
      </c>
      <c r="X51704" t="s">
        <v>7</v>
      </c>
      <c r="Y51704" t="s">
        <v>1494</v>
      </c>
      <c r="Z51704" t="s">
        <v>448</v>
      </c>
      <c r="AA51704" t="s">
        <v>456</v>
      </c>
      <c r="AB51704">
        <v>0</v>
      </c>
      <c r="AE51704" t="s">
        <v>1496</v>
      </c>
      <c r="AF51704" t="s">
        <v>448</v>
      </c>
      <c r="AG51704" t="s">
        <v>560</v>
      </c>
      <c r="AL51704" t="s">
        <v>6047</v>
      </c>
      <c r="AM51704" t="s">
        <v>6048</v>
      </c>
      <c r="AN51704" t="s">
        <v>6049</v>
      </c>
      <c r="AO51704" t="s">
        <v>1494</v>
      </c>
      <c r="AQ51704">
        <f>IF(ISBLANK(AP51704), IFERROR(IF(VLOOKUP(AO51704, Ellens_additions!$A$2:$B$252, 2, FALSE) = "", "", VLOOKUP(AO51704, Ellens_additions!$A$2:$B$252, 2, FALSE)), 0), AP51704)</f>
        <v>0</v>
      </c>
    </row>
    <row r="51705" spans="1:43" ht="14.4" hidden="1" x14ac:dyDescent="0.3">
      <c r="A51705" t="s">
        <v>6050</v>
      </c>
      <c r="B51705">
        <v>4908926</v>
      </c>
      <c r="C51705" t="s">
        <v>135</v>
      </c>
      <c r="D51705" t="s">
        <v>174</v>
      </c>
      <c r="E51705" t="s">
        <v>316</v>
      </c>
      <c r="F51705" t="s">
        <v>288</v>
      </c>
      <c r="H51705" t="s">
        <v>6051</v>
      </c>
      <c r="J51705" t="s">
        <v>140</v>
      </c>
      <c r="K51705">
        <v>159385.37</v>
      </c>
      <c r="L51705">
        <v>383560.38</v>
      </c>
      <c r="N51705" t="s">
        <v>1494</v>
      </c>
      <c r="O51705" t="s">
        <v>448</v>
      </c>
      <c r="P51705" t="s">
        <v>1495</v>
      </c>
      <c r="Q51705" t="s">
        <v>144</v>
      </c>
      <c r="S51705">
        <v>0</v>
      </c>
      <c r="T51705">
        <v>0</v>
      </c>
      <c r="V51705" t="s">
        <v>146</v>
      </c>
      <c r="W51705" t="s">
        <v>184</v>
      </c>
      <c r="X51705" t="s">
        <v>7</v>
      </c>
      <c r="Y51705" t="s">
        <v>1494</v>
      </c>
      <c r="Z51705" t="s">
        <v>448</v>
      </c>
      <c r="AA51705" t="s">
        <v>456</v>
      </c>
      <c r="AB51705">
        <v>0</v>
      </c>
      <c r="AE51705" t="s">
        <v>1496</v>
      </c>
      <c r="AF51705" t="s">
        <v>448</v>
      </c>
      <c r="AG51705" t="s">
        <v>560</v>
      </c>
      <c r="AL51705" t="s">
        <v>6052</v>
      </c>
      <c r="AM51705" t="s">
        <v>6053</v>
      </c>
      <c r="AN51705" t="s">
        <v>6054</v>
      </c>
      <c r="AO51705" t="s">
        <v>1494</v>
      </c>
      <c r="AQ51705">
        <f>IF(ISBLANK(AP51705), IFERROR(IF(VLOOKUP(AO51705, Ellens_additions!$A$2:$B$252, 2, FALSE) = "", "", VLOOKUP(AO51705, Ellens_additions!$A$2:$B$252, 2, FALSE)), 0), AP51705)</f>
        <v>0</v>
      </c>
    </row>
    <row r="51706" spans="1:43" ht="14.4" hidden="1" x14ac:dyDescent="0.3">
      <c r="A51706" t="s">
        <v>6055</v>
      </c>
      <c r="B51706">
        <v>4908934</v>
      </c>
      <c r="C51706" t="s">
        <v>135</v>
      </c>
      <c r="D51706" t="s">
        <v>174</v>
      </c>
      <c r="E51706" t="s">
        <v>316</v>
      </c>
      <c r="F51706" t="s">
        <v>288</v>
      </c>
      <c r="H51706" t="s">
        <v>6056</v>
      </c>
      <c r="J51706" t="s">
        <v>140</v>
      </c>
      <c r="K51706">
        <v>159381.74</v>
      </c>
      <c r="L51706">
        <v>383551.89</v>
      </c>
      <c r="N51706" t="s">
        <v>1494</v>
      </c>
      <c r="O51706" t="s">
        <v>448</v>
      </c>
      <c r="P51706" t="s">
        <v>1495</v>
      </c>
      <c r="Q51706" t="s">
        <v>144</v>
      </c>
      <c r="S51706">
        <v>0</v>
      </c>
      <c r="T51706">
        <v>0</v>
      </c>
      <c r="V51706" t="s">
        <v>146</v>
      </c>
      <c r="W51706" t="s">
        <v>184</v>
      </c>
      <c r="X51706" t="s">
        <v>7</v>
      </c>
      <c r="Y51706" t="s">
        <v>1494</v>
      </c>
      <c r="Z51706" t="s">
        <v>448</v>
      </c>
      <c r="AA51706" t="s">
        <v>456</v>
      </c>
      <c r="AB51706">
        <v>0</v>
      </c>
      <c r="AE51706" t="s">
        <v>1496</v>
      </c>
      <c r="AF51706" t="s">
        <v>448</v>
      </c>
      <c r="AG51706" t="s">
        <v>560</v>
      </c>
      <c r="AL51706" t="s">
        <v>6057</v>
      </c>
      <c r="AM51706" t="s">
        <v>6058</v>
      </c>
      <c r="AN51706" t="s">
        <v>6059</v>
      </c>
      <c r="AO51706" t="s">
        <v>1494</v>
      </c>
      <c r="AQ51706">
        <f>IF(ISBLANK(AP51706), IFERROR(IF(VLOOKUP(AO51706, Ellens_additions!$A$2:$B$252, 2, FALSE) = "", "", VLOOKUP(AO51706, Ellens_additions!$A$2:$B$252, 2, FALSE)), 0), AP51706)</f>
        <v>0</v>
      </c>
    </row>
    <row r="51707" spans="1:43" ht="14.4" hidden="1" x14ac:dyDescent="0.3">
      <c r="A51707" t="s">
        <v>6060</v>
      </c>
      <c r="B51707">
        <v>4908936</v>
      </c>
      <c r="C51707" t="s">
        <v>135</v>
      </c>
      <c r="D51707" t="s">
        <v>174</v>
      </c>
      <c r="E51707" t="s">
        <v>316</v>
      </c>
      <c r="F51707" t="s">
        <v>288</v>
      </c>
      <c r="H51707" t="s">
        <v>6061</v>
      </c>
      <c r="J51707" t="s">
        <v>140</v>
      </c>
      <c r="K51707">
        <v>159380.57999999999</v>
      </c>
      <c r="L51707">
        <v>383549.79</v>
      </c>
      <c r="N51707" t="s">
        <v>1494</v>
      </c>
      <c r="O51707" t="s">
        <v>448</v>
      </c>
      <c r="P51707" t="s">
        <v>1495</v>
      </c>
      <c r="Q51707" t="s">
        <v>144</v>
      </c>
      <c r="S51707">
        <v>0</v>
      </c>
      <c r="T51707">
        <v>0</v>
      </c>
      <c r="V51707" t="s">
        <v>146</v>
      </c>
      <c r="W51707" t="s">
        <v>184</v>
      </c>
      <c r="X51707" t="s">
        <v>7</v>
      </c>
      <c r="Y51707" t="s">
        <v>1494</v>
      </c>
      <c r="Z51707" t="s">
        <v>448</v>
      </c>
      <c r="AA51707" t="s">
        <v>456</v>
      </c>
      <c r="AB51707">
        <v>0</v>
      </c>
      <c r="AE51707" t="s">
        <v>1496</v>
      </c>
      <c r="AF51707" t="s">
        <v>448</v>
      </c>
      <c r="AG51707" t="s">
        <v>560</v>
      </c>
      <c r="AL51707" t="s">
        <v>6062</v>
      </c>
      <c r="AM51707" t="s">
        <v>6063</v>
      </c>
      <c r="AN51707" t="s">
        <v>6064</v>
      </c>
      <c r="AO51707" t="s">
        <v>1494</v>
      </c>
      <c r="AQ51707">
        <f>IF(ISBLANK(AP51707), IFERROR(IF(VLOOKUP(AO51707, Ellens_additions!$A$2:$B$252, 2, FALSE) = "", "", VLOOKUP(AO51707, Ellens_additions!$A$2:$B$252, 2, FALSE)), 0), AP51707)</f>
        <v>0</v>
      </c>
    </row>
    <row r="51708" spans="1:43" ht="14.4" hidden="1" x14ac:dyDescent="0.3">
      <c r="A51708" t="s">
        <v>6065</v>
      </c>
      <c r="B51708">
        <v>4908937</v>
      </c>
      <c r="C51708" t="s">
        <v>135</v>
      </c>
      <c r="D51708" t="s">
        <v>174</v>
      </c>
      <c r="E51708" t="s">
        <v>316</v>
      </c>
      <c r="F51708" t="s">
        <v>288</v>
      </c>
      <c r="H51708" t="s">
        <v>6066</v>
      </c>
      <c r="J51708" t="s">
        <v>140</v>
      </c>
      <c r="K51708">
        <v>159379.94</v>
      </c>
      <c r="L51708">
        <v>383548.71</v>
      </c>
      <c r="N51708" t="s">
        <v>1494</v>
      </c>
      <c r="O51708" t="s">
        <v>448</v>
      </c>
      <c r="P51708" t="s">
        <v>1495</v>
      </c>
      <c r="Q51708" t="s">
        <v>144</v>
      </c>
      <c r="S51708">
        <v>0</v>
      </c>
      <c r="T51708">
        <v>0</v>
      </c>
      <c r="V51708" t="s">
        <v>146</v>
      </c>
      <c r="W51708" t="s">
        <v>184</v>
      </c>
      <c r="X51708" t="s">
        <v>7</v>
      </c>
      <c r="Y51708" t="s">
        <v>1494</v>
      </c>
      <c r="Z51708" t="s">
        <v>448</v>
      </c>
      <c r="AA51708" t="s">
        <v>456</v>
      </c>
      <c r="AB51708">
        <v>0</v>
      </c>
      <c r="AE51708" t="s">
        <v>1496</v>
      </c>
      <c r="AF51708" t="s">
        <v>448</v>
      </c>
      <c r="AG51708" t="s">
        <v>560</v>
      </c>
      <c r="AL51708" t="s">
        <v>6067</v>
      </c>
      <c r="AM51708" t="s">
        <v>6068</v>
      </c>
      <c r="AN51708" t="s">
        <v>6069</v>
      </c>
      <c r="AO51708" t="s">
        <v>1494</v>
      </c>
      <c r="AQ51708">
        <f>IF(ISBLANK(AP51708), IFERROR(IF(VLOOKUP(AO51708, Ellens_additions!$A$2:$B$252, 2, FALSE) = "", "", VLOOKUP(AO51708, Ellens_additions!$A$2:$B$252, 2, FALSE)), 0), AP51708)</f>
        <v>0</v>
      </c>
    </row>
    <row r="51709" spans="1:43" ht="14.4" hidden="1" x14ac:dyDescent="0.3">
      <c r="A51709" t="s">
        <v>6070</v>
      </c>
      <c r="B51709">
        <v>4908938</v>
      </c>
      <c r="C51709" t="s">
        <v>135</v>
      </c>
      <c r="D51709" t="s">
        <v>174</v>
      </c>
      <c r="E51709" t="s">
        <v>316</v>
      </c>
      <c r="F51709" t="s">
        <v>288</v>
      </c>
      <c r="H51709" t="s">
        <v>6071</v>
      </c>
      <c r="J51709" t="s">
        <v>140</v>
      </c>
      <c r="K51709">
        <v>159379.44</v>
      </c>
      <c r="L51709">
        <v>383548.04</v>
      </c>
      <c r="N51709" t="s">
        <v>1494</v>
      </c>
      <c r="O51709" t="s">
        <v>448</v>
      </c>
      <c r="P51709" t="s">
        <v>1495</v>
      </c>
      <c r="Q51709" t="s">
        <v>144</v>
      </c>
      <c r="S51709">
        <v>0</v>
      </c>
      <c r="T51709">
        <v>0</v>
      </c>
      <c r="V51709" t="s">
        <v>146</v>
      </c>
      <c r="W51709" t="s">
        <v>184</v>
      </c>
      <c r="X51709" t="s">
        <v>7</v>
      </c>
      <c r="Y51709" t="s">
        <v>1494</v>
      </c>
      <c r="Z51709" t="s">
        <v>448</v>
      </c>
      <c r="AA51709" t="s">
        <v>456</v>
      </c>
      <c r="AB51709">
        <v>0</v>
      </c>
      <c r="AE51709" t="s">
        <v>1496</v>
      </c>
      <c r="AF51709" t="s">
        <v>448</v>
      </c>
      <c r="AG51709" t="s">
        <v>560</v>
      </c>
      <c r="AL51709" t="s">
        <v>6072</v>
      </c>
      <c r="AM51709" t="s">
        <v>6073</v>
      </c>
      <c r="AN51709" t="s">
        <v>6074</v>
      </c>
      <c r="AO51709" t="s">
        <v>1494</v>
      </c>
      <c r="AQ51709">
        <f>IF(ISBLANK(AP51709), IFERROR(IF(VLOOKUP(AO51709, Ellens_additions!$A$2:$B$252, 2, FALSE) = "", "", VLOOKUP(AO51709, Ellens_additions!$A$2:$B$252, 2, FALSE)), 0), AP51709)</f>
        <v>0</v>
      </c>
    </row>
    <row r="51710" spans="1:43" ht="14.4" hidden="1" x14ac:dyDescent="0.3">
      <c r="A51710" t="s">
        <v>6075</v>
      </c>
      <c r="B51710">
        <v>4908942</v>
      </c>
      <c r="C51710" t="s">
        <v>135</v>
      </c>
      <c r="D51710" t="s">
        <v>174</v>
      </c>
      <c r="E51710" t="s">
        <v>316</v>
      </c>
      <c r="F51710" t="s">
        <v>288</v>
      </c>
      <c r="H51710" t="s">
        <v>6076</v>
      </c>
      <c r="J51710" t="s">
        <v>140</v>
      </c>
      <c r="K51710">
        <v>159386.99</v>
      </c>
      <c r="L51710">
        <v>383564.45</v>
      </c>
      <c r="N51710" t="s">
        <v>1494</v>
      </c>
      <c r="O51710" t="s">
        <v>448</v>
      </c>
      <c r="P51710" t="s">
        <v>1495</v>
      </c>
      <c r="Q51710" t="s">
        <v>144</v>
      </c>
      <c r="S51710">
        <v>0</v>
      </c>
      <c r="T51710">
        <v>0</v>
      </c>
      <c r="V51710" t="s">
        <v>146</v>
      </c>
      <c r="W51710" t="s">
        <v>184</v>
      </c>
      <c r="X51710" t="s">
        <v>7</v>
      </c>
      <c r="Y51710" t="s">
        <v>1494</v>
      </c>
      <c r="Z51710" t="s">
        <v>448</v>
      </c>
      <c r="AA51710" t="s">
        <v>456</v>
      </c>
      <c r="AB51710">
        <v>0</v>
      </c>
      <c r="AE51710" t="s">
        <v>1496</v>
      </c>
      <c r="AF51710" t="s">
        <v>448</v>
      </c>
      <c r="AG51710" t="s">
        <v>560</v>
      </c>
      <c r="AL51710" t="s">
        <v>6077</v>
      </c>
      <c r="AM51710" t="s">
        <v>6078</v>
      </c>
      <c r="AN51710" t="s">
        <v>6079</v>
      </c>
      <c r="AO51710" t="s">
        <v>1494</v>
      </c>
      <c r="AQ51710">
        <f>IF(ISBLANK(AP51710), IFERROR(IF(VLOOKUP(AO51710, Ellens_additions!$A$2:$B$252, 2, FALSE) = "", "", VLOOKUP(AO51710, Ellens_additions!$A$2:$B$252, 2, FALSE)), 0), AP51710)</f>
        <v>0</v>
      </c>
    </row>
    <row r="51711" spans="1:43" ht="14.4" hidden="1" x14ac:dyDescent="0.3">
      <c r="A51711" t="s">
        <v>6080</v>
      </c>
      <c r="B51711">
        <v>4908948</v>
      </c>
      <c r="C51711" t="s">
        <v>135</v>
      </c>
      <c r="D51711" t="s">
        <v>174</v>
      </c>
      <c r="E51711" t="s">
        <v>316</v>
      </c>
      <c r="F51711" t="s">
        <v>288</v>
      </c>
      <c r="H51711" t="s">
        <v>6081</v>
      </c>
      <c r="J51711" t="s">
        <v>140</v>
      </c>
      <c r="K51711">
        <v>159387.94</v>
      </c>
      <c r="L51711">
        <v>383570.41</v>
      </c>
      <c r="N51711" t="s">
        <v>1494</v>
      </c>
      <c r="O51711" t="s">
        <v>448</v>
      </c>
      <c r="P51711" t="s">
        <v>1495</v>
      </c>
      <c r="Q51711" t="s">
        <v>144</v>
      </c>
      <c r="S51711">
        <v>0</v>
      </c>
      <c r="T51711">
        <v>0</v>
      </c>
      <c r="V51711" t="s">
        <v>146</v>
      </c>
      <c r="W51711" t="s">
        <v>184</v>
      </c>
      <c r="X51711" t="s">
        <v>7</v>
      </c>
      <c r="Y51711" t="s">
        <v>1494</v>
      </c>
      <c r="Z51711" t="s">
        <v>448</v>
      </c>
      <c r="AA51711" t="s">
        <v>456</v>
      </c>
      <c r="AB51711">
        <v>0</v>
      </c>
      <c r="AE51711" t="s">
        <v>1496</v>
      </c>
      <c r="AF51711" t="s">
        <v>448</v>
      </c>
      <c r="AG51711" t="s">
        <v>560</v>
      </c>
      <c r="AL51711" t="s">
        <v>6082</v>
      </c>
      <c r="AM51711" t="s">
        <v>6083</v>
      </c>
      <c r="AN51711" t="s">
        <v>6084</v>
      </c>
      <c r="AO51711" t="s">
        <v>1494</v>
      </c>
      <c r="AQ51711">
        <f>IF(ISBLANK(AP51711), IFERROR(IF(VLOOKUP(AO51711, Ellens_additions!$A$2:$B$252, 2, FALSE) = "", "", VLOOKUP(AO51711, Ellens_additions!$A$2:$B$252, 2, FALSE)), 0), AP51711)</f>
        <v>0</v>
      </c>
    </row>
    <row r="51712" spans="1:43" ht="14.4" hidden="1" x14ac:dyDescent="0.3">
      <c r="A51712" t="s">
        <v>6085</v>
      </c>
      <c r="B51712">
        <v>4908952</v>
      </c>
      <c r="C51712" t="s">
        <v>135</v>
      </c>
      <c r="D51712" t="s">
        <v>174</v>
      </c>
      <c r="E51712" t="s">
        <v>316</v>
      </c>
      <c r="F51712" t="s">
        <v>288</v>
      </c>
      <c r="H51712" t="s">
        <v>6086</v>
      </c>
      <c r="J51712" t="s">
        <v>140</v>
      </c>
      <c r="K51712">
        <v>159388.06</v>
      </c>
      <c r="L51712">
        <v>383574.45</v>
      </c>
      <c r="N51712" t="s">
        <v>1494</v>
      </c>
      <c r="O51712" t="s">
        <v>448</v>
      </c>
      <c r="P51712" t="s">
        <v>1495</v>
      </c>
      <c r="Q51712" t="s">
        <v>144</v>
      </c>
      <c r="S51712">
        <v>0</v>
      </c>
      <c r="T51712">
        <v>0</v>
      </c>
      <c r="V51712" t="s">
        <v>146</v>
      </c>
      <c r="W51712" t="s">
        <v>184</v>
      </c>
      <c r="X51712" t="s">
        <v>7</v>
      </c>
      <c r="Y51712" t="s">
        <v>1494</v>
      </c>
      <c r="Z51712" t="s">
        <v>448</v>
      </c>
      <c r="AA51712" t="s">
        <v>456</v>
      </c>
      <c r="AB51712">
        <v>0</v>
      </c>
      <c r="AE51712" t="s">
        <v>1496</v>
      </c>
      <c r="AF51712" t="s">
        <v>448</v>
      </c>
      <c r="AG51712" t="s">
        <v>560</v>
      </c>
      <c r="AL51712" t="s">
        <v>6087</v>
      </c>
      <c r="AM51712" t="s">
        <v>6088</v>
      </c>
      <c r="AN51712" t="s">
        <v>6089</v>
      </c>
      <c r="AO51712" t="s">
        <v>1494</v>
      </c>
      <c r="AQ51712">
        <f>IF(ISBLANK(AP51712), IFERROR(IF(VLOOKUP(AO51712, Ellens_additions!$A$2:$B$252, 2, FALSE) = "", "", VLOOKUP(AO51712, Ellens_additions!$A$2:$B$252, 2, FALSE)), 0), AP51712)</f>
        <v>0</v>
      </c>
    </row>
    <row r="51713" spans="1:43" ht="14.4" hidden="1" x14ac:dyDescent="0.3">
      <c r="A51713" t="s">
        <v>6090</v>
      </c>
      <c r="B51713">
        <v>4908953</v>
      </c>
      <c r="C51713" t="s">
        <v>135</v>
      </c>
      <c r="D51713" t="s">
        <v>174</v>
      </c>
      <c r="E51713" t="s">
        <v>316</v>
      </c>
      <c r="F51713" t="s">
        <v>288</v>
      </c>
      <c r="H51713" t="s">
        <v>6091</v>
      </c>
      <c r="J51713" t="s">
        <v>140</v>
      </c>
      <c r="K51713">
        <v>159388.04999999999</v>
      </c>
      <c r="L51713">
        <v>383575.34</v>
      </c>
      <c r="N51713" t="s">
        <v>1494</v>
      </c>
      <c r="O51713" t="s">
        <v>448</v>
      </c>
      <c r="P51713" t="s">
        <v>1495</v>
      </c>
      <c r="Q51713" t="s">
        <v>144</v>
      </c>
      <c r="S51713">
        <v>0</v>
      </c>
      <c r="T51713">
        <v>0</v>
      </c>
      <c r="V51713" t="s">
        <v>146</v>
      </c>
      <c r="W51713" t="s">
        <v>184</v>
      </c>
      <c r="X51713" t="s">
        <v>7</v>
      </c>
      <c r="Y51713" t="s">
        <v>1494</v>
      </c>
      <c r="Z51713" t="s">
        <v>448</v>
      </c>
      <c r="AA51713" t="s">
        <v>456</v>
      </c>
      <c r="AB51713">
        <v>0</v>
      </c>
      <c r="AE51713" t="s">
        <v>1496</v>
      </c>
      <c r="AF51713" t="s">
        <v>448</v>
      </c>
      <c r="AG51713" t="s">
        <v>560</v>
      </c>
      <c r="AL51713" t="s">
        <v>6092</v>
      </c>
      <c r="AM51713" t="s">
        <v>6093</v>
      </c>
      <c r="AN51713" t="s">
        <v>6094</v>
      </c>
      <c r="AO51713" t="s">
        <v>1494</v>
      </c>
      <c r="AQ51713">
        <f>IF(ISBLANK(AP51713), IFERROR(IF(VLOOKUP(AO51713, Ellens_additions!$A$2:$B$252, 2, FALSE) = "", "", VLOOKUP(AO51713, Ellens_additions!$A$2:$B$252, 2, FALSE)), 0), AP51713)</f>
        <v>0</v>
      </c>
    </row>
    <row r="51714" spans="1:43" ht="14.4" hidden="1" x14ac:dyDescent="0.3">
      <c r="A51714" t="s">
        <v>6095</v>
      </c>
      <c r="B51714">
        <v>4908954</v>
      </c>
      <c r="C51714" t="s">
        <v>135</v>
      </c>
      <c r="D51714" t="s">
        <v>174</v>
      </c>
      <c r="E51714" t="s">
        <v>316</v>
      </c>
      <c r="F51714" t="s">
        <v>288</v>
      </c>
      <c r="H51714" t="s">
        <v>6096</v>
      </c>
      <c r="J51714" t="s">
        <v>140</v>
      </c>
      <c r="K51714">
        <v>159388.01999999999</v>
      </c>
      <c r="L51714">
        <v>383576.08</v>
      </c>
      <c r="N51714" t="s">
        <v>1494</v>
      </c>
      <c r="O51714" t="s">
        <v>448</v>
      </c>
      <c r="P51714" t="s">
        <v>1495</v>
      </c>
      <c r="Q51714" t="s">
        <v>144</v>
      </c>
      <c r="S51714">
        <v>0</v>
      </c>
      <c r="T51714">
        <v>0</v>
      </c>
      <c r="V51714" t="s">
        <v>146</v>
      </c>
      <c r="W51714" t="s">
        <v>184</v>
      </c>
      <c r="X51714" t="s">
        <v>7</v>
      </c>
      <c r="Y51714" t="s">
        <v>1494</v>
      </c>
      <c r="Z51714" t="s">
        <v>448</v>
      </c>
      <c r="AA51714" t="s">
        <v>456</v>
      </c>
      <c r="AB51714">
        <v>0</v>
      </c>
      <c r="AE51714" t="s">
        <v>1496</v>
      </c>
      <c r="AF51714" t="s">
        <v>448</v>
      </c>
      <c r="AG51714" t="s">
        <v>560</v>
      </c>
      <c r="AL51714" t="s">
        <v>6097</v>
      </c>
      <c r="AM51714" t="s">
        <v>6098</v>
      </c>
      <c r="AN51714" t="s">
        <v>6099</v>
      </c>
      <c r="AO51714" t="s">
        <v>1494</v>
      </c>
      <c r="AQ51714">
        <f>IF(ISBLANK(AP51714), IFERROR(IF(VLOOKUP(AO51714, Ellens_additions!$A$2:$B$252, 2, FALSE) = "", "", VLOOKUP(AO51714, Ellens_additions!$A$2:$B$252, 2, FALSE)), 0), AP51714)</f>
        <v>0</v>
      </c>
    </row>
    <row r="51715" spans="1:43" ht="14.4" hidden="1" x14ac:dyDescent="0.3">
      <c r="A51715" t="s">
        <v>6100</v>
      </c>
      <c r="B51715">
        <v>4908955</v>
      </c>
      <c r="C51715" t="s">
        <v>135</v>
      </c>
      <c r="D51715" t="s">
        <v>174</v>
      </c>
      <c r="E51715" t="s">
        <v>316</v>
      </c>
      <c r="F51715" t="s">
        <v>288</v>
      </c>
      <c r="H51715" t="s">
        <v>6101</v>
      </c>
      <c r="J51715" t="s">
        <v>140</v>
      </c>
      <c r="K51715">
        <v>159387.95000000001</v>
      </c>
      <c r="L51715">
        <v>383576.81</v>
      </c>
      <c r="N51715" t="s">
        <v>1494</v>
      </c>
      <c r="O51715" t="s">
        <v>448</v>
      </c>
      <c r="P51715" t="s">
        <v>1495</v>
      </c>
      <c r="Q51715" t="s">
        <v>144</v>
      </c>
      <c r="S51715">
        <v>0</v>
      </c>
      <c r="T51715">
        <v>0</v>
      </c>
      <c r="V51715" t="s">
        <v>146</v>
      </c>
      <c r="W51715" t="s">
        <v>184</v>
      </c>
      <c r="X51715" t="s">
        <v>7</v>
      </c>
      <c r="Y51715" t="s">
        <v>1494</v>
      </c>
      <c r="Z51715" t="s">
        <v>448</v>
      </c>
      <c r="AA51715" t="s">
        <v>456</v>
      </c>
      <c r="AB51715">
        <v>0</v>
      </c>
      <c r="AE51715" t="s">
        <v>1496</v>
      </c>
      <c r="AF51715" t="s">
        <v>448</v>
      </c>
      <c r="AG51715" t="s">
        <v>560</v>
      </c>
      <c r="AL51715" t="s">
        <v>6102</v>
      </c>
      <c r="AM51715" t="s">
        <v>6103</v>
      </c>
      <c r="AN51715" t="s">
        <v>6104</v>
      </c>
      <c r="AO51715" t="s">
        <v>1494</v>
      </c>
      <c r="AQ51715">
        <f>IF(ISBLANK(AP51715), IFERROR(IF(VLOOKUP(AO51715, Ellens_additions!$A$2:$B$252, 2, FALSE) = "", "", VLOOKUP(AO51715, Ellens_additions!$A$2:$B$252, 2, FALSE)), 0), AP51715)</f>
        <v>0</v>
      </c>
    </row>
    <row r="51716" spans="1:43" ht="14.4" hidden="1" x14ac:dyDescent="0.3">
      <c r="A51716" t="s">
        <v>6105</v>
      </c>
      <c r="B51716">
        <v>4908959</v>
      </c>
      <c r="C51716" t="s">
        <v>135</v>
      </c>
      <c r="D51716" t="s">
        <v>174</v>
      </c>
      <c r="E51716" t="s">
        <v>316</v>
      </c>
      <c r="F51716" t="s">
        <v>288</v>
      </c>
      <c r="H51716" t="s">
        <v>6106</v>
      </c>
      <c r="J51716" t="s">
        <v>140</v>
      </c>
      <c r="K51716">
        <v>159387.41</v>
      </c>
      <c r="L51716">
        <v>383580.7</v>
      </c>
      <c r="N51716" t="s">
        <v>1494</v>
      </c>
      <c r="O51716" t="s">
        <v>448</v>
      </c>
      <c r="P51716" t="s">
        <v>1495</v>
      </c>
      <c r="Q51716" t="s">
        <v>144</v>
      </c>
      <c r="S51716">
        <v>0</v>
      </c>
      <c r="T51716">
        <v>0</v>
      </c>
      <c r="V51716" t="s">
        <v>146</v>
      </c>
      <c r="W51716" t="s">
        <v>184</v>
      </c>
      <c r="X51716" t="s">
        <v>7</v>
      </c>
      <c r="Y51716" t="s">
        <v>1494</v>
      </c>
      <c r="Z51716" t="s">
        <v>448</v>
      </c>
      <c r="AA51716" t="s">
        <v>456</v>
      </c>
      <c r="AB51716">
        <v>0</v>
      </c>
      <c r="AE51716" t="s">
        <v>1496</v>
      </c>
      <c r="AF51716" t="s">
        <v>448</v>
      </c>
      <c r="AG51716" t="s">
        <v>560</v>
      </c>
      <c r="AL51716" t="s">
        <v>6107</v>
      </c>
      <c r="AM51716" t="s">
        <v>6108</v>
      </c>
      <c r="AN51716" t="s">
        <v>6109</v>
      </c>
      <c r="AO51716" t="s">
        <v>1494</v>
      </c>
      <c r="AQ51716">
        <f>IF(ISBLANK(AP51716), IFERROR(IF(VLOOKUP(AO51716, Ellens_additions!$A$2:$B$252, 2, FALSE) = "", "", VLOOKUP(AO51716, Ellens_additions!$A$2:$B$252, 2, FALSE)), 0), AP51716)</f>
        <v>0</v>
      </c>
    </row>
    <row r="51717" spans="1:43" ht="14.4" hidden="1" x14ac:dyDescent="0.3">
      <c r="A51717" t="s">
        <v>6110</v>
      </c>
      <c r="B51717">
        <v>4908961</v>
      </c>
      <c r="C51717" t="s">
        <v>135</v>
      </c>
      <c r="D51717" t="s">
        <v>174</v>
      </c>
      <c r="E51717" t="s">
        <v>316</v>
      </c>
      <c r="F51717" t="s">
        <v>288</v>
      </c>
      <c r="H51717" t="s">
        <v>6111</v>
      </c>
      <c r="J51717" t="s">
        <v>140</v>
      </c>
      <c r="K51717">
        <v>159387.04999999999</v>
      </c>
      <c r="L51717">
        <v>383582.55</v>
      </c>
      <c r="N51717" t="s">
        <v>1494</v>
      </c>
      <c r="O51717" t="s">
        <v>448</v>
      </c>
      <c r="P51717" t="s">
        <v>1495</v>
      </c>
      <c r="Q51717" t="s">
        <v>144</v>
      </c>
      <c r="S51717">
        <v>0</v>
      </c>
      <c r="T51717">
        <v>0</v>
      </c>
      <c r="V51717" t="s">
        <v>146</v>
      </c>
      <c r="W51717" t="s">
        <v>184</v>
      </c>
      <c r="X51717" t="s">
        <v>7</v>
      </c>
      <c r="Y51717" t="s">
        <v>1494</v>
      </c>
      <c r="Z51717" t="s">
        <v>448</v>
      </c>
      <c r="AA51717" t="s">
        <v>456</v>
      </c>
      <c r="AB51717">
        <v>0</v>
      </c>
      <c r="AE51717" t="s">
        <v>1496</v>
      </c>
      <c r="AF51717" t="s">
        <v>448</v>
      </c>
      <c r="AG51717" t="s">
        <v>560</v>
      </c>
      <c r="AL51717" t="s">
        <v>6112</v>
      </c>
      <c r="AM51717" t="s">
        <v>6113</v>
      </c>
      <c r="AN51717" t="s">
        <v>6114</v>
      </c>
      <c r="AO51717" t="s">
        <v>1494</v>
      </c>
      <c r="AQ51717">
        <f>IF(ISBLANK(AP51717), IFERROR(IF(VLOOKUP(AO51717, Ellens_additions!$A$2:$B$252, 2, FALSE) = "", "", VLOOKUP(AO51717, Ellens_additions!$A$2:$B$252, 2, FALSE)), 0), AP51717)</f>
        <v>0</v>
      </c>
    </row>
    <row r="51718" spans="1:43" ht="14.4" hidden="1" x14ac:dyDescent="0.3">
      <c r="A51718" t="s">
        <v>6115</v>
      </c>
      <c r="B51718">
        <v>4908963</v>
      </c>
      <c r="C51718" t="s">
        <v>135</v>
      </c>
      <c r="D51718" t="s">
        <v>174</v>
      </c>
      <c r="E51718" t="s">
        <v>316</v>
      </c>
      <c r="F51718" t="s">
        <v>288</v>
      </c>
      <c r="H51718" t="s">
        <v>6116</v>
      </c>
      <c r="J51718" t="s">
        <v>140</v>
      </c>
      <c r="K51718">
        <v>159386.59</v>
      </c>
      <c r="L51718">
        <v>383584.71</v>
      </c>
      <c r="N51718" t="s">
        <v>1494</v>
      </c>
      <c r="O51718" t="s">
        <v>448</v>
      </c>
      <c r="P51718" t="s">
        <v>1495</v>
      </c>
      <c r="Q51718" t="s">
        <v>144</v>
      </c>
      <c r="S51718">
        <v>0</v>
      </c>
      <c r="T51718">
        <v>0</v>
      </c>
      <c r="V51718" t="s">
        <v>146</v>
      </c>
      <c r="W51718" t="s">
        <v>184</v>
      </c>
      <c r="X51718" t="s">
        <v>7</v>
      </c>
      <c r="Y51718" t="s">
        <v>1494</v>
      </c>
      <c r="Z51718" t="s">
        <v>448</v>
      </c>
      <c r="AA51718" t="s">
        <v>456</v>
      </c>
      <c r="AB51718">
        <v>0</v>
      </c>
      <c r="AE51718" t="s">
        <v>1496</v>
      </c>
      <c r="AF51718" t="s">
        <v>448</v>
      </c>
      <c r="AG51718" t="s">
        <v>560</v>
      </c>
      <c r="AL51718" t="s">
        <v>6117</v>
      </c>
      <c r="AM51718" t="s">
        <v>6118</v>
      </c>
      <c r="AN51718" t="s">
        <v>6119</v>
      </c>
      <c r="AO51718" t="s">
        <v>1494</v>
      </c>
      <c r="AQ51718">
        <f>IF(ISBLANK(AP51718), IFERROR(IF(VLOOKUP(AO51718, Ellens_additions!$A$2:$B$252, 2, FALSE) = "", "", VLOOKUP(AO51718, Ellens_additions!$A$2:$B$252, 2, FALSE)), 0), AP51718)</f>
        <v>0</v>
      </c>
    </row>
    <row r="51719" spans="1:43" ht="14.4" hidden="1" x14ac:dyDescent="0.3">
      <c r="A51719" t="s">
        <v>6120</v>
      </c>
      <c r="B51719">
        <v>4908965</v>
      </c>
      <c r="C51719" t="s">
        <v>135</v>
      </c>
      <c r="D51719" t="s">
        <v>174</v>
      </c>
      <c r="E51719" t="s">
        <v>316</v>
      </c>
      <c r="F51719" t="s">
        <v>288</v>
      </c>
      <c r="H51719" t="s">
        <v>6121</v>
      </c>
      <c r="J51719" t="s">
        <v>140</v>
      </c>
      <c r="K51719">
        <v>159386.10999999999</v>
      </c>
      <c r="L51719">
        <v>383586.9</v>
      </c>
      <c r="N51719" t="s">
        <v>1494</v>
      </c>
      <c r="O51719" t="s">
        <v>448</v>
      </c>
      <c r="P51719" t="s">
        <v>1495</v>
      </c>
      <c r="Q51719" t="s">
        <v>144</v>
      </c>
      <c r="S51719">
        <v>0</v>
      </c>
      <c r="T51719">
        <v>0</v>
      </c>
      <c r="V51719" t="s">
        <v>146</v>
      </c>
      <c r="W51719" t="s">
        <v>184</v>
      </c>
      <c r="X51719" t="s">
        <v>7</v>
      </c>
      <c r="Y51719" t="s">
        <v>1494</v>
      </c>
      <c r="Z51719" t="s">
        <v>448</v>
      </c>
      <c r="AA51719" t="s">
        <v>456</v>
      </c>
      <c r="AB51719">
        <v>0</v>
      </c>
      <c r="AE51719" t="s">
        <v>1496</v>
      </c>
      <c r="AF51719" t="s">
        <v>448</v>
      </c>
      <c r="AG51719" t="s">
        <v>560</v>
      </c>
      <c r="AL51719" t="s">
        <v>6122</v>
      </c>
      <c r="AM51719" t="s">
        <v>6123</v>
      </c>
      <c r="AN51719" t="s">
        <v>6124</v>
      </c>
      <c r="AO51719" t="s">
        <v>1494</v>
      </c>
      <c r="AQ51719">
        <f>IF(ISBLANK(AP51719), IFERROR(IF(VLOOKUP(AO51719, Ellens_additions!$A$2:$B$252, 2, FALSE) = "", "", VLOOKUP(AO51719, Ellens_additions!$A$2:$B$252, 2, FALSE)), 0), AP51719)</f>
        <v>0</v>
      </c>
    </row>
    <row r="51720" spans="1:43" ht="14.4" hidden="1" x14ac:dyDescent="0.3">
      <c r="A51720" t="s">
        <v>6125</v>
      </c>
      <c r="B51720">
        <v>4908966</v>
      </c>
      <c r="C51720" t="s">
        <v>135</v>
      </c>
      <c r="D51720" t="s">
        <v>174</v>
      </c>
      <c r="E51720" t="s">
        <v>316</v>
      </c>
      <c r="F51720" t="s">
        <v>288</v>
      </c>
      <c r="H51720" t="s">
        <v>6126</v>
      </c>
      <c r="J51720" t="s">
        <v>140</v>
      </c>
      <c r="K51720">
        <v>159385.88</v>
      </c>
      <c r="L51720">
        <v>383587.64</v>
      </c>
      <c r="N51720" t="s">
        <v>1494</v>
      </c>
      <c r="O51720" t="s">
        <v>448</v>
      </c>
      <c r="P51720" t="s">
        <v>1495</v>
      </c>
      <c r="Q51720" t="s">
        <v>144</v>
      </c>
      <c r="S51720">
        <v>0</v>
      </c>
      <c r="T51720">
        <v>0</v>
      </c>
      <c r="V51720" t="s">
        <v>146</v>
      </c>
      <c r="W51720" t="s">
        <v>184</v>
      </c>
      <c r="X51720" t="s">
        <v>7</v>
      </c>
      <c r="Y51720" t="s">
        <v>1494</v>
      </c>
      <c r="Z51720" t="s">
        <v>448</v>
      </c>
      <c r="AA51720" t="s">
        <v>456</v>
      </c>
      <c r="AB51720">
        <v>0</v>
      </c>
      <c r="AE51720" t="s">
        <v>1496</v>
      </c>
      <c r="AF51720" t="s">
        <v>448</v>
      </c>
      <c r="AG51720" t="s">
        <v>560</v>
      </c>
      <c r="AL51720" t="s">
        <v>6127</v>
      </c>
      <c r="AM51720" t="s">
        <v>6128</v>
      </c>
      <c r="AN51720" t="s">
        <v>6129</v>
      </c>
      <c r="AO51720" t="s">
        <v>1494</v>
      </c>
      <c r="AQ51720">
        <f>IF(ISBLANK(AP51720), IFERROR(IF(VLOOKUP(AO51720, Ellens_additions!$A$2:$B$252, 2, FALSE) = "", "", VLOOKUP(AO51720, Ellens_additions!$A$2:$B$252, 2, FALSE)), 0), AP51720)</f>
        <v>0</v>
      </c>
    </row>
    <row r="51721" spans="1:43" ht="14.4" hidden="1" x14ac:dyDescent="0.3">
      <c r="A51721" t="s">
        <v>6130</v>
      </c>
      <c r="B51721">
        <v>4908967</v>
      </c>
      <c r="C51721" t="s">
        <v>135</v>
      </c>
      <c r="D51721" t="s">
        <v>174</v>
      </c>
      <c r="E51721" t="s">
        <v>316</v>
      </c>
      <c r="F51721" t="s">
        <v>288</v>
      </c>
      <c r="H51721" t="s">
        <v>6131</v>
      </c>
      <c r="J51721" t="s">
        <v>140</v>
      </c>
      <c r="K51721">
        <v>159385.67000000001</v>
      </c>
      <c r="L51721">
        <v>383588.35</v>
      </c>
      <c r="N51721" t="s">
        <v>1494</v>
      </c>
      <c r="O51721" t="s">
        <v>448</v>
      </c>
      <c r="P51721" t="s">
        <v>1495</v>
      </c>
      <c r="Q51721" t="s">
        <v>144</v>
      </c>
      <c r="S51721">
        <v>0</v>
      </c>
      <c r="T51721">
        <v>0</v>
      </c>
      <c r="V51721" t="s">
        <v>146</v>
      </c>
      <c r="W51721" t="s">
        <v>184</v>
      </c>
      <c r="X51721" t="s">
        <v>7</v>
      </c>
      <c r="Y51721" t="s">
        <v>1494</v>
      </c>
      <c r="Z51721" t="s">
        <v>448</v>
      </c>
      <c r="AA51721" t="s">
        <v>456</v>
      </c>
      <c r="AB51721">
        <v>0</v>
      </c>
      <c r="AE51721" t="s">
        <v>1496</v>
      </c>
      <c r="AF51721" t="s">
        <v>448</v>
      </c>
      <c r="AG51721" t="s">
        <v>560</v>
      </c>
      <c r="AL51721" t="s">
        <v>6132</v>
      </c>
      <c r="AM51721" t="s">
        <v>6133</v>
      </c>
      <c r="AN51721" t="s">
        <v>6134</v>
      </c>
      <c r="AO51721" t="s">
        <v>1494</v>
      </c>
      <c r="AQ51721">
        <f>IF(ISBLANK(AP51721), IFERROR(IF(VLOOKUP(AO51721, Ellens_additions!$A$2:$B$252, 2, FALSE) = "", "", VLOOKUP(AO51721, Ellens_additions!$A$2:$B$252, 2, FALSE)), 0), AP51721)</f>
        <v>0</v>
      </c>
    </row>
    <row r="51722" spans="1:43" ht="14.4" hidden="1" x14ac:dyDescent="0.3">
      <c r="A51722" t="s">
        <v>6135</v>
      </c>
      <c r="B51722">
        <v>4908975</v>
      </c>
      <c r="C51722" t="s">
        <v>135</v>
      </c>
      <c r="D51722" t="s">
        <v>174</v>
      </c>
      <c r="E51722" t="s">
        <v>316</v>
      </c>
      <c r="F51722" t="s">
        <v>288</v>
      </c>
      <c r="H51722" t="s">
        <v>6136</v>
      </c>
      <c r="J51722" t="s">
        <v>140</v>
      </c>
      <c r="K51722">
        <v>159382.9</v>
      </c>
      <c r="L51722">
        <v>383595.38</v>
      </c>
      <c r="N51722" t="s">
        <v>1494</v>
      </c>
      <c r="O51722" t="s">
        <v>448</v>
      </c>
      <c r="P51722" t="s">
        <v>1495</v>
      </c>
      <c r="Q51722" t="s">
        <v>144</v>
      </c>
      <c r="S51722">
        <v>0</v>
      </c>
      <c r="T51722">
        <v>0</v>
      </c>
      <c r="V51722" t="s">
        <v>146</v>
      </c>
      <c r="W51722" t="s">
        <v>184</v>
      </c>
      <c r="X51722" t="s">
        <v>7</v>
      </c>
      <c r="Y51722" t="s">
        <v>1494</v>
      </c>
      <c r="Z51722" t="s">
        <v>448</v>
      </c>
      <c r="AA51722" t="s">
        <v>456</v>
      </c>
      <c r="AB51722">
        <v>0</v>
      </c>
      <c r="AE51722" t="s">
        <v>1496</v>
      </c>
      <c r="AF51722" t="s">
        <v>448</v>
      </c>
      <c r="AG51722" t="s">
        <v>560</v>
      </c>
      <c r="AL51722" t="s">
        <v>6137</v>
      </c>
      <c r="AM51722" t="s">
        <v>6138</v>
      </c>
      <c r="AN51722" t="s">
        <v>6139</v>
      </c>
      <c r="AO51722" t="s">
        <v>1494</v>
      </c>
      <c r="AQ51722">
        <f>IF(ISBLANK(AP51722), IFERROR(IF(VLOOKUP(AO51722, Ellens_additions!$A$2:$B$252, 2, FALSE) = "", "", VLOOKUP(AO51722, Ellens_additions!$A$2:$B$252, 2, FALSE)), 0), AP51722)</f>
        <v>0</v>
      </c>
    </row>
    <row r="51723" spans="1:43" ht="14.4" hidden="1" x14ac:dyDescent="0.3">
      <c r="A51723" t="s">
        <v>6140</v>
      </c>
      <c r="B51723">
        <v>4908977</v>
      </c>
      <c r="C51723" t="s">
        <v>135</v>
      </c>
      <c r="D51723" t="s">
        <v>174</v>
      </c>
      <c r="E51723" t="s">
        <v>316</v>
      </c>
      <c r="F51723" t="s">
        <v>288</v>
      </c>
      <c r="H51723" t="s">
        <v>6141</v>
      </c>
      <c r="J51723" t="s">
        <v>140</v>
      </c>
      <c r="K51723">
        <v>159382.18</v>
      </c>
      <c r="L51723">
        <v>383596.98</v>
      </c>
      <c r="N51723" t="s">
        <v>1494</v>
      </c>
      <c r="O51723" t="s">
        <v>448</v>
      </c>
      <c r="P51723" t="s">
        <v>1495</v>
      </c>
      <c r="Q51723" t="s">
        <v>144</v>
      </c>
      <c r="S51723">
        <v>0</v>
      </c>
      <c r="T51723">
        <v>0</v>
      </c>
      <c r="V51723" t="s">
        <v>146</v>
      </c>
      <c r="W51723" t="s">
        <v>184</v>
      </c>
      <c r="X51723" t="s">
        <v>7</v>
      </c>
      <c r="Y51723" t="s">
        <v>1494</v>
      </c>
      <c r="Z51723" t="s">
        <v>448</v>
      </c>
      <c r="AA51723" t="s">
        <v>456</v>
      </c>
      <c r="AB51723">
        <v>0</v>
      </c>
      <c r="AE51723" t="s">
        <v>1496</v>
      </c>
      <c r="AF51723" t="s">
        <v>448</v>
      </c>
      <c r="AG51723" t="s">
        <v>560</v>
      </c>
      <c r="AL51723" t="s">
        <v>6142</v>
      </c>
      <c r="AM51723" t="s">
        <v>6143</v>
      </c>
      <c r="AN51723" t="s">
        <v>6144</v>
      </c>
      <c r="AO51723" t="s">
        <v>1494</v>
      </c>
      <c r="AQ51723">
        <f>IF(ISBLANK(AP51723), IFERROR(IF(VLOOKUP(AO51723, Ellens_additions!$A$2:$B$252, 2, FALSE) = "", "", VLOOKUP(AO51723, Ellens_additions!$A$2:$B$252, 2, FALSE)), 0), AP51723)</f>
        <v>0</v>
      </c>
    </row>
    <row r="51724" spans="1:43" ht="14.4" hidden="1" x14ac:dyDescent="0.3">
      <c r="A51724" t="s">
        <v>6145</v>
      </c>
      <c r="B51724">
        <v>4908978</v>
      </c>
      <c r="C51724" t="s">
        <v>135</v>
      </c>
      <c r="D51724" t="s">
        <v>174</v>
      </c>
      <c r="E51724" t="s">
        <v>316</v>
      </c>
      <c r="F51724" t="s">
        <v>288</v>
      </c>
      <c r="H51724" t="s">
        <v>6146</v>
      </c>
      <c r="J51724" t="s">
        <v>140</v>
      </c>
      <c r="K51724">
        <v>159381.75</v>
      </c>
      <c r="L51724">
        <v>383597.72</v>
      </c>
      <c r="N51724" t="s">
        <v>1494</v>
      </c>
      <c r="O51724" t="s">
        <v>448</v>
      </c>
      <c r="P51724" t="s">
        <v>1495</v>
      </c>
      <c r="Q51724" t="s">
        <v>144</v>
      </c>
      <c r="S51724">
        <v>0</v>
      </c>
      <c r="T51724">
        <v>0</v>
      </c>
      <c r="V51724" t="s">
        <v>146</v>
      </c>
      <c r="W51724" t="s">
        <v>184</v>
      </c>
      <c r="X51724" t="s">
        <v>7</v>
      </c>
      <c r="Y51724" t="s">
        <v>1494</v>
      </c>
      <c r="Z51724" t="s">
        <v>448</v>
      </c>
      <c r="AA51724" t="s">
        <v>456</v>
      </c>
      <c r="AB51724">
        <v>0</v>
      </c>
      <c r="AE51724" t="s">
        <v>1496</v>
      </c>
      <c r="AF51724" t="s">
        <v>448</v>
      </c>
      <c r="AG51724" t="s">
        <v>560</v>
      </c>
      <c r="AL51724" t="s">
        <v>6147</v>
      </c>
      <c r="AM51724" t="s">
        <v>6148</v>
      </c>
      <c r="AN51724" t="s">
        <v>6149</v>
      </c>
      <c r="AO51724" t="s">
        <v>1494</v>
      </c>
      <c r="AQ51724">
        <f>IF(ISBLANK(AP51724), IFERROR(IF(VLOOKUP(AO51724, Ellens_additions!$A$2:$B$252, 2, FALSE) = "", "", VLOOKUP(AO51724, Ellens_additions!$A$2:$B$252, 2, FALSE)), 0), AP51724)</f>
        <v>0</v>
      </c>
    </row>
    <row r="51725" spans="1:43" ht="14.4" hidden="1" x14ac:dyDescent="0.3">
      <c r="A51725" t="s">
        <v>6150</v>
      </c>
      <c r="B51725">
        <v>4908982</v>
      </c>
      <c r="C51725" t="s">
        <v>135</v>
      </c>
      <c r="D51725" t="s">
        <v>174</v>
      </c>
      <c r="E51725" t="s">
        <v>316</v>
      </c>
      <c r="F51725" t="s">
        <v>288</v>
      </c>
      <c r="H51725" t="s">
        <v>6151</v>
      </c>
      <c r="J51725" t="s">
        <v>140</v>
      </c>
      <c r="K51725">
        <v>159379.37</v>
      </c>
      <c r="L51725">
        <v>383601.71</v>
      </c>
      <c r="N51725" t="s">
        <v>1494</v>
      </c>
      <c r="O51725" t="s">
        <v>448</v>
      </c>
      <c r="P51725" t="s">
        <v>1495</v>
      </c>
      <c r="Q51725" t="s">
        <v>144</v>
      </c>
      <c r="S51725">
        <v>0</v>
      </c>
      <c r="T51725">
        <v>0</v>
      </c>
      <c r="V51725" t="s">
        <v>146</v>
      </c>
      <c r="W51725" t="s">
        <v>184</v>
      </c>
      <c r="X51725" t="s">
        <v>7</v>
      </c>
      <c r="Y51725" t="s">
        <v>1494</v>
      </c>
      <c r="Z51725" t="s">
        <v>448</v>
      </c>
      <c r="AA51725" t="s">
        <v>456</v>
      </c>
      <c r="AB51725">
        <v>0</v>
      </c>
      <c r="AE51725" t="s">
        <v>1496</v>
      </c>
      <c r="AF51725" t="s">
        <v>448</v>
      </c>
      <c r="AG51725" t="s">
        <v>560</v>
      </c>
      <c r="AL51725" t="s">
        <v>6152</v>
      </c>
      <c r="AM51725" t="s">
        <v>6153</v>
      </c>
      <c r="AN51725" t="s">
        <v>6154</v>
      </c>
      <c r="AO51725" t="s">
        <v>1494</v>
      </c>
      <c r="AQ51725">
        <f>IF(ISBLANK(AP51725), IFERROR(IF(VLOOKUP(AO51725, Ellens_additions!$A$2:$B$252, 2, FALSE) = "", "", VLOOKUP(AO51725, Ellens_additions!$A$2:$B$252, 2, FALSE)), 0), AP51725)</f>
        <v>0</v>
      </c>
    </row>
    <row r="51726" spans="1:43" ht="14.4" hidden="1" x14ac:dyDescent="0.3">
      <c r="A51726" t="s">
        <v>6155</v>
      </c>
      <c r="B51726">
        <v>4908983</v>
      </c>
      <c r="C51726" t="s">
        <v>135</v>
      </c>
      <c r="D51726" t="s">
        <v>174</v>
      </c>
      <c r="E51726" t="s">
        <v>316</v>
      </c>
      <c r="F51726" t="s">
        <v>288</v>
      </c>
      <c r="H51726" t="s">
        <v>6156</v>
      </c>
      <c r="J51726" t="s">
        <v>140</v>
      </c>
      <c r="K51726">
        <v>159378.78</v>
      </c>
      <c r="L51726">
        <v>383602.5</v>
      </c>
      <c r="N51726" t="s">
        <v>1494</v>
      </c>
      <c r="O51726" t="s">
        <v>448</v>
      </c>
      <c r="P51726" t="s">
        <v>1495</v>
      </c>
      <c r="Q51726" t="s">
        <v>144</v>
      </c>
      <c r="S51726">
        <v>0</v>
      </c>
      <c r="T51726">
        <v>0</v>
      </c>
      <c r="V51726" t="s">
        <v>146</v>
      </c>
      <c r="W51726" t="s">
        <v>184</v>
      </c>
      <c r="X51726" t="s">
        <v>7</v>
      </c>
      <c r="Y51726" t="s">
        <v>1494</v>
      </c>
      <c r="Z51726" t="s">
        <v>448</v>
      </c>
      <c r="AA51726" t="s">
        <v>456</v>
      </c>
      <c r="AB51726">
        <v>0</v>
      </c>
      <c r="AE51726" t="s">
        <v>1496</v>
      </c>
      <c r="AF51726" t="s">
        <v>448</v>
      </c>
      <c r="AG51726" t="s">
        <v>560</v>
      </c>
      <c r="AL51726" t="s">
        <v>6157</v>
      </c>
      <c r="AM51726" t="s">
        <v>6158</v>
      </c>
      <c r="AN51726" t="s">
        <v>6159</v>
      </c>
      <c r="AO51726" t="s">
        <v>1494</v>
      </c>
      <c r="AQ51726">
        <f>IF(ISBLANK(AP51726), IFERROR(IF(VLOOKUP(AO51726, Ellens_additions!$A$2:$B$252, 2, FALSE) = "", "", VLOOKUP(AO51726, Ellens_additions!$A$2:$B$252, 2, FALSE)), 0), AP51726)</f>
        <v>0</v>
      </c>
    </row>
    <row r="51727" spans="1:43" ht="14.4" hidden="1" x14ac:dyDescent="0.3">
      <c r="A51727" t="s">
        <v>6160</v>
      </c>
      <c r="B51727">
        <v>4908988</v>
      </c>
      <c r="C51727" t="s">
        <v>135</v>
      </c>
      <c r="D51727" t="s">
        <v>174</v>
      </c>
      <c r="E51727" t="s">
        <v>316</v>
      </c>
      <c r="F51727" t="s">
        <v>288</v>
      </c>
      <c r="H51727" t="s">
        <v>6161</v>
      </c>
      <c r="J51727" t="s">
        <v>140</v>
      </c>
      <c r="K51727">
        <v>159375.16</v>
      </c>
      <c r="L51727">
        <v>383606.75</v>
      </c>
      <c r="N51727" t="s">
        <v>1494</v>
      </c>
      <c r="O51727" t="s">
        <v>448</v>
      </c>
      <c r="P51727" t="s">
        <v>1495</v>
      </c>
      <c r="Q51727" t="s">
        <v>144</v>
      </c>
      <c r="S51727">
        <v>0</v>
      </c>
      <c r="T51727">
        <v>0</v>
      </c>
      <c r="V51727" t="s">
        <v>146</v>
      </c>
      <c r="W51727" t="s">
        <v>184</v>
      </c>
      <c r="X51727" t="s">
        <v>7</v>
      </c>
      <c r="Y51727" t="s">
        <v>1494</v>
      </c>
      <c r="Z51727" t="s">
        <v>448</v>
      </c>
      <c r="AA51727" t="s">
        <v>456</v>
      </c>
      <c r="AB51727">
        <v>0</v>
      </c>
      <c r="AE51727" t="s">
        <v>1496</v>
      </c>
      <c r="AF51727" t="s">
        <v>448</v>
      </c>
      <c r="AG51727" t="s">
        <v>560</v>
      </c>
      <c r="AL51727" t="s">
        <v>6162</v>
      </c>
      <c r="AM51727" t="s">
        <v>6163</v>
      </c>
      <c r="AN51727" t="s">
        <v>6164</v>
      </c>
      <c r="AO51727" t="s">
        <v>1494</v>
      </c>
      <c r="AQ51727">
        <f>IF(ISBLANK(AP51727), IFERROR(IF(VLOOKUP(AO51727, Ellens_additions!$A$2:$B$252, 2, FALSE) = "", "", VLOOKUP(AO51727, Ellens_additions!$A$2:$B$252, 2, FALSE)), 0), AP51727)</f>
        <v>0</v>
      </c>
    </row>
    <row r="51728" spans="1:43" ht="14.4" hidden="1" x14ac:dyDescent="0.3">
      <c r="A51728" t="s">
        <v>6165</v>
      </c>
      <c r="B51728">
        <v>4908989</v>
      </c>
      <c r="C51728" t="s">
        <v>135</v>
      </c>
      <c r="D51728" t="s">
        <v>174</v>
      </c>
      <c r="E51728" t="s">
        <v>316</v>
      </c>
      <c r="F51728" t="s">
        <v>288</v>
      </c>
      <c r="H51728" t="s">
        <v>6166</v>
      </c>
      <c r="J51728" t="s">
        <v>140</v>
      </c>
      <c r="K51728">
        <v>159374.22</v>
      </c>
      <c r="L51728">
        <v>383607.69</v>
      </c>
      <c r="N51728" t="s">
        <v>1494</v>
      </c>
      <c r="O51728" t="s">
        <v>448</v>
      </c>
      <c r="P51728" t="s">
        <v>1495</v>
      </c>
      <c r="Q51728" t="s">
        <v>144</v>
      </c>
      <c r="S51728">
        <v>0</v>
      </c>
      <c r="T51728">
        <v>0</v>
      </c>
      <c r="V51728" t="s">
        <v>146</v>
      </c>
      <c r="W51728" t="s">
        <v>184</v>
      </c>
      <c r="X51728" t="s">
        <v>7</v>
      </c>
      <c r="Y51728" t="s">
        <v>1494</v>
      </c>
      <c r="Z51728" t="s">
        <v>448</v>
      </c>
      <c r="AA51728" t="s">
        <v>456</v>
      </c>
      <c r="AB51728">
        <v>0</v>
      </c>
      <c r="AE51728" t="s">
        <v>1496</v>
      </c>
      <c r="AF51728" t="s">
        <v>448</v>
      </c>
      <c r="AG51728" t="s">
        <v>560</v>
      </c>
      <c r="AL51728" t="s">
        <v>6167</v>
      </c>
      <c r="AM51728" t="s">
        <v>6168</v>
      </c>
      <c r="AN51728" t="s">
        <v>6169</v>
      </c>
      <c r="AO51728" t="s">
        <v>1494</v>
      </c>
      <c r="AQ51728">
        <f>IF(ISBLANK(AP51728), IFERROR(IF(VLOOKUP(AO51728, Ellens_additions!$A$2:$B$252, 2, FALSE) = "", "", VLOOKUP(AO51728, Ellens_additions!$A$2:$B$252, 2, FALSE)), 0), AP51728)</f>
        <v>0</v>
      </c>
    </row>
    <row r="51729" spans="1:43" ht="14.4" hidden="1" x14ac:dyDescent="0.3">
      <c r="A51729" t="s">
        <v>6170</v>
      </c>
      <c r="B51729">
        <v>4908991</v>
      </c>
      <c r="C51729" t="s">
        <v>135</v>
      </c>
      <c r="D51729" t="s">
        <v>174</v>
      </c>
      <c r="E51729" t="s">
        <v>316</v>
      </c>
      <c r="F51729" t="s">
        <v>288</v>
      </c>
      <c r="H51729" t="s">
        <v>6171</v>
      </c>
      <c r="J51729" t="s">
        <v>140</v>
      </c>
      <c r="K51729">
        <v>159372.37</v>
      </c>
      <c r="L51729">
        <v>383609.43</v>
      </c>
      <c r="N51729" t="s">
        <v>1494</v>
      </c>
      <c r="O51729" t="s">
        <v>448</v>
      </c>
      <c r="P51729" t="s">
        <v>1495</v>
      </c>
      <c r="Q51729" t="s">
        <v>144</v>
      </c>
      <c r="S51729">
        <v>0</v>
      </c>
      <c r="T51729">
        <v>0</v>
      </c>
      <c r="V51729" t="s">
        <v>146</v>
      </c>
      <c r="W51729" t="s">
        <v>184</v>
      </c>
      <c r="X51729" t="s">
        <v>7</v>
      </c>
      <c r="Y51729" t="s">
        <v>1494</v>
      </c>
      <c r="Z51729" t="s">
        <v>448</v>
      </c>
      <c r="AA51729" t="s">
        <v>456</v>
      </c>
      <c r="AB51729">
        <v>0</v>
      </c>
      <c r="AE51729" t="s">
        <v>1496</v>
      </c>
      <c r="AF51729" t="s">
        <v>448</v>
      </c>
      <c r="AG51729" t="s">
        <v>560</v>
      </c>
      <c r="AL51729" t="s">
        <v>6172</v>
      </c>
      <c r="AM51729" t="s">
        <v>6173</v>
      </c>
      <c r="AN51729" t="s">
        <v>6174</v>
      </c>
      <c r="AO51729" t="s">
        <v>1494</v>
      </c>
      <c r="AQ51729">
        <f>IF(ISBLANK(AP51729), IFERROR(IF(VLOOKUP(AO51729, Ellens_additions!$A$2:$B$252, 2, FALSE) = "", "", VLOOKUP(AO51729, Ellens_additions!$A$2:$B$252, 2, FALSE)), 0), AP51729)</f>
        <v>0</v>
      </c>
    </row>
    <row r="51730" spans="1:43" ht="14.4" hidden="1" x14ac:dyDescent="0.3">
      <c r="A51730" t="s">
        <v>6175</v>
      </c>
      <c r="B51730">
        <v>4908995</v>
      </c>
      <c r="C51730" t="s">
        <v>135</v>
      </c>
      <c r="D51730" t="s">
        <v>174</v>
      </c>
      <c r="E51730" t="s">
        <v>316</v>
      </c>
      <c r="F51730" t="s">
        <v>288</v>
      </c>
      <c r="H51730" t="s">
        <v>6176</v>
      </c>
      <c r="J51730" t="s">
        <v>140</v>
      </c>
      <c r="K51730">
        <v>159368.53</v>
      </c>
      <c r="L51730">
        <v>383612.13</v>
      </c>
      <c r="N51730" t="s">
        <v>1494</v>
      </c>
      <c r="O51730" t="s">
        <v>448</v>
      </c>
      <c r="P51730" t="s">
        <v>1495</v>
      </c>
      <c r="Q51730" t="s">
        <v>144</v>
      </c>
      <c r="S51730">
        <v>0</v>
      </c>
      <c r="T51730">
        <v>0</v>
      </c>
      <c r="V51730" t="s">
        <v>146</v>
      </c>
      <c r="W51730" t="s">
        <v>184</v>
      </c>
      <c r="X51730" t="s">
        <v>7</v>
      </c>
      <c r="Y51730" t="s">
        <v>1494</v>
      </c>
      <c r="Z51730" t="s">
        <v>448</v>
      </c>
      <c r="AA51730" t="s">
        <v>456</v>
      </c>
      <c r="AB51730">
        <v>0</v>
      </c>
      <c r="AE51730" t="s">
        <v>1496</v>
      </c>
      <c r="AF51730" t="s">
        <v>448</v>
      </c>
      <c r="AG51730" t="s">
        <v>560</v>
      </c>
      <c r="AL51730" t="s">
        <v>6177</v>
      </c>
      <c r="AM51730" t="s">
        <v>6178</v>
      </c>
      <c r="AN51730" t="s">
        <v>6179</v>
      </c>
      <c r="AO51730" t="s">
        <v>1494</v>
      </c>
      <c r="AQ51730">
        <f>IF(ISBLANK(AP51730), IFERROR(IF(VLOOKUP(AO51730, Ellens_additions!$A$2:$B$252, 2, FALSE) = "", "", VLOOKUP(AO51730, Ellens_additions!$A$2:$B$252, 2, FALSE)), 0), AP51730)</f>
        <v>0</v>
      </c>
    </row>
    <row r="51731" spans="1:43" ht="14.4" hidden="1" x14ac:dyDescent="0.3">
      <c r="A51731" t="s">
        <v>6180</v>
      </c>
      <c r="B51731">
        <v>4908997</v>
      </c>
      <c r="C51731" t="s">
        <v>135</v>
      </c>
      <c r="D51731" t="s">
        <v>174</v>
      </c>
      <c r="E51731" t="s">
        <v>316</v>
      </c>
      <c r="F51731" t="s">
        <v>288</v>
      </c>
      <c r="H51731" t="s">
        <v>6181</v>
      </c>
      <c r="J51731" t="s">
        <v>140</v>
      </c>
      <c r="K51731">
        <v>159366.51999999999</v>
      </c>
      <c r="L51731">
        <v>383613.55</v>
      </c>
      <c r="N51731" t="s">
        <v>1494</v>
      </c>
      <c r="O51731" t="s">
        <v>448</v>
      </c>
      <c r="P51731" t="s">
        <v>1495</v>
      </c>
      <c r="Q51731" t="s">
        <v>144</v>
      </c>
      <c r="S51731">
        <v>0</v>
      </c>
      <c r="T51731">
        <v>0</v>
      </c>
      <c r="V51731" t="s">
        <v>146</v>
      </c>
      <c r="W51731" t="s">
        <v>184</v>
      </c>
      <c r="X51731" t="s">
        <v>7</v>
      </c>
      <c r="Y51731" t="s">
        <v>1494</v>
      </c>
      <c r="Z51731" t="s">
        <v>448</v>
      </c>
      <c r="AA51731" t="s">
        <v>456</v>
      </c>
      <c r="AB51731">
        <v>0</v>
      </c>
      <c r="AE51731" t="s">
        <v>1496</v>
      </c>
      <c r="AF51731" t="s">
        <v>448</v>
      </c>
      <c r="AG51731" t="s">
        <v>560</v>
      </c>
      <c r="AL51731" t="s">
        <v>6182</v>
      </c>
      <c r="AM51731" t="s">
        <v>6183</v>
      </c>
      <c r="AN51731" t="s">
        <v>6184</v>
      </c>
      <c r="AO51731" t="s">
        <v>1494</v>
      </c>
      <c r="AQ51731">
        <f>IF(ISBLANK(AP51731), IFERROR(IF(VLOOKUP(AO51731, Ellens_additions!$A$2:$B$252, 2, FALSE) = "", "", VLOOKUP(AO51731, Ellens_additions!$A$2:$B$252, 2, FALSE)), 0), AP51731)</f>
        <v>0</v>
      </c>
    </row>
    <row r="51732" spans="1:43" ht="14.4" hidden="1" x14ac:dyDescent="0.3">
      <c r="A51732" t="s">
        <v>6185</v>
      </c>
      <c r="B51732">
        <v>4909000</v>
      </c>
      <c r="C51732" t="s">
        <v>135</v>
      </c>
      <c r="D51732" t="s">
        <v>174</v>
      </c>
      <c r="E51732" t="s">
        <v>316</v>
      </c>
      <c r="F51732" t="s">
        <v>288</v>
      </c>
      <c r="H51732" t="s">
        <v>6186</v>
      </c>
      <c r="J51732" t="s">
        <v>140</v>
      </c>
      <c r="K51732">
        <v>159363.23000000001</v>
      </c>
      <c r="L51732">
        <v>383615.52</v>
      </c>
      <c r="N51732" t="s">
        <v>1494</v>
      </c>
      <c r="O51732" t="s">
        <v>448</v>
      </c>
      <c r="P51732" t="s">
        <v>1495</v>
      </c>
      <c r="Q51732" t="s">
        <v>144</v>
      </c>
      <c r="S51732">
        <v>0</v>
      </c>
      <c r="T51732">
        <v>0</v>
      </c>
      <c r="V51732" t="s">
        <v>146</v>
      </c>
      <c r="W51732" t="s">
        <v>184</v>
      </c>
      <c r="X51732" t="s">
        <v>7</v>
      </c>
      <c r="Y51732" t="s">
        <v>1494</v>
      </c>
      <c r="Z51732" t="s">
        <v>448</v>
      </c>
      <c r="AA51732" t="s">
        <v>456</v>
      </c>
      <c r="AB51732">
        <v>0</v>
      </c>
      <c r="AE51732" t="s">
        <v>1496</v>
      </c>
      <c r="AF51732" t="s">
        <v>448</v>
      </c>
      <c r="AG51732" t="s">
        <v>560</v>
      </c>
      <c r="AL51732" t="s">
        <v>6187</v>
      </c>
      <c r="AM51732" t="s">
        <v>6188</v>
      </c>
      <c r="AN51732" t="s">
        <v>6189</v>
      </c>
      <c r="AO51732" t="s">
        <v>1494</v>
      </c>
      <c r="AQ51732">
        <f>IF(ISBLANK(AP51732), IFERROR(IF(VLOOKUP(AO51732, Ellens_additions!$A$2:$B$252, 2, FALSE) = "", "", VLOOKUP(AO51732, Ellens_additions!$A$2:$B$252, 2, FALSE)), 0), AP51732)</f>
        <v>0</v>
      </c>
    </row>
    <row r="51733" spans="1:43" ht="14.4" hidden="1" x14ac:dyDescent="0.3">
      <c r="A51733" t="s">
        <v>6190</v>
      </c>
      <c r="B51733">
        <v>4909009</v>
      </c>
      <c r="C51733" t="s">
        <v>135</v>
      </c>
      <c r="D51733" t="s">
        <v>174</v>
      </c>
      <c r="E51733" t="s">
        <v>316</v>
      </c>
      <c r="F51733" t="s">
        <v>288</v>
      </c>
      <c r="H51733" t="s">
        <v>6191</v>
      </c>
      <c r="J51733" t="s">
        <v>140</v>
      </c>
      <c r="K51733">
        <v>159353.79</v>
      </c>
      <c r="L51733">
        <v>383619.62</v>
      </c>
      <c r="N51733" t="s">
        <v>1494</v>
      </c>
      <c r="O51733" t="s">
        <v>448</v>
      </c>
      <c r="P51733" t="s">
        <v>1495</v>
      </c>
      <c r="Q51733" t="s">
        <v>144</v>
      </c>
      <c r="S51733">
        <v>0</v>
      </c>
      <c r="T51733">
        <v>0</v>
      </c>
      <c r="V51733" t="s">
        <v>146</v>
      </c>
      <c r="W51733" t="s">
        <v>184</v>
      </c>
      <c r="X51733" t="s">
        <v>7</v>
      </c>
      <c r="Y51733" t="s">
        <v>1494</v>
      </c>
      <c r="Z51733" t="s">
        <v>448</v>
      </c>
      <c r="AA51733" t="s">
        <v>456</v>
      </c>
      <c r="AB51733">
        <v>0</v>
      </c>
      <c r="AE51733" t="s">
        <v>1496</v>
      </c>
      <c r="AF51733" t="s">
        <v>448</v>
      </c>
      <c r="AG51733" t="s">
        <v>560</v>
      </c>
      <c r="AL51733" t="s">
        <v>6192</v>
      </c>
      <c r="AM51733" t="s">
        <v>6193</v>
      </c>
      <c r="AN51733" t="s">
        <v>6194</v>
      </c>
      <c r="AO51733" t="s">
        <v>1494</v>
      </c>
      <c r="AQ51733">
        <f>IF(ISBLANK(AP51733), IFERROR(IF(VLOOKUP(AO51733, Ellens_additions!$A$2:$B$252, 2, FALSE) = "", "", VLOOKUP(AO51733, Ellens_additions!$A$2:$B$252, 2, FALSE)), 0), AP51733)</f>
        <v>0</v>
      </c>
    </row>
    <row r="51734" spans="1:43" ht="14.4" hidden="1" x14ac:dyDescent="0.3">
      <c r="A51734" t="s">
        <v>6195</v>
      </c>
      <c r="B51734">
        <v>4909013</v>
      </c>
      <c r="C51734" t="s">
        <v>135</v>
      </c>
      <c r="D51734" t="s">
        <v>174</v>
      </c>
      <c r="E51734" t="s">
        <v>316</v>
      </c>
      <c r="F51734" t="s">
        <v>288</v>
      </c>
      <c r="H51734" t="s">
        <v>6196</v>
      </c>
      <c r="J51734" t="s">
        <v>140</v>
      </c>
      <c r="K51734">
        <v>159349.54999999999</v>
      </c>
      <c r="L51734">
        <v>383621.64</v>
      </c>
      <c r="N51734" t="s">
        <v>1494</v>
      </c>
      <c r="O51734" t="s">
        <v>448</v>
      </c>
      <c r="P51734" t="s">
        <v>1495</v>
      </c>
      <c r="Q51734" t="s">
        <v>144</v>
      </c>
      <c r="S51734">
        <v>0</v>
      </c>
      <c r="T51734">
        <v>0</v>
      </c>
      <c r="V51734" t="s">
        <v>146</v>
      </c>
      <c r="W51734" t="s">
        <v>184</v>
      </c>
      <c r="X51734" t="s">
        <v>7</v>
      </c>
      <c r="Y51734" t="s">
        <v>1494</v>
      </c>
      <c r="Z51734" t="s">
        <v>448</v>
      </c>
      <c r="AA51734" t="s">
        <v>456</v>
      </c>
      <c r="AB51734">
        <v>0</v>
      </c>
      <c r="AE51734" t="s">
        <v>1496</v>
      </c>
      <c r="AF51734" t="s">
        <v>448</v>
      </c>
      <c r="AG51734" t="s">
        <v>560</v>
      </c>
      <c r="AL51734" t="s">
        <v>6197</v>
      </c>
      <c r="AM51734" t="s">
        <v>6198</v>
      </c>
      <c r="AN51734" t="s">
        <v>6199</v>
      </c>
      <c r="AO51734" t="s">
        <v>1494</v>
      </c>
      <c r="AQ51734">
        <f>IF(ISBLANK(AP51734), IFERROR(IF(VLOOKUP(AO51734, Ellens_additions!$A$2:$B$252, 2, FALSE) = "", "", VLOOKUP(AO51734, Ellens_additions!$A$2:$B$252, 2, FALSE)), 0), AP51734)</f>
        <v>0</v>
      </c>
    </row>
    <row r="51735" spans="1:43" ht="14.4" hidden="1" x14ac:dyDescent="0.3">
      <c r="A51735" t="s">
        <v>6200</v>
      </c>
      <c r="B51735">
        <v>4909014</v>
      </c>
      <c r="C51735" t="s">
        <v>135</v>
      </c>
      <c r="D51735" t="s">
        <v>174</v>
      </c>
      <c r="E51735" t="s">
        <v>316</v>
      </c>
      <c r="F51735" t="s">
        <v>288</v>
      </c>
      <c r="H51735" t="s">
        <v>6201</v>
      </c>
      <c r="J51735" t="s">
        <v>140</v>
      </c>
      <c r="K51735">
        <v>159348.56</v>
      </c>
      <c r="L51735">
        <v>383622.38</v>
      </c>
      <c r="N51735" t="s">
        <v>1494</v>
      </c>
      <c r="O51735" t="s">
        <v>448</v>
      </c>
      <c r="P51735" t="s">
        <v>1495</v>
      </c>
      <c r="Q51735" t="s">
        <v>144</v>
      </c>
      <c r="S51735">
        <v>0</v>
      </c>
      <c r="T51735">
        <v>0</v>
      </c>
      <c r="V51735" t="s">
        <v>146</v>
      </c>
      <c r="W51735" t="s">
        <v>184</v>
      </c>
      <c r="X51735" t="s">
        <v>7</v>
      </c>
      <c r="Y51735" t="s">
        <v>1494</v>
      </c>
      <c r="Z51735" t="s">
        <v>448</v>
      </c>
      <c r="AA51735" t="s">
        <v>456</v>
      </c>
      <c r="AB51735">
        <v>0</v>
      </c>
      <c r="AE51735" t="s">
        <v>1496</v>
      </c>
      <c r="AF51735" t="s">
        <v>448</v>
      </c>
      <c r="AG51735" t="s">
        <v>560</v>
      </c>
      <c r="AL51735" t="s">
        <v>6202</v>
      </c>
      <c r="AM51735" t="s">
        <v>6203</v>
      </c>
      <c r="AN51735" t="s">
        <v>6204</v>
      </c>
      <c r="AO51735" t="s">
        <v>1494</v>
      </c>
      <c r="AQ51735">
        <f>IF(ISBLANK(AP51735), IFERROR(IF(VLOOKUP(AO51735, Ellens_additions!$A$2:$B$252, 2, FALSE) = "", "", VLOOKUP(AO51735, Ellens_additions!$A$2:$B$252, 2, FALSE)), 0), AP51735)</f>
        <v>0</v>
      </c>
    </row>
    <row r="51736" spans="1:43" ht="14.4" hidden="1" x14ac:dyDescent="0.3">
      <c r="A51736" t="s">
        <v>6205</v>
      </c>
      <c r="B51736">
        <v>4909019</v>
      </c>
      <c r="C51736" t="s">
        <v>135</v>
      </c>
      <c r="D51736" t="s">
        <v>174</v>
      </c>
      <c r="E51736" t="s">
        <v>316</v>
      </c>
      <c r="F51736" t="s">
        <v>288</v>
      </c>
      <c r="H51736" t="s">
        <v>6206</v>
      </c>
      <c r="J51736" t="s">
        <v>140</v>
      </c>
      <c r="K51736">
        <v>159344.93</v>
      </c>
      <c r="L51736">
        <v>383626.06</v>
      </c>
      <c r="N51736" t="s">
        <v>1494</v>
      </c>
      <c r="O51736" t="s">
        <v>448</v>
      </c>
      <c r="P51736" t="s">
        <v>1495</v>
      </c>
      <c r="Q51736" t="s">
        <v>144</v>
      </c>
      <c r="S51736">
        <v>0</v>
      </c>
      <c r="T51736">
        <v>0</v>
      </c>
      <c r="V51736" t="s">
        <v>146</v>
      </c>
      <c r="W51736" t="s">
        <v>184</v>
      </c>
      <c r="X51736" t="s">
        <v>7</v>
      </c>
      <c r="Y51736" t="s">
        <v>1494</v>
      </c>
      <c r="Z51736" t="s">
        <v>448</v>
      </c>
      <c r="AA51736" t="s">
        <v>456</v>
      </c>
      <c r="AB51736">
        <v>0</v>
      </c>
      <c r="AE51736" t="s">
        <v>1496</v>
      </c>
      <c r="AF51736" t="s">
        <v>448</v>
      </c>
      <c r="AG51736" t="s">
        <v>560</v>
      </c>
      <c r="AL51736" t="s">
        <v>6207</v>
      </c>
      <c r="AM51736" t="s">
        <v>6208</v>
      </c>
      <c r="AN51736" t="s">
        <v>6209</v>
      </c>
      <c r="AO51736" t="s">
        <v>1494</v>
      </c>
      <c r="AQ51736">
        <f>IF(ISBLANK(AP51736), IFERROR(IF(VLOOKUP(AO51736, Ellens_additions!$A$2:$B$252, 2, FALSE) = "", "", VLOOKUP(AO51736, Ellens_additions!$A$2:$B$252, 2, FALSE)), 0), AP51736)</f>
        <v>0</v>
      </c>
    </row>
    <row r="51737" spans="1:43" ht="14.4" hidden="1" x14ac:dyDescent="0.3">
      <c r="A51737" t="s">
        <v>6210</v>
      </c>
      <c r="B51737">
        <v>4909023</v>
      </c>
      <c r="C51737" t="s">
        <v>135</v>
      </c>
      <c r="D51737" t="s">
        <v>174</v>
      </c>
      <c r="E51737" t="s">
        <v>316</v>
      </c>
      <c r="F51737" t="s">
        <v>288</v>
      </c>
      <c r="H51737" t="s">
        <v>6211</v>
      </c>
      <c r="J51737" t="s">
        <v>140</v>
      </c>
      <c r="K51737">
        <v>159343.74</v>
      </c>
      <c r="L51737">
        <v>383629.74</v>
      </c>
      <c r="N51737" t="s">
        <v>1494</v>
      </c>
      <c r="O51737" t="s">
        <v>448</v>
      </c>
      <c r="P51737" t="s">
        <v>1495</v>
      </c>
      <c r="Q51737" t="s">
        <v>144</v>
      </c>
      <c r="S51737">
        <v>0</v>
      </c>
      <c r="T51737">
        <v>0</v>
      </c>
      <c r="V51737" t="s">
        <v>146</v>
      </c>
      <c r="W51737" t="s">
        <v>184</v>
      </c>
      <c r="X51737" t="s">
        <v>7</v>
      </c>
      <c r="Y51737" t="s">
        <v>1494</v>
      </c>
      <c r="Z51737" t="s">
        <v>448</v>
      </c>
      <c r="AA51737" t="s">
        <v>456</v>
      </c>
      <c r="AB51737">
        <v>0</v>
      </c>
      <c r="AE51737" t="s">
        <v>1496</v>
      </c>
      <c r="AF51737" t="s">
        <v>448</v>
      </c>
      <c r="AG51737" t="s">
        <v>560</v>
      </c>
      <c r="AL51737" t="s">
        <v>6212</v>
      </c>
      <c r="AM51737" t="s">
        <v>6213</v>
      </c>
      <c r="AN51737" t="s">
        <v>6214</v>
      </c>
      <c r="AO51737" t="s">
        <v>1494</v>
      </c>
      <c r="AQ51737">
        <f>IF(ISBLANK(AP51737), IFERROR(IF(VLOOKUP(AO51737, Ellens_additions!$A$2:$B$252, 2, FALSE) = "", "", VLOOKUP(AO51737, Ellens_additions!$A$2:$B$252, 2, FALSE)), 0), AP51737)</f>
        <v>0</v>
      </c>
    </row>
    <row r="51738" spans="1:43" ht="14.4" hidden="1" x14ac:dyDescent="0.3">
      <c r="A51738" t="s">
        <v>6215</v>
      </c>
      <c r="B51738">
        <v>4909025</v>
      </c>
      <c r="C51738" t="s">
        <v>135</v>
      </c>
      <c r="D51738" t="s">
        <v>174</v>
      </c>
      <c r="E51738" t="s">
        <v>316</v>
      </c>
      <c r="F51738" t="s">
        <v>288</v>
      </c>
      <c r="H51738" t="s">
        <v>6216</v>
      </c>
      <c r="J51738" t="s">
        <v>140</v>
      </c>
      <c r="K51738">
        <v>159343.17000000001</v>
      </c>
      <c r="L51738">
        <v>383631.85</v>
      </c>
      <c r="N51738" t="s">
        <v>1494</v>
      </c>
      <c r="O51738" t="s">
        <v>448</v>
      </c>
      <c r="P51738" t="s">
        <v>1495</v>
      </c>
      <c r="Q51738" t="s">
        <v>144</v>
      </c>
      <c r="S51738">
        <v>0</v>
      </c>
      <c r="T51738">
        <v>0</v>
      </c>
      <c r="V51738" t="s">
        <v>146</v>
      </c>
      <c r="W51738" t="s">
        <v>184</v>
      </c>
      <c r="X51738" t="s">
        <v>7</v>
      </c>
      <c r="Y51738" t="s">
        <v>1494</v>
      </c>
      <c r="Z51738" t="s">
        <v>448</v>
      </c>
      <c r="AA51738" t="s">
        <v>456</v>
      </c>
      <c r="AB51738">
        <v>0</v>
      </c>
      <c r="AE51738" t="s">
        <v>1496</v>
      </c>
      <c r="AF51738" t="s">
        <v>448</v>
      </c>
      <c r="AG51738" t="s">
        <v>560</v>
      </c>
      <c r="AL51738" t="s">
        <v>6217</v>
      </c>
      <c r="AM51738" t="s">
        <v>6218</v>
      </c>
      <c r="AN51738" t="s">
        <v>6219</v>
      </c>
      <c r="AO51738" t="s">
        <v>1494</v>
      </c>
      <c r="AQ51738">
        <f>IF(ISBLANK(AP51738), IFERROR(IF(VLOOKUP(AO51738, Ellens_additions!$A$2:$B$252, 2, FALSE) = "", "", VLOOKUP(AO51738, Ellens_additions!$A$2:$B$252, 2, FALSE)), 0), AP51738)</f>
        <v>0</v>
      </c>
    </row>
    <row r="51739" spans="1:43" ht="14.4" hidden="1" x14ac:dyDescent="0.3">
      <c r="A51739" t="s">
        <v>6220</v>
      </c>
      <c r="B51739">
        <v>4909026</v>
      </c>
      <c r="C51739" t="s">
        <v>135</v>
      </c>
      <c r="D51739" t="s">
        <v>174</v>
      </c>
      <c r="E51739" t="s">
        <v>316</v>
      </c>
      <c r="F51739" t="s">
        <v>288</v>
      </c>
      <c r="H51739" t="s">
        <v>6221</v>
      </c>
      <c r="J51739" t="s">
        <v>140</v>
      </c>
      <c r="K51739">
        <v>159342.92000000001</v>
      </c>
      <c r="L51739">
        <v>383632.92</v>
      </c>
      <c r="N51739" t="s">
        <v>1494</v>
      </c>
      <c r="O51739" t="s">
        <v>448</v>
      </c>
      <c r="P51739" t="s">
        <v>1495</v>
      </c>
      <c r="Q51739" t="s">
        <v>144</v>
      </c>
      <c r="S51739">
        <v>0</v>
      </c>
      <c r="T51739">
        <v>0</v>
      </c>
      <c r="V51739" t="s">
        <v>146</v>
      </c>
      <c r="W51739" t="s">
        <v>184</v>
      </c>
      <c r="X51739" t="s">
        <v>7</v>
      </c>
      <c r="Y51739" t="s">
        <v>1494</v>
      </c>
      <c r="Z51739" t="s">
        <v>448</v>
      </c>
      <c r="AA51739" t="s">
        <v>456</v>
      </c>
      <c r="AB51739">
        <v>0</v>
      </c>
      <c r="AE51739" t="s">
        <v>1496</v>
      </c>
      <c r="AF51739" t="s">
        <v>448</v>
      </c>
      <c r="AG51739" t="s">
        <v>560</v>
      </c>
      <c r="AL51739" t="s">
        <v>6222</v>
      </c>
      <c r="AM51739" t="s">
        <v>6223</v>
      </c>
      <c r="AN51739" t="s">
        <v>6224</v>
      </c>
      <c r="AO51739" t="s">
        <v>1494</v>
      </c>
      <c r="AQ51739">
        <f>IF(ISBLANK(AP51739), IFERROR(IF(VLOOKUP(AO51739, Ellens_additions!$A$2:$B$252, 2, FALSE) = "", "", VLOOKUP(AO51739, Ellens_additions!$A$2:$B$252, 2, FALSE)), 0), AP51739)</f>
        <v>0</v>
      </c>
    </row>
    <row r="51740" spans="1:43" ht="14.4" hidden="1" x14ac:dyDescent="0.3">
      <c r="A51740" t="s">
        <v>6225</v>
      </c>
      <c r="B51740">
        <v>4909031</v>
      </c>
      <c r="C51740" t="s">
        <v>135</v>
      </c>
      <c r="D51740" t="s">
        <v>174</v>
      </c>
      <c r="E51740" t="s">
        <v>316</v>
      </c>
      <c r="F51740" t="s">
        <v>288</v>
      </c>
      <c r="H51740" t="s">
        <v>6226</v>
      </c>
      <c r="J51740" t="s">
        <v>140</v>
      </c>
      <c r="K51740">
        <v>159341.74</v>
      </c>
      <c r="L51740">
        <v>383636.8</v>
      </c>
      <c r="N51740" t="s">
        <v>1494</v>
      </c>
      <c r="O51740" t="s">
        <v>448</v>
      </c>
      <c r="P51740" t="s">
        <v>1495</v>
      </c>
      <c r="Q51740" t="s">
        <v>144</v>
      </c>
      <c r="S51740">
        <v>0</v>
      </c>
      <c r="T51740">
        <v>0</v>
      </c>
      <c r="V51740" t="s">
        <v>146</v>
      </c>
      <c r="W51740" t="s">
        <v>184</v>
      </c>
      <c r="X51740" t="s">
        <v>7</v>
      </c>
      <c r="Y51740" t="s">
        <v>1494</v>
      </c>
      <c r="Z51740" t="s">
        <v>448</v>
      </c>
      <c r="AA51740" t="s">
        <v>456</v>
      </c>
      <c r="AB51740">
        <v>0</v>
      </c>
      <c r="AE51740" t="s">
        <v>1496</v>
      </c>
      <c r="AF51740" t="s">
        <v>448</v>
      </c>
      <c r="AG51740" t="s">
        <v>560</v>
      </c>
      <c r="AL51740" t="s">
        <v>6227</v>
      </c>
      <c r="AM51740" t="s">
        <v>6228</v>
      </c>
      <c r="AN51740" t="s">
        <v>6229</v>
      </c>
      <c r="AO51740" t="s">
        <v>1494</v>
      </c>
      <c r="AQ51740">
        <f>IF(ISBLANK(AP51740), IFERROR(IF(VLOOKUP(AO51740, Ellens_additions!$A$2:$B$252, 2, FALSE) = "", "", VLOOKUP(AO51740, Ellens_additions!$A$2:$B$252, 2, FALSE)), 0), AP51740)</f>
        <v>0</v>
      </c>
    </row>
    <row r="51741" spans="1:43" ht="14.4" hidden="1" x14ac:dyDescent="0.3">
      <c r="A51741" t="s">
        <v>6230</v>
      </c>
      <c r="B51741">
        <v>4909036</v>
      </c>
      <c r="C51741" t="s">
        <v>135</v>
      </c>
      <c r="D51741" t="s">
        <v>174</v>
      </c>
      <c r="E51741" t="s">
        <v>316</v>
      </c>
      <c r="F51741" t="s">
        <v>288</v>
      </c>
      <c r="H51741" t="s">
        <v>6231</v>
      </c>
      <c r="J51741" t="s">
        <v>140</v>
      </c>
      <c r="K51741">
        <v>159340.57999999999</v>
      </c>
      <c r="L51741">
        <v>383641.24</v>
      </c>
      <c r="N51741" t="s">
        <v>1494</v>
      </c>
      <c r="O51741" t="s">
        <v>448</v>
      </c>
      <c r="P51741" t="s">
        <v>1495</v>
      </c>
      <c r="Q51741" t="s">
        <v>144</v>
      </c>
      <c r="S51741">
        <v>0</v>
      </c>
      <c r="T51741">
        <v>0</v>
      </c>
      <c r="V51741" t="s">
        <v>146</v>
      </c>
      <c r="W51741" t="s">
        <v>184</v>
      </c>
      <c r="X51741" t="s">
        <v>7</v>
      </c>
      <c r="Y51741" t="s">
        <v>1494</v>
      </c>
      <c r="Z51741" t="s">
        <v>448</v>
      </c>
      <c r="AA51741" t="s">
        <v>456</v>
      </c>
      <c r="AB51741">
        <v>0</v>
      </c>
      <c r="AE51741" t="s">
        <v>1496</v>
      </c>
      <c r="AF51741" t="s">
        <v>448</v>
      </c>
      <c r="AG51741" t="s">
        <v>560</v>
      </c>
      <c r="AL51741" t="s">
        <v>6232</v>
      </c>
      <c r="AM51741" t="s">
        <v>6233</v>
      </c>
      <c r="AN51741" t="s">
        <v>6234</v>
      </c>
      <c r="AO51741" t="s">
        <v>1494</v>
      </c>
      <c r="AQ51741">
        <f>IF(ISBLANK(AP51741), IFERROR(IF(VLOOKUP(AO51741, Ellens_additions!$A$2:$B$252, 2, FALSE) = "", "", VLOOKUP(AO51741, Ellens_additions!$A$2:$B$252, 2, FALSE)), 0), AP51741)</f>
        <v>0</v>
      </c>
    </row>
    <row r="51742" spans="1:43" ht="14.4" hidden="1" x14ac:dyDescent="0.3">
      <c r="A51742" t="s">
        <v>6235</v>
      </c>
      <c r="B51742">
        <v>4909040</v>
      </c>
      <c r="C51742" t="s">
        <v>135</v>
      </c>
      <c r="D51742" t="s">
        <v>174</v>
      </c>
      <c r="E51742" t="s">
        <v>316</v>
      </c>
      <c r="F51742" t="s">
        <v>288</v>
      </c>
      <c r="H51742" t="s">
        <v>6236</v>
      </c>
      <c r="J51742" t="s">
        <v>140</v>
      </c>
      <c r="K51742">
        <v>159339.56</v>
      </c>
      <c r="L51742">
        <v>383644.99</v>
      </c>
      <c r="N51742" t="s">
        <v>1494</v>
      </c>
      <c r="O51742" t="s">
        <v>448</v>
      </c>
      <c r="P51742" t="s">
        <v>1495</v>
      </c>
      <c r="Q51742" t="s">
        <v>144</v>
      </c>
      <c r="S51742">
        <v>0</v>
      </c>
      <c r="T51742">
        <v>0</v>
      </c>
      <c r="V51742" t="s">
        <v>146</v>
      </c>
      <c r="W51742" t="s">
        <v>184</v>
      </c>
      <c r="X51742" t="s">
        <v>7</v>
      </c>
      <c r="Y51742" t="s">
        <v>1494</v>
      </c>
      <c r="Z51742" t="s">
        <v>448</v>
      </c>
      <c r="AA51742" t="s">
        <v>456</v>
      </c>
      <c r="AB51742">
        <v>0</v>
      </c>
      <c r="AE51742" t="s">
        <v>1496</v>
      </c>
      <c r="AF51742" t="s">
        <v>448</v>
      </c>
      <c r="AG51742" t="s">
        <v>560</v>
      </c>
      <c r="AL51742" t="s">
        <v>6237</v>
      </c>
      <c r="AM51742" t="s">
        <v>6238</v>
      </c>
      <c r="AN51742" t="s">
        <v>6239</v>
      </c>
      <c r="AO51742" t="s">
        <v>1494</v>
      </c>
      <c r="AQ51742">
        <f>IF(ISBLANK(AP51742), IFERROR(IF(VLOOKUP(AO51742, Ellens_additions!$A$2:$B$252, 2, FALSE) = "", "", VLOOKUP(AO51742, Ellens_additions!$A$2:$B$252, 2, FALSE)), 0), AP51742)</f>
        <v>0</v>
      </c>
    </row>
    <row r="51743" spans="1:43" ht="14.4" hidden="1" x14ac:dyDescent="0.3">
      <c r="A51743" t="s">
        <v>6240</v>
      </c>
      <c r="B51743">
        <v>4909048</v>
      </c>
      <c r="C51743" t="s">
        <v>135</v>
      </c>
      <c r="D51743" t="s">
        <v>174</v>
      </c>
      <c r="E51743" t="s">
        <v>316</v>
      </c>
      <c r="F51743" t="s">
        <v>288</v>
      </c>
      <c r="H51743" t="s">
        <v>6241</v>
      </c>
      <c r="J51743" t="s">
        <v>140</v>
      </c>
      <c r="K51743">
        <v>159325.76999999999</v>
      </c>
      <c r="L51743">
        <v>383637.05</v>
      </c>
      <c r="N51743" t="s">
        <v>1494</v>
      </c>
      <c r="O51743" t="s">
        <v>448</v>
      </c>
      <c r="P51743" t="s">
        <v>1495</v>
      </c>
      <c r="Q51743" t="s">
        <v>144</v>
      </c>
      <c r="S51743">
        <v>0</v>
      </c>
      <c r="T51743">
        <v>0</v>
      </c>
      <c r="V51743" t="s">
        <v>146</v>
      </c>
      <c r="W51743" t="s">
        <v>184</v>
      </c>
      <c r="X51743" t="s">
        <v>7</v>
      </c>
      <c r="Y51743" t="s">
        <v>1494</v>
      </c>
      <c r="Z51743" t="s">
        <v>448</v>
      </c>
      <c r="AA51743" t="s">
        <v>456</v>
      </c>
      <c r="AB51743">
        <v>0</v>
      </c>
      <c r="AE51743" t="s">
        <v>1496</v>
      </c>
      <c r="AF51743" t="s">
        <v>448</v>
      </c>
      <c r="AG51743" t="s">
        <v>560</v>
      </c>
      <c r="AL51743" t="s">
        <v>6242</v>
      </c>
      <c r="AM51743" t="s">
        <v>6243</v>
      </c>
      <c r="AN51743" t="s">
        <v>6244</v>
      </c>
      <c r="AO51743" t="s">
        <v>1494</v>
      </c>
      <c r="AQ51743">
        <f>IF(ISBLANK(AP51743), IFERROR(IF(VLOOKUP(AO51743, Ellens_additions!$A$2:$B$252, 2, FALSE) = "", "", VLOOKUP(AO51743, Ellens_additions!$A$2:$B$252, 2, FALSE)), 0), AP51743)</f>
        <v>0</v>
      </c>
    </row>
    <row r="51744" spans="1:43" ht="14.4" hidden="1" x14ac:dyDescent="0.3">
      <c r="A51744" t="s">
        <v>6245</v>
      </c>
      <c r="B51744">
        <v>4909054</v>
      </c>
      <c r="C51744" t="s">
        <v>135</v>
      </c>
      <c r="D51744" t="s">
        <v>174</v>
      </c>
      <c r="E51744" t="s">
        <v>316</v>
      </c>
      <c r="F51744" t="s">
        <v>288</v>
      </c>
      <c r="H51744" t="s">
        <v>6246</v>
      </c>
      <c r="J51744" t="s">
        <v>140</v>
      </c>
      <c r="K51744">
        <v>159326.66</v>
      </c>
      <c r="L51744">
        <v>383630.6</v>
      </c>
      <c r="N51744" t="s">
        <v>1494</v>
      </c>
      <c r="O51744" t="s">
        <v>448</v>
      </c>
      <c r="P51744" t="s">
        <v>1495</v>
      </c>
      <c r="Q51744" t="s">
        <v>144</v>
      </c>
      <c r="S51744">
        <v>0</v>
      </c>
      <c r="T51744">
        <v>0</v>
      </c>
      <c r="V51744" t="s">
        <v>146</v>
      </c>
      <c r="W51744" t="s">
        <v>184</v>
      </c>
      <c r="X51744" t="s">
        <v>7</v>
      </c>
      <c r="Y51744" t="s">
        <v>1494</v>
      </c>
      <c r="Z51744" t="s">
        <v>448</v>
      </c>
      <c r="AA51744" t="s">
        <v>456</v>
      </c>
      <c r="AB51744">
        <v>0</v>
      </c>
      <c r="AE51744" t="s">
        <v>1496</v>
      </c>
      <c r="AF51744" t="s">
        <v>448</v>
      </c>
      <c r="AG51744" t="s">
        <v>560</v>
      </c>
      <c r="AL51744" t="s">
        <v>6247</v>
      </c>
      <c r="AM51744" t="s">
        <v>6248</v>
      </c>
      <c r="AN51744" t="s">
        <v>6249</v>
      </c>
      <c r="AO51744" t="s">
        <v>1494</v>
      </c>
      <c r="AQ51744">
        <f>IF(ISBLANK(AP51744), IFERROR(IF(VLOOKUP(AO51744, Ellens_additions!$A$2:$B$252, 2, FALSE) = "", "", VLOOKUP(AO51744, Ellens_additions!$A$2:$B$252, 2, FALSE)), 0), AP51744)</f>
        <v>0</v>
      </c>
    </row>
    <row r="51745" spans="1:43" ht="14.4" hidden="1" x14ac:dyDescent="0.3">
      <c r="A51745" t="s">
        <v>6250</v>
      </c>
      <c r="B51745">
        <v>4909058</v>
      </c>
      <c r="C51745" t="s">
        <v>135</v>
      </c>
      <c r="D51745" t="s">
        <v>174</v>
      </c>
      <c r="E51745" t="s">
        <v>316</v>
      </c>
      <c r="F51745" t="s">
        <v>288</v>
      </c>
      <c r="H51745" t="s">
        <v>6251</v>
      </c>
      <c r="J51745" t="s">
        <v>140</v>
      </c>
      <c r="K51745">
        <v>159327.35</v>
      </c>
      <c r="L51745">
        <v>383626.14</v>
      </c>
      <c r="N51745" t="s">
        <v>1494</v>
      </c>
      <c r="O51745" t="s">
        <v>448</v>
      </c>
      <c r="P51745" t="s">
        <v>1495</v>
      </c>
      <c r="Q51745" t="s">
        <v>144</v>
      </c>
      <c r="S51745">
        <v>0</v>
      </c>
      <c r="T51745">
        <v>0</v>
      </c>
      <c r="V51745" t="s">
        <v>146</v>
      </c>
      <c r="W51745" t="s">
        <v>184</v>
      </c>
      <c r="X51745" t="s">
        <v>7</v>
      </c>
      <c r="Y51745" t="s">
        <v>1494</v>
      </c>
      <c r="Z51745" t="s">
        <v>448</v>
      </c>
      <c r="AA51745" t="s">
        <v>456</v>
      </c>
      <c r="AB51745">
        <v>0</v>
      </c>
      <c r="AE51745" t="s">
        <v>1496</v>
      </c>
      <c r="AF51745" t="s">
        <v>448</v>
      </c>
      <c r="AG51745" t="s">
        <v>560</v>
      </c>
      <c r="AL51745" t="s">
        <v>6252</v>
      </c>
      <c r="AM51745" t="s">
        <v>6253</v>
      </c>
      <c r="AN51745" t="s">
        <v>6254</v>
      </c>
      <c r="AO51745" t="s">
        <v>1494</v>
      </c>
      <c r="AQ51745">
        <f>IF(ISBLANK(AP51745), IFERROR(IF(VLOOKUP(AO51745, Ellens_additions!$A$2:$B$252, 2, FALSE) = "", "", VLOOKUP(AO51745, Ellens_additions!$A$2:$B$252, 2, FALSE)), 0), AP51745)</f>
        <v>0</v>
      </c>
    </row>
    <row r="51746" spans="1:43" ht="14.4" hidden="1" x14ac:dyDescent="0.3">
      <c r="A51746" t="s">
        <v>6255</v>
      </c>
      <c r="B51746">
        <v>4909062</v>
      </c>
      <c r="C51746" t="s">
        <v>135</v>
      </c>
      <c r="D51746" t="s">
        <v>174</v>
      </c>
      <c r="E51746" t="s">
        <v>316</v>
      </c>
      <c r="F51746" t="s">
        <v>288</v>
      </c>
      <c r="H51746" t="s">
        <v>6256</v>
      </c>
      <c r="J51746" t="s">
        <v>140</v>
      </c>
      <c r="K51746">
        <v>159327.96</v>
      </c>
      <c r="L51746">
        <v>383621.97</v>
      </c>
      <c r="N51746" t="s">
        <v>1494</v>
      </c>
      <c r="O51746" t="s">
        <v>448</v>
      </c>
      <c r="P51746" t="s">
        <v>1495</v>
      </c>
      <c r="Q51746" t="s">
        <v>144</v>
      </c>
      <c r="S51746">
        <v>0</v>
      </c>
      <c r="T51746">
        <v>0</v>
      </c>
      <c r="V51746" t="s">
        <v>146</v>
      </c>
      <c r="W51746" t="s">
        <v>184</v>
      </c>
      <c r="X51746" t="s">
        <v>7</v>
      </c>
      <c r="Y51746" t="s">
        <v>1494</v>
      </c>
      <c r="Z51746" t="s">
        <v>448</v>
      </c>
      <c r="AA51746" t="s">
        <v>456</v>
      </c>
      <c r="AB51746">
        <v>0</v>
      </c>
      <c r="AE51746" t="s">
        <v>1496</v>
      </c>
      <c r="AF51746" t="s">
        <v>448</v>
      </c>
      <c r="AG51746" t="s">
        <v>560</v>
      </c>
      <c r="AL51746" t="s">
        <v>6257</v>
      </c>
      <c r="AM51746" t="s">
        <v>6258</v>
      </c>
      <c r="AN51746" t="s">
        <v>6259</v>
      </c>
      <c r="AO51746" t="s">
        <v>1494</v>
      </c>
      <c r="AQ51746">
        <f>IF(ISBLANK(AP51746), IFERROR(IF(VLOOKUP(AO51746, Ellens_additions!$A$2:$B$252, 2, FALSE) = "", "", VLOOKUP(AO51746, Ellens_additions!$A$2:$B$252, 2, FALSE)), 0), AP51746)</f>
        <v>0</v>
      </c>
    </row>
    <row r="51747" spans="1:43" ht="14.4" hidden="1" x14ac:dyDescent="0.3">
      <c r="A51747" t="s">
        <v>6260</v>
      </c>
      <c r="B51747">
        <v>4909064</v>
      </c>
      <c r="C51747" t="s">
        <v>135</v>
      </c>
      <c r="D51747" t="s">
        <v>174</v>
      </c>
      <c r="E51747" t="s">
        <v>316</v>
      </c>
      <c r="F51747" t="s">
        <v>288</v>
      </c>
      <c r="H51747" t="s">
        <v>6261</v>
      </c>
      <c r="J51747" t="s">
        <v>140</v>
      </c>
      <c r="K51747">
        <v>159328.04</v>
      </c>
      <c r="L51747">
        <v>383619.69</v>
      </c>
      <c r="N51747" t="s">
        <v>1494</v>
      </c>
      <c r="O51747" t="s">
        <v>448</v>
      </c>
      <c r="P51747" t="s">
        <v>1495</v>
      </c>
      <c r="Q51747" t="s">
        <v>144</v>
      </c>
      <c r="S51747">
        <v>0</v>
      </c>
      <c r="T51747">
        <v>0</v>
      </c>
      <c r="V51747" t="s">
        <v>146</v>
      </c>
      <c r="W51747" t="s">
        <v>184</v>
      </c>
      <c r="X51747" t="s">
        <v>7</v>
      </c>
      <c r="Y51747" t="s">
        <v>1494</v>
      </c>
      <c r="Z51747" t="s">
        <v>448</v>
      </c>
      <c r="AA51747" t="s">
        <v>456</v>
      </c>
      <c r="AB51747">
        <v>0</v>
      </c>
      <c r="AE51747" t="s">
        <v>1496</v>
      </c>
      <c r="AF51747" t="s">
        <v>448</v>
      </c>
      <c r="AG51747" t="s">
        <v>560</v>
      </c>
      <c r="AL51747" t="s">
        <v>6262</v>
      </c>
      <c r="AM51747" t="s">
        <v>6263</v>
      </c>
      <c r="AN51747" t="s">
        <v>6264</v>
      </c>
      <c r="AO51747" t="s">
        <v>1494</v>
      </c>
      <c r="AQ51747">
        <f>IF(ISBLANK(AP51747), IFERROR(IF(VLOOKUP(AO51747, Ellens_additions!$A$2:$B$252, 2, FALSE) = "", "", VLOOKUP(AO51747, Ellens_additions!$A$2:$B$252, 2, FALSE)), 0), AP51747)</f>
        <v>0</v>
      </c>
    </row>
    <row r="51748" spans="1:43" ht="14.4" hidden="1" x14ac:dyDescent="0.3">
      <c r="A51748" t="s">
        <v>6265</v>
      </c>
      <c r="B51748">
        <v>4909068</v>
      </c>
      <c r="C51748" t="s">
        <v>135</v>
      </c>
      <c r="D51748" t="s">
        <v>174</v>
      </c>
      <c r="E51748" t="s">
        <v>316</v>
      </c>
      <c r="F51748" t="s">
        <v>288</v>
      </c>
      <c r="H51748" t="s">
        <v>6266</v>
      </c>
      <c r="J51748" t="s">
        <v>140</v>
      </c>
      <c r="K51748">
        <v>159321.4</v>
      </c>
      <c r="L51748">
        <v>383640.82</v>
      </c>
      <c r="N51748" t="s">
        <v>1494</v>
      </c>
      <c r="O51748" t="s">
        <v>448</v>
      </c>
      <c r="P51748" t="s">
        <v>1495</v>
      </c>
      <c r="Q51748" t="s">
        <v>144</v>
      </c>
      <c r="S51748">
        <v>0</v>
      </c>
      <c r="T51748">
        <v>0</v>
      </c>
      <c r="V51748" t="s">
        <v>146</v>
      </c>
      <c r="W51748" t="s">
        <v>184</v>
      </c>
      <c r="X51748" t="s">
        <v>7</v>
      </c>
      <c r="Y51748" t="s">
        <v>1494</v>
      </c>
      <c r="Z51748" t="s">
        <v>448</v>
      </c>
      <c r="AA51748" t="s">
        <v>456</v>
      </c>
      <c r="AB51748">
        <v>0</v>
      </c>
      <c r="AE51748" t="s">
        <v>1496</v>
      </c>
      <c r="AF51748" t="s">
        <v>448</v>
      </c>
      <c r="AG51748" t="s">
        <v>560</v>
      </c>
      <c r="AL51748" t="s">
        <v>6267</v>
      </c>
      <c r="AM51748" t="s">
        <v>6268</v>
      </c>
      <c r="AN51748" t="s">
        <v>6269</v>
      </c>
      <c r="AO51748" t="s">
        <v>1494</v>
      </c>
      <c r="AQ51748">
        <f>IF(ISBLANK(AP51748), IFERROR(IF(VLOOKUP(AO51748, Ellens_additions!$A$2:$B$252, 2, FALSE) = "", "", VLOOKUP(AO51748, Ellens_additions!$A$2:$B$252, 2, FALSE)), 0), AP51748)</f>
        <v>0</v>
      </c>
    </row>
    <row r="51749" spans="1:43" ht="14.4" hidden="1" x14ac:dyDescent="0.3">
      <c r="A51749" t="s">
        <v>6270</v>
      </c>
      <c r="B51749">
        <v>4909070</v>
      </c>
      <c r="C51749" t="s">
        <v>135</v>
      </c>
      <c r="D51749" t="s">
        <v>174</v>
      </c>
      <c r="E51749" t="s">
        <v>316</v>
      </c>
      <c r="F51749" t="s">
        <v>288</v>
      </c>
      <c r="H51749" t="s">
        <v>6271</v>
      </c>
      <c r="J51749" t="s">
        <v>140</v>
      </c>
      <c r="K51749">
        <v>159321.70000000001</v>
      </c>
      <c r="L51749">
        <v>383638.64</v>
      </c>
      <c r="N51749" t="s">
        <v>1494</v>
      </c>
      <c r="O51749" t="s">
        <v>448</v>
      </c>
      <c r="P51749" t="s">
        <v>1495</v>
      </c>
      <c r="Q51749" t="s">
        <v>144</v>
      </c>
      <c r="S51749">
        <v>0</v>
      </c>
      <c r="T51749">
        <v>0</v>
      </c>
      <c r="V51749" t="s">
        <v>146</v>
      </c>
      <c r="W51749" t="s">
        <v>184</v>
      </c>
      <c r="X51749" t="s">
        <v>7</v>
      </c>
      <c r="Y51749" t="s">
        <v>1494</v>
      </c>
      <c r="Z51749" t="s">
        <v>448</v>
      </c>
      <c r="AA51749" t="s">
        <v>456</v>
      </c>
      <c r="AB51749">
        <v>0</v>
      </c>
      <c r="AE51749" t="s">
        <v>1496</v>
      </c>
      <c r="AF51749" t="s">
        <v>448</v>
      </c>
      <c r="AG51749" t="s">
        <v>560</v>
      </c>
      <c r="AL51749" t="s">
        <v>6272</v>
      </c>
      <c r="AM51749" t="s">
        <v>6273</v>
      </c>
      <c r="AN51749" t="s">
        <v>6274</v>
      </c>
      <c r="AO51749" t="s">
        <v>1494</v>
      </c>
      <c r="AQ51749">
        <f>IF(ISBLANK(AP51749), IFERROR(IF(VLOOKUP(AO51749, Ellens_additions!$A$2:$B$252, 2, FALSE) = "", "", VLOOKUP(AO51749, Ellens_additions!$A$2:$B$252, 2, FALSE)), 0), AP51749)</f>
        <v>0</v>
      </c>
    </row>
    <row r="51750" spans="1:43" ht="14.4" hidden="1" x14ac:dyDescent="0.3">
      <c r="A51750" t="s">
        <v>6275</v>
      </c>
      <c r="B51750">
        <v>4909071</v>
      </c>
      <c r="C51750" t="s">
        <v>135</v>
      </c>
      <c r="D51750" t="s">
        <v>174</v>
      </c>
      <c r="E51750" t="s">
        <v>316</v>
      </c>
      <c r="F51750" t="s">
        <v>288</v>
      </c>
      <c r="H51750" t="s">
        <v>6276</v>
      </c>
      <c r="J51750" t="s">
        <v>140</v>
      </c>
      <c r="K51750">
        <v>159321.79999999999</v>
      </c>
      <c r="L51750">
        <v>383637.45</v>
      </c>
      <c r="N51750" t="s">
        <v>1494</v>
      </c>
      <c r="O51750" t="s">
        <v>448</v>
      </c>
      <c r="P51750" t="s">
        <v>1495</v>
      </c>
      <c r="Q51750" t="s">
        <v>144</v>
      </c>
      <c r="S51750">
        <v>0</v>
      </c>
      <c r="T51750">
        <v>0</v>
      </c>
      <c r="V51750" t="s">
        <v>146</v>
      </c>
      <c r="W51750" t="s">
        <v>184</v>
      </c>
      <c r="X51750" t="s">
        <v>7</v>
      </c>
      <c r="Y51750" t="s">
        <v>1494</v>
      </c>
      <c r="Z51750" t="s">
        <v>448</v>
      </c>
      <c r="AA51750" t="s">
        <v>456</v>
      </c>
      <c r="AB51750">
        <v>0</v>
      </c>
      <c r="AE51750" t="s">
        <v>1496</v>
      </c>
      <c r="AF51750" t="s">
        <v>448</v>
      </c>
      <c r="AG51750" t="s">
        <v>560</v>
      </c>
      <c r="AL51750" t="s">
        <v>6277</v>
      </c>
      <c r="AM51750" t="s">
        <v>6278</v>
      </c>
      <c r="AN51750" t="s">
        <v>6279</v>
      </c>
      <c r="AO51750" t="s">
        <v>1494</v>
      </c>
      <c r="AQ51750">
        <f>IF(ISBLANK(AP51750), IFERROR(IF(VLOOKUP(AO51750, Ellens_additions!$A$2:$B$252, 2, FALSE) = "", "", VLOOKUP(AO51750, Ellens_additions!$A$2:$B$252, 2, FALSE)), 0), AP51750)</f>
        <v>0</v>
      </c>
    </row>
    <row r="51751" spans="1:43" ht="14.4" hidden="1" x14ac:dyDescent="0.3">
      <c r="A51751" t="s">
        <v>6280</v>
      </c>
      <c r="B51751">
        <v>4909081</v>
      </c>
      <c r="C51751" t="s">
        <v>135</v>
      </c>
      <c r="D51751" t="s">
        <v>174</v>
      </c>
      <c r="E51751" t="s">
        <v>316</v>
      </c>
      <c r="F51751" t="s">
        <v>288</v>
      </c>
      <c r="H51751" t="s">
        <v>6281</v>
      </c>
      <c r="J51751" t="s">
        <v>140</v>
      </c>
      <c r="K51751">
        <v>159323.54999999999</v>
      </c>
      <c r="L51751">
        <v>383626.44</v>
      </c>
      <c r="N51751" t="s">
        <v>1494</v>
      </c>
      <c r="O51751" t="s">
        <v>448</v>
      </c>
      <c r="P51751" t="s">
        <v>1495</v>
      </c>
      <c r="Q51751" t="s">
        <v>144</v>
      </c>
      <c r="S51751">
        <v>0</v>
      </c>
      <c r="T51751">
        <v>0</v>
      </c>
      <c r="V51751" t="s">
        <v>146</v>
      </c>
      <c r="W51751" t="s">
        <v>184</v>
      </c>
      <c r="X51751" t="s">
        <v>7</v>
      </c>
      <c r="Y51751" t="s">
        <v>1494</v>
      </c>
      <c r="Z51751" t="s">
        <v>448</v>
      </c>
      <c r="AA51751" t="s">
        <v>456</v>
      </c>
      <c r="AB51751">
        <v>0</v>
      </c>
      <c r="AE51751" t="s">
        <v>1496</v>
      </c>
      <c r="AF51751" t="s">
        <v>448</v>
      </c>
      <c r="AG51751" t="s">
        <v>560</v>
      </c>
      <c r="AL51751" t="s">
        <v>6282</v>
      </c>
      <c r="AM51751" t="s">
        <v>6283</v>
      </c>
      <c r="AN51751" t="s">
        <v>6284</v>
      </c>
      <c r="AO51751" t="s">
        <v>1494</v>
      </c>
      <c r="AQ51751">
        <f>IF(ISBLANK(AP51751), IFERROR(IF(VLOOKUP(AO51751, Ellens_additions!$A$2:$B$252, 2, FALSE) = "", "", VLOOKUP(AO51751, Ellens_additions!$A$2:$B$252, 2, FALSE)), 0), AP51751)</f>
        <v>0</v>
      </c>
    </row>
    <row r="51752" spans="1:43" ht="14.4" hidden="1" x14ac:dyDescent="0.3">
      <c r="A51752" t="s">
        <v>6285</v>
      </c>
      <c r="B51752">
        <v>4909082</v>
      </c>
      <c r="C51752" t="s">
        <v>135</v>
      </c>
      <c r="D51752" t="s">
        <v>174</v>
      </c>
      <c r="E51752" t="s">
        <v>316</v>
      </c>
      <c r="F51752" t="s">
        <v>288</v>
      </c>
      <c r="H51752" t="s">
        <v>6286</v>
      </c>
      <c r="J51752" t="s">
        <v>140</v>
      </c>
      <c r="K51752">
        <v>159323.63</v>
      </c>
      <c r="L51752">
        <v>383625.69</v>
      </c>
      <c r="N51752" t="s">
        <v>1494</v>
      </c>
      <c r="O51752" t="s">
        <v>448</v>
      </c>
      <c r="P51752" t="s">
        <v>1495</v>
      </c>
      <c r="Q51752" t="s">
        <v>144</v>
      </c>
      <c r="S51752">
        <v>0</v>
      </c>
      <c r="T51752">
        <v>0</v>
      </c>
      <c r="V51752" t="s">
        <v>146</v>
      </c>
      <c r="W51752" t="s">
        <v>184</v>
      </c>
      <c r="X51752" t="s">
        <v>7</v>
      </c>
      <c r="Y51752" t="s">
        <v>1494</v>
      </c>
      <c r="Z51752" t="s">
        <v>448</v>
      </c>
      <c r="AA51752" t="s">
        <v>456</v>
      </c>
      <c r="AB51752">
        <v>0</v>
      </c>
      <c r="AE51752" t="s">
        <v>1496</v>
      </c>
      <c r="AF51752" t="s">
        <v>448</v>
      </c>
      <c r="AG51752" t="s">
        <v>560</v>
      </c>
      <c r="AL51752" t="s">
        <v>6287</v>
      </c>
      <c r="AM51752" t="s">
        <v>6288</v>
      </c>
      <c r="AN51752" t="s">
        <v>6289</v>
      </c>
      <c r="AO51752" t="s">
        <v>1494</v>
      </c>
      <c r="AQ51752">
        <f>IF(ISBLANK(AP51752), IFERROR(IF(VLOOKUP(AO51752, Ellens_additions!$A$2:$B$252, 2, FALSE) = "", "", VLOOKUP(AO51752, Ellens_additions!$A$2:$B$252, 2, FALSE)), 0), AP51752)</f>
        <v>0</v>
      </c>
    </row>
    <row r="51753" spans="1:43" ht="14.4" hidden="1" x14ac:dyDescent="0.3">
      <c r="A51753" t="s">
        <v>6290</v>
      </c>
      <c r="B51753">
        <v>4909091</v>
      </c>
      <c r="C51753" t="s">
        <v>135</v>
      </c>
      <c r="D51753" t="s">
        <v>174</v>
      </c>
      <c r="E51753" t="s">
        <v>316</v>
      </c>
      <c r="F51753" t="s">
        <v>288</v>
      </c>
      <c r="H51753" t="s">
        <v>6291</v>
      </c>
      <c r="J51753" t="s">
        <v>140</v>
      </c>
      <c r="K51753">
        <v>159320.5</v>
      </c>
      <c r="L51753">
        <v>383618.11</v>
      </c>
      <c r="N51753" t="s">
        <v>1494</v>
      </c>
      <c r="O51753" t="s">
        <v>448</v>
      </c>
      <c r="P51753" t="s">
        <v>1495</v>
      </c>
      <c r="Q51753" t="s">
        <v>144</v>
      </c>
      <c r="S51753">
        <v>0</v>
      </c>
      <c r="T51753">
        <v>0</v>
      </c>
      <c r="V51753" t="s">
        <v>146</v>
      </c>
      <c r="W51753" t="s">
        <v>184</v>
      </c>
      <c r="X51753" t="s">
        <v>7</v>
      </c>
      <c r="Y51753" t="s">
        <v>1494</v>
      </c>
      <c r="Z51753" t="s">
        <v>448</v>
      </c>
      <c r="AA51753" t="s">
        <v>456</v>
      </c>
      <c r="AB51753">
        <v>0</v>
      </c>
      <c r="AE51753" t="s">
        <v>1496</v>
      </c>
      <c r="AF51753" t="s">
        <v>448</v>
      </c>
      <c r="AG51753" t="s">
        <v>560</v>
      </c>
      <c r="AL51753" t="s">
        <v>6292</v>
      </c>
      <c r="AM51753" t="s">
        <v>6293</v>
      </c>
      <c r="AN51753" t="s">
        <v>6294</v>
      </c>
      <c r="AO51753" t="s">
        <v>1494</v>
      </c>
      <c r="AQ51753">
        <f>IF(ISBLANK(AP51753), IFERROR(IF(VLOOKUP(AO51753, Ellens_additions!$A$2:$B$252, 2, FALSE) = "", "", VLOOKUP(AO51753, Ellens_additions!$A$2:$B$252, 2, FALSE)), 0), AP51753)</f>
        <v>0</v>
      </c>
    </row>
    <row r="51754" spans="1:43" ht="14.4" hidden="1" x14ac:dyDescent="0.3">
      <c r="A51754" t="s">
        <v>6295</v>
      </c>
      <c r="B51754">
        <v>4909097</v>
      </c>
      <c r="C51754" t="s">
        <v>135</v>
      </c>
      <c r="D51754" t="s">
        <v>174</v>
      </c>
      <c r="E51754" t="s">
        <v>316</v>
      </c>
      <c r="F51754" t="s">
        <v>288</v>
      </c>
      <c r="H51754" t="s">
        <v>6296</v>
      </c>
      <c r="J51754" t="s">
        <v>140</v>
      </c>
      <c r="K51754">
        <v>159315.54999999999</v>
      </c>
      <c r="L51754">
        <v>383612.63</v>
      </c>
      <c r="N51754" t="s">
        <v>1494</v>
      </c>
      <c r="O51754" t="s">
        <v>448</v>
      </c>
      <c r="P51754" t="s">
        <v>1495</v>
      </c>
      <c r="Q51754" t="s">
        <v>144</v>
      </c>
      <c r="S51754">
        <v>0</v>
      </c>
      <c r="T51754">
        <v>0</v>
      </c>
      <c r="V51754" t="s">
        <v>146</v>
      </c>
      <c r="W51754" t="s">
        <v>184</v>
      </c>
      <c r="X51754" t="s">
        <v>7</v>
      </c>
      <c r="Y51754" t="s">
        <v>1494</v>
      </c>
      <c r="Z51754" t="s">
        <v>448</v>
      </c>
      <c r="AA51754" t="s">
        <v>456</v>
      </c>
      <c r="AB51754">
        <v>0</v>
      </c>
      <c r="AE51754" t="s">
        <v>1496</v>
      </c>
      <c r="AF51754" t="s">
        <v>448</v>
      </c>
      <c r="AG51754" t="s">
        <v>560</v>
      </c>
      <c r="AL51754" t="s">
        <v>6297</v>
      </c>
      <c r="AM51754" t="s">
        <v>6298</v>
      </c>
      <c r="AN51754" t="s">
        <v>6299</v>
      </c>
      <c r="AO51754" t="s">
        <v>1494</v>
      </c>
      <c r="AQ51754">
        <f>IF(ISBLANK(AP51754), IFERROR(IF(VLOOKUP(AO51754, Ellens_additions!$A$2:$B$252, 2, FALSE) = "", "", VLOOKUP(AO51754, Ellens_additions!$A$2:$B$252, 2, FALSE)), 0), AP51754)</f>
        <v>0</v>
      </c>
    </row>
    <row r="51755" spans="1:43" ht="14.4" hidden="1" x14ac:dyDescent="0.3">
      <c r="A51755" t="s">
        <v>6300</v>
      </c>
      <c r="B51755">
        <v>4909098</v>
      </c>
      <c r="C51755" t="s">
        <v>135</v>
      </c>
      <c r="D51755" t="s">
        <v>174</v>
      </c>
      <c r="E51755" t="s">
        <v>316</v>
      </c>
      <c r="F51755" t="s">
        <v>288</v>
      </c>
      <c r="H51755" t="s">
        <v>6301</v>
      </c>
      <c r="J51755" t="s">
        <v>140</v>
      </c>
      <c r="K51755">
        <v>159314.66</v>
      </c>
      <c r="L51755">
        <v>383611.94</v>
      </c>
      <c r="N51755" t="s">
        <v>1494</v>
      </c>
      <c r="O51755" t="s">
        <v>448</v>
      </c>
      <c r="P51755" t="s">
        <v>1495</v>
      </c>
      <c r="Q51755" t="s">
        <v>144</v>
      </c>
      <c r="S51755">
        <v>0</v>
      </c>
      <c r="T51755">
        <v>0</v>
      </c>
      <c r="V51755" t="s">
        <v>146</v>
      </c>
      <c r="W51755" t="s">
        <v>184</v>
      </c>
      <c r="X51755" t="s">
        <v>7</v>
      </c>
      <c r="Y51755" t="s">
        <v>1494</v>
      </c>
      <c r="Z51755" t="s">
        <v>448</v>
      </c>
      <c r="AA51755" t="s">
        <v>456</v>
      </c>
      <c r="AB51755">
        <v>0</v>
      </c>
      <c r="AE51755" t="s">
        <v>1496</v>
      </c>
      <c r="AF51755" t="s">
        <v>448</v>
      </c>
      <c r="AG51755" t="s">
        <v>560</v>
      </c>
      <c r="AL51755" t="s">
        <v>6302</v>
      </c>
      <c r="AM51755" t="s">
        <v>6303</v>
      </c>
      <c r="AN51755" t="s">
        <v>6304</v>
      </c>
      <c r="AO51755" t="s">
        <v>1494</v>
      </c>
      <c r="AQ51755">
        <f>IF(ISBLANK(AP51755), IFERROR(IF(VLOOKUP(AO51755, Ellens_additions!$A$2:$B$252, 2, FALSE) = "", "", VLOOKUP(AO51755, Ellens_additions!$A$2:$B$252, 2, FALSE)), 0), AP51755)</f>
        <v>0</v>
      </c>
    </row>
    <row r="51756" spans="1:43" ht="14.4" hidden="1" x14ac:dyDescent="0.3">
      <c r="A51756" t="s">
        <v>6305</v>
      </c>
      <c r="B51756">
        <v>4909102</v>
      </c>
      <c r="C51756" t="s">
        <v>135</v>
      </c>
      <c r="D51756" t="s">
        <v>174</v>
      </c>
      <c r="E51756" t="s">
        <v>316</v>
      </c>
      <c r="F51756" t="s">
        <v>288</v>
      </c>
      <c r="H51756" t="s">
        <v>6306</v>
      </c>
      <c r="J51756" t="s">
        <v>140</v>
      </c>
      <c r="K51756">
        <v>159311.28</v>
      </c>
      <c r="L51756">
        <v>383609.26</v>
      </c>
      <c r="N51756" t="s">
        <v>1494</v>
      </c>
      <c r="O51756" t="s">
        <v>448</v>
      </c>
      <c r="P51756" t="s">
        <v>1495</v>
      </c>
      <c r="Q51756" t="s">
        <v>144</v>
      </c>
      <c r="S51756">
        <v>0</v>
      </c>
      <c r="T51756">
        <v>0</v>
      </c>
      <c r="V51756" t="s">
        <v>146</v>
      </c>
      <c r="W51756" t="s">
        <v>184</v>
      </c>
      <c r="X51756" t="s">
        <v>7</v>
      </c>
      <c r="Y51756" t="s">
        <v>1494</v>
      </c>
      <c r="Z51756" t="s">
        <v>448</v>
      </c>
      <c r="AA51756" t="s">
        <v>456</v>
      </c>
      <c r="AB51756">
        <v>0</v>
      </c>
      <c r="AE51756" t="s">
        <v>1496</v>
      </c>
      <c r="AF51756" t="s">
        <v>448</v>
      </c>
      <c r="AG51756" t="s">
        <v>560</v>
      </c>
      <c r="AL51756" t="s">
        <v>6307</v>
      </c>
      <c r="AM51756" t="s">
        <v>6308</v>
      </c>
      <c r="AN51756" t="s">
        <v>6309</v>
      </c>
      <c r="AO51756" t="s">
        <v>1494</v>
      </c>
      <c r="AQ51756">
        <f>IF(ISBLANK(AP51756), IFERROR(IF(VLOOKUP(AO51756, Ellens_additions!$A$2:$B$252, 2, FALSE) = "", "", VLOOKUP(AO51756, Ellens_additions!$A$2:$B$252, 2, FALSE)), 0), AP51756)</f>
        <v>0</v>
      </c>
    </row>
    <row r="51757" spans="1:43" ht="14.4" hidden="1" x14ac:dyDescent="0.3">
      <c r="A51757" t="s">
        <v>6310</v>
      </c>
      <c r="B51757">
        <v>4909104</v>
      </c>
      <c r="C51757" t="s">
        <v>135</v>
      </c>
      <c r="D51757" t="s">
        <v>174</v>
      </c>
      <c r="E51757" t="s">
        <v>316</v>
      </c>
      <c r="F51757" t="s">
        <v>288</v>
      </c>
      <c r="H51757" t="s">
        <v>6311</v>
      </c>
      <c r="J51757" t="s">
        <v>140</v>
      </c>
      <c r="K51757">
        <v>159309.51</v>
      </c>
      <c r="L51757">
        <v>383607.77</v>
      </c>
      <c r="N51757" t="s">
        <v>1494</v>
      </c>
      <c r="O51757" t="s">
        <v>448</v>
      </c>
      <c r="P51757" t="s">
        <v>1495</v>
      </c>
      <c r="Q51757" t="s">
        <v>144</v>
      </c>
      <c r="S51757">
        <v>0</v>
      </c>
      <c r="T51757">
        <v>0</v>
      </c>
      <c r="V51757" t="s">
        <v>146</v>
      </c>
      <c r="W51757" t="s">
        <v>184</v>
      </c>
      <c r="X51757" t="s">
        <v>7</v>
      </c>
      <c r="Y51757" t="s">
        <v>1494</v>
      </c>
      <c r="Z51757" t="s">
        <v>448</v>
      </c>
      <c r="AA51757" t="s">
        <v>456</v>
      </c>
      <c r="AB51757">
        <v>0</v>
      </c>
      <c r="AE51757" t="s">
        <v>1496</v>
      </c>
      <c r="AF51757" t="s">
        <v>448</v>
      </c>
      <c r="AG51757" t="s">
        <v>560</v>
      </c>
      <c r="AL51757" t="s">
        <v>6312</v>
      </c>
      <c r="AM51757" t="s">
        <v>6313</v>
      </c>
      <c r="AN51757" t="s">
        <v>6314</v>
      </c>
      <c r="AO51757" t="s">
        <v>1494</v>
      </c>
      <c r="AQ51757">
        <f>IF(ISBLANK(AP51757), IFERROR(IF(VLOOKUP(AO51757, Ellens_additions!$A$2:$B$252, 2, FALSE) = "", "", VLOOKUP(AO51757, Ellens_additions!$A$2:$B$252, 2, FALSE)), 0), AP51757)</f>
        <v>0</v>
      </c>
    </row>
    <row r="51758" spans="1:43" ht="14.4" hidden="1" x14ac:dyDescent="0.3">
      <c r="A51758" t="s">
        <v>6315</v>
      </c>
      <c r="B51758">
        <v>4909111</v>
      </c>
      <c r="C51758" t="s">
        <v>135</v>
      </c>
      <c r="D51758" t="s">
        <v>174</v>
      </c>
      <c r="E51758" t="s">
        <v>316</v>
      </c>
      <c r="F51758" t="s">
        <v>288</v>
      </c>
      <c r="H51758" t="s">
        <v>6316</v>
      </c>
      <c r="J51758" t="s">
        <v>140</v>
      </c>
      <c r="K51758">
        <v>159304.54</v>
      </c>
      <c r="L51758">
        <v>383601.52</v>
      </c>
      <c r="N51758" t="s">
        <v>1494</v>
      </c>
      <c r="O51758" t="s">
        <v>448</v>
      </c>
      <c r="P51758" t="s">
        <v>1495</v>
      </c>
      <c r="Q51758" t="s">
        <v>144</v>
      </c>
      <c r="S51758">
        <v>0</v>
      </c>
      <c r="T51758">
        <v>0</v>
      </c>
      <c r="V51758" t="s">
        <v>146</v>
      </c>
      <c r="W51758" t="s">
        <v>184</v>
      </c>
      <c r="X51758" t="s">
        <v>7</v>
      </c>
      <c r="Y51758" t="s">
        <v>1494</v>
      </c>
      <c r="Z51758" t="s">
        <v>448</v>
      </c>
      <c r="AA51758" t="s">
        <v>456</v>
      </c>
      <c r="AB51758">
        <v>0</v>
      </c>
      <c r="AE51758" t="s">
        <v>1496</v>
      </c>
      <c r="AF51758" t="s">
        <v>448</v>
      </c>
      <c r="AG51758" t="s">
        <v>560</v>
      </c>
      <c r="AL51758" t="s">
        <v>6317</v>
      </c>
      <c r="AM51758" t="s">
        <v>6318</v>
      </c>
      <c r="AN51758" t="s">
        <v>6319</v>
      </c>
      <c r="AO51758" t="s">
        <v>1494</v>
      </c>
      <c r="AQ51758">
        <f>IF(ISBLANK(AP51758), IFERROR(IF(VLOOKUP(AO51758, Ellens_additions!$A$2:$B$252, 2, FALSE) = "", "", VLOOKUP(AO51758, Ellens_additions!$A$2:$B$252, 2, FALSE)), 0), AP51758)</f>
        <v>0</v>
      </c>
    </row>
    <row r="51759" spans="1:43" ht="14.4" hidden="1" x14ac:dyDescent="0.3">
      <c r="A51759" t="s">
        <v>6320</v>
      </c>
      <c r="B51759">
        <v>4909112</v>
      </c>
      <c r="C51759" t="s">
        <v>135</v>
      </c>
      <c r="D51759" t="s">
        <v>174</v>
      </c>
      <c r="E51759" t="s">
        <v>316</v>
      </c>
      <c r="F51759" t="s">
        <v>288</v>
      </c>
      <c r="H51759" t="s">
        <v>6321</v>
      </c>
      <c r="J51759" t="s">
        <v>140</v>
      </c>
      <c r="K51759">
        <v>159304.04</v>
      </c>
      <c r="L51759">
        <v>383600.82</v>
      </c>
      <c r="N51759" t="s">
        <v>1494</v>
      </c>
      <c r="O51759" t="s">
        <v>448</v>
      </c>
      <c r="P51759" t="s">
        <v>1495</v>
      </c>
      <c r="Q51759" t="s">
        <v>144</v>
      </c>
      <c r="S51759">
        <v>0</v>
      </c>
      <c r="T51759">
        <v>0</v>
      </c>
      <c r="V51759" t="s">
        <v>146</v>
      </c>
      <c r="W51759" t="s">
        <v>184</v>
      </c>
      <c r="X51759" t="s">
        <v>7</v>
      </c>
      <c r="Y51759" t="s">
        <v>1494</v>
      </c>
      <c r="Z51759" t="s">
        <v>448</v>
      </c>
      <c r="AA51759" t="s">
        <v>456</v>
      </c>
      <c r="AB51759">
        <v>0</v>
      </c>
      <c r="AE51759" t="s">
        <v>1496</v>
      </c>
      <c r="AF51759" t="s">
        <v>448</v>
      </c>
      <c r="AG51759" t="s">
        <v>560</v>
      </c>
      <c r="AL51759" t="s">
        <v>6322</v>
      </c>
      <c r="AM51759" t="s">
        <v>6323</v>
      </c>
      <c r="AN51759" t="s">
        <v>6324</v>
      </c>
      <c r="AO51759" t="s">
        <v>1494</v>
      </c>
      <c r="AQ51759">
        <f>IF(ISBLANK(AP51759), IFERROR(IF(VLOOKUP(AO51759, Ellens_additions!$A$2:$B$252, 2, FALSE) = "", "", VLOOKUP(AO51759, Ellens_additions!$A$2:$B$252, 2, FALSE)), 0), AP51759)</f>
        <v>0</v>
      </c>
    </row>
    <row r="51760" spans="1:43" ht="14.4" hidden="1" x14ac:dyDescent="0.3">
      <c r="A51760" t="s">
        <v>6325</v>
      </c>
      <c r="B51760">
        <v>4909127</v>
      </c>
      <c r="C51760" t="s">
        <v>135</v>
      </c>
      <c r="D51760" t="s">
        <v>174</v>
      </c>
      <c r="E51760" t="s">
        <v>316</v>
      </c>
      <c r="F51760" t="s">
        <v>288</v>
      </c>
      <c r="H51760" t="s">
        <v>6326</v>
      </c>
      <c r="J51760" t="s">
        <v>140</v>
      </c>
      <c r="K51760">
        <v>159290.45000000001</v>
      </c>
      <c r="L51760">
        <v>383590.56</v>
      </c>
      <c r="N51760" t="s">
        <v>1494</v>
      </c>
      <c r="O51760" t="s">
        <v>448</v>
      </c>
      <c r="P51760" t="s">
        <v>1495</v>
      </c>
      <c r="Q51760" t="s">
        <v>144</v>
      </c>
      <c r="S51760">
        <v>0</v>
      </c>
      <c r="T51760">
        <v>0</v>
      </c>
      <c r="V51760" t="s">
        <v>146</v>
      </c>
      <c r="W51760" t="s">
        <v>184</v>
      </c>
      <c r="X51760" t="s">
        <v>7</v>
      </c>
      <c r="Y51760" t="s">
        <v>1494</v>
      </c>
      <c r="Z51760" t="s">
        <v>448</v>
      </c>
      <c r="AA51760" t="s">
        <v>456</v>
      </c>
      <c r="AB51760">
        <v>0</v>
      </c>
      <c r="AE51760" t="s">
        <v>1496</v>
      </c>
      <c r="AF51760" t="s">
        <v>448</v>
      </c>
      <c r="AG51760" t="s">
        <v>560</v>
      </c>
      <c r="AL51760" t="s">
        <v>6327</v>
      </c>
      <c r="AM51760" t="s">
        <v>6328</v>
      </c>
      <c r="AN51760" t="s">
        <v>6329</v>
      </c>
      <c r="AO51760" t="s">
        <v>1494</v>
      </c>
      <c r="AQ51760">
        <f>IF(ISBLANK(AP51760), IFERROR(IF(VLOOKUP(AO51760, Ellens_additions!$A$2:$B$252, 2, FALSE) = "", "", VLOOKUP(AO51760, Ellens_additions!$A$2:$B$252, 2, FALSE)), 0), AP51760)</f>
        <v>0</v>
      </c>
    </row>
    <row r="51761" spans="1:43" ht="14.4" hidden="1" x14ac:dyDescent="0.3">
      <c r="A51761" t="s">
        <v>6330</v>
      </c>
      <c r="B51761">
        <v>4909129</v>
      </c>
      <c r="C51761" t="s">
        <v>135</v>
      </c>
      <c r="D51761" t="s">
        <v>174</v>
      </c>
      <c r="E51761" t="s">
        <v>316</v>
      </c>
      <c r="F51761" t="s">
        <v>288</v>
      </c>
      <c r="H51761" t="s">
        <v>6331</v>
      </c>
      <c r="J51761" t="s">
        <v>140</v>
      </c>
      <c r="K51761">
        <v>159288.26999999999</v>
      </c>
      <c r="L51761">
        <v>383590.21</v>
      </c>
      <c r="N51761" t="s">
        <v>1494</v>
      </c>
      <c r="O51761" t="s">
        <v>448</v>
      </c>
      <c r="P51761" t="s">
        <v>1495</v>
      </c>
      <c r="Q51761" t="s">
        <v>144</v>
      </c>
      <c r="S51761">
        <v>0</v>
      </c>
      <c r="T51761">
        <v>0</v>
      </c>
      <c r="V51761" t="s">
        <v>146</v>
      </c>
      <c r="W51761" t="s">
        <v>184</v>
      </c>
      <c r="X51761" t="s">
        <v>7</v>
      </c>
      <c r="Y51761" t="s">
        <v>1494</v>
      </c>
      <c r="Z51761" t="s">
        <v>448</v>
      </c>
      <c r="AA51761" t="s">
        <v>456</v>
      </c>
      <c r="AB51761">
        <v>0</v>
      </c>
      <c r="AE51761" t="s">
        <v>1496</v>
      </c>
      <c r="AF51761" t="s">
        <v>448</v>
      </c>
      <c r="AG51761" t="s">
        <v>560</v>
      </c>
      <c r="AL51761" t="s">
        <v>6332</v>
      </c>
      <c r="AM51761" t="s">
        <v>6333</v>
      </c>
      <c r="AN51761" t="s">
        <v>6334</v>
      </c>
      <c r="AO51761" t="s">
        <v>1494</v>
      </c>
      <c r="AQ51761">
        <f>IF(ISBLANK(AP51761), IFERROR(IF(VLOOKUP(AO51761, Ellens_additions!$A$2:$B$252, 2, FALSE) = "", "", VLOOKUP(AO51761, Ellens_additions!$A$2:$B$252, 2, FALSE)), 0), AP51761)</f>
        <v>0</v>
      </c>
    </row>
    <row r="51762" spans="1:43" ht="14.4" hidden="1" x14ac:dyDescent="0.3">
      <c r="A51762" t="s">
        <v>6335</v>
      </c>
      <c r="B51762">
        <v>4909130</v>
      </c>
      <c r="C51762" t="s">
        <v>135</v>
      </c>
      <c r="D51762" t="s">
        <v>174</v>
      </c>
      <c r="E51762" t="s">
        <v>316</v>
      </c>
      <c r="F51762" t="s">
        <v>288</v>
      </c>
      <c r="H51762" t="s">
        <v>6336</v>
      </c>
      <c r="J51762" t="s">
        <v>140</v>
      </c>
      <c r="K51762">
        <v>159287.17000000001</v>
      </c>
      <c r="L51762">
        <v>383590.01</v>
      </c>
      <c r="N51762" t="s">
        <v>1494</v>
      </c>
      <c r="O51762" t="s">
        <v>448</v>
      </c>
      <c r="P51762" t="s">
        <v>1495</v>
      </c>
      <c r="Q51762" t="s">
        <v>144</v>
      </c>
      <c r="S51762">
        <v>0</v>
      </c>
      <c r="T51762">
        <v>0</v>
      </c>
      <c r="V51762" t="s">
        <v>146</v>
      </c>
      <c r="W51762" t="s">
        <v>184</v>
      </c>
      <c r="X51762" t="s">
        <v>7</v>
      </c>
      <c r="Y51762" t="s">
        <v>1494</v>
      </c>
      <c r="Z51762" t="s">
        <v>448</v>
      </c>
      <c r="AA51762" t="s">
        <v>456</v>
      </c>
      <c r="AB51762">
        <v>0</v>
      </c>
      <c r="AE51762" t="s">
        <v>1496</v>
      </c>
      <c r="AF51762" t="s">
        <v>448</v>
      </c>
      <c r="AG51762" t="s">
        <v>560</v>
      </c>
      <c r="AL51762" t="s">
        <v>6337</v>
      </c>
      <c r="AM51762" t="s">
        <v>6338</v>
      </c>
      <c r="AN51762" t="s">
        <v>6339</v>
      </c>
      <c r="AO51762" t="s">
        <v>1494</v>
      </c>
      <c r="AQ51762">
        <f>IF(ISBLANK(AP51762), IFERROR(IF(VLOOKUP(AO51762, Ellens_additions!$A$2:$B$252, 2, FALSE) = "", "", VLOOKUP(AO51762, Ellens_additions!$A$2:$B$252, 2, FALSE)), 0), AP51762)</f>
        <v>0</v>
      </c>
    </row>
    <row r="51763" spans="1:43" ht="14.4" hidden="1" x14ac:dyDescent="0.3">
      <c r="A51763" t="s">
        <v>6340</v>
      </c>
      <c r="B51763">
        <v>4909134</v>
      </c>
      <c r="C51763" t="s">
        <v>135</v>
      </c>
      <c r="D51763" t="s">
        <v>174</v>
      </c>
      <c r="E51763" t="s">
        <v>316</v>
      </c>
      <c r="F51763" t="s">
        <v>288</v>
      </c>
      <c r="H51763" t="s">
        <v>6341</v>
      </c>
      <c r="J51763" t="s">
        <v>140</v>
      </c>
      <c r="K51763">
        <v>159283.24</v>
      </c>
      <c r="L51763">
        <v>383589.85</v>
      </c>
      <c r="N51763" t="s">
        <v>1494</v>
      </c>
      <c r="O51763" t="s">
        <v>448</v>
      </c>
      <c r="P51763" t="s">
        <v>1495</v>
      </c>
      <c r="Q51763" t="s">
        <v>144</v>
      </c>
      <c r="S51763">
        <v>0</v>
      </c>
      <c r="T51763">
        <v>0</v>
      </c>
      <c r="V51763" t="s">
        <v>146</v>
      </c>
      <c r="W51763" t="s">
        <v>184</v>
      </c>
      <c r="X51763" t="s">
        <v>7</v>
      </c>
      <c r="Y51763" t="s">
        <v>1494</v>
      </c>
      <c r="Z51763" t="s">
        <v>448</v>
      </c>
      <c r="AA51763" t="s">
        <v>456</v>
      </c>
      <c r="AB51763">
        <v>0</v>
      </c>
      <c r="AE51763" t="s">
        <v>1496</v>
      </c>
      <c r="AF51763" t="s">
        <v>448</v>
      </c>
      <c r="AG51763" t="s">
        <v>560</v>
      </c>
      <c r="AL51763" t="s">
        <v>6342</v>
      </c>
      <c r="AM51763" t="s">
        <v>6343</v>
      </c>
      <c r="AN51763" t="s">
        <v>6344</v>
      </c>
      <c r="AO51763" t="s">
        <v>1494</v>
      </c>
      <c r="AQ51763">
        <f>IF(ISBLANK(AP51763), IFERROR(IF(VLOOKUP(AO51763, Ellens_additions!$A$2:$B$252, 2, FALSE) = "", "", VLOOKUP(AO51763, Ellens_additions!$A$2:$B$252, 2, FALSE)), 0), AP51763)</f>
        <v>0</v>
      </c>
    </row>
    <row r="51764" spans="1:43" ht="14.4" hidden="1" x14ac:dyDescent="0.3">
      <c r="A51764" t="s">
        <v>6345</v>
      </c>
      <c r="B51764">
        <v>4909136</v>
      </c>
      <c r="C51764" t="s">
        <v>135</v>
      </c>
      <c r="D51764" t="s">
        <v>174</v>
      </c>
      <c r="E51764" t="s">
        <v>316</v>
      </c>
      <c r="F51764" t="s">
        <v>288</v>
      </c>
      <c r="H51764" t="s">
        <v>6346</v>
      </c>
      <c r="J51764" t="s">
        <v>140</v>
      </c>
      <c r="K51764">
        <v>159281</v>
      </c>
      <c r="L51764">
        <v>383589.9</v>
      </c>
      <c r="N51764" t="s">
        <v>1494</v>
      </c>
      <c r="O51764" t="s">
        <v>448</v>
      </c>
      <c r="P51764" t="s">
        <v>1495</v>
      </c>
      <c r="Q51764" t="s">
        <v>144</v>
      </c>
      <c r="S51764">
        <v>0</v>
      </c>
      <c r="T51764">
        <v>0</v>
      </c>
      <c r="V51764" t="s">
        <v>146</v>
      </c>
      <c r="W51764" t="s">
        <v>184</v>
      </c>
      <c r="X51764" t="s">
        <v>7</v>
      </c>
      <c r="Y51764" t="s">
        <v>1494</v>
      </c>
      <c r="Z51764" t="s">
        <v>448</v>
      </c>
      <c r="AA51764" t="s">
        <v>456</v>
      </c>
      <c r="AB51764">
        <v>0</v>
      </c>
      <c r="AE51764" t="s">
        <v>1496</v>
      </c>
      <c r="AF51764" t="s">
        <v>448</v>
      </c>
      <c r="AG51764" t="s">
        <v>560</v>
      </c>
      <c r="AL51764" t="s">
        <v>6347</v>
      </c>
      <c r="AM51764" t="s">
        <v>6348</v>
      </c>
      <c r="AN51764" t="s">
        <v>6349</v>
      </c>
      <c r="AO51764" t="s">
        <v>1494</v>
      </c>
      <c r="AQ51764">
        <f>IF(ISBLANK(AP51764), IFERROR(IF(VLOOKUP(AO51764, Ellens_additions!$A$2:$B$252, 2, FALSE) = "", "", VLOOKUP(AO51764, Ellens_additions!$A$2:$B$252, 2, FALSE)), 0), AP51764)</f>
        <v>0</v>
      </c>
    </row>
    <row r="51765" spans="1:43" ht="14.4" hidden="1" x14ac:dyDescent="0.3">
      <c r="A51765" t="s">
        <v>6350</v>
      </c>
      <c r="B51765">
        <v>4909137</v>
      </c>
      <c r="C51765" t="s">
        <v>135</v>
      </c>
      <c r="D51765" t="s">
        <v>174</v>
      </c>
      <c r="E51765" t="s">
        <v>316</v>
      </c>
      <c r="F51765" t="s">
        <v>288</v>
      </c>
      <c r="H51765" t="s">
        <v>6351</v>
      </c>
      <c r="J51765" t="s">
        <v>140</v>
      </c>
      <c r="K51765">
        <v>159279.87</v>
      </c>
      <c r="L51765">
        <v>383589.91</v>
      </c>
      <c r="N51765" t="s">
        <v>1494</v>
      </c>
      <c r="O51765" t="s">
        <v>448</v>
      </c>
      <c r="P51765" t="s">
        <v>1495</v>
      </c>
      <c r="Q51765" t="s">
        <v>144</v>
      </c>
      <c r="S51765">
        <v>0</v>
      </c>
      <c r="T51765">
        <v>0</v>
      </c>
      <c r="V51765" t="s">
        <v>146</v>
      </c>
      <c r="W51765" t="s">
        <v>184</v>
      </c>
      <c r="X51765" t="s">
        <v>7</v>
      </c>
      <c r="Y51765" t="s">
        <v>1494</v>
      </c>
      <c r="Z51765" t="s">
        <v>448</v>
      </c>
      <c r="AA51765" t="s">
        <v>456</v>
      </c>
      <c r="AB51765">
        <v>0</v>
      </c>
      <c r="AE51765" t="s">
        <v>1496</v>
      </c>
      <c r="AF51765" t="s">
        <v>448</v>
      </c>
      <c r="AG51765" t="s">
        <v>560</v>
      </c>
      <c r="AL51765" t="s">
        <v>6352</v>
      </c>
      <c r="AM51765" t="s">
        <v>6353</v>
      </c>
      <c r="AN51765" t="s">
        <v>6354</v>
      </c>
      <c r="AO51765" t="s">
        <v>1494</v>
      </c>
      <c r="AQ51765">
        <f>IF(ISBLANK(AP51765), IFERROR(IF(VLOOKUP(AO51765, Ellens_additions!$A$2:$B$252, 2, FALSE) = "", "", VLOOKUP(AO51765, Ellens_additions!$A$2:$B$252, 2, FALSE)), 0), AP51765)</f>
        <v>0</v>
      </c>
    </row>
    <row r="51766" spans="1:43" ht="14.4" hidden="1" x14ac:dyDescent="0.3">
      <c r="A51766" t="s">
        <v>6355</v>
      </c>
      <c r="B51766">
        <v>4909151</v>
      </c>
      <c r="C51766" t="s">
        <v>135</v>
      </c>
      <c r="D51766" t="s">
        <v>174</v>
      </c>
      <c r="E51766" t="s">
        <v>316</v>
      </c>
      <c r="F51766" t="s">
        <v>288</v>
      </c>
      <c r="H51766" t="s">
        <v>6356</v>
      </c>
      <c r="J51766" t="s">
        <v>140</v>
      </c>
      <c r="K51766">
        <v>159312.67000000001</v>
      </c>
      <c r="L51766">
        <v>383603.11</v>
      </c>
      <c r="N51766" t="s">
        <v>1494</v>
      </c>
      <c r="O51766" t="s">
        <v>448</v>
      </c>
      <c r="P51766" t="s">
        <v>1495</v>
      </c>
      <c r="Q51766" t="s">
        <v>144</v>
      </c>
      <c r="S51766">
        <v>0</v>
      </c>
      <c r="T51766">
        <v>0</v>
      </c>
      <c r="V51766" t="s">
        <v>146</v>
      </c>
      <c r="W51766" t="s">
        <v>184</v>
      </c>
      <c r="X51766" t="s">
        <v>7</v>
      </c>
      <c r="Y51766" t="s">
        <v>1494</v>
      </c>
      <c r="Z51766" t="s">
        <v>448</v>
      </c>
      <c r="AA51766" t="s">
        <v>456</v>
      </c>
      <c r="AB51766">
        <v>0</v>
      </c>
      <c r="AE51766" t="s">
        <v>1496</v>
      </c>
      <c r="AF51766" t="s">
        <v>448</v>
      </c>
      <c r="AG51766" t="s">
        <v>560</v>
      </c>
      <c r="AL51766" t="s">
        <v>6357</v>
      </c>
      <c r="AM51766" t="s">
        <v>6358</v>
      </c>
      <c r="AN51766" t="s">
        <v>6359</v>
      </c>
      <c r="AO51766" t="s">
        <v>1494</v>
      </c>
      <c r="AQ51766">
        <f>IF(ISBLANK(AP51766), IFERROR(IF(VLOOKUP(AO51766, Ellens_additions!$A$2:$B$252, 2, FALSE) = "", "", VLOOKUP(AO51766, Ellens_additions!$A$2:$B$252, 2, FALSE)), 0), AP51766)</f>
        <v>0</v>
      </c>
    </row>
    <row r="51767" spans="1:43" ht="14.4" hidden="1" x14ac:dyDescent="0.3">
      <c r="A51767" t="s">
        <v>6360</v>
      </c>
      <c r="B51767">
        <v>4909159</v>
      </c>
      <c r="C51767" t="s">
        <v>135</v>
      </c>
      <c r="D51767" t="s">
        <v>174</v>
      </c>
      <c r="E51767" t="s">
        <v>316</v>
      </c>
      <c r="F51767" t="s">
        <v>288</v>
      </c>
      <c r="H51767" t="s">
        <v>6361</v>
      </c>
      <c r="J51767" t="s">
        <v>140</v>
      </c>
      <c r="K51767">
        <v>159307.12</v>
      </c>
      <c r="L51767">
        <v>383596.26</v>
      </c>
      <c r="N51767" t="s">
        <v>1494</v>
      </c>
      <c r="O51767" t="s">
        <v>448</v>
      </c>
      <c r="P51767" t="s">
        <v>1495</v>
      </c>
      <c r="Q51767" t="s">
        <v>144</v>
      </c>
      <c r="S51767">
        <v>0</v>
      </c>
      <c r="T51767">
        <v>0</v>
      </c>
      <c r="V51767" t="s">
        <v>146</v>
      </c>
      <c r="W51767" t="s">
        <v>184</v>
      </c>
      <c r="X51767" t="s">
        <v>7</v>
      </c>
      <c r="Y51767" t="s">
        <v>1494</v>
      </c>
      <c r="Z51767" t="s">
        <v>448</v>
      </c>
      <c r="AA51767" t="s">
        <v>456</v>
      </c>
      <c r="AB51767">
        <v>0</v>
      </c>
      <c r="AE51767" t="s">
        <v>1496</v>
      </c>
      <c r="AF51767" t="s">
        <v>448</v>
      </c>
      <c r="AG51767" t="s">
        <v>560</v>
      </c>
      <c r="AL51767" t="s">
        <v>6362</v>
      </c>
      <c r="AM51767" t="s">
        <v>6363</v>
      </c>
      <c r="AN51767" t="s">
        <v>6364</v>
      </c>
      <c r="AO51767" t="s">
        <v>1494</v>
      </c>
      <c r="AQ51767">
        <f>IF(ISBLANK(AP51767), IFERROR(IF(VLOOKUP(AO51767, Ellens_additions!$A$2:$B$252, 2, FALSE) = "", "", VLOOKUP(AO51767, Ellens_additions!$A$2:$B$252, 2, FALSE)), 0), AP51767)</f>
        <v>0</v>
      </c>
    </row>
    <row r="51768" spans="1:43" ht="14.4" hidden="1" x14ac:dyDescent="0.3">
      <c r="A51768" t="s">
        <v>6365</v>
      </c>
      <c r="B51768">
        <v>4909162</v>
      </c>
      <c r="C51768" t="s">
        <v>135</v>
      </c>
      <c r="D51768" t="s">
        <v>174</v>
      </c>
      <c r="E51768" t="s">
        <v>316</v>
      </c>
      <c r="F51768" t="s">
        <v>288</v>
      </c>
      <c r="H51768" t="s">
        <v>6366</v>
      </c>
      <c r="J51768" t="s">
        <v>140</v>
      </c>
      <c r="K51768">
        <v>159305.43</v>
      </c>
      <c r="L51768">
        <v>383593.18</v>
      </c>
      <c r="N51768" t="s">
        <v>1494</v>
      </c>
      <c r="O51768" t="s">
        <v>448</v>
      </c>
      <c r="P51768" t="s">
        <v>1495</v>
      </c>
      <c r="Q51768" t="s">
        <v>144</v>
      </c>
      <c r="S51768">
        <v>0</v>
      </c>
      <c r="T51768">
        <v>0</v>
      </c>
      <c r="V51768" t="s">
        <v>146</v>
      </c>
      <c r="W51768" t="s">
        <v>184</v>
      </c>
      <c r="X51768" t="s">
        <v>7</v>
      </c>
      <c r="Y51768" t="s">
        <v>1494</v>
      </c>
      <c r="Z51768" t="s">
        <v>448</v>
      </c>
      <c r="AA51768" t="s">
        <v>456</v>
      </c>
      <c r="AB51768">
        <v>0</v>
      </c>
      <c r="AE51768" t="s">
        <v>1496</v>
      </c>
      <c r="AF51768" t="s">
        <v>448</v>
      </c>
      <c r="AG51768" t="s">
        <v>560</v>
      </c>
      <c r="AL51768" t="s">
        <v>6367</v>
      </c>
      <c r="AM51768" t="s">
        <v>6368</v>
      </c>
      <c r="AN51768" t="s">
        <v>6369</v>
      </c>
      <c r="AO51768" t="s">
        <v>1494</v>
      </c>
      <c r="AQ51768">
        <f>IF(ISBLANK(AP51768), IFERROR(IF(VLOOKUP(AO51768, Ellens_additions!$A$2:$B$252, 2, FALSE) = "", "", VLOOKUP(AO51768, Ellens_additions!$A$2:$B$252, 2, FALSE)), 0), AP51768)</f>
        <v>0</v>
      </c>
    </row>
    <row r="51769" spans="1:43" ht="14.4" hidden="1" x14ac:dyDescent="0.3">
      <c r="A51769" t="s">
        <v>6370</v>
      </c>
      <c r="B51769">
        <v>4909164</v>
      </c>
      <c r="C51769" t="s">
        <v>135</v>
      </c>
      <c r="D51769" t="s">
        <v>174</v>
      </c>
      <c r="E51769" t="s">
        <v>316</v>
      </c>
      <c r="F51769" t="s">
        <v>288</v>
      </c>
      <c r="H51769" t="s">
        <v>6371</v>
      </c>
      <c r="J51769" t="s">
        <v>140</v>
      </c>
      <c r="K51769">
        <v>159304.44</v>
      </c>
      <c r="L51769">
        <v>383591.3</v>
      </c>
      <c r="N51769" t="s">
        <v>1494</v>
      </c>
      <c r="O51769" t="s">
        <v>448</v>
      </c>
      <c r="P51769" t="s">
        <v>1495</v>
      </c>
      <c r="Q51769" t="s">
        <v>144</v>
      </c>
      <c r="S51769">
        <v>0</v>
      </c>
      <c r="T51769">
        <v>0</v>
      </c>
      <c r="V51769" t="s">
        <v>146</v>
      </c>
      <c r="W51769" t="s">
        <v>184</v>
      </c>
      <c r="X51769" t="s">
        <v>7</v>
      </c>
      <c r="Y51769" t="s">
        <v>1494</v>
      </c>
      <c r="Z51769" t="s">
        <v>448</v>
      </c>
      <c r="AA51769" t="s">
        <v>456</v>
      </c>
      <c r="AB51769">
        <v>0</v>
      </c>
      <c r="AE51769" t="s">
        <v>1496</v>
      </c>
      <c r="AF51769" t="s">
        <v>448</v>
      </c>
      <c r="AG51769" t="s">
        <v>560</v>
      </c>
      <c r="AL51769" t="s">
        <v>6372</v>
      </c>
      <c r="AM51769" t="s">
        <v>6373</v>
      </c>
      <c r="AN51769" t="s">
        <v>6374</v>
      </c>
      <c r="AO51769" t="s">
        <v>1494</v>
      </c>
      <c r="AQ51769">
        <f>IF(ISBLANK(AP51769), IFERROR(IF(VLOOKUP(AO51769, Ellens_additions!$A$2:$B$252, 2, FALSE) = "", "", VLOOKUP(AO51769, Ellens_additions!$A$2:$B$252, 2, FALSE)), 0), AP51769)</f>
        <v>0</v>
      </c>
    </row>
    <row r="51770" spans="1:43" ht="14.4" hidden="1" x14ac:dyDescent="0.3">
      <c r="A51770" t="s">
        <v>6375</v>
      </c>
      <c r="B51770">
        <v>4909165</v>
      </c>
      <c r="C51770" t="s">
        <v>135</v>
      </c>
      <c r="D51770" t="s">
        <v>174</v>
      </c>
      <c r="E51770" t="s">
        <v>316</v>
      </c>
      <c r="F51770" t="s">
        <v>288</v>
      </c>
      <c r="H51770" t="s">
        <v>6376</v>
      </c>
      <c r="J51770" t="s">
        <v>140</v>
      </c>
      <c r="K51770">
        <v>159304.14000000001</v>
      </c>
      <c r="L51770">
        <v>383590.31</v>
      </c>
      <c r="N51770" t="s">
        <v>1494</v>
      </c>
      <c r="O51770" t="s">
        <v>448</v>
      </c>
      <c r="P51770" t="s">
        <v>1495</v>
      </c>
      <c r="Q51770" t="s">
        <v>144</v>
      </c>
      <c r="S51770">
        <v>0</v>
      </c>
      <c r="T51770">
        <v>0</v>
      </c>
      <c r="V51770" t="s">
        <v>146</v>
      </c>
      <c r="W51770" t="s">
        <v>184</v>
      </c>
      <c r="X51770" t="s">
        <v>7</v>
      </c>
      <c r="Y51770" t="s">
        <v>1494</v>
      </c>
      <c r="Z51770" t="s">
        <v>448</v>
      </c>
      <c r="AA51770" t="s">
        <v>456</v>
      </c>
      <c r="AB51770">
        <v>0</v>
      </c>
      <c r="AE51770" t="s">
        <v>1496</v>
      </c>
      <c r="AF51770" t="s">
        <v>448</v>
      </c>
      <c r="AG51770" t="s">
        <v>560</v>
      </c>
      <c r="AL51770" t="s">
        <v>6377</v>
      </c>
      <c r="AM51770" t="s">
        <v>6378</v>
      </c>
      <c r="AN51770" t="s">
        <v>6379</v>
      </c>
      <c r="AO51770" t="s">
        <v>1494</v>
      </c>
      <c r="AQ51770">
        <f>IF(ISBLANK(AP51770), IFERROR(IF(VLOOKUP(AO51770, Ellens_additions!$A$2:$B$252, 2, FALSE) = "", "", VLOOKUP(AO51770, Ellens_additions!$A$2:$B$252, 2, FALSE)), 0), AP51770)</f>
        <v>0</v>
      </c>
    </row>
    <row r="51771" spans="1:43" ht="14.4" hidden="1" x14ac:dyDescent="0.3">
      <c r="A51771" t="s">
        <v>6380</v>
      </c>
      <c r="B51771">
        <v>4909171</v>
      </c>
      <c r="C51771" t="s">
        <v>135</v>
      </c>
      <c r="D51771" t="s">
        <v>174</v>
      </c>
      <c r="E51771" t="s">
        <v>316</v>
      </c>
      <c r="F51771" t="s">
        <v>288</v>
      </c>
      <c r="H51771" t="s">
        <v>6381</v>
      </c>
      <c r="J51771" t="s">
        <v>140</v>
      </c>
      <c r="K51771">
        <v>159301.85999999999</v>
      </c>
      <c r="L51771">
        <v>383583.86</v>
      </c>
      <c r="N51771" t="s">
        <v>1494</v>
      </c>
      <c r="O51771" t="s">
        <v>448</v>
      </c>
      <c r="P51771" t="s">
        <v>1495</v>
      </c>
      <c r="Q51771" t="s">
        <v>144</v>
      </c>
      <c r="S51771">
        <v>0</v>
      </c>
      <c r="T51771">
        <v>0</v>
      </c>
      <c r="V51771" t="s">
        <v>146</v>
      </c>
      <c r="W51771" t="s">
        <v>184</v>
      </c>
      <c r="X51771" t="s">
        <v>7</v>
      </c>
      <c r="Y51771" t="s">
        <v>1494</v>
      </c>
      <c r="Z51771" t="s">
        <v>448</v>
      </c>
      <c r="AA51771" t="s">
        <v>456</v>
      </c>
      <c r="AB51771">
        <v>0</v>
      </c>
      <c r="AE51771" t="s">
        <v>1496</v>
      </c>
      <c r="AF51771" t="s">
        <v>448</v>
      </c>
      <c r="AG51771" t="s">
        <v>560</v>
      </c>
      <c r="AL51771" t="s">
        <v>6382</v>
      </c>
      <c r="AM51771" t="s">
        <v>6383</v>
      </c>
      <c r="AN51771" t="s">
        <v>6384</v>
      </c>
      <c r="AO51771" t="s">
        <v>1494</v>
      </c>
      <c r="AQ51771">
        <f>IF(ISBLANK(AP51771), IFERROR(IF(VLOOKUP(AO51771, Ellens_additions!$A$2:$B$252, 2, FALSE) = "", "", VLOOKUP(AO51771, Ellens_additions!$A$2:$B$252, 2, FALSE)), 0), AP51771)</f>
        <v>0</v>
      </c>
    </row>
    <row r="51772" spans="1:43" ht="14.4" hidden="1" x14ac:dyDescent="0.3">
      <c r="A51772" t="s">
        <v>6385</v>
      </c>
      <c r="B51772">
        <v>4909174</v>
      </c>
      <c r="C51772" t="s">
        <v>135</v>
      </c>
      <c r="D51772" t="s">
        <v>174</v>
      </c>
      <c r="E51772" t="s">
        <v>316</v>
      </c>
      <c r="F51772" t="s">
        <v>288</v>
      </c>
      <c r="H51772" t="s">
        <v>6386</v>
      </c>
      <c r="J51772" t="s">
        <v>140</v>
      </c>
      <c r="K51772">
        <v>159301.07</v>
      </c>
      <c r="L51772">
        <v>383580.88</v>
      </c>
      <c r="N51772" t="s">
        <v>1494</v>
      </c>
      <c r="O51772" t="s">
        <v>448</v>
      </c>
      <c r="P51772" t="s">
        <v>1495</v>
      </c>
      <c r="Q51772" t="s">
        <v>144</v>
      </c>
      <c r="S51772">
        <v>0</v>
      </c>
      <c r="T51772">
        <v>0</v>
      </c>
      <c r="V51772" t="s">
        <v>146</v>
      </c>
      <c r="W51772" t="s">
        <v>184</v>
      </c>
      <c r="X51772" t="s">
        <v>7</v>
      </c>
      <c r="Y51772" t="s">
        <v>1494</v>
      </c>
      <c r="Z51772" t="s">
        <v>448</v>
      </c>
      <c r="AA51772" t="s">
        <v>456</v>
      </c>
      <c r="AB51772">
        <v>0</v>
      </c>
      <c r="AE51772" t="s">
        <v>1496</v>
      </c>
      <c r="AF51772" t="s">
        <v>448</v>
      </c>
      <c r="AG51772" t="s">
        <v>560</v>
      </c>
      <c r="AL51772" t="s">
        <v>6387</v>
      </c>
      <c r="AM51772" t="s">
        <v>6388</v>
      </c>
      <c r="AN51772" t="s">
        <v>6389</v>
      </c>
      <c r="AO51772" t="s">
        <v>1494</v>
      </c>
      <c r="AQ51772">
        <f>IF(ISBLANK(AP51772), IFERROR(IF(VLOOKUP(AO51772, Ellens_additions!$A$2:$B$252, 2, FALSE) = "", "", VLOOKUP(AO51772, Ellens_additions!$A$2:$B$252, 2, FALSE)), 0), AP51772)</f>
        <v>0</v>
      </c>
    </row>
    <row r="51773" spans="1:43" ht="14.4" hidden="1" x14ac:dyDescent="0.3">
      <c r="A51773" t="s">
        <v>6390</v>
      </c>
      <c r="B51773">
        <v>4909175</v>
      </c>
      <c r="C51773" t="s">
        <v>135</v>
      </c>
      <c r="D51773" t="s">
        <v>174</v>
      </c>
      <c r="E51773" t="s">
        <v>316</v>
      </c>
      <c r="F51773" t="s">
        <v>288</v>
      </c>
      <c r="H51773" t="s">
        <v>6391</v>
      </c>
      <c r="J51773" t="s">
        <v>140</v>
      </c>
      <c r="K51773">
        <v>159300.87</v>
      </c>
      <c r="L51773">
        <v>383579.69</v>
      </c>
      <c r="N51773" t="s">
        <v>1494</v>
      </c>
      <c r="O51773" t="s">
        <v>448</v>
      </c>
      <c r="P51773" t="s">
        <v>1495</v>
      </c>
      <c r="Q51773" t="s">
        <v>144</v>
      </c>
      <c r="S51773">
        <v>0</v>
      </c>
      <c r="T51773">
        <v>0</v>
      </c>
      <c r="V51773" t="s">
        <v>146</v>
      </c>
      <c r="W51773" t="s">
        <v>184</v>
      </c>
      <c r="X51773" t="s">
        <v>7</v>
      </c>
      <c r="Y51773" t="s">
        <v>1494</v>
      </c>
      <c r="Z51773" t="s">
        <v>448</v>
      </c>
      <c r="AA51773" t="s">
        <v>456</v>
      </c>
      <c r="AB51773">
        <v>0</v>
      </c>
      <c r="AE51773" t="s">
        <v>1496</v>
      </c>
      <c r="AF51773" t="s">
        <v>448</v>
      </c>
      <c r="AG51773" t="s">
        <v>560</v>
      </c>
      <c r="AL51773" t="s">
        <v>6392</v>
      </c>
      <c r="AM51773" t="s">
        <v>6393</v>
      </c>
      <c r="AN51773" t="s">
        <v>6394</v>
      </c>
      <c r="AO51773" t="s">
        <v>1494</v>
      </c>
      <c r="AQ51773">
        <f>IF(ISBLANK(AP51773), IFERROR(IF(VLOOKUP(AO51773, Ellens_additions!$A$2:$B$252, 2, FALSE) = "", "", VLOOKUP(AO51773, Ellens_additions!$A$2:$B$252, 2, FALSE)), 0), AP51773)</f>
        <v>0</v>
      </c>
    </row>
    <row r="51774" spans="1:43" ht="14.4" hidden="1" x14ac:dyDescent="0.3">
      <c r="A51774" t="s">
        <v>6395</v>
      </c>
      <c r="B51774">
        <v>4909177</v>
      </c>
      <c r="C51774" t="s">
        <v>135</v>
      </c>
      <c r="D51774" t="s">
        <v>174</v>
      </c>
      <c r="E51774" t="s">
        <v>316</v>
      </c>
      <c r="F51774" t="s">
        <v>288</v>
      </c>
      <c r="H51774" t="s">
        <v>6396</v>
      </c>
      <c r="J51774" t="s">
        <v>140</v>
      </c>
      <c r="K51774">
        <v>159300.57</v>
      </c>
      <c r="L51774">
        <v>383577.62</v>
      </c>
      <c r="N51774" t="s">
        <v>1494</v>
      </c>
      <c r="O51774" t="s">
        <v>448</v>
      </c>
      <c r="P51774" t="s">
        <v>1495</v>
      </c>
      <c r="Q51774" t="s">
        <v>144</v>
      </c>
      <c r="S51774">
        <v>0</v>
      </c>
      <c r="T51774">
        <v>0</v>
      </c>
      <c r="V51774" t="s">
        <v>146</v>
      </c>
      <c r="W51774" t="s">
        <v>184</v>
      </c>
      <c r="X51774" t="s">
        <v>7</v>
      </c>
      <c r="Y51774" t="s">
        <v>1494</v>
      </c>
      <c r="Z51774" t="s">
        <v>448</v>
      </c>
      <c r="AA51774" t="s">
        <v>456</v>
      </c>
      <c r="AB51774">
        <v>0</v>
      </c>
      <c r="AE51774" t="s">
        <v>1496</v>
      </c>
      <c r="AF51774" t="s">
        <v>448</v>
      </c>
      <c r="AG51774" t="s">
        <v>560</v>
      </c>
      <c r="AL51774" t="s">
        <v>6397</v>
      </c>
      <c r="AM51774" t="s">
        <v>6398</v>
      </c>
      <c r="AN51774" t="s">
        <v>6399</v>
      </c>
      <c r="AO51774" t="s">
        <v>1494</v>
      </c>
      <c r="AQ51774">
        <f>IF(ISBLANK(AP51774), IFERROR(IF(VLOOKUP(AO51774, Ellens_additions!$A$2:$B$252, 2, FALSE) = "", "", VLOOKUP(AO51774, Ellens_additions!$A$2:$B$252, 2, FALSE)), 0), AP51774)</f>
        <v>0</v>
      </c>
    </row>
    <row r="51775" spans="1:43" ht="14.4" hidden="1" x14ac:dyDescent="0.3">
      <c r="A51775" t="s">
        <v>6400</v>
      </c>
      <c r="B51775">
        <v>4909178</v>
      </c>
      <c r="C51775" t="s">
        <v>135</v>
      </c>
      <c r="D51775" t="s">
        <v>174</v>
      </c>
      <c r="E51775" t="s">
        <v>316</v>
      </c>
      <c r="F51775" t="s">
        <v>288</v>
      </c>
      <c r="H51775" t="s">
        <v>6401</v>
      </c>
      <c r="J51775" t="s">
        <v>140</v>
      </c>
      <c r="K51775">
        <v>159300.37</v>
      </c>
      <c r="L51775">
        <v>383576.01</v>
      </c>
      <c r="N51775" t="s">
        <v>1494</v>
      </c>
      <c r="O51775" t="s">
        <v>448</v>
      </c>
      <c r="P51775" t="s">
        <v>1495</v>
      </c>
      <c r="Q51775" t="s">
        <v>144</v>
      </c>
      <c r="S51775">
        <v>0</v>
      </c>
      <c r="T51775">
        <v>0</v>
      </c>
      <c r="V51775" t="s">
        <v>146</v>
      </c>
      <c r="W51775" t="s">
        <v>184</v>
      </c>
      <c r="X51775" t="s">
        <v>7</v>
      </c>
      <c r="Y51775" t="s">
        <v>1494</v>
      </c>
      <c r="Z51775" t="s">
        <v>448</v>
      </c>
      <c r="AA51775" t="s">
        <v>456</v>
      </c>
      <c r="AB51775">
        <v>0</v>
      </c>
      <c r="AE51775" t="s">
        <v>1496</v>
      </c>
      <c r="AF51775" t="s">
        <v>448</v>
      </c>
      <c r="AG51775" t="s">
        <v>560</v>
      </c>
      <c r="AL51775" t="s">
        <v>6402</v>
      </c>
      <c r="AM51775" t="s">
        <v>6403</v>
      </c>
      <c r="AN51775" t="s">
        <v>6404</v>
      </c>
      <c r="AO51775" t="s">
        <v>1494</v>
      </c>
      <c r="AQ51775">
        <f>IF(ISBLANK(AP51775), IFERROR(IF(VLOOKUP(AO51775, Ellens_additions!$A$2:$B$252, 2, FALSE) = "", "", VLOOKUP(AO51775, Ellens_additions!$A$2:$B$252, 2, FALSE)), 0), AP51775)</f>
        <v>0</v>
      </c>
    </row>
    <row r="51776" spans="1:43" ht="14.4" hidden="1" x14ac:dyDescent="0.3">
      <c r="A51776" t="s">
        <v>6405</v>
      </c>
      <c r="B51776">
        <v>4909180</v>
      </c>
      <c r="C51776" t="s">
        <v>135</v>
      </c>
      <c r="D51776" t="s">
        <v>174</v>
      </c>
      <c r="E51776" t="s">
        <v>316</v>
      </c>
      <c r="F51776" t="s">
        <v>288</v>
      </c>
      <c r="H51776" t="s">
        <v>6406</v>
      </c>
      <c r="J51776" t="s">
        <v>140</v>
      </c>
      <c r="K51776">
        <v>159269.5</v>
      </c>
      <c r="L51776">
        <v>383576.49</v>
      </c>
      <c r="N51776" t="s">
        <v>1494</v>
      </c>
      <c r="O51776" t="s">
        <v>448</v>
      </c>
      <c r="P51776" t="s">
        <v>1495</v>
      </c>
      <c r="Q51776" t="s">
        <v>144</v>
      </c>
      <c r="S51776">
        <v>0</v>
      </c>
      <c r="T51776">
        <v>0</v>
      </c>
      <c r="V51776" t="s">
        <v>146</v>
      </c>
      <c r="W51776" t="s">
        <v>184</v>
      </c>
      <c r="X51776" t="s">
        <v>7</v>
      </c>
      <c r="Y51776" t="s">
        <v>1494</v>
      </c>
      <c r="Z51776" t="s">
        <v>448</v>
      </c>
      <c r="AA51776" t="s">
        <v>456</v>
      </c>
      <c r="AB51776">
        <v>0</v>
      </c>
      <c r="AE51776" t="s">
        <v>1496</v>
      </c>
      <c r="AF51776" t="s">
        <v>448</v>
      </c>
      <c r="AG51776" t="s">
        <v>560</v>
      </c>
      <c r="AL51776" t="s">
        <v>6407</v>
      </c>
      <c r="AM51776" t="s">
        <v>6408</v>
      </c>
      <c r="AN51776" t="s">
        <v>6409</v>
      </c>
      <c r="AO51776" t="s">
        <v>1494</v>
      </c>
      <c r="AQ51776">
        <f>IF(ISBLANK(AP51776), IFERROR(IF(VLOOKUP(AO51776, Ellens_additions!$A$2:$B$252, 2, FALSE) = "", "", VLOOKUP(AO51776, Ellens_additions!$A$2:$B$252, 2, FALSE)), 0), AP51776)</f>
        <v>0</v>
      </c>
    </row>
    <row r="51777" spans="1:43" ht="14.4" hidden="1" x14ac:dyDescent="0.3">
      <c r="A51777" t="s">
        <v>6410</v>
      </c>
      <c r="B51777">
        <v>4909182</v>
      </c>
      <c r="C51777" t="s">
        <v>135</v>
      </c>
      <c r="D51777" t="s">
        <v>174</v>
      </c>
      <c r="E51777" t="s">
        <v>316</v>
      </c>
      <c r="F51777" t="s">
        <v>288</v>
      </c>
      <c r="H51777" t="s">
        <v>6411</v>
      </c>
      <c r="J51777" t="s">
        <v>140</v>
      </c>
      <c r="K51777">
        <v>159272.06</v>
      </c>
      <c r="L51777">
        <v>383575.65</v>
      </c>
      <c r="N51777" t="s">
        <v>1494</v>
      </c>
      <c r="O51777" t="s">
        <v>448</v>
      </c>
      <c r="P51777" t="s">
        <v>1495</v>
      </c>
      <c r="Q51777" t="s">
        <v>144</v>
      </c>
      <c r="S51777">
        <v>0</v>
      </c>
      <c r="T51777">
        <v>0</v>
      </c>
      <c r="V51777" t="s">
        <v>146</v>
      </c>
      <c r="W51777" t="s">
        <v>184</v>
      </c>
      <c r="X51777" t="s">
        <v>7</v>
      </c>
      <c r="Y51777" t="s">
        <v>1494</v>
      </c>
      <c r="Z51777" t="s">
        <v>448</v>
      </c>
      <c r="AA51777" t="s">
        <v>456</v>
      </c>
      <c r="AB51777">
        <v>0</v>
      </c>
      <c r="AE51777" t="s">
        <v>1496</v>
      </c>
      <c r="AF51777" t="s">
        <v>448</v>
      </c>
      <c r="AG51777" t="s">
        <v>560</v>
      </c>
      <c r="AL51777" t="s">
        <v>6412</v>
      </c>
      <c r="AM51777" t="s">
        <v>6413</v>
      </c>
      <c r="AN51777" t="s">
        <v>6414</v>
      </c>
      <c r="AO51777" t="s">
        <v>1494</v>
      </c>
      <c r="AQ51777">
        <f>IF(ISBLANK(AP51777), IFERROR(IF(VLOOKUP(AO51777, Ellens_additions!$A$2:$B$252, 2, FALSE) = "", "", VLOOKUP(AO51777, Ellens_additions!$A$2:$B$252, 2, FALSE)), 0), AP51777)</f>
        <v>0</v>
      </c>
    </row>
    <row r="51778" spans="1:43" ht="14.4" hidden="1" x14ac:dyDescent="0.3">
      <c r="A51778" t="s">
        <v>6415</v>
      </c>
      <c r="B51778">
        <v>4909184</v>
      </c>
      <c r="C51778" t="s">
        <v>135</v>
      </c>
      <c r="D51778" t="s">
        <v>174</v>
      </c>
      <c r="E51778" t="s">
        <v>316</v>
      </c>
      <c r="F51778" t="s">
        <v>288</v>
      </c>
      <c r="H51778" t="s">
        <v>6416</v>
      </c>
      <c r="J51778" t="s">
        <v>140</v>
      </c>
      <c r="K51778">
        <v>159274.54999999999</v>
      </c>
      <c r="L51778">
        <v>383575.06</v>
      </c>
      <c r="N51778" t="s">
        <v>1494</v>
      </c>
      <c r="O51778" t="s">
        <v>448</v>
      </c>
      <c r="P51778" t="s">
        <v>1495</v>
      </c>
      <c r="Q51778" t="s">
        <v>144</v>
      </c>
      <c r="S51778">
        <v>0</v>
      </c>
      <c r="T51778">
        <v>0</v>
      </c>
      <c r="V51778" t="s">
        <v>146</v>
      </c>
      <c r="W51778" t="s">
        <v>184</v>
      </c>
      <c r="X51778" t="s">
        <v>7</v>
      </c>
      <c r="Y51778" t="s">
        <v>1494</v>
      </c>
      <c r="Z51778" t="s">
        <v>448</v>
      </c>
      <c r="AA51778" t="s">
        <v>456</v>
      </c>
      <c r="AB51778">
        <v>0</v>
      </c>
      <c r="AE51778" t="s">
        <v>1496</v>
      </c>
      <c r="AF51778" t="s">
        <v>448</v>
      </c>
      <c r="AG51778" t="s">
        <v>560</v>
      </c>
      <c r="AL51778" t="s">
        <v>6417</v>
      </c>
      <c r="AM51778" t="s">
        <v>6418</v>
      </c>
      <c r="AN51778" t="s">
        <v>6419</v>
      </c>
      <c r="AO51778" t="s">
        <v>1494</v>
      </c>
      <c r="AQ51778">
        <f>IF(ISBLANK(AP51778), IFERROR(IF(VLOOKUP(AO51778, Ellens_additions!$A$2:$B$252, 2, FALSE) = "", "", VLOOKUP(AO51778, Ellens_additions!$A$2:$B$252, 2, FALSE)), 0), AP51778)</f>
        <v>0</v>
      </c>
    </row>
    <row r="51779" spans="1:43" ht="14.4" hidden="1" x14ac:dyDescent="0.3">
      <c r="A51779" t="s">
        <v>6420</v>
      </c>
      <c r="B51779">
        <v>4909185</v>
      </c>
      <c r="C51779" t="s">
        <v>135</v>
      </c>
      <c r="D51779" t="s">
        <v>174</v>
      </c>
      <c r="E51779" t="s">
        <v>316</v>
      </c>
      <c r="F51779" t="s">
        <v>288</v>
      </c>
      <c r="H51779" t="s">
        <v>6421</v>
      </c>
      <c r="J51779" t="s">
        <v>140</v>
      </c>
      <c r="K51779">
        <v>159275.74</v>
      </c>
      <c r="L51779">
        <v>383574.8</v>
      </c>
      <c r="N51779" t="s">
        <v>1494</v>
      </c>
      <c r="O51779" t="s">
        <v>448</v>
      </c>
      <c r="P51779" t="s">
        <v>1495</v>
      </c>
      <c r="Q51779" t="s">
        <v>144</v>
      </c>
      <c r="S51779">
        <v>0</v>
      </c>
      <c r="T51779">
        <v>0</v>
      </c>
      <c r="V51779" t="s">
        <v>146</v>
      </c>
      <c r="W51779" t="s">
        <v>184</v>
      </c>
      <c r="X51779" t="s">
        <v>7</v>
      </c>
      <c r="Y51779" t="s">
        <v>1494</v>
      </c>
      <c r="Z51779" t="s">
        <v>448</v>
      </c>
      <c r="AA51779" t="s">
        <v>456</v>
      </c>
      <c r="AB51779">
        <v>0</v>
      </c>
      <c r="AE51779" t="s">
        <v>1496</v>
      </c>
      <c r="AF51779" t="s">
        <v>448</v>
      </c>
      <c r="AG51779" t="s">
        <v>560</v>
      </c>
      <c r="AL51779" t="s">
        <v>6422</v>
      </c>
      <c r="AM51779" t="s">
        <v>6423</v>
      </c>
      <c r="AN51779" t="s">
        <v>6424</v>
      </c>
      <c r="AO51779" t="s">
        <v>1494</v>
      </c>
      <c r="AQ51779">
        <f>IF(ISBLANK(AP51779), IFERROR(IF(VLOOKUP(AO51779, Ellens_additions!$A$2:$B$252, 2, FALSE) = "", "", VLOOKUP(AO51779, Ellens_additions!$A$2:$B$252, 2, FALSE)), 0), AP51779)</f>
        <v>0</v>
      </c>
    </row>
    <row r="51780" spans="1:43" ht="14.4" hidden="1" x14ac:dyDescent="0.3">
      <c r="A51780" t="s">
        <v>6425</v>
      </c>
      <c r="B51780">
        <v>4909191</v>
      </c>
      <c r="C51780" t="s">
        <v>135</v>
      </c>
      <c r="D51780" t="s">
        <v>174</v>
      </c>
      <c r="E51780" t="s">
        <v>316</v>
      </c>
      <c r="F51780" t="s">
        <v>288</v>
      </c>
      <c r="H51780" t="s">
        <v>6426</v>
      </c>
      <c r="J51780" t="s">
        <v>140</v>
      </c>
      <c r="K51780">
        <v>159282.28</v>
      </c>
      <c r="L51780">
        <v>383573.54</v>
      </c>
      <c r="N51780" t="s">
        <v>1494</v>
      </c>
      <c r="O51780" t="s">
        <v>448</v>
      </c>
      <c r="P51780" t="s">
        <v>1495</v>
      </c>
      <c r="Q51780" t="s">
        <v>144</v>
      </c>
      <c r="S51780">
        <v>0</v>
      </c>
      <c r="T51780">
        <v>0</v>
      </c>
      <c r="V51780" t="s">
        <v>146</v>
      </c>
      <c r="W51780" t="s">
        <v>184</v>
      </c>
      <c r="X51780" t="s">
        <v>7</v>
      </c>
      <c r="Y51780" t="s">
        <v>1494</v>
      </c>
      <c r="Z51780" t="s">
        <v>448</v>
      </c>
      <c r="AA51780" t="s">
        <v>456</v>
      </c>
      <c r="AB51780">
        <v>0</v>
      </c>
      <c r="AE51780" t="s">
        <v>1496</v>
      </c>
      <c r="AF51780" t="s">
        <v>448</v>
      </c>
      <c r="AG51780" t="s">
        <v>560</v>
      </c>
      <c r="AL51780" t="s">
        <v>6427</v>
      </c>
      <c r="AM51780" t="s">
        <v>6428</v>
      </c>
      <c r="AN51780" t="s">
        <v>6429</v>
      </c>
      <c r="AO51780" t="s">
        <v>1494</v>
      </c>
      <c r="AQ51780">
        <f>IF(ISBLANK(AP51780), IFERROR(IF(VLOOKUP(AO51780, Ellens_additions!$A$2:$B$252, 2, FALSE) = "", "", VLOOKUP(AO51780, Ellens_additions!$A$2:$B$252, 2, FALSE)), 0), AP51780)</f>
        <v>0</v>
      </c>
    </row>
    <row r="51781" spans="1:43" ht="14.4" hidden="1" x14ac:dyDescent="0.3">
      <c r="A51781" t="s">
        <v>6430</v>
      </c>
      <c r="B51781">
        <v>4909194</v>
      </c>
      <c r="C51781" t="s">
        <v>135</v>
      </c>
      <c r="D51781" t="s">
        <v>174</v>
      </c>
      <c r="E51781" t="s">
        <v>316</v>
      </c>
      <c r="F51781" t="s">
        <v>288</v>
      </c>
      <c r="H51781" t="s">
        <v>6431</v>
      </c>
      <c r="J51781" t="s">
        <v>140</v>
      </c>
      <c r="K51781">
        <v>159285.47</v>
      </c>
      <c r="L51781">
        <v>383573.16</v>
      </c>
      <c r="N51781" t="s">
        <v>1494</v>
      </c>
      <c r="O51781" t="s">
        <v>448</v>
      </c>
      <c r="P51781" t="s">
        <v>1495</v>
      </c>
      <c r="Q51781" t="s">
        <v>144</v>
      </c>
      <c r="S51781">
        <v>0</v>
      </c>
      <c r="T51781">
        <v>0</v>
      </c>
      <c r="V51781" t="s">
        <v>146</v>
      </c>
      <c r="W51781" t="s">
        <v>184</v>
      </c>
      <c r="X51781" t="s">
        <v>7</v>
      </c>
      <c r="Y51781" t="s">
        <v>1494</v>
      </c>
      <c r="Z51781" t="s">
        <v>448</v>
      </c>
      <c r="AA51781" t="s">
        <v>456</v>
      </c>
      <c r="AB51781">
        <v>0</v>
      </c>
      <c r="AE51781" t="s">
        <v>1496</v>
      </c>
      <c r="AF51781" t="s">
        <v>448</v>
      </c>
      <c r="AG51781" t="s">
        <v>560</v>
      </c>
      <c r="AL51781" t="s">
        <v>6432</v>
      </c>
      <c r="AM51781" t="s">
        <v>6433</v>
      </c>
      <c r="AN51781" t="s">
        <v>6434</v>
      </c>
      <c r="AO51781" t="s">
        <v>1494</v>
      </c>
      <c r="AQ51781">
        <f>IF(ISBLANK(AP51781), IFERROR(IF(VLOOKUP(AO51781, Ellens_additions!$A$2:$B$252, 2, FALSE) = "", "", VLOOKUP(AO51781, Ellens_additions!$A$2:$B$252, 2, FALSE)), 0), AP51781)</f>
        <v>0</v>
      </c>
    </row>
    <row r="51782" spans="1:43" ht="14.4" hidden="1" x14ac:dyDescent="0.3">
      <c r="A51782" t="s">
        <v>6435</v>
      </c>
      <c r="B51782">
        <v>4909200</v>
      </c>
      <c r="C51782" t="s">
        <v>135</v>
      </c>
      <c r="D51782" t="s">
        <v>174</v>
      </c>
      <c r="E51782" t="s">
        <v>316</v>
      </c>
      <c r="F51782" t="s">
        <v>288</v>
      </c>
      <c r="H51782" t="s">
        <v>6436</v>
      </c>
      <c r="J51782" t="s">
        <v>140</v>
      </c>
      <c r="K51782">
        <v>159291.16</v>
      </c>
      <c r="L51782">
        <v>383572.39</v>
      </c>
      <c r="N51782" t="s">
        <v>1494</v>
      </c>
      <c r="O51782" t="s">
        <v>448</v>
      </c>
      <c r="P51782" t="s">
        <v>1495</v>
      </c>
      <c r="Q51782" t="s">
        <v>144</v>
      </c>
      <c r="S51782">
        <v>0</v>
      </c>
      <c r="T51782">
        <v>0</v>
      </c>
      <c r="V51782" t="s">
        <v>146</v>
      </c>
      <c r="W51782" t="s">
        <v>184</v>
      </c>
      <c r="X51782" t="s">
        <v>7</v>
      </c>
      <c r="Y51782" t="s">
        <v>1494</v>
      </c>
      <c r="Z51782" t="s">
        <v>448</v>
      </c>
      <c r="AA51782" t="s">
        <v>456</v>
      </c>
      <c r="AB51782">
        <v>0</v>
      </c>
      <c r="AE51782" t="s">
        <v>1496</v>
      </c>
      <c r="AF51782" t="s">
        <v>448</v>
      </c>
      <c r="AG51782" t="s">
        <v>560</v>
      </c>
      <c r="AL51782" t="s">
        <v>6437</v>
      </c>
      <c r="AM51782" t="s">
        <v>6438</v>
      </c>
      <c r="AN51782" t="s">
        <v>6439</v>
      </c>
      <c r="AO51782" t="s">
        <v>1494</v>
      </c>
      <c r="AQ51782">
        <f>IF(ISBLANK(AP51782), IFERROR(IF(VLOOKUP(AO51782, Ellens_additions!$A$2:$B$252, 2, FALSE) = "", "", VLOOKUP(AO51782, Ellens_additions!$A$2:$B$252, 2, FALSE)), 0), AP51782)</f>
        <v>0</v>
      </c>
    </row>
    <row r="51783" spans="1:43" ht="14.4" hidden="1" x14ac:dyDescent="0.3">
      <c r="A51783" t="s">
        <v>6440</v>
      </c>
      <c r="B51783">
        <v>4909202</v>
      </c>
      <c r="C51783" t="s">
        <v>135</v>
      </c>
      <c r="D51783" t="s">
        <v>174</v>
      </c>
      <c r="E51783" t="s">
        <v>316</v>
      </c>
      <c r="F51783" t="s">
        <v>288</v>
      </c>
      <c r="H51783" t="s">
        <v>6441</v>
      </c>
      <c r="J51783" t="s">
        <v>140</v>
      </c>
      <c r="K51783">
        <v>159293.67000000001</v>
      </c>
      <c r="L51783">
        <v>383571.59</v>
      </c>
      <c r="N51783" t="s">
        <v>1494</v>
      </c>
      <c r="O51783" t="s">
        <v>448</v>
      </c>
      <c r="P51783" t="s">
        <v>1495</v>
      </c>
      <c r="Q51783" t="s">
        <v>144</v>
      </c>
      <c r="S51783">
        <v>0</v>
      </c>
      <c r="T51783">
        <v>0</v>
      </c>
      <c r="V51783" t="s">
        <v>146</v>
      </c>
      <c r="W51783" t="s">
        <v>184</v>
      </c>
      <c r="X51783" t="s">
        <v>7</v>
      </c>
      <c r="Y51783" t="s">
        <v>1494</v>
      </c>
      <c r="Z51783" t="s">
        <v>448</v>
      </c>
      <c r="AA51783" t="s">
        <v>456</v>
      </c>
      <c r="AB51783">
        <v>0</v>
      </c>
      <c r="AE51783" t="s">
        <v>1496</v>
      </c>
      <c r="AF51783" t="s">
        <v>448</v>
      </c>
      <c r="AG51783" t="s">
        <v>560</v>
      </c>
      <c r="AL51783" t="s">
        <v>6442</v>
      </c>
      <c r="AM51783" t="s">
        <v>6443</v>
      </c>
      <c r="AN51783" t="s">
        <v>6444</v>
      </c>
      <c r="AO51783" t="s">
        <v>1494</v>
      </c>
      <c r="AQ51783">
        <f>IF(ISBLANK(AP51783), IFERROR(IF(VLOOKUP(AO51783, Ellens_additions!$A$2:$B$252, 2, FALSE) = "", "", VLOOKUP(AO51783, Ellens_additions!$A$2:$B$252, 2, FALSE)), 0), AP51783)</f>
        <v>0</v>
      </c>
    </row>
    <row r="51784" spans="1:43" ht="14.4" hidden="1" x14ac:dyDescent="0.3">
      <c r="A51784" t="s">
        <v>6445</v>
      </c>
      <c r="B51784">
        <v>4909204</v>
      </c>
      <c r="C51784" t="s">
        <v>135</v>
      </c>
      <c r="D51784" t="s">
        <v>174</v>
      </c>
      <c r="E51784" t="s">
        <v>316</v>
      </c>
      <c r="F51784" t="s">
        <v>288</v>
      </c>
      <c r="H51784" t="s">
        <v>6446</v>
      </c>
      <c r="J51784" t="s">
        <v>140</v>
      </c>
      <c r="K51784">
        <v>159301.28</v>
      </c>
      <c r="L51784">
        <v>383561.16</v>
      </c>
      <c r="N51784" t="s">
        <v>1494</v>
      </c>
      <c r="O51784" t="s">
        <v>448</v>
      </c>
      <c r="P51784" t="s">
        <v>1495</v>
      </c>
      <c r="Q51784" t="s">
        <v>144</v>
      </c>
      <c r="S51784">
        <v>0</v>
      </c>
      <c r="T51784">
        <v>0</v>
      </c>
      <c r="V51784" t="s">
        <v>146</v>
      </c>
      <c r="W51784" t="s">
        <v>184</v>
      </c>
      <c r="X51784" t="s">
        <v>7</v>
      </c>
      <c r="Y51784" t="s">
        <v>1494</v>
      </c>
      <c r="Z51784" t="s">
        <v>448</v>
      </c>
      <c r="AA51784" t="s">
        <v>456</v>
      </c>
      <c r="AB51784">
        <v>0</v>
      </c>
      <c r="AE51784" t="s">
        <v>1496</v>
      </c>
      <c r="AF51784" t="s">
        <v>448</v>
      </c>
      <c r="AG51784" t="s">
        <v>560</v>
      </c>
      <c r="AL51784" t="s">
        <v>6447</v>
      </c>
      <c r="AM51784" t="s">
        <v>6448</v>
      </c>
      <c r="AN51784" t="s">
        <v>6449</v>
      </c>
      <c r="AO51784" t="s">
        <v>1494</v>
      </c>
      <c r="AQ51784">
        <f>IF(ISBLANK(AP51784), IFERROR(IF(VLOOKUP(AO51784, Ellens_additions!$A$2:$B$252, 2, FALSE) = "", "", VLOOKUP(AO51784, Ellens_additions!$A$2:$B$252, 2, FALSE)), 0), AP51784)</f>
        <v>0</v>
      </c>
    </row>
    <row r="51785" spans="1:43" ht="14.4" hidden="1" x14ac:dyDescent="0.3">
      <c r="A51785" t="s">
        <v>6450</v>
      </c>
      <c r="B51785">
        <v>4909205</v>
      </c>
      <c r="C51785" t="s">
        <v>135</v>
      </c>
      <c r="D51785" t="s">
        <v>174</v>
      </c>
      <c r="E51785" t="s">
        <v>316</v>
      </c>
      <c r="F51785" t="s">
        <v>288</v>
      </c>
      <c r="H51785" t="s">
        <v>6451</v>
      </c>
      <c r="J51785" t="s">
        <v>140</v>
      </c>
      <c r="K51785">
        <v>159301.57999999999</v>
      </c>
      <c r="L51785">
        <v>383559.57</v>
      </c>
      <c r="N51785" t="s">
        <v>1494</v>
      </c>
      <c r="O51785" t="s">
        <v>448</v>
      </c>
      <c r="P51785" t="s">
        <v>1495</v>
      </c>
      <c r="Q51785" t="s">
        <v>144</v>
      </c>
      <c r="S51785">
        <v>0</v>
      </c>
      <c r="T51785">
        <v>0</v>
      </c>
      <c r="V51785" t="s">
        <v>146</v>
      </c>
      <c r="W51785" t="s">
        <v>184</v>
      </c>
      <c r="X51785" t="s">
        <v>7</v>
      </c>
      <c r="Y51785" t="s">
        <v>1494</v>
      </c>
      <c r="Z51785" t="s">
        <v>448</v>
      </c>
      <c r="AA51785" t="s">
        <v>456</v>
      </c>
      <c r="AB51785">
        <v>0</v>
      </c>
      <c r="AE51785" t="s">
        <v>1496</v>
      </c>
      <c r="AF51785" t="s">
        <v>448</v>
      </c>
      <c r="AG51785" t="s">
        <v>560</v>
      </c>
      <c r="AL51785" t="s">
        <v>6452</v>
      </c>
      <c r="AM51785" t="s">
        <v>6453</v>
      </c>
      <c r="AN51785" t="s">
        <v>6454</v>
      </c>
      <c r="AO51785" t="s">
        <v>1494</v>
      </c>
      <c r="AQ51785">
        <f>IF(ISBLANK(AP51785), IFERROR(IF(VLOOKUP(AO51785, Ellens_additions!$A$2:$B$252, 2, FALSE) = "", "", VLOOKUP(AO51785, Ellens_additions!$A$2:$B$252, 2, FALSE)), 0), AP51785)</f>
        <v>0</v>
      </c>
    </row>
    <row r="51786" spans="1:43" ht="14.4" hidden="1" x14ac:dyDescent="0.3">
      <c r="A51786" t="s">
        <v>6455</v>
      </c>
      <c r="B51786">
        <v>4909206</v>
      </c>
      <c r="C51786" t="s">
        <v>135</v>
      </c>
      <c r="D51786" t="s">
        <v>174</v>
      </c>
      <c r="E51786" t="s">
        <v>316</v>
      </c>
      <c r="F51786" t="s">
        <v>288</v>
      </c>
      <c r="H51786" t="s">
        <v>6456</v>
      </c>
      <c r="J51786" t="s">
        <v>140</v>
      </c>
      <c r="K51786">
        <v>159301.87</v>
      </c>
      <c r="L51786">
        <v>383558.48</v>
      </c>
      <c r="N51786" t="s">
        <v>1494</v>
      </c>
      <c r="O51786" t="s">
        <v>448</v>
      </c>
      <c r="P51786" t="s">
        <v>1495</v>
      </c>
      <c r="Q51786" t="s">
        <v>144</v>
      </c>
      <c r="S51786">
        <v>0</v>
      </c>
      <c r="T51786">
        <v>0</v>
      </c>
      <c r="V51786" t="s">
        <v>146</v>
      </c>
      <c r="W51786" t="s">
        <v>184</v>
      </c>
      <c r="X51786" t="s">
        <v>7</v>
      </c>
      <c r="Y51786" t="s">
        <v>1494</v>
      </c>
      <c r="Z51786" t="s">
        <v>448</v>
      </c>
      <c r="AA51786" t="s">
        <v>456</v>
      </c>
      <c r="AB51786">
        <v>0</v>
      </c>
      <c r="AE51786" t="s">
        <v>1496</v>
      </c>
      <c r="AF51786" t="s">
        <v>448</v>
      </c>
      <c r="AG51786" t="s">
        <v>560</v>
      </c>
      <c r="AL51786" t="s">
        <v>6457</v>
      </c>
      <c r="AM51786" t="s">
        <v>6458</v>
      </c>
      <c r="AN51786" t="s">
        <v>6459</v>
      </c>
      <c r="AO51786" t="s">
        <v>1494</v>
      </c>
      <c r="AQ51786">
        <f>IF(ISBLANK(AP51786), IFERROR(IF(VLOOKUP(AO51786, Ellens_additions!$A$2:$B$252, 2, FALSE) = "", "", VLOOKUP(AO51786, Ellens_additions!$A$2:$B$252, 2, FALSE)), 0), AP51786)</f>
        <v>0</v>
      </c>
    </row>
    <row r="51787" spans="1:43" ht="14.4" hidden="1" x14ac:dyDescent="0.3">
      <c r="A51787" t="s">
        <v>6460</v>
      </c>
      <c r="B51787">
        <v>4909212</v>
      </c>
      <c r="C51787" t="s">
        <v>135</v>
      </c>
      <c r="D51787" t="s">
        <v>174</v>
      </c>
      <c r="E51787" t="s">
        <v>316</v>
      </c>
      <c r="F51787" t="s">
        <v>288</v>
      </c>
      <c r="H51787" t="s">
        <v>6461</v>
      </c>
      <c r="J51787" t="s">
        <v>140</v>
      </c>
      <c r="K51787">
        <v>159304.26</v>
      </c>
      <c r="L51787">
        <v>383552.33</v>
      </c>
      <c r="N51787" t="s">
        <v>1494</v>
      </c>
      <c r="O51787" t="s">
        <v>448</v>
      </c>
      <c r="P51787" t="s">
        <v>1495</v>
      </c>
      <c r="Q51787" t="s">
        <v>144</v>
      </c>
      <c r="S51787">
        <v>0</v>
      </c>
      <c r="T51787">
        <v>0</v>
      </c>
      <c r="V51787" t="s">
        <v>146</v>
      </c>
      <c r="W51787" t="s">
        <v>184</v>
      </c>
      <c r="X51787" t="s">
        <v>7</v>
      </c>
      <c r="Y51787" t="s">
        <v>1494</v>
      </c>
      <c r="Z51787" t="s">
        <v>448</v>
      </c>
      <c r="AA51787" t="s">
        <v>456</v>
      </c>
      <c r="AB51787">
        <v>0</v>
      </c>
      <c r="AE51787" t="s">
        <v>1496</v>
      </c>
      <c r="AF51787" t="s">
        <v>448</v>
      </c>
      <c r="AG51787" t="s">
        <v>560</v>
      </c>
      <c r="AL51787" t="s">
        <v>6462</v>
      </c>
      <c r="AM51787" t="s">
        <v>6463</v>
      </c>
      <c r="AN51787" t="s">
        <v>6464</v>
      </c>
      <c r="AO51787" t="s">
        <v>1494</v>
      </c>
      <c r="AQ51787">
        <f>IF(ISBLANK(AP51787), IFERROR(IF(VLOOKUP(AO51787, Ellens_additions!$A$2:$B$252, 2, FALSE) = "", "", VLOOKUP(AO51787, Ellens_additions!$A$2:$B$252, 2, FALSE)), 0), AP51787)</f>
        <v>0</v>
      </c>
    </row>
    <row r="51788" spans="1:43" ht="14.4" hidden="1" x14ac:dyDescent="0.3">
      <c r="A51788" t="s">
        <v>6465</v>
      </c>
      <c r="B51788">
        <v>4909214</v>
      </c>
      <c r="C51788" t="s">
        <v>135</v>
      </c>
      <c r="D51788" t="s">
        <v>174</v>
      </c>
      <c r="E51788" t="s">
        <v>316</v>
      </c>
      <c r="F51788" t="s">
        <v>288</v>
      </c>
      <c r="H51788" t="s">
        <v>6466</v>
      </c>
      <c r="J51788" t="s">
        <v>140</v>
      </c>
      <c r="K51788">
        <v>159305.35</v>
      </c>
      <c r="L51788">
        <v>383550.24</v>
      </c>
      <c r="N51788" t="s">
        <v>1494</v>
      </c>
      <c r="O51788" t="s">
        <v>448</v>
      </c>
      <c r="P51788" t="s">
        <v>1495</v>
      </c>
      <c r="Q51788" t="s">
        <v>144</v>
      </c>
      <c r="S51788">
        <v>0</v>
      </c>
      <c r="T51788">
        <v>0</v>
      </c>
      <c r="V51788" t="s">
        <v>146</v>
      </c>
      <c r="W51788" t="s">
        <v>184</v>
      </c>
      <c r="X51788" t="s">
        <v>7</v>
      </c>
      <c r="Y51788" t="s">
        <v>1494</v>
      </c>
      <c r="Z51788" t="s">
        <v>448</v>
      </c>
      <c r="AA51788" t="s">
        <v>456</v>
      </c>
      <c r="AB51788">
        <v>0</v>
      </c>
      <c r="AE51788" t="s">
        <v>1496</v>
      </c>
      <c r="AF51788" t="s">
        <v>448</v>
      </c>
      <c r="AG51788" t="s">
        <v>560</v>
      </c>
      <c r="AL51788" t="s">
        <v>6467</v>
      </c>
      <c r="AM51788" t="s">
        <v>6468</v>
      </c>
      <c r="AN51788" t="s">
        <v>6469</v>
      </c>
      <c r="AO51788" t="s">
        <v>1494</v>
      </c>
      <c r="AQ51788">
        <f>IF(ISBLANK(AP51788), IFERROR(IF(VLOOKUP(AO51788, Ellens_additions!$A$2:$B$252, 2, FALSE) = "", "", VLOOKUP(AO51788, Ellens_additions!$A$2:$B$252, 2, FALSE)), 0), AP51788)</f>
        <v>0</v>
      </c>
    </row>
    <row r="51789" spans="1:43" ht="14.4" hidden="1" x14ac:dyDescent="0.3">
      <c r="A51789" t="s">
        <v>6470</v>
      </c>
      <c r="B51789">
        <v>4909215</v>
      </c>
      <c r="C51789" t="s">
        <v>135</v>
      </c>
      <c r="D51789" t="s">
        <v>174</v>
      </c>
      <c r="E51789" t="s">
        <v>316</v>
      </c>
      <c r="F51789" t="s">
        <v>288</v>
      </c>
      <c r="H51789" t="s">
        <v>6471</v>
      </c>
      <c r="J51789" t="s">
        <v>140</v>
      </c>
      <c r="K51789">
        <v>159305.94</v>
      </c>
      <c r="L51789">
        <v>383549.25</v>
      </c>
      <c r="N51789" t="s">
        <v>1494</v>
      </c>
      <c r="O51789" t="s">
        <v>448</v>
      </c>
      <c r="P51789" t="s">
        <v>1495</v>
      </c>
      <c r="Q51789" t="s">
        <v>144</v>
      </c>
      <c r="S51789">
        <v>0</v>
      </c>
      <c r="T51789">
        <v>0</v>
      </c>
      <c r="V51789" t="s">
        <v>146</v>
      </c>
      <c r="W51789" t="s">
        <v>184</v>
      </c>
      <c r="X51789" t="s">
        <v>7</v>
      </c>
      <c r="Y51789" t="s">
        <v>1494</v>
      </c>
      <c r="Z51789" t="s">
        <v>448</v>
      </c>
      <c r="AA51789" t="s">
        <v>456</v>
      </c>
      <c r="AB51789">
        <v>0</v>
      </c>
      <c r="AE51789" t="s">
        <v>1496</v>
      </c>
      <c r="AF51789" t="s">
        <v>448</v>
      </c>
      <c r="AG51789" t="s">
        <v>560</v>
      </c>
      <c r="AL51789" t="s">
        <v>6472</v>
      </c>
      <c r="AM51789" t="s">
        <v>6473</v>
      </c>
      <c r="AN51789" t="s">
        <v>6474</v>
      </c>
      <c r="AO51789" t="s">
        <v>1494</v>
      </c>
      <c r="AQ51789">
        <f>IF(ISBLANK(AP51789), IFERROR(IF(VLOOKUP(AO51789, Ellens_additions!$A$2:$B$252, 2, FALSE) = "", "", VLOOKUP(AO51789, Ellens_additions!$A$2:$B$252, 2, FALSE)), 0), AP51789)</f>
        <v>0</v>
      </c>
    </row>
    <row r="51790" spans="1:43" ht="14.4" hidden="1" x14ac:dyDescent="0.3">
      <c r="A51790" t="s">
        <v>6475</v>
      </c>
      <c r="B51790">
        <v>4909216</v>
      </c>
      <c r="C51790" t="s">
        <v>135</v>
      </c>
      <c r="D51790" t="s">
        <v>174</v>
      </c>
      <c r="E51790" t="s">
        <v>316</v>
      </c>
      <c r="F51790" t="s">
        <v>288</v>
      </c>
      <c r="H51790" t="s">
        <v>6476</v>
      </c>
      <c r="J51790" t="s">
        <v>140</v>
      </c>
      <c r="K51790">
        <v>159306.44</v>
      </c>
      <c r="L51790">
        <v>383548.46</v>
      </c>
      <c r="N51790" t="s">
        <v>1494</v>
      </c>
      <c r="O51790" t="s">
        <v>448</v>
      </c>
      <c r="P51790" t="s">
        <v>1495</v>
      </c>
      <c r="Q51790" t="s">
        <v>144</v>
      </c>
      <c r="S51790">
        <v>0</v>
      </c>
      <c r="T51790">
        <v>0</v>
      </c>
      <c r="V51790" t="s">
        <v>146</v>
      </c>
      <c r="W51790" t="s">
        <v>184</v>
      </c>
      <c r="X51790" t="s">
        <v>7</v>
      </c>
      <c r="Y51790" t="s">
        <v>1494</v>
      </c>
      <c r="Z51790" t="s">
        <v>448</v>
      </c>
      <c r="AA51790" t="s">
        <v>456</v>
      </c>
      <c r="AB51790">
        <v>0</v>
      </c>
      <c r="AE51790" t="s">
        <v>1496</v>
      </c>
      <c r="AF51790" t="s">
        <v>448</v>
      </c>
      <c r="AG51790" t="s">
        <v>560</v>
      </c>
      <c r="AL51790" t="s">
        <v>6477</v>
      </c>
      <c r="AM51790" t="s">
        <v>6478</v>
      </c>
      <c r="AN51790" t="s">
        <v>6479</v>
      </c>
      <c r="AO51790" t="s">
        <v>1494</v>
      </c>
      <c r="AQ51790">
        <f>IF(ISBLANK(AP51790), IFERROR(IF(VLOOKUP(AO51790, Ellens_additions!$A$2:$B$252, 2, FALSE) = "", "", VLOOKUP(AO51790, Ellens_additions!$A$2:$B$252, 2, FALSE)), 0), AP51790)</f>
        <v>0</v>
      </c>
    </row>
    <row r="51791" spans="1:43" ht="14.4" hidden="1" x14ac:dyDescent="0.3">
      <c r="A51791" t="s">
        <v>6480</v>
      </c>
      <c r="B51791">
        <v>4909217</v>
      </c>
      <c r="C51791" t="s">
        <v>135</v>
      </c>
      <c r="D51791" t="s">
        <v>174</v>
      </c>
      <c r="E51791" t="s">
        <v>316</v>
      </c>
      <c r="F51791" t="s">
        <v>288</v>
      </c>
      <c r="H51791" t="s">
        <v>6481</v>
      </c>
      <c r="J51791" t="s">
        <v>140</v>
      </c>
      <c r="K51791">
        <v>159306.84</v>
      </c>
      <c r="L51791">
        <v>383547.56</v>
      </c>
      <c r="N51791" t="s">
        <v>1494</v>
      </c>
      <c r="O51791" t="s">
        <v>448</v>
      </c>
      <c r="P51791" t="s">
        <v>1495</v>
      </c>
      <c r="Q51791" t="s">
        <v>144</v>
      </c>
      <c r="S51791">
        <v>0</v>
      </c>
      <c r="T51791">
        <v>0</v>
      </c>
      <c r="V51791" t="s">
        <v>146</v>
      </c>
      <c r="W51791" t="s">
        <v>184</v>
      </c>
      <c r="X51791" t="s">
        <v>7</v>
      </c>
      <c r="Y51791" t="s">
        <v>1494</v>
      </c>
      <c r="Z51791" t="s">
        <v>448</v>
      </c>
      <c r="AA51791" t="s">
        <v>456</v>
      </c>
      <c r="AB51791">
        <v>0</v>
      </c>
      <c r="AE51791" t="s">
        <v>1496</v>
      </c>
      <c r="AF51791" t="s">
        <v>448</v>
      </c>
      <c r="AG51791" t="s">
        <v>560</v>
      </c>
      <c r="AL51791" t="s">
        <v>6482</v>
      </c>
      <c r="AM51791" t="s">
        <v>6483</v>
      </c>
      <c r="AN51791" t="s">
        <v>6484</v>
      </c>
      <c r="AO51791" t="s">
        <v>1494</v>
      </c>
      <c r="AQ51791">
        <f>IF(ISBLANK(AP51791), IFERROR(IF(VLOOKUP(AO51791, Ellens_additions!$A$2:$B$252, 2, FALSE) = "", "", VLOOKUP(AO51791, Ellens_additions!$A$2:$B$252, 2, FALSE)), 0), AP51791)</f>
        <v>0</v>
      </c>
    </row>
    <row r="51792" spans="1:43" ht="14.4" hidden="1" x14ac:dyDescent="0.3">
      <c r="A51792" t="s">
        <v>6485</v>
      </c>
      <c r="B51792">
        <v>4909221</v>
      </c>
      <c r="C51792" t="s">
        <v>135</v>
      </c>
      <c r="D51792" t="s">
        <v>174</v>
      </c>
      <c r="E51792" t="s">
        <v>316</v>
      </c>
      <c r="F51792" t="s">
        <v>288</v>
      </c>
      <c r="H51792" t="s">
        <v>6486</v>
      </c>
      <c r="J51792" t="s">
        <v>140</v>
      </c>
      <c r="K51792">
        <v>159309.42000000001</v>
      </c>
      <c r="L51792">
        <v>383543.79</v>
      </c>
      <c r="N51792" t="s">
        <v>1494</v>
      </c>
      <c r="O51792" t="s">
        <v>448</v>
      </c>
      <c r="P51792" t="s">
        <v>1495</v>
      </c>
      <c r="Q51792" t="s">
        <v>144</v>
      </c>
      <c r="S51792">
        <v>0</v>
      </c>
      <c r="T51792">
        <v>0</v>
      </c>
      <c r="V51792" t="s">
        <v>146</v>
      </c>
      <c r="W51792" t="s">
        <v>184</v>
      </c>
      <c r="X51792" t="s">
        <v>7</v>
      </c>
      <c r="Y51792" t="s">
        <v>1494</v>
      </c>
      <c r="Z51792" t="s">
        <v>448</v>
      </c>
      <c r="AA51792" t="s">
        <v>456</v>
      </c>
      <c r="AB51792">
        <v>0</v>
      </c>
      <c r="AE51792" t="s">
        <v>1496</v>
      </c>
      <c r="AF51792" t="s">
        <v>448</v>
      </c>
      <c r="AG51792" t="s">
        <v>560</v>
      </c>
      <c r="AL51792" t="s">
        <v>6487</v>
      </c>
      <c r="AM51792" t="s">
        <v>6488</v>
      </c>
      <c r="AN51792" t="s">
        <v>6489</v>
      </c>
      <c r="AO51792" t="s">
        <v>1494</v>
      </c>
      <c r="AQ51792">
        <f>IF(ISBLANK(AP51792), IFERROR(IF(VLOOKUP(AO51792, Ellens_additions!$A$2:$B$252, 2, FALSE) = "", "", VLOOKUP(AO51792, Ellens_additions!$A$2:$B$252, 2, FALSE)), 0), AP51792)</f>
        <v>0</v>
      </c>
    </row>
    <row r="51793" spans="1:43" ht="14.4" hidden="1" x14ac:dyDescent="0.3">
      <c r="A51793" t="s">
        <v>6490</v>
      </c>
      <c r="B51793">
        <v>4909223</v>
      </c>
      <c r="C51793" t="s">
        <v>135</v>
      </c>
      <c r="D51793" t="s">
        <v>174</v>
      </c>
      <c r="E51793" t="s">
        <v>316</v>
      </c>
      <c r="F51793" t="s">
        <v>288</v>
      </c>
      <c r="H51793" t="s">
        <v>6491</v>
      </c>
      <c r="J51793" t="s">
        <v>140</v>
      </c>
      <c r="K51793">
        <v>159310.79999999999</v>
      </c>
      <c r="L51793">
        <v>383542.21</v>
      </c>
      <c r="N51793" t="s">
        <v>1494</v>
      </c>
      <c r="O51793" t="s">
        <v>448</v>
      </c>
      <c r="P51793" t="s">
        <v>1495</v>
      </c>
      <c r="Q51793" t="s">
        <v>144</v>
      </c>
      <c r="S51793">
        <v>0</v>
      </c>
      <c r="T51793">
        <v>0</v>
      </c>
      <c r="V51793" t="s">
        <v>146</v>
      </c>
      <c r="W51793" t="s">
        <v>184</v>
      </c>
      <c r="X51793" t="s">
        <v>7</v>
      </c>
      <c r="Y51793" t="s">
        <v>1494</v>
      </c>
      <c r="Z51793" t="s">
        <v>448</v>
      </c>
      <c r="AA51793" t="s">
        <v>456</v>
      </c>
      <c r="AB51793">
        <v>0</v>
      </c>
      <c r="AE51793" t="s">
        <v>1496</v>
      </c>
      <c r="AF51793" t="s">
        <v>448</v>
      </c>
      <c r="AG51793" t="s">
        <v>560</v>
      </c>
      <c r="AL51793" t="s">
        <v>6492</v>
      </c>
      <c r="AM51793" t="s">
        <v>6493</v>
      </c>
      <c r="AN51793" t="s">
        <v>6494</v>
      </c>
      <c r="AO51793" t="s">
        <v>1494</v>
      </c>
      <c r="AQ51793">
        <f>IF(ISBLANK(AP51793), IFERROR(IF(VLOOKUP(AO51793, Ellens_additions!$A$2:$B$252, 2, FALSE) = "", "", VLOOKUP(AO51793, Ellens_additions!$A$2:$B$252, 2, FALSE)), 0), AP51793)</f>
        <v>0</v>
      </c>
    </row>
    <row r="51794" spans="1:43" ht="14.4" hidden="1" x14ac:dyDescent="0.3">
      <c r="A51794" t="s">
        <v>6495</v>
      </c>
      <c r="B51794">
        <v>4909233</v>
      </c>
      <c r="C51794" t="s">
        <v>135</v>
      </c>
      <c r="D51794" t="s">
        <v>174</v>
      </c>
      <c r="E51794" t="s">
        <v>316</v>
      </c>
      <c r="F51794" t="s">
        <v>288</v>
      </c>
      <c r="H51794" t="s">
        <v>6496</v>
      </c>
      <c r="J51794" t="s">
        <v>140</v>
      </c>
      <c r="K51794">
        <v>159318.99</v>
      </c>
      <c r="L51794">
        <v>383534.61</v>
      </c>
      <c r="N51794" t="s">
        <v>1494</v>
      </c>
      <c r="O51794" t="s">
        <v>448</v>
      </c>
      <c r="P51794" t="s">
        <v>1495</v>
      </c>
      <c r="Q51794" t="s">
        <v>144</v>
      </c>
      <c r="S51794">
        <v>0</v>
      </c>
      <c r="T51794">
        <v>0</v>
      </c>
      <c r="V51794" t="s">
        <v>146</v>
      </c>
      <c r="W51794" t="s">
        <v>184</v>
      </c>
      <c r="X51794" t="s">
        <v>7</v>
      </c>
      <c r="Y51794" t="s">
        <v>1494</v>
      </c>
      <c r="Z51794" t="s">
        <v>448</v>
      </c>
      <c r="AA51794" t="s">
        <v>456</v>
      </c>
      <c r="AB51794">
        <v>0</v>
      </c>
      <c r="AE51794" t="s">
        <v>1496</v>
      </c>
      <c r="AF51794" t="s">
        <v>448</v>
      </c>
      <c r="AG51794" t="s">
        <v>560</v>
      </c>
      <c r="AL51794" t="s">
        <v>6497</v>
      </c>
      <c r="AM51794" t="s">
        <v>6498</v>
      </c>
      <c r="AN51794" t="s">
        <v>6499</v>
      </c>
      <c r="AO51794" t="s">
        <v>1494</v>
      </c>
      <c r="AQ51794">
        <f>IF(ISBLANK(AP51794), IFERROR(IF(VLOOKUP(AO51794, Ellens_additions!$A$2:$B$252, 2, FALSE) = "", "", VLOOKUP(AO51794, Ellens_additions!$A$2:$B$252, 2, FALSE)), 0), AP51794)</f>
        <v>0</v>
      </c>
    </row>
    <row r="51795" spans="1:43" ht="14.4" hidden="1" x14ac:dyDescent="0.3">
      <c r="A51795" t="s">
        <v>6500</v>
      </c>
      <c r="B51795">
        <v>4909235</v>
      </c>
      <c r="C51795" t="s">
        <v>135</v>
      </c>
      <c r="D51795" t="s">
        <v>174</v>
      </c>
      <c r="E51795" t="s">
        <v>316</v>
      </c>
      <c r="F51795" t="s">
        <v>288</v>
      </c>
      <c r="H51795" t="s">
        <v>6501</v>
      </c>
      <c r="J51795" t="s">
        <v>140</v>
      </c>
      <c r="K51795">
        <v>159320.82999999999</v>
      </c>
      <c r="L51795">
        <v>383533.47</v>
      </c>
      <c r="N51795" t="s">
        <v>1494</v>
      </c>
      <c r="O51795" t="s">
        <v>448</v>
      </c>
      <c r="P51795" t="s">
        <v>1495</v>
      </c>
      <c r="Q51795" t="s">
        <v>144</v>
      </c>
      <c r="S51795">
        <v>0</v>
      </c>
      <c r="T51795">
        <v>0</v>
      </c>
      <c r="V51795" t="s">
        <v>146</v>
      </c>
      <c r="W51795" t="s">
        <v>184</v>
      </c>
      <c r="X51795" t="s">
        <v>7</v>
      </c>
      <c r="Y51795" t="s">
        <v>1494</v>
      </c>
      <c r="Z51795" t="s">
        <v>448</v>
      </c>
      <c r="AA51795" t="s">
        <v>456</v>
      </c>
      <c r="AB51795">
        <v>0</v>
      </c>
      <c r="AE51795" t="s">
        <v>1496</v>
      </c>
      <c r="AF51795" t="s">
        <v>448</v>
      </c>
      <c r="AG51795" t="s">
        <v>560</v>
      </c>
      <c r="AL51795" t="s">
        <v>6502</v>
      </c>
      <c r="AM51795" t="s">
        <v>6503</v>
      </c>
      <c r="AN51795" t="s">
        <v>6504</v>
      </c>
      <c r="AO51795" t="s">
        <v>1494</v>
      </c>
      <c r="AQ51795">
        <f>IF(ISBLANK(AP51795), IFERROR(IF(VLOOKUP(AO51795, Ellens_additions!$A$2:$B$252, 2, FALSE) = "", "", VLOOKUP(AO51795, Ellens_additions!$A$2:$B$252, 2, FALSE)), 0), AP51795)</f>
        <v>0</v>
      </c>
    </row>
    <row r="51796" spans="1:43" ht="14.4" hidden="1" x14ac:dyDescent="0.3">
      <c r="A51796" t="s">
        <v>6505</v>
      </c>
      <c r="B51796">
        <v>4909238</v>
      </c>
      <c r="C51796" t="s">
        <v>135</v>
      </c>
      <c r="D51796" t="s">
        <v>174</v>
      </c>
      <c r="E51796" t="s">
        <v>316</v>
      </c>
      <c r="F51796" t="s">
        <v>288</v>
      </c>
      <c r="H51796" t="s">
        <v>6506</v>
      </c>
      <c r="J51796" t="s">
        <v>140</v>
      </c>
      <c r="K51796">
        <v>159323.6</v>
      </c>
      <c r="L51796">
        <v>383531.99</v>
      </c>
      <c r="N51796" t="s">
        <v>1494</v>
      </c>
      <c r="O51796" t="s">
        <v>448</v>
      </c>
      <c r="P51796" t="s">
        <v>1495</v>
      </c>
      <c r="Q51796" t="s">
        <v>144</v>
      </c>
      <c r="S51796">
        <v>0</v>
      </c>
      <c r="T51796">
        <v>0</v>
      </c>
      <c r="V51796" t="s">
        <v>146</v>
      </c>
      <c r="W51796" t="s">
        <v>184</v>
      </c>
      <c r="X51796" t="s">
        <v>7</v>
      </c>
      <c r="Y51796" t="s">
        <v>1494</v>
      </c>
      <c r="Z51796" t="s">
        <v>448</v>
      </c>
      <c r="AA51796" t="s">
        <v>456</v>
      </c>
      <c r="AB51796">
        <v>0</v>
      </c>
      <c r="AE51796" t="s">
        <v>1496</v>
      </c>
      <c r="AF51796" t="s">
        <v>448</v>
      </c>
      <c r="AG51796" t="s">
        <v>560</v>
      </c>
      <c r="AL51796" t="s">
        <v>6507</v>
      </c>
      <c r="AM51796" t="s">
        <v>6508</v>
      </c>
      <c r="AN51796" t="s">
        <v>6509</v>
      </c>
      <c r="AO51796" t="s">
        <v>1494</v>
      </c>
      <c r="AQ51796">
        <f>IF(ISBLANK(AP51796), IFERROR(IF(VLOOKUP(AO51796, Ellens_additions!$A$2:$B$252, 2, FALSE) = "", "", VLOOKUP(AO51796, Ellens_additions!$A$2:$B$252, 2, FALSE)), 0), AP51796)</f>
        <v>0</v>
      </c>
    </row>
    <row r="51797" spans="1:43" ht="14.4" hidden="1" x14ac:dyDescent="0.3">
      <c r="A51797" t="s">
        <v>6510</v>
      </c>
      <c r="B51797">
        <v>4909241</v>
      </c>
      <c r="C51797" t="s">
        <v>135</v>
      </c>
      <c r="D51797" t="s">
        <v>174</v>
      </c>
      <c r="E51797" t="s">
        <v>316</v>
      </c>
      <c r="F51797" t="s">
        <v>288</v>
      </c>
      <c r="H51797" t="s">
        <v>6511</v>
      </c>
      <c r="J51797" t="s">
        <v>140</v>
      </c>
      <c r="K51797">
        <v>159326.57999999999</v>
      </c>
      <c r="L51797">
        <v>383530.5</v>
      </c>
      <c r="N51797" t="s">
        <v>1494</v>
      </c>
      <c r="O51797" t="s">
        <v>448</v>
      </c>
      <c r="P51797" t="s">
        <v>1495</v>
      </c>
      <c r="Q51797" t="s">
        <v>144</v>
      </c>
      <c r="S51797">
        <v>0</v>
      </c>
      <c r="T51797">
        <v>0</v>
      </c>
      <c r="V51797" t="s">
        <v>146</v>
      </c>
      <c r="W51797" t="s">
        <v>184</v>
      </c>
      <c r="X51797" t="s">
        <v>7</v>
      </c>
      <c r="Y51797" t="s">
        <v>1494</v>
      </c>
      <c r="Z51797" t="s">
        <v>448</v>
      </c>
      <c r="AA51797" t="s">
        <v>456</v>
      </c>
      <c r="AB51797">
        <v>0</v>
      </c>
      <c r="AE51797" t="s">
        <v>1496</v>
      </c>
      <c r="AF51797" t="s">
        <v>448</v>
      </c>
      <c r="AG51797" t="s">
        <v>560</v>
      </c>
      <c r="AL51797" t="s">
        <v>6512</v>
      </c>
      <c r="AM51797" t="s">
        <v>6513</v>
      </c>
      <c r="AN51797" t="s">
        <v>6514</v>
      </c>
      <c r="AO51797" t="s">
        <v>1494</v>
      </c>
      <c r="AQ51797">
        <f>IF(ISBLANK(AP51797), IFERROR(IF(VLOOKUP(AO51797, Ellens_additions!$A$2:$B$252, 2, FALSE) = "", "", VLOOKUP(AO51797, Ellens_additions!$A$2:$B$252, 2, FALSE)), 0), AP51797)</f>
        <v>0</v>
      </c>
    </row>
    <row r="51798" spans="1:43" ht="14.4" hidden="1" x14ac:dyDescent="0.3">
      <c r="A51798" t="s">
        <v>6515</v>
      </c>
      <c r="B51798">
        <v>4909242</v>
      </c>
      <c r="C51798" t="s">
        <v>135</v>
      </c>
      <c r="D51798" t="s">
        <v>174</v>
      </c>
      <c r="E51798" t="s">
        <v>316</v>
      </c>
      <c r="F51798" t="s">
        <v>288</v>
      </c>
      <c r="H51798" t="s">
        <v>6516</v>
      </c>
      <c r="J51798" t="s">
        <v>140</v>
      </c>
      <c r="K51798">
        <v>159327.67000000001</v>
      </c>
      <c r="L51798">
        <v>383530.1</v>
      </c>
      <c r="N51798" t="s">
        <v>1494</v>
      </c>
      <c r="O51798" t="s">
        <v>448</v>
      </c>
      <c r="P51798" t="s">
        <v>1495</v>
      </c>
      <c r="Q51798" t="s">
        <v>144</v>
      </c>
      <c r="S51798">
        <v>0</v>
      </c>
      <c r="T51798">
        <v>0</v>
      </c>
      <c r="V51798" t="s">
        <v>146</v>
      </c>
      <c r="W51798" t="s">
        <v>184</v>
      </c>
      <c r="X51798" t="s">
        <v>7</v>
      </c>
      <c r="Y51798" t="s">
        <v>1494</v>
      </c>
      <c r="Z51798" t="s">
        <v>448</v>
      </c>
      <c r="AA51798" t="s">
        <v>456</v>
      </c>
      <c r="AB51798">
        <v>0</v>
      </c>
      <c r="AE51798" t="s">
        <v>1496</v>
      </c>
      <c r="AF51798" t="s">
        <v>448</v>
      </c>
      <c r="AG51798" t="s">
        <v>560</v>
      </c>
      <c r="AL51798" t="s">
        <v>6517</v>
      </c>
      <c r="AM51798" t="s">
        <v>6518</v>
      </c>
      <c r="AN51798" t="s">
        <v>6519</v>
      </c>
      <c r="AO51798" t="s">
        <v>1494</v>
      </c>
      <c r="AQ51798">
        <f>IF(ISBLANK(AP51798), IFERROR(IF(VLOOKUP(AO51798, Ellens_additions!$A$2:$B$252, 2, FALSE) = "", "", VLOOKUP(AO51798, Ellens_additions!$A$2:$B$252, 2, FALSE)), 0), AP51798)</f>
        <v>0</v>
      </c>
    </row>
    <row r="51799" spans="1:43" ht="14.4" hidden="1" x14ac:dyDescent="0.3">
      <c r="A51799" t="s">
        <v>6520</v>
      </c>
      <c r="B51799">
        <v>4909244</v>
      </c>
      <c r="C51799" t="s">
        <v>135</v>
      </c>
      <c r="D51799" t="s">
        <v>174</v>
      </c>
      <c r="E51799" t="s">
        <v>316</v>
      </c>
      <c r="F51799" t="s">
        <v>288</v>
      </c>
      <c r="H51799" t="s">
        <v>6521</v>
      </c>
      <c r="J51799" t="s">
        <v>140</v>
      </c>
      <c r="K51799">
        <v>159329.56</v>
      </c>
      <c r="L51799">
        <v>383529.01</v>
      </c>
      <c r="N51799" t="s">
        <v>1494</v>
      </c>
      <c r="O51799" t="s">
        <v>448</v>
      </c>
      <c r="P51799" t="s">
        <v>1495</v>
      </c>
      <c r="Q51799" t="s">
        <v>144</v>
      </c>
      <c r="S51799">
        <v>0</v>
      </c>
      <c r="T51799">
        <v>0</v>
      </c>
      <c r="V51799" t="s">
        <v>146</v>
      </c>
      <c r="W51799" t="s">
        <v>184</v>
      </c>
      <c r="X51799" t="s">
        <v>7</v>
      </c>
      <c r="Y51799" t="s">
        <v>1494</v>
      </c>
      <c r="Z51799" t="s">
        <v>448</v>
      </c>
      <c r="AA51799" t="s">
        <v>456</v>
      </c>
      <c r="AB51799">
        <v>0</v>
      </c>
      <c r="AE51799" t="s">
        <v>1496</v>
      </c>
      <c r="AF51799" t="s">
        <v>448</v>
      </c>
      <c r="AG51799" t="s">
        <v>560</v>
      </c>
      <c r="AL51799" t="s">
        <v>6522</v>
      </c>
      <c r="AM51799" t="s">
        <v>6523</v>
      </c>
      <c r="AN51799" t="s">
        <v>6524</v>
      </c>
      <c r="AO51799" t="s">
        <v>1494</v>
      </c>
      <c r="AQ51799">
        <f>IF(ISBLANK(AP51799), IFERROR(IF(VLOOKUP(AO51799, Ellens_additions!$A$2:$B$252, 2, FALSE) = "", "", VLOOKUP(AO51799, Ellens_additions!$A$2:$B$252, 2, FALSE)), 0), AP51799)</f>
        <v>0</v>
      </c>
    </row>
    <row r="51800" spans="1:43" ht="14.4" hidden="1" x14ac:dyDescent="0.3">
      <c r="A51800" t="s">
        <v>6525</v>
      </c>
      <c r="B51800">
        <v>4909248</v>
      </c>
      <c r="C51800" t="s">
        <v>135</v>
      </c>
      <c r="D51800" t="s">
        <v>174</v>
      </c>
      <c r="E51800" t="s">
        <v>316</v>
      </c>
      <c r="F51800" t="s">
        <v>288</v>
      </c>
      <c r="H51800" t="s">
        <v>6526</v>
      </c>
      <c r="J51800" t="s">
        <v>140</v>
      </c>
      <c r="K51800">
        <v>159333.03</v>
      </c>
      <c r="L51800">
        <v>383526.43</v>
      </c>
      <c r="N51800" t="s">
        <v>1494</v>
      </c>
      <c r="O51800" t="s">
        <v>448</v>
      </c>
      <c r="P51800" t="s">
        <v>1495</v>
      </c>
      <c r="Q51800" t="s">
        <v>144</v>
      </c>
      <c r="S51800">
        <v>0</v>
      </c>
      <c r="T51800">
        <v>0</v>
      </c>
      <c r="V51800" t="s">
        <v>146</v>
      </c>
      <c r="W51800" t="s">
        <v>184</v>
      </c>
      <c r="X51800" t="s">
        <v>7</v>
      </c>
      <c r="Y51800" t="s">
        <v>1494</v>
      </c>
      <c r="Z51800" t="s">
        <v>448</v>
      </c>
      <c r="AA51800" t="s">
        <v>456</v>
      </c>
      <c r="AB51800">
        <v>0</v>
      </c>
      <c r="AE51800" t="s">
        <v>1496</v>
      </c>
      <c r="AF51800" t="s">
        <v>448</v>
      </c>
      <c r="AG51800" t="s">
        <v>560</v>
      </c>
      <c r="AL51800" t="s">
        <v>6527</v>
      </c>
      <c r="AM51800" t="s">
        <v>6528</v>
      </c>
      <c r="AN51800" t="s">
        <v>6529</v>
      </c>
      <c r="AO51800" t="s">
        <v>1494</v>
      </c>
      <c r="AQ51800">
        <f>IF(ISBLANK(AP51800), IFERROR(IF(VLOOKUP(AO51800, Ellens_additions!$A$2:$B$252, 2, FALSE) = "", "", VLOOKUP(AO51800, Ellens_additions!$A$2:$B$252, 2, FALSE)), 0), AP51800)</f>
        <v>0</v>
      </c>
    </row>
    <row r="51801" spans="1:43" ht="14.4" hidden="1" x14ac:dyDescent="0.3">
      <c r="A51801" t="s">
        <v>6530</v>
      </c>
      <c r="B51801">
        <v>4909249</v>
      </c>
      <c r="C51801" t="s">
        <v>135</v>
      </c>
      <c r="D51801" t="s">
        <v>174</v>
      </c>
      <c r="E51801" t="s">
        <v>316</v>
      </c>
      <c r="F51801" t="s">
        <v>288</v>
      </c>
      <c r="H51801" t="s">
        <v>6531</v>
      </c>
      <c r="J51801" t="s">
        <v>140</v>
      </c>
      <c r="K51801">
        <v>159333.92000000001</v>
      </c>
      <c r="L51801">
        <v>383525.64</v>
      </c>
      <c r="N51801" t="s">
        <v>1494</v>
      </c>
      <c r="O51801" t="s">
        <v>448</v>
      </c>
      <c r="P51801" t="s">
        <v>1495</v>
      </c>
      <c r="Q51801" t="s">
        <v>144</v>
      </c>
      <c r="S51801">
        <v>0</v>
      </c>
      <c r="T51801">
        <v>0</v>
      </c>
      <c r="V51801" t="s">
        <v>146</v>
      </c>
      <c r="W51801" t="s">
        <v>184</v>
      </c>
      <c r="X51801" t="s">
        <v>7</v>
      </c>
      <c r="Y51801" t="s">
        <v>1494</v>
      </c>
      <c r="Z51801" t="s">
        <v>448</v>
      </c>
      <c r="AA51801" t="s">
        <v>456</v>
      </c>
      <c r="AB51801">
        <v>0</v>
      </c>
      <c r="AE51801" t="s">
        <v>1496</v>
      </c>
      <c r="AF51801" t="s">
        <v>448</v>
      </c>
      <c r="AG51801" t="s">
        <v>560</v>
      </c>
      <c r="AL51801" t="s">
        <v>6532</v>
      </c>
      <c r="AM51801" t="s">
        <v>6533</v>
      </c>
      <c r="AN51801" t="s">
        <v>6534</v>
      </c>
      <c r="AO51801" t="s">
        <v>1494</v>
      </c>
      <c r="AQ51801">
        <f>IF(ISBLANK(AP51801), IFERROR(IF(VLOOKUP(AO51801, Ellens_additions!$A$2:$B$252, 2, FALSE) = "", "", VLOOKUP(AO51801, Ellens_additions!$A$2:$B$252, 2, FALSE)), 0), AP51801)</f>
        <v>0</v>
      </c>
    </row>
    <row r="51802" spans="1:43" ht="14.4" hidden="1" x14ac:dyDescent="0.3">
      <c r="A51802" t="s">
        <v>6535</v>
      </c>
      <c r="B51802">
        <v>4909250</v>
      </c>
      <c r="C51802" t="s">
        <v>135</v>
      </c>
      <c r="D51802" t="s">
        <v>174</v>
      </c>
      <c r="E51802" t="s">
        <v>316</v>
      </c>
      <c r="F51802" t="s">
        <v>288</v>
      </c>
      <c r="H51802" t="s">
        <v>6536</v>
      </c>
      <c r="J51802" t="s">
        <v>140</v>
      </c>
      <c r="K51802">
        <v>159334.72</v>
      </c>
      <c r="L51802">
        <v>383524.64</v>
      </c>
      <c r="N51802" t="s">
        <v>1494</v>
      </c>
      <c r="O51802" t="s">
        <v>448</v>
      </c>
      <c r="P51802" t="s">
        <v>1495</v>
      </c>
      <c r="Q51802" t="s">
        <v>144</v>
      </c>
      <c r="S51802">
        <v>0</v>
      </c>
      <c r="T51802">
        <v>0</v>
      </c>
      <c r="V51802" t="s">
        <v>146</v>
      </c>
      <c r="W51802" t="s">
        <v>184</v>
      </c>
      <c r="X51802" t="s">
        <v>7</v>
      </c>
      <c r="Y51802" t="s">
        <v>1494</v>
      </c>
      <c r="Z51802" t="s">
        <v>448</v>
      </c>
      <c r="AA51802" t="s">
        <v>456</v>
      </c>
      <c r="AB51802">
        <v>0</v>
      </c>
      <c r="AE51802" t="s">
        <v>1496</v>
      </c>
      <c r="AF51802" t="s">
        <v>448</v>
      </c>
      <c r="AG51802" t="s">
        <v>560</v>
      </c>
      <c r="AL51802" t="s">
        <v>6537</v>
      </c>
      <c r="AM51802" t="s">
        <v>6538</v>
      </c>
      <c r="AN51802" t="s">
        <v>6539</v>
      </c>
      <c r="AO51802" t="s">
        <v>1494</v>
      </c>
      <c r="AQ51802">
        <f>IF(ISBLANK(AP51802), IFERROR(IF(VLOOKUP(AO51802, Ellens_additions!$A$2:$B$252, 2, FALSE) = "", "", VLOOKUP(AO51802, Ellens_additions!$A$2:$B$252, 2, FALSE)), 0), AP51802)</f>
        <v>0</v>
      </c>
    </row>
    <row r="51803" spans="1:43" ht="14.4" hidden="1" x14ac:dyDescent="0.3">
      <c r="A51803" t="s">
        <v>6540</v>
      </c>
      <c r="B51803">
        <v>4909251</v>
      </c>
      <c r="C51803" t="s">
        <v>135</v>
      </c>
      <c r="D51803" t="s">
        <v>174</v>
      </c>
      <c r="E51803" t="s">
        <v>316</v>
      </c>
      <c r="F51803" t="s">
        <v>288</v>
      </c>
      <c r="H51803" t="s">
        <v>6541</v>
      </c>
      <c r="J51803" t="s">
        <v>140</v>
      </c>
      <c r="K51803">
        <v>159335.41</v>
      </c>
      <c r="L51803">
        <v>383523.75</v>
      </c>
      <c r="N51803" t="s">
        <v>1494</v>
      </c>
      <c r="O51803" t="s">
        <v>448</v>
      </c>
      <c r="P51803" t="s">
        <v>1495</v>
      </c>
      <c r="Q51803" t="s">
        <v>144</v>
      </c>
      <c r="S51803">
        <v>0</v>
      </c>
      <c r="T51803">
        <v>0</v>
      </c>
      <c r="V51803" t="s">
        <v>146</v>
      </c>
      <c r="W51803" t="s">
        <v>184</v>
      </c>
      <c r="X51803" t="s">
        <v>7</v>
      </c>
      <c r="Y51803" t="s">
        <v>1494</v>
      </c>
      <c r="Z51803" t="s">
        <v>448</v>
      </c>
      <c r="AA51803" t="s">
        <v>456</v>
      </c>
      <c r="AB51803">
        <v>0</v>
      </c>
      <c r="AE51803" t="s">
        <v>1496</v>
      </c>
      <c r="AF51803" t="s">
        <v>448</v>
      </c>
      <c r="AG51803" t="s">
        <v>560</v>
      </c>
      <c r="AL51803" t="s">
        <v>6542</v>
      </c>
      <c r="AM51803" t="s">
        <v>6543</v>
      </c>
      <c r="AN51803" t="s">
        <v>6544</v>
      </c>
      <c r="AO51803" t="s">
        <v>1494</v>
      </c>
      <c r="AQ51803">
        <f>IF(ISBLANK(AP51803), IFERROR(IF(VLOOKUP(AO51803, Ellens_additions!$A$2:$B$252, 2, FALSE) = "", "", VLOOKUP(AO51803, Ellens_additions!$A$2:$B$252, 2, FALSE)), 0), AP51803)</f>
        <v>0</v>
      </c>
    </row>
    <row r="51804" spans="1:43" ht="14.4" hidden="1" x14ac:dyDescent="0.3">
      <c r="A51804" t="s">
        <v>6545</v>
      </c>
      <c r="B51804">
        <v>4909253</v>
      </c>
      <c r="C51804" t="s">
        <v>135</v>
      </c>
      <c r="D51804" t="s">
        <v>174</v>
      </c>
      <c r="E51804" t="s">
        <v>316</v>
      </c>
      <c r="F51804" t="s">
        <v>288</v>
      </c>
      <c r="H51804" t="s">
        <v>6546</v>
      </c>
      <c r="J51804" t="s">
        <v>140</v>
      </c>
      <c r="K51804">
        <v>159336.72</v>
      </c>
      <c r="L51804">
        <v>383521.64</v>
      </c>
      <c r="N51804" t="s">
        <v>1494</v>
      </c>
      <c r="O51804" t="s">
        <v>448</v>
      </c>
      <c r="P51804" t="s">
        <v>1495</v>
      </c>
      <c r="Q51804" t="s">
        <v>144</v>
      </c>
      <c r="S51804">
        <v>0</v>
      </c>
      <c r="T51804">
        <v>0</v>
      </c>
      <c r="V51804" t="s">
        <v>146</v>
      </c>
      <c r="W51804" t="s">
        <v>184</v>
      </c>
      <c r="X51804" t="s">
        <v>7</v>
      </c>
      <c r="Y51804" t="s">
        <v>1494</v>
      </c>
      <c r="Z51804" t="s">
        <v>448</v>
      </c>
      <c r="AA51804" t="s">
        <v>456</v>
      </c>
      <c r="AB51804">
        <v>0</v>
      </c>
      <c r="AE51804" t="s">
        <v>1496</v>
      </c>
      <c r="AF51804" t="s">
        <v>448</v>
      </c>
      <c r="AG51804" t="s">
        <v>560</v>
      </c>
      <c r="AL51804" t="s">
        <v>6547</v>
      </c>
      <c r="AM51804" t="s">
        <v>6548</v>
      </c>
      <c r="AN51804" t="s">
        <v>6549</v>
      </c>
      <c r="AO51804" t="s">
        <v>1494</v>
      </c>
      <c r="AQ51804">
        <f>IF(ISBLANK(AP51804), IFERROR(IF(VLOOKUP(AO51804, Ellens_additions!$A$2:$B$252, 2, FALSE) = "", "", VLOOKUP(AO51804, Ellens_additions!$A$2:$B$252, 2, FALSE)), 0), AP51804)</f>
        <v>0</v>
      </c>
    </row>
    <row r="51805" spans="1:43" ht="14.4" hidden="1" x14ac:dyDescent="0.3">
      <c r="A51805" t="s">
        <v>6550</v>
      </c>
      <c r="B51805">
        <v>4909256</v>
      </c>
      <c r="C51805" t="s">
        <v>135</v>
      </c>
      <c r="D51805" t="s">
        <v>174</v>
      </c>
      <c r="E51805" t="s">
        <v>316</v>
      </c>
      <c r="F51805" t="s">
        <v>288</v>
      </c>
      <c r="H51805" t="s">
        <v>6551</v>
      </c>
      <c r="J51805" t="s">
        <v>140</v>
      </c>
      <c r="K51805">
        <v>159374.79</v>
      </c>
      <c r="L51805">
        <v>383542.49</v>
      </c>
      <c r="N51805" t="s">
        <v>1494</v>
      </c>
      <c r="O51805" t="s">
        <v>448</v>
      </c>
      <c r="P51805" t="s">
        <v>1495</v>
      </c>
      <c r="Q51805" t="s">
        <v>144</v>
      </c>
      <c r="S51805">
        <v>0</v>
      </c>
      <c r="T51805">
        <v>0</v>
      </c>
      <c r="V51805" t="s">
        <v>146</v>
      </c>
      <c r="W51805" t="s">
        <v>184</v>
      </c>
      <c r="X51805" t="s">
        <v>7</v>
      </c>
      <c r="Y51805" t="s">
        <v>1494</v>
      </c>
      <c r="Z51805" t="s">
        <v>448</v>
      </c>
      <c r="AA51805" t="s">
        <v>456</v>
      </c>
      <c r="AB51805">
        <v>0</v>
      </c>
      <c r="AE51805" t="s">
        <v>1496</v>
      </c>
      <c r="AF51805" t="s">
        <v>448</v>
      </c>
      <c r="AG51805" t="s">
        <v>560</v>
      </c>
      <c r="AL51805" t="s">
        <v>6552</v>
      </c>
      <c r="AM51805" t="s">
        <v>6553</v>
      </c>
      <c r="AN51805" t="s">
        <v>6554</v>
      </c>
      <c r="AO51805" t="s">
        <v>1494</v>
      </c>
      <c r="AQ51805">
        <f>IF(ISBLANK(AP51805), IFERROR(IF(VLOOKUP(AO51805, Ellens_additions!$A$2:$B$252, 2, FALSE) = "", "", VLOOKUP(AO51805, Ellens_additions!$A$2:$B$252, 2, FALSE)), 0), AP51805)</f>
        <v>0</v>
      </c>
    </row>
    <row r="51806" spans="1:43" ht="14.4" hidden="1" x14ac:dyDescent="0.3">
      <c r="A51806" t="s">
        <v>6555</v>
      </c>
      <c r="B51806">
        <v>4909259</v>
      </c>
      <c r="C51806" t="s">
        <v>135</v>
      </c>
      <c r="D51806" t="s">
        <v>174</v>
      </c>
      <c r="E51806" t="s">
        <v>316</v>
      </c>
      <c r="F51806" t="s">
        <v>288</v>
      </c>
      <c r="H51806" t="s">
        <v>6556</v>
      </c>
      <c r="J51806" t="s">
        <v>140</v>
      </c>
      <c r="K51806">
        <v>159372.65</v>
      </c>
      <c r="L51806">
        <v>383540.18</v>
      </c>
      <c r="N51806" t="s">
        <v>1494</v>
      </c>
      <c r="O51806" t="s">
        <v>448</v>
      </c>
      <c r="P51806" t="s">
        <v>1495</v>
      </c>
      <c r="Q51806" t="s">
        <v>144</v>
      </c>
      <c r="S51806">
        <v>0</v>
      </c>
      <c r="T51806">
        <v>0</v>
      </c>
      <c r="V51806" t="s">
        <v>146</v>
      </c>
      <c r="W51806" t="s">
        <v>184</v>
      </c>
      <c r="X51806" t="s">
        <v>7</v>
      </c>
      <c r="Y51806" t="s">
        <v>1494</v>
      </c>
      <c r="Z51806" t="s">
        <v>448</v>
      </c>
      <c r="AA51806" t="s">
        <v>456</v>
      </c>
      <c r="AB51806">
        <v>0</v>
      </c>
      <c r="AE51806" t="s">
        <v>1496</v>
      </c>
      <c r="AF51806" t="s">
        <v>448</v>
      </c>
      <c r="AG51806" t="s">
        <v>560</v>
      </c>
      <c r="AL51806" t="s">
        <v>6557</v>
      </c>
      <c r="AM51806" t="s">
        <v>6558</v>
      </c>
      <c r="AN51806" t="s">
        <v>6559</v>
      </c>
      <c r="AO51806" t="s">
        <v>1494</v>
      </c>
      <c r="AQ51806">
        <f>IF(ISBLANK(AP51806), IFERROR(IF(VLOOKUP(AO51806, Ellens_additions!$A$2:$B$252, 2, FALSE) = "", "", VLOOKUP(AO51806, Ellens_additions!$A$2:$B$252, 2, FALSE)), 0), AP51806)</f>
        <v>0</v>
      </c>
    </row>
    <row r="51807" spans="1:43" ht="14.4" hidden="1" x14ac:dyDescent="0.3">
      <c r="A51807" t="s">
        <v>6560</v>
      </c>
      <c r="B51807">
        <v>4909260</v>
      </c>
      <c r="C51807" t="s">
        <v>135</v>
      </c>
      <c r="D51807" t="s">
        <v>174</v>
      </c>
      <c r="E51807" t="s">
        <v>316</v>
      </c>
      <c r="F51807" t="s">
        <v>288</v>
      </c>
      <c r="H51807" t="s">
        <v>6561</v>
      </c>
      <c r="J51807" t="s">
        <v>140</v>
      </c>
      <c r="K51807">
        <v>159371.82999999999</v>
      </c>
      <c r="L51807">
        <v>383539.29</v>
      </c>
      <c r="N51807" t="s">
        <v>1494</v>
      </c>
      <c r="O51807" t="s">
        <v>448</v>
      </c>
      <c r="P51807" t="s">
        <v>1495</v>
      </c>
      <c r="Q51807" t="s">
        <v>144</v>
      </c>
      <c r="S51807">
        <v>0</v>
      </c>
      <c r="T51807">
        <v>0</v>
      </c>
      <c r="V51807" t="s">
        <v>146</v>
      </c>
      <c r="W51807" t="s">
        <v>184</v>
      </c>
      <c r="X51807" t="s">
        <v>7</v>
      </c>
      <c r="Y51807" t="s">
        <v>1494</v>
      </c>
      <c r="Z51807" t="s">
        <v>448</v>
      </c>
      <c r="AA51807" t="s">
        <v>456</v>
      </c>
      <c r="AB51807">
        <v>0</v>
      </c>
      <c r="AE51807" t="s">
        <v>1496</v>
      </c>
      <c r="AF51807" t="s">
        <v>448</v>
      </c>
      <c r="AG51807" t="s">
        <v>560</v>
      </c>
      <c r="AL51807" t="s">
        <v>6562</v>
      </c>
      <c r="AM51807" t="s">
        <v>6563</v>
      </c>
      <c r="AN51807" t="s">
        <v>6564</v>
      </c>
      <c r="AO51807" t="s">
        <v>1494</v>
      </c>
      <c r="AQ51807">
        <f>IF(ISBLANK(AP51807), IFERROR(IF(VLOOKUP(AO51807, Ellens_additions!$A$2:$B$252, 2, FALSE) = "", "", VLOOKUP(AO51807, Ellens_additions!$A$2:$B$252, 2, FALSE)), 0), AP51807)</f>
        <v>0</v>
      </c>
    </row>
    <row r="51808" spans="1:43" ht="14.4" hidden="1" x14ac:dyDescent="0.3">
      <c r="A51808" t="s">
        <v>6565</v>
      </c>
      <c r="B51808">
        <v>4909265</v>
      </c>
      <c r="C51808" t="s">
        <v>135</v>
      </c>
      <c r="D51808" t="s">
        <v>174</v>
      </c>
      <c r="E51808" t="s">
        <v>316</v>
      </c>
      <c r="F51808" t="s">
        <v>288</v>
      </c>
      <c r="H51808" t="s">
        <v>6566</v>
      </c>
      <c r="J51808" t="s">
        <v>140</v>
      </c>
      <c r="K51808">
        <v>159368.39000000001</v>
      </c>
      <c r="L51808">
        <v>383535.21</v>
      </c>
      <c r="N51808" t="s">
        <v>1494</v>
      </c>
      <c r="O51808" t="s">
        <v>448</v>
      </c>
      <c r="P51808" t="s">
        <v>1495</v>
      </c>
      <c r="Q51808" t="s">
        <v>144</v>
      </c>
      <c r="S51808">
        <v>0</v>
      </c>
      <c r="T51808">
        <v>0</v>
      </c>
      <c r="V51808" t="s">
        <v>146</v>
      </c>
      <c r="W51808" t="s">
        <v>184</v>
      </c>
      <c r="X51808" t="s">
        <v>7</v>
      </c>
      <c r="Y51808" t="s">
        <v>1494</v>
      </c>
      <c r="Z51808" t="s">
        <v>448</v>
      </c>
      <c r="AA51808" t="s">
        <v>456</v>
      </c>
      <c r="AB51808">
        <v>0</v>
      </c>
      <c r="AE51808" t="s">
        <v>1496</v>
      </c>
      <c r="AF51808" t="s">
        <v>448</v>
      </c>
      <c r="AG51808" t="s">
        <v>560</v>
      </c>
      <c r="AL51808" t="s">
        <v>6567</v>
      </c>
      <c r="AM51808" t="s">
        <v>6568</v>
      </c>
      <c r="AN51808" t="s">
        <v>6569</v>
      </c>
      <c r="AO51808" t="s">
        <v>1494</v>
      </c>
      <c r="AQ51808">
        <f>IF(ISBLANK(AP51808), IFERROR(IF(VLOOKUP(AO51808, Ellens_additions!$A$2:$B$252, 2, FALSE) = "", "", VLOOKUP(AO51808, Ellens_additions!$A$2:$B$252, 2, FALSE)), 0), AP51808)</f>
        <v>0</v>
      </c>
    </row>
    <row r="51809" spans="1:43" ht="14.4" hidden="1" x14ac:dyDescent="0.3">
      <c r="A51809" t="s">
        <v>6570</v>
      </c>
      <c r="B51809">
        <v>4909268</v>
      </c>
      <c r="C51809" t="s">
        <v>135</v>
      </c>
      <c r="D51809" t="s">
        <v>174</v>
      </c>
      <c r="E51809" t="s">
        <v>316</v>
      </c>
      <c r="F51809" t="s">
        <v>288</v>
      </c>
      <c r="H51809" t="s">
        <v>6571</v>
      </c>
      <c r="J51809" t="s">
        <v>140</v>
      </c>
      <c r="K51809">
        <v>159367.41</v>
      </c>
      <c r="L51809">
        <v>383531.27</v>
      </c>
      <c r="N51809" t="s">
        <v>1494</v>
      </c>
      <c r="O51809" t="s">
        <v>448</v>
      </c>
      <c r="P51809" t="s">
        <v>1495</v>
      </c>
      <c r="Q51809" t="s">
        <v>144</v>
      </c>
      <c r="S51809">
        <v>0</v>
      </c>
      <c r="T51809">
        <v>0</v>
      </c>
      <c r="V51809" t="s">
        <v>146</v>
      </c>
      <c r="W51809" t="s">
        <v>184</v>
      </c>
      <c r="X51809" t="s">
        <v>7</v>
      </c>
      <c r="Y51809" t="s">
        <v>1494</v>
      </c>
      <c r="Z51809" t="s">
        <v>448</v>
      </c>
      <c r="AA51809" t="s">
        <v>456</v>
      </c>
      <c r="AB51809">
        <v>0</v>
      </c>
      <c r="AE51809" t="s">
        <v>1496</v>
      </c>
      <c r="AF51809" t="s">
        <v>448</v>
      </c>
      <c r="AG51809" t="s">
        <v>560</v>
      </c>
      <c r="AL51809" t="s">
        <v>6572</v>
      </c>
      <c r="AM51809" t="s">
        <v>6573</v>
      </c>
      <c r="AN51809" t="s">
        <v>6574</v>
      </c>
      <c r="AO51809" t="s">
        <v>1494</v>
      </c>
      <c r="AQ51809">
        <f>IF(ISBLANK(AP51809), IFERROR(IF(VLOOKUP(AO51809, Ellens_additions!$A$2:$B$252, 2, FALSE) = "", "", VLOOKUP(AO51809, Ellens_additions!$A$2:$B$252, 2, FALSE)), 0), AP51809)</f>
        <v>0</v>
      </c>
    </row>
    <row r="51810" spans="1:43" ht="14.4" hidden="1" x14ac:dyDescent="0.3">
      <c r="A51810" t="s">
        <v>6575</v>
      </c>
      <c r="B51810">
        <v>4909270</v>
      </c>
      <c r="C51810" t="s">
        <v>135</v>
      </c>
      <c r="D51810" t="s">
        <v>174</v>
      </c>
      <c r="E51810" t="s">
        <v>316</v>
      </c>
      <c r="F51810" t="s">
        <v>288</v>
      </c>
      <c r="H51810" t="s">
        <v>6576</v>
      </c>
      <c r="J51810" t="s">
        <v>140</v>
      </c>
      <c r="K51810">
        <v>159367.72</v>
      </c>
      <c r="L51810">
        <v>383529.19</v>
      </c>
      <c r="N51810" t="s">
        <v>1494</v>
      </c>
      <c r="O51810" t="s">
        <v>448</v>
      </c>
      <c r="P51810" t="s">
        <v>1495</v>
      </c>
      <c r="Q51810" t="s">
        <v>144</v>
      </c>
      <c r="S51810">
        <v>0</v>
      </c>
      <c r="T51810">
        <v>0</v>
      </c>
      <c r="V51810" t="s">
        <v>146</v>
      </c>
      <c r="W51810" t="s">
        <v>184</v>
      </c>
      <c r="X51810" t="s">
        <v>7</v>
      </c>
      <c r="Y51810" t="s">
        <v>1494</v>
      </c>
      <c r="Z51810" t="s">
        <v>448</v>
      </c>
      <c r="AA51810" t="s">
        <v>456</v>
      </c>
      <c r="AB51810">
        <v>0</v>
      </c>
      <c r="AE51810" t="s">
        <v>1496</v>
      </c>
      <c r="AF51810" t="s">
        <v>448</v>
      </c>
      <c r="AG51810" t="s">
        <v>560</v>
      </c>
      <c r="AL51810" t="s">
        <v>6577</v>
      </c>
      <c r="AM51810" t="s">
        <v>6578</v>
      </c>
      <c r="AN51810" t="s">
        <v>6579</v>
      </c>
      <c r="AO51810" t="s">
        <v>1494</v>
      </c>
      <c r="AQ51810">
        <f>IF(ISBLANK(AP51810), IFERROR(IF(VLOOKUP(AO51810, Ellens_additions!$A$2:$B$252, 2, FALSE) = "", "", VLOOKUP(AO51810, Ellens_additions!$A$2:$B$252, 2, FALSE)), 0), AP51810)</f>
        <v>0</v>
      </c>
    </row>
    <row r="51811" spans="1:43" ht="14.4" hidden="1" x14ac:dyDescent="0.3">
      <c r="A51811" t="s">
        <v>6580</v>
      </c>
      <c r="B51811">
        <v>4909276</v>
      </c>
      <c r="C51811" t="s">
        <v>135</v>
      </c>
      <c r="D51811" t="s">
        <v>174</v>
      </c>
      <c r="E51811" t="s">
        <v>316</v>
      </c>
      <c r="F51811" t="s">
        <v>288</v>
      </c>
      <c r="H51811" t="s">
        <v>6581</v>
      </c>
      <c r="J51811" t="s">
        <v>140</v>
      </c>
      <c r="K51811">
        <v>159340.54999999999</v>
      </c>
      <c r="L51811">
        <v>383511.91</v>
      </c>
      <c r="N51811" t="s">
        <v>1494</v>
      </c>
      <c r="O51811" t="s">
        <v>448</v>
      </c>
      <c r="P51811" t="s">
        <v>1495</v>
      </c>
      <c r="Q51811" t="s">
        <v>144</v>
      </c>
      <c r="S51811">
        <v>0</v>
      </c>
      <c r="T51811">
        <v>0</v>
      </c>
      <c r="V51811" t="s">
        <v>146</v>
      </c>
      <c r="W51811" t="s">
        <v>184</v>
      </c>
      <c r="X51811" t="s">
        <v>7</v>
      </c>
      <c r="Y51811" t="s">
        <v>1494</v>
      </c>
      <c r="Z51811" t="s">
        <v>448</v>
      </c>
      <c r="AA51811" t="s">
        <v>456</v>
      </c>
      <c r="AB51811">
        <v>0</v>
      </c>
      <c r="AE51811" t="s">
        <v>1496</v>
      </c>
      <c r="AF51811" t="s">
        <v>448</v>
      </c>
      <c r="AG51811" t="s">
        <v>560</v>
      </c>
      <c r="AL51811" t="s">
        <v>6582</v>
      </c>
      <c r="AM51811" t="s">
        <v>6583</v>
      </c>
      <c r="AN51811" t="s">
        <v>6584</v>
      </c>
      <c r="AO51811" t="s">
        <v>1494</v>
      </c>
      <c r="AQ51811">
        <f>IF(ISBLANK(AP51811), IFERROR(IF(VLOOKUP(AO51811, Ellens_additions!$A$2:$B$252, 2, FALSE) = "", "", VLOOKUP(AO51811, Ellens_additions!$A$2:$B$252, 2, FALSE)), 0), AP51811)</f>
        <v>0</v>
      </c>
    </row>
    <row r="51812" spans="1:43" ht="14.4" hidden="1" x14ac:dyDescent="0.3">
      <c r="A51812" t="s">
        <v>6585</v>
      </c>
      <c r="B51812">
        <v>4909284</v>
      </c>
      <c r="C51812" t="s">
        <v>135</v>
      </c>
      <c r="D51812" t="s">
        <v>174</v>
      </c>
      <c r="E51812" t="s">
        <v>316</v>
      </c>
      <c r="F51812" t="s">
        <v>288</v>
      </c>
      <c r="H51812" t="s">
        <v>6586</v>
      </c>
      <c r="J51812" t="s">
        <v>140</v>
      </c>
      <c r="K51812">
        <v>159337.37</v>
      </c>
      <c r="L51812">
        <v>383520.41</v>
      </c>
      <c r="N51812" t="s">
        <v>1494</v>
      </c>
      <c r="O51812" t="s">
        <v>448</v>
      </c>
      <c r="P51812" t="s">
        <v>1495</v>
      </c>
      <c r="Q51812" t="s">
        <v>144</v>
      </c>
      <c r="S51812">
        <v>0</v>
      </c>
      <c r="T51812">
        <v>0</v>
      </c>
      <c r="V51812" t="s">
        <v>146</v>
      </c>
      <c r="W51812" t="s">
        <v>184</v>
      </c>
      <c r="X51812" t="s">
        <v>7</v>
      </c>
      <c r="Y51812" t="s">
        <v>1494</v>
      </c>
      <c r="Z51812" t="s">
        <v>448</v>
      </c>
      <c r="AA51812" t="s">
        <v>456</v>
      </c>
      <c r="AB51812">
        <v>0</v>
      </c>
      <c r="AE51812" t="s">
        <v>1496</v>
      </c>
      <c r="AF51812" t="s">
        <v>448</v>
      </c>
      <c r="AG51812" t="s">
        <v>560</v>
      </c>
      <c r="AL51812" t="s">
        <v>6587</v>
      </c>
      <c r="AM51812" t="s">
        <v>6588</v>
      </c>
      <c r="AN51812" t="s">
        <v>6589</v>
      </c>
      <c r="AO51812" t="s">
        <v>1494</v>
      </c>
      <c r="AQ51812">
        <f>IF(ISBLANK(AP51812), IFERROR(IF(VLOOKUP(AO51812, Ellens_additions!$A$2:$B$252, 2, FALSE) = "", "", VLOOKUP(AO51812, Ellens_additions!$A$2:$B$252, 2, FALSE)), 0), AP51812)</f>
        <v>0</v>
      </c>
    </row>
    <row r="51813" spans="1:43" ht="14.4" x14ac:dyDescent="0.3"/>
    <row r="51814" spans="1:43" ht="14.4" x14ac:dyDescent="0.3"/>
    <row r="51815" spans="1:43" ht="14.4" x14ac:dyDescent="0.3"/>
    <row r="51816" spans="1:43" ht="14.4" x14ac:dyDescent="0.3"/>
    <row r="51817" spans="1:43" ht="14.4" x14ac:dyDescent="0.3"/>
    <row r="51818" spans="1:43" ht="14.4" x14ac:dyDescent="0.3"/>
    <row r="51819" spans="1:43" ht="14.4" x14ac:dyDescent="0.3"/>
    <row r="51820" spans="1:43" ht="14.4" x14ac:dyDescent="0.3"/>
    <row r="51821" spans="1:43" ht="14.4" x14ac:dyDescent="0.3"/>
    <row r="51822" spans="1:43" ht="14.4" x14ac:dyDescent="0.3"/>
    <row r="51823" spans="1:43" ht="14.4" x14ac:dyDescent="0.3"/>
    <row r="51824" spans="1:43" ht="14.4" x14ac:dyDescent="0.3"/>
    <row r="51825" ht="14.4" x14ac:dyDescent="0.3"/>
    <row r="51826" ht="14.4" x14ac:dyDescent="0.3"/>
    <row r="51827" ht="14.4" x14ac:dyDescent="0.3"/>
    <row r="51828" ht="14.4" x14ac:dyDescent="0.3"/>
    <row r="51829" ht="14.4" x14ac:dyDescent="0.3"/>
    <row r="51830" ht="14.4" x14ac:dyDescent="0.3"/>
    <row r="51831" ht="14.4" x14ac:dyDescent="0.3"/>
    <row r="51832" ht="14.4" x14ac:dyDescent="0.3"/>
    <row r="51833" ht="14.4" x14ac:dyDescent="0.3"/>
    <row r="51834" ht="14.4" x14ac:dyDescent="0.3"/>
    <row r="51835" ht="14.4" x14ac:dyDescent="0.3"/>
    <row r="51836" ht="14.4" x14ac:dyDescent="0.3"/>
    <row r="51837" ht="14.4" x14ac:dyDescent="0.3"/>
    <row r="51838" ht="14.4" x14ac:dyDescent="0.3"/>
    <row r="51839" ht="14.4" x14ac:dyDescent="0.3"/>
    <row r="51840" ht="14.4" x14ac:dyDescent="0.3"/>
    <row r="51841" ht="14.4" x14ac:dyDescent="0.3"/>
    <row r="51842" ht="14.4" x14ac:dyDescent="0.3"/>
    <row r="51843" ht="14.4" x14ac:dyDescent="0.3"/>
    <row r="51844" ht="14.4" x14ac:dyDescent="0.3"/>
    <row r="51845" ht="14.4" x14ac:dyDescent="0.3"/>
    <row r="51846" ht="14.4" x14ac:dyDescent="0.3"/>
    <row r="51847" ht="14.4" x14ac:dyDescent="0.3"/>
    <row r="51848" ht="14.4" x14ac:dyDescent="0.3"/>
    <row r="51849" ht="14.4" x14ac:dyDescent="0.3"/>
    <row r="51850" ht="14.4" x14ac:dyDescent="0.3"/>
    <row r="51851" ht="14.4" x14ac:dyDescent="0.3"/>
    <row r="51852" ht="14.4" x14ac:dyDescent="0.3"/>
    <row r="51853" ht="14.4" x14ac:dyDescent="0.3"/>
    <row r="51854" ht="14.4" x14ac:dyDescent="0.3"/>
    <row r="51855" ht="14.4" x14ac:dyDescent="0.3"/>
    <row r="51856" ht="14.4" x14ac:dyDescent="0.3"/>
    <row r="51857" ht="14.4" x14ac:dyDescent="0.3"/>
    <row r="51858" ht="14.4" x14ac:dyDescent="0.3"/>
    <row r="51859" ht="14.4" x14ac:dyDescent="0.3"/>
    <row r="51860" ht="14.4" x14ac:dyDescent="0.3"/>
    <row r="51861" ht="14.4" x14ac:dyDescent="0.3"/>
    <row r="51862" ht="14.4" x14ac:dyDescent="0.3"/>
    <row r="51863" ht="14.4" x14ac:dyDescent="0.3"/>
    <row r="51864" ht="14.4" x14ac:dyDescent="0.3"/>
    <row r="51865" ht="14.4" x14ac:dyDescent="0.3"/>
    <row r="51866" ht="14.4" x14ac:dyDescent="0.3"/>
    <row r="51867" ht="14.4" x14ac:dyDescent="0.3"/>
    <row r="51868" ht="14.4" x14ac:dyDescent="0.3"/>
    <row r="51869" ht="14.4" x14ac:dyDescent="0.3"/>
    <row r="51870" ht="14.4" x14ac:dyDescent="0.3"/>
    <row r="51871" ht="14.4" x14ac:dyDescent="0.3"/>
    <row r="51872" ht="14.4" x14ac:dyDescent="0.3"/>
    <row r="51873" ht="14.4" x14ac:dyDescent="0.3"/>
    <row r="51874" ht="14.4" x14ac:dyDescent="0.3"/>
    <row r="51875" ht="14.4" x14ac:dyDescent="0.3"/>
    <row r="51876" ht="14.4" x14ac:dyDescent="0.3"/>
    <row r="51877" ht="14.4" x14ac:dyDescent="0.3"/>
    <row r="51878" ht="14.4" x14ac:dyDescent="0.3"/>
    <row r="51879" ht="14.4" x14ac:dyDescent="0.3"/>
    <row r="51880" ht="14.4" x14ac:dyDescent="0.3"/>
    <row r="51881" ht="14.4" x14ac:dyDescent="0.3"/>
    <row r="51882" ht="14.4" x14ac:dyDescent="0.3"/>
    <row r="51883" ht="14.4" x14ac:dyDescent="0.3"/>
    <row r="51884" ht="14.4" x14ac:dyDescent="0.3"/>
    <row r="51885" ht="14.4" x14ac:dyDescent="0.3"/>
    <row r="51886" ht="14.4" x14ac:dyDescent="0.3"/>
    <row r="51887" ht="14.4" x14ac:dyDescent="0.3"/>
    <row r="51888" ht="14.4" x14ac:dyDescent="0.3"/>
    <row r="51889" ht="14.4" x14ac:dyDescent="0.3"/>
    <row r="51890" ht="14.4" x14ac:dyDescent="0.3"/>
    <row r="51891" ht="14.4" x14ac:dyDescent="0.3"/>
    <row r="51892" ht="14.4" x14ac:dyDescent="0.3"/>
    <row r="51893" ht="14.4" x14ac:dyDescent="0.3"/>
    <row r="51894" ht="14.4" x14ac:dyDescent="0.3"/>
    <row r="51895" ht="14.4" x14ac:dyDescent="0.3"/>
    <row r="51896" ht="14.4" x14ac:dyDescent="0.3"/>
    <row r="51897" ht="14.4" x14ac:dyDescent="0.3"/>
    <row r="51898" ht="14.4" x14ac:dyDescent="0.3"/>
    <row r="51899" ht="14.4" x14ac:dyDescent="0.3"/>
    <row r="51900" ht="14.4" x14ac:dyDescent="0.3"/>
    <row r="51901" ht="14.4" x14ac:dyDescent="0.3"/>
    <row r="51902" ht="14.4" x14ac:dyDescent="0.3"/>
    <row r="51903" ht="14.4" x14ac:dyDescent="0.3"/>
    <row r="51904" ht="14.4" x14ac:dyDescent="0.3"/>
    <row r="51905" ht="14.4" x14ac:dyDescent="0.3"/>
    <row r="51906" ht="14.4" x14ac:dyDescent="0.3"/>
    <row r="51907" ht="14.4" x14ac:dyDescent="0.3"/>
    <row r="51908" ht="14.4" x14ac:dyDescent="0.3"/>
    <row r="51909" ht="14.4" x14ac:dyDescent="0.3"/>
    <row r="51910" ht="14.4" x14ac:dyDescent="0.3"/>
    <row r="51911" ht="14.4" x14ac:dyDescent="0.3"/>
    <row r="51912" ht="14.4" x14ac:dyDescent="0.3"/>
    <row r="51913" ht="14.4" x14ac:dyDescent="0.3"/>
    <row r="51914" ht="14.4" x14ac:dyDescent="0.3"/>
    <row r="51915" ht="14.4" x14ac:dyDescent="0.3"/>
    <row r="51916" ht="14.4" x14ac:dyDescent="0.3"/>
    <row r="51917" ht="14.4" x14ac:dyDescent="0.3"/>
    <row r="51918" ht="14.4" x14ac:dyDescent="0.3"/>
    <row r="51919" ht="14.4" x14ac:dyDescent="0.3"/>
    <row r="51920" ht="14.4" x14ac:dyDescent="0.3"/>
    <row r="51921" ht="14.4" x14ac:dyDescent="0.3"/>
    <row r="51922" ht="14.4" x14ac:dyDescent="0.3"/>
    <row r="51923" ht="14.4" x14ac:dyDescent="0.3"/>
    <row r="51924" ht="14.4" x14ac:dyDescent="0.3"/>
    <row r="51925" ht="14.4" x14ac:dyDescent="0.3"/>
    <row r="51926" ht="14.4" x14ac:dyDescent="0.3"/>
    <row r="51927" ht="14.4" x14ac:dyDescent="0.3"/>
    <row r="51928" ht="14.4" x14ac:dyDescent="0.3"/>
    <row r="51929" ht="14.4" x14ac:dyDescent="0.3"/>
    <row r="51930" ht="14.4" x14ac:dyDescent="0.3"/>
    <row r="51931" ht="14.4" x14ac:dyDescent="0.3"/>
    <row r="51932" ht="14.4" x14ac:dyDescent="0.3"/>
    <row r="51933" ht="14.4" x14ac:dyDescent="0.3"/>
    <row r="51934" ht="14.4" x14ac:dyDescent="0.3"/>
    <row r="51935" ht="14.4" x14ac:dyDescent="0.3"/>
    <row r="51936" ht="14.4" x14ac:dyDescent="0.3"/>
    <row r="51937" ht="14.4" x14ac:dyDescent="0.3"/>
    <row r="51938" ht="14.4" x14ac:dyDescent="0.3"/>
    <row r="51939" ht="14.4" x14ac:dyDescent="0.3"/>
    <row r="51940" ht="14.4" x14ac:dyDescent="0.3"/>
    <row r="51941" ht="14.4" x14ac:dyDescent="0.3"/>
    <row r="51942" ht="14.4" x14ac:dyDescent="0.3"/>
    <row r="51943" ht="14.4" x14ac:dyDescent="0.3"/>
    <row r="51944" ht="14.4" x14ac:dyDescent="0.3"/>
    <row r="51945" ht="14.4" x14ac:dyDescent="0.3"/>
    <row r="51946" ht="14.4" x14ac:dyDescent="0.3"/>
    <row r="51947" ht="14.4" x14ac:dyDescent="0.3"/>
    <row r="51948" ht="14.4" x14ac:dyDescent="0.3"/>
    <row r="51949" ht="14.4" x14ac:dyDescent="0.3"/>
    <row r="51950" ht="14.4" x14ac:dyDescent="0.3"/>
    <row r="51951" ht="14.4" x14ac:dyDescent="0.3"/>
    <row r="51952" ht="14.4" x14ac:dyDescent="0.3"/>
    <row r="51953" ht="14.4" x14ac:dyDescent="0.3"/>
    <row r="51954" ht="14.4" x14ac:dyDescent="0.3"/>
    <row r="51955" ht="14.4" x14ac:dyDescent="0.3"/>
    <row r="51956" ht="14.4" x14ac:dyDescent="0.3"/>
    <row r="51957" ht="14.4" x14ac:dyDescent="0.3"/>
    <row r="51958" ht="14.4" x14ac:dyDescent="0.3"/>
    <row r="51959" ht="14.4" x14ac:dyDescent="0.3"/>
    <row r="51960" ht="14.4" x14ac:dyDescent="0.3"/>
    <row r="51961" ht="14.4" x14ac:dyDescent="0.3"/>
    <row r="51962" ht="14.4" x14ac:dyDescent="0.3"/>
    <row r="51963" ht="14.4" x14ac:dyDescent="0.3"/>
    <row r="51964" ht="14.4" x14ac:dyDescent="0.3"/>
    <row r="51965" ht="14.4" x14ac:dyDescent="0.3"/>
    <row r="51966" ht="14.4" x14ac:dyDescent="0.3"/>
    <row r="51967" ht="14.4" x14ac:dyDescent="0.3"/>
    <row r="51968" ht="14.4" x14ac:dyDescent="0.3"/>
    <row r="51969" ht="14.4" x14ac:dyDescent="0.3"/>
    <row r="51970" ht="14.4" x14ac:dyDescent="0.3"/>
    <row r="51971" ht="14.4" x14ac:dyDescent="0.3"/>
    <row r="51972" ht="14.4" x14ac:dyDescent="0.3"/>
    <row r="51973" ht="14.4" x14ac:dyDescent="0.3"/>
    <row r="51974" ht="14.4" x14ac:dyDescent="0.3"/>
    <row r="51975" ht="14.4" x14ac:dyDescent="0.3"/>
    <row r="51976" ht="14.4" x14ac:dyDescent="0.3"/>
    <row r="51977" ht="14.4" x14ac:dyDescent="0.3"/>
    <row r="51978" ht="14.4" x14ac:dyDescent="0.3"/>
    <row r="51979" ht="14.4" x14ac:dyDescent="0.3"/>
    <row r="51980" ht="14.4" x14ac:dyDescent="0.3"/>
    <row r="51981" ht="14.4" x14ac:dyDescent="0.3"/>
    <row r="51982" ht="14.4" x14ac:dyDescent="0.3"/>
    <row r="51983" ht="14.4" x14ac:dyDescent="0.3"/>
    <row r="51984" ht="14.4" x14ac:dyDescent="0.3"/>
    <row r="51985" ht="14.4" x14ac:dyDescent="0.3"/>
    <row r="51986" ht="14.4" x14ac:dyDescent="0.3"/>
    <row r="51987" ht="14.4" x14ac:dyDescent="0.3"/>
    <row r="51988" ht="14.4" x14ac:dyDescent="0.3"/>
    <row r="51989" ht="14.4" x14ac:dyDescent="0.3"/>
    <row r="51990" ht="14.4" x14ac:dyDescent="0.3"/>
    <row r="51991" ht="14.4" x14ac:dyDescent="0.3"/>
    <row r="51992" ht="14.4" x14ac:dyDescent="0.3"/>
    <row r="51993" ht="14.4" x14ac:dyDescent="0.3"/>
    <row r="51994" ht="14.4" x14ac:dyDescent="0.3"/>
    <row r="51995" ht="14.4" x14ac:dyDescent="0.3"/>
    <row r="51996" ht="14.4" x14ac:dyDescent="0.3"/>
    <row r="51997" ht="14.4" x14ac:dyDescent="0.3"/>
    <row r="51998" ht="14.4" x14ac:dyDescent="0.3"/>
    <row r="51999" ht="14.4" x14ac:dyDescent="0.3"/>
    <row r="52000" ht="14.4" x14ac:dyDescent="0.3"/>
    <row r="52001" ht="14.4" x14ac:dyDescent="0.3"/>
    <row r="52002" ht="14.4" x14ac:dyDescent="0.3"/>
    <row r="52003" ht="14.4" x14ac:dyDescent="0.3"/>
    <row r="52004" ht="14.4" x14ac:dyDescent="0.3"/>
    <row r="52005" ht="14.4" x14ac:dyDescent="0.3"/>
    <row r="52006" ht="14.4" x14ac:dyDescent="0.3"/>
    <row r="52007" ht="14.4" x14ac:dyDescent="0.3"/>
    <row r="52008" ht="14.4" x14ac:dyDescent="0.3"/>
    <row r="52009" ht="14.4" x14ac:dyDescent="0.3"/>
    <row r="52010" ht="14.4" x14ac:dyDescent="0.3"/>
    <row r="52011" ht="14.4" x14ac:dyDescent="0.3"/>
    <row r="52012" ht="14.4" x14ac:dyDescent="0.3"/>
    <row r="52013" ht="14.4" x14ac:dyDescent="0.3"/>
    <row r="52014" ht="14.4" x14ac:dyDescent="0.3"/>
    <row r="52015" ht="14.4" x14ac:dyDescent="0.3"/>
    <row r="52016" ht="14.4" x14ac:dyDescent="0.3"/>
    <row r="52017" ht="14.4" x14ac:dyDescent="0.3"/>
    <row r="52018" ht="14.4" x14ac:dyDescent="0.3"/>
    <row r="52019" ht="14.4" x14ac:dyDescent="0.3"/>
    <row r="52020" ht="14.4" x14ac:dyDescent="0.3"/>
    <row r="52021" ht="14.4" x14ac:dyDescent="0.3"/>
    <row r="52022" ht="14.4" x14ac:dyDescent="0.3"/>
    <row r="52023" ht="14.4" x14ac:dyDescent="0.3"/>
    <row r="52024" ht="14.4" x14ac:dyDescent="0.3"/>
    <row r="52025" ht="14.4" x14ac:dyDescent="0.3"/>
    <row r="52026" ht="14.4" x14ac:dyDescent="0.3"/>
    <row r="52027" ht="14.4" x14ac:dyDescent="0.3"/>
    <row r="52028" ht="14.4" x14ac:dyDescent="0.3"/>
    <row r="52029" ht="14.4" x14ac:dyDescent="0.3"/>
    <row r="52030" ht="14.4" x14ac:dyDescent="0.3"/>
    <row r="52031" ht="14.4" x14ac:dyDescent="0.3"/>
    <row r="52032" ht="14.4" x14ac:dyDescent="0.3"/>
    <row r="52033" ht="14.4" x14ac:dyDescent="0.3"/>
    <row r="52034" ht="14.4" x14ac:dyDescent="0.3"/>
    <row r="52035" ht="14.4" x14ac:dyDescent="0.3"/>
    <row r="52036" ht="14.4" x14ac:dyDescent="0.3"/>
    <row r="52037" ht="14.4" x14ac:dyDescent="0.3"/>
    <row r="52038" ht="14.4" x14ac:dyDescent="0.3"/>
    <row r="52039" ht="14.4" x14ac:dyDescent="0.3"/>
    <row r="52040" ht="14.4" x14ac:dyDescent="0.3"/>
    <row r="52041" ht="14.4" x14ac:dyDescent="0.3"/>
    <row r="52042" ht="14.4" x14ac:dyDescent="0.3"/>
    <row r="52043" ht="14.4" x14ac:dyDescent="0.3"/>
    <row r="52044" ht="14.4" x14ac:dyDescent="0.3"/>
    <row r="52045" ht="14.4" x14ac:dyDescent="0.3"/>
    <row r="52046" ht="14.4" x14ac:dyDescent="0.3"/>
    <row r="52047" ht="14.4" x14ac:dyDescent="0.3"/>
    <row r="52048" ht="14.4" x14ac:dyDescent="0.3"/>
    <row r="52049" ht="14.4" x14ac:dyDescent="0.3"/>
    <row r="52050" ht="14.4" x14ac:dyDescent="0.3"/>
    <row r="52051" ht="14.4" x14ac:dyDescent="0.3"/>
    <row r="52052" ht="14.4" x14ac:dyDescent="0.3"/>
    <row r="52053" ht="14.4" x14ac:dyDescent="0.3"/>
    <row r="52054" ht="14.4" x14ac:dyDescent="0.3"/>
    <row r="52055" ht="14.4" x14ac:dyDescent="0.3"/>
    <row r="52056" ht="14.4" x14ac:dyDescent="0.3"/>
    <row r="52057" ht="14.4" x14ac:dyDescent="0.3"/>
    <row r="52058" ht="14.4" x14ac:dyDescent="0.3"/>
    <row r="52059" ht="14.4" x14ac:dyDescent="0.3"/>
    <row r="52060" ht="14.4" x14ac:dyDescent="0.3"/>
    <row r="52061" ht="14.4" x14ac:dyDescent="0.3"/>
    <row r="52062" ht="14.4" x14ac:dyDescent="0.3"/>
    <row r="52063" ht="14.4" x14ac:dyDescent="0.3"/>
    <row r="52064" ht="14.4" x14ac:dyDescent="0.3"/>
    <row r="52065" ht="14.4" x14ac:dyDescent="0.3"/>
    <row r="52066" ht="14.4" x14ac:dyDescent="0.3"/>
    <row r="52067" ht="14.4" x14ac:dyDescent="0.3"/>
    <row r="52068" ht="14.4" x14ac:dyDescent="0.3"/>
    <row r="52069" ht="14.4" x14ac:dyDescent="0.3"/>
    <row r="52070" ht="14.4" x14ac:dyDescent="0.3"/>
    <row r="52071" ht="14.4" x14ac:dyDescent="0.3"/>
    <row r="52072" ht="14.4" x14ac:dyDescent="0.3"/>
    <row r="52073" ht="14.4" x14ac:dyDescent="0.3"/>
    <row r="52074" ht="14.4" x14ac:dyDescent="0.3"/>
    <row r="52075" ht="14.4" x14ac:dyDescent="0.3"/>
    <row r="52076" ht="14.4" x14ac:dyDescent="0.3"/>
    <row r="52077" ht="14.4" x14ac:dyDescent="0.3"/>
    <row r="52078" ht="14.4" x14ac:dyDescent="0.3"/>
    <row r="52079" ht="14.4" x14ac:dyDescent="0.3"/>
    <row r="52080" ht="14.4" x14ac:dyDescent="0.3"/>
    <row r="52081" ht="14.4" x14ac:dyDescent="0.3"/>
    <row r="52082" ht="14.4" x14ac:dyDescent="0.3"/>
    <row r="52083" ht="14.4" x14ac:dyDescent="0.3"/>
    <row r="52084" ht="14.4" x14ac:dyDescent="0.3"/>
    <row r="52085" ht="14.4" x14ac:dyDescent="0.3"/>
    <row r="52086" ht="14.4" x14ac:dyDescent="0.3"/>
    <row r="52087" ht="14.4" x14ac:dyDescent="0.3"/>
    <row r="52088" ht="14.4" x14ac:dyDescent="0.3"/>
    <row r="52089" ht="14.4" x14ac:dyDescent="0.3"/>
    <row r="52090" ht="14.4" x14ac:dyDescent="0.3"/>
    <row r="52091" ht="14.4" x14ac:dyDescent="0.3"/>
    <row r="52092" ht="14.4" x14ac:dyDescent="0.3"/>
    <row r="52093" ht="14.4" x14ac:dyDescent="0.3"/>
    <row r="52094" ht="14.4" x14ac:dyDescent="0.3"/>
    <row r="52095" ht="14.4" x14ac:dyDescent="0.3"/>
    <row r="52096" ht="14.4" x14ac:dyDescent="0.3"/>
    <row r="52097" ht="14.4" x14ac:dyDescent="0.3"/>
    <row r="52098" ht="14.4" x14ac:dyDescent="0.3"/>
    <row r="52099" ht="14.4" x14ac:dyDescent="0.3"/>
    <row r="52100" ht="14.4" x14ac:dyDescent="0.3"/>
    <row r="52101" ht="14.4" x14ac:dyDescent="0.3"/>
    <row r="52102" ht="14.4" x14ac:dyDescent="0.3"/>
    <row r="52103" ht="14.4" x14ac:dyDescent="0.3"/>
    <row r="52104" ht="14.4" x14ac:dyDescent="0.3"/>
    <row r="52105" ht="14.4" x14ac:dyDescent="0.3"/>
    <row r="52106" ht="14.4" x14ac:dyDescent="0.3"/>
    <row r="52107" ht="14.4" x14ac:dyDescent="0.3"/>
    <row r="52108" ht="14.4" x14ac:dyDescent="0.3"/>
    <row r="52109" ht="14.4" x14ac:dyDescent="0.3"/>
    <row r="52110" ht="14.4" x14ac:dyDescent="0.3"/>
    <row r="52111" ht="14.4" x14ac:dyDescent="0.3"/>
    <row r="52112" ht="14.4" x14ac:dyDescent="0.3"/>
    <row r="52113" ht="14.4" x14ac:dyDescent="0.3"/>
    <row r="52114" ht="14.4" x14ac:dyDescent="0.3"/>
    <row r="52115" ht="14.4" x14ac:dyDescent="0.3"/>
    <row r="52116" ht="14.4" x14ac:dyDescent="0.3"/>
    <row r="52117" ht="14.4" x14ac:dyDescent="0.3"/>
    <row r="52118" ht="14.4" x14ac:dyDescent="0.3"/>
    <row r="52119" ht="14.4" x14ac:dyDescent="0.3"/>
    <row r="52120" ht="14.4" x14ac:dyDescent="0.3"/>
    <row r="52121" ht="14.4" x14ac:dyDescent="0.3"/>
    <row r="52122" ht="14.4" x14ac:dyDescent="0.3"/>
    <row r="52123" ht="14.4" x14ac:dyDescent="0.3"/>
    <row r="52124" ht="14.4" x14ac:dyDescent="0.3"/>
    <row r="52125" ht="14.4" x14ac:dyDescent="0.3"/>
    <row r="52126" ht="14.4" x14ac:dyDescent="0.3"/>
    <row r="52127" ht="14.4" x14ac:dyDescent="0.3"/>
    <row r="52128" ht="14.4" x14ac:dyDescent="0.3"/>
    <row r="52129" ht="14.4" x14ac:dyDescent="0.3"/>
    <row r="52130" ht="14.4" x14ac:dyDescent="0.3"/>
    <row r="52131" ht="14.4" x14ac:dyDescent="0.3"/>
    <row r="52132" ht="14.4" x14ac:dyDescent="0.3"/>
    <row r="52133" ht="14.4" x14ac:dyDescent="0.3"/>
    <row r="52134" ht="14.4" x14ac:dyDescent="0.3"/>
    <row r="52135" ht="14.4" x14ac:dyDescent="0.3"/>
    <row r="52136" ht="14.4" x14ac:dyDescent="0.3"/>
    <row r="52137" ht="14.4" x14ac:dyDescent="0.3"/>
    <row r="52138" ht="14.4" x14ac:dyDescent="0.3"/>
    <row r="52139" ht="14.4" x14ac:dyDescent="0.3"/>
    <row r="52140" ht="14.4" x14ac:dyDescent="0.3"/>
    <row r="52141" ht="14.4" x14ac:dyDescent="0.3"/>
    <row r="52142" ht="14.4" x14ac:dyDescent="0.3"/>
    <row r="52143" ht="14.4" x14ac:dyDescent="0.3"/>
    <row r="52144" ht="14.4" x14ac:dyDescent="0.3"/>
    <row r="52145" ht="14.4" x14ac:dyDescent="0.3"/>
    <row r="52146" ht="14.4" x14ac:dyDescent="0.3"/>
    <row r="52147" ht="14.4" x14ac:dyDescent="0.3"/>
    <row r="52148" ht="14.4" x14ac:dyDescent="0.3"/>
    <row r="52149" ht="14.4" x14ac:dyDescent="0.3"/>
    <row r="52150" ht="14.4" x14ac:dyDescent="0.3"/>
    <row r="52151" ht="14.4" x14ac:dyDescent="0.3"/>
    <row r="52152" ht="14.4" x14ac:dyDescent="0.3"/>
    <row r="52153" ht="14.4" x14ac:dyDescent="0.3"/>
    <row r="52154" ht="14.4" x14ac:dyDescent="0.3"/>
    <row r="52155" ht="14.4" x14ac:dyDescent="0.3"/>
    <row r="52156" ht="14.4" x14ac:dyDescent="0.3"/>
    <row r="52157" ht="14.4" x14ac:dyDescent="0.3"/>
    <row r="52158" ht="14.4" x14ac:dyDescent="0.3"/>
    <row r="52159" ht="14.4" x14ac:dyDescent="0.3"/>
    <row r="52160" ht="14.4" x14ac:dyDescent="0.3"/>
    <row r="52161" ht="14.4" x14ac:dyDescent="0.3"/>
    <row r="52162" ht="14.4" x14ac:dyDescent="0.3"/>
    <row r="52163" ht="14.4" x14ac:dyDescent="0.3"/>
    <row r="52164" ht="14.4" x14ac:dyDescent="0.3"/>
    <row r="52165" ht="14.4" x14ac:dyDescent="0.3"/>
    <row r="52166" ht="14.4" x14ac:dyDescent="0.3"/>
    <row r="52167" ht="14.4" x14ac:dyDescent="0.3"/>
    <row r="52168" ht="14.4" x14ac:dyDescent="0.3"/>
    <row r="52169" ht="14.4" x14ac:dyDescent="0.3"/>
    <row r="52170" ht="14.4" x14ac:dyDescent="0.3"/>
    <row r="52171" ht="14.4" x14ac:dyDescent="0.3"/>
    <row r="52172" ht="14.4" x14ac:dyDescent="0.3"/>
    <row r="52173" ht="14.4" x14ac:dyDescent="0.3"/>
    <row r="52174" ht="14.4" x14ac:dyDescent="0.3"/>
    <row r="52175" ht="14.4" x14ac:dyDescent="0.3"/>
    <row r="52176" ht="14.4" x14ac:dyDescent="0.3"/>
    <row r="52177" ht="14.4" x14ac:dyDescent="0.3"/>
    <row r="52178" ht="14.4" x14ac:dyDescent="0.3"/>
    <row r="52179" ht="14.4" x14ac:dyDescent="0.3"/>
    <row r="52180" ht="14.4" x14ac:dyDescent="0.3"/>
    <row r="52181" ht="14.4" x14ac:dyDescent="0.3"/>
    <row r="52182" ht="14.4" x14ac:dyDescent="0.3"/>
    <row r="52183" ht="14.4" x14ac:dyDescent="0.3"/>
    <row r="52184" ht="14.4" x14ac:dyDescent="0.3"/>
    <row r="52185" ht="14.4" x14ac:dyDescent="0.3"/>
    <row r="52186" ht="14.4" x14ac:dyDescent="0.3"/>
    <row r="52187" ht="14.4" x14ac:dyDescent="0.3"/>
    <row r="52188" ht="14.4" x14ac:dyDescent="0.3"/>
    <row r="52189" ht="14.4" x14ac:dyDescent="0.3"/>
    <row r="52190" ht="14.4" x14ac:dyDescent="0.3"/>
    <row r="52191" ht="14.4" x14ac:dyDescent="0.3"/>
    <row r="52192" ht="14.4" x14ac:dyDescent="0.3"/>
    <row r="52193" ht="14.4" x14ac:dyDescent="0.3"/>
    <row r="52194" ht="14.4" x14ac:dyDescent="0.3"/>
    <row r="52195" ht="14.4" x14ac:dyDescent="0.3"/>
    <row r="52196" ht="14.4" x14ac:dyDescent="0.3"/>
    <row r="52197" ht="14.4" x14ac:dyDescent="0.3"/>
    <row r="52198" ht="14.4" x14ac:dyDescent="0.3"/>
    <row r="52199" ht="14.4" x14ac:dyDescent="0.3"/>
    <row r="52200" ht="14.4" x14ac:dyDescent="0.3"/>
    <row r="52201" ht="14.4" x14ac:dyDescent="0.3"/>
    <row r="52202" ht="14.4" x14ac:dyDescent="0.3"/>
    <row r="52203" ht="14.4" x14ac:dyDescent="0.3"/>
    <row r="52204" ht="14.4" x14ac:dyDescent="0.3"/>
    <row r="52205" ht="14.4" x14ac:dyDescent="0.3"/>
    <row r="52206" ht="14.4" x14ac:dyDescent="0.3"/>
    <row r="52207" ht="14.4" x14ac:dyDescent="0.3"/>
    <row r="52208" ht="14.4" x14ac:dyDescent="0.3"/>
    <row r="52209" ht="14.4" x14ac:dyDescent="0.3"/>
    <row r="52210" ht="14.4" x14ac:dyDescent="0.3"/>
    <row r="52211" ht="14.4" x14ac:dyDescent="0.3"/>
    <row r="52212" ht="14.4" x14ac:dyDescent="0.3"/>
    <row r="52213" ht="14.4" x14ac:dyDescent="0.3"/>
    <row r="52214" ht="14.4" x14ac:dyDescent="0.3"/>
    <row r="52215" ht="14.4" x14ac:dyDescent="0.3"/>
    <row r="52216" ht="14.4" x14ac:dyDescent="0.3"/>
    <row r="52217" ht="14.4" x14ac:dyDescent="0.3"/>
    <row r="52218" ht="14.4" x14ac:dyDescent="0.3"/>
    <row r="52219" ht="14.4" x14ac:dyDescent="0.3"/>
    <row r="52220" ht="14.4" x14ac:dyDescent="0.3"/>
    <row r="52221" ht="14.4" x14ac:dyDescent="0.3"/>
    <row r="52222" ht="14.4" x14ac:dyDescent="0.3"/>
    <row r="52223" ht="14.4" x14ac:dyDescent="0.3"/>
    <row r="52224" ht="14.4" x14ac:dyDescent="0.3"/>
    <row r="52225" ht="14.4" x14ac:dyDescent="0.3"/>
    <row r="52226" ht="14.4" x14ac:dyDescent="0.3"/>
    <row r="52227" ht="14.4" x14ac:dyDescent="0.3"/>
    <row r="52228" ht="14.4" x14ac:dyDescent="0.3"/>
    <row r="52229" ht="14.4" x14ac:dyDescent="0.3"/>
    <row r="52230" ht="14.4" x14ac:dyDescent="0.3"/>
    <row r="52231" ht="14.4" x14ac:dyDescent="0.3"/>
    <row r="52232" ht="14.4" x14ac:dyDescent="0.3"/>
    <row r="52233" ht="14.4" x14ac:dyDescent="0.3"/>
    <row r="52234" ht="14.4" x14ac:dyDescent="0.3"/>
    <row r="52235" ht="14.4" x14ac:dyDescent="0.3"/>
    <row r="52236" ht="14.4" x14ac:dyDescent="0.3"/>
    <row r="52237" ht="14.4" x14ac:dyDescent="0.3"/>
    <row r="52238" ht="14.4" x14ac:dyDescent="0.3"/>
    <row r="52239" ht="14.4" x14ac:dyDescent="0.3"/>
    <row r="52240" ht="14.4" x14ac:dyDescent="0.3"/>
    <row r="52241" ht="14.4" x14ac:dyDescent="0.3"/>
    <row r="52242" ht="14.4" x14ac:dyDescent="0.3"/>
    <row r="52243" ht="14.4" x14ac:dyDescent="0.3"/>
    <row r="52244" ht="14.4" x14ac:dyDescent="0.3"/>
    <row r="52245" ht="14.4" x14ac:dyDescent="0.3"/>
    <row r="52246" ht="14.4" x14ac:dyDescent="0.3"/>
    <row r="52247" ht="14.4" x14ac:dyDescent="0.3"/>
    <row r="52248" ht="14.4" x14ac:dyDescent="0.3"/>
    <row r="52249" ht="14.4" x14ac:dyDescent="0.3"/>
    <row r="52250" ht="14.4" x14ac:dyDescent="0.3"/>
    <row r="52251" ht="14.4" x14ac:dyDescent="0.3"/>
    <row r="52252" ht="14.4" x14ac:dyDescent="0.3"/>
    <row r="52253" ht="14.4" x14ac:dyDescent="0.3"/>
    <row r="52254" ht="14.4" x14ac:dyDescent="0.3"/>
    <row r="52255" ht="14.4" x14ac:dyDescent="0.3"/>
    <row r="52256" ht="14.4" x14ac:dyDescent="0.3"/>
    <row r="52257" ht="14.4" x14ac:dyDescent="0.3"/>
    <row r="52258" ht="14.4" x14ac:dyDescent="0.3"/>
    <row r="52259" ht="14.4" x14ac:dyDescent="0.3"/>
    <row r="52260" ht="14.4" x14ac:dyDescent="0.3"/>
    <row r="52261" ht="14.4" x14ac:dyDescent="0.3"/>
    <row r="52262" ht="14.4" x14ac:dyDescent="0.3"/>
    <row r="52263" ht="14.4" x14ac:dyDescent="0.3"/>
    <row r="52264" ht="14.4" x14ac:dyDescent="0.3"/>
    <row r="52265" ht="14.4" x14ac:dyDescent="0.3"/>
    <row r="52266" ht="14.4" x14ac:dyDescent="0.3"/>
    <row r="52267" ht="14.4" x14ac:dyDescent="0.3"/>
    <row r="52268" ht="14.4" x14ac:dyDescent="0.3"/>
    <row r="52269" ht="14.4" x14ac:dyDescent="0.3"/>
    <row r="52270" ht="14.4" x14ac:dyDescent="0.3"/>
    <row r="52271" ht="14.4" x14ac:dyDescent="0.3"/>
    <row r="52272" ht="14.4" x14ac:dyDescent="0.3"/>
    <row r="52273" ht="14.4" x14ac:dyDescent="0.3"/>
    <row r="52274" ht="14.4" x14ac:dyDescent="0.3"/>
    <row r="52275" ht="14.4" x14ac:dyDescent="0.3"/>
    <row r="52276" ht="14.4" x14ac:dyDescent="0.3"/>
    <row r="52277" ht="14.4" x14ac:dyDescent="0.3"/>
    <row r="52278" ht="14.4" x14ac:dyDescent="0.3"/>
    <row r="52279" ht="14.4" x14ac:dyDescent="0.3"/>
    <row r="52280" ht="14.4" x14ac:dyDescent="0.3"/>
    <row r="52281" ht="14.4" x14ac:dyDescent="0.3"/>
    <row r="52282" ht="14.4" x14ac:dyDescent="0.3"/>
    <row r="52283" ht="14.4" x14ac:dyDescent="0.3"/>
    <row r="52284" ht="14.4" x14ac:dyDescent="0.3"/>
    <row r="52285" ht="14.4" x14ac:dyDescent="0.3"/>
    <row r="52286" ht="14.4" x14ac:dyDescent="0.3"/>
    <row r="52287" ht="14.4" x14ac:dyDescent="0.3"/>
    <row r="52288" ht="14.4" x14ac:dyDescent="0.3"/>
    <row r="52289" ht="14.4" x14ac:dyDescent="0.3"/>
    <row r="52290" ht="14.4" x14ac:dyDescent="0.3"/>
    <row r="52291" ht="14.4" x14ac:dyDescent="0.3"/>
    <row r="52292" ht="14.4" x14ac:dyDescent="0.3"/>
    <row r="52293" ht="14.4" x14ac:dyDescent="0.3"/>
    <row r="52294" ht="14.4" x14ac:dyDescent="0.3"/>
    <row r="52295" ht="14.4" x14ac:dyDescent="0.3"/>
    <row r="52296" ht="14.4" x14ac:dyDescent="0.3"/>
    <row r="52297" ht="14.4" x14ac:dyDescent="0.3"/>
    <row r="52298" ht="14.4" x14ac:dyDescent="0.3"/>
    <row r="52299" ht="14.4" x14ac:dyDescent="0.3"/>
    <row r="52300" ht="14.4" x14ac:dyDescent="0.3"/>
    <row r="52301" ht="14.4" x14ac:dyDescent="0.3"/>
    <row r="52302" ht="14.4" x14ac:dyDescent="0.3"/>
    <row r="52303" ht="14.4" x14ac:dyDescent="0.3"/>
    <row r="52304" ht="14.4" x14ac:dyDescent="0.3"/>
    <row r="52305" ht="14.4" x14ac:dyDescent="0.3"/>
    <row r="52306" ht="14.4" x14ac:dyDescent="0.3"/>
    <row r="52307" ht="14.4" x14ac:dyDescent="0.3"/>
    <row r="52308" ht="14.4" x14ac:dyDescent="0.3"/>
    <row r="52309" ht="14.4" x14ac:dyDescent="0.3"/>
    <row r="52310" ht="14.4" x14ac:dyDescent="0.3"/>
    <row r="52311" ht="14.4" x14ac:dyDescent="0.3"/>
    <row r="52312" ht="14.4" x14ac:dyDescent="0.3"/>
    <row r="52313" ht="14.4" x14ac:dyDescent="0.3"/>
    <row r="52314" ht="14.4" x14ac:dyDescent="0.3"/>
    <row r="52315" ht="14.4" x14ac:dyDescent="0.3"/>
    <row r="52316" ht="14.4" x14ac:dyDescent="0.3"/>
    <row r="52317" ht="14.4" x14ac:dyDescent="0.3"/>
    <row r="52318" ht="14.4" x14ac:dyDescent="0.3"/>
    <row r="52319" ht="14.4" x14ac:dyDescent="0.3"/>
    <row r="52320" ht="14.4" x14ac:dyDescent="0.3"/>
    <row r="52321" ht="14.4" x14ac:dyDescent="0.3"/>
    <row r="52322" ht="14.4" x14ac:dyDescent="0.3"/>
    <row r="52323" ht="14.4" x14ac:dyDescent="0.3"/>
    <row r="52324" ht="14.4" x14ac:dyDescent="0.3"/>
    <row r="52325" ht="14.4" x14ac:dyDescent="0.3"/>
    <row r="52326" ht="14.4" x14ac:dyDescent="0.3"/>
    <row r="52327" ht="14.4" x14ac:dyDescent="0.3"/>
    <row r="52328" ht="14.4" x14ac:dyDescent="0.3"/>
    <row r="52329" ht="14.4" x14ac:dyDescent="0.3"/>
    <row r="52330" ht="14.4" x14ac:dyDescent="0.3"/>
    <row r="52331" ht="14.4" x14ac:dyDescent="0.3"/>
    <row r="52332" ht="14.4" x14ac:dyDescent="0.3"/>
    <row r="52333" ht="14.4" x14ac:dyDescent="0.3"/>
    <row r="52334" ht="14.4" x14ac:dyDescent="0.3"/>
    <row r="52335" ht="14.4" x14ac:dyDescent="0.3"/>
    <row r="52336" ht="14.4" x14ac:dyDescent="0.3"/>
    <row r="52337" ht="14.4" x14ac:dyDescent="0.3"/>
    <row r="52338" ht="14.4" x14ac:dyDescent="0.3"/>
    <row r="52339" ht="14.4" x14ac:dyDescent="0.3"/>
    <row r="52340" ht="14.4" x14ac:dyDescent="0.3"/>
    <row r="52341" ht="14.4" x14ac:dyDescent="0.3"/>
    <row r="52342" ht="14.4" x14ac:dyDescent="0.3"/>
    <row r="52343" ht="14.4" x14ac:dyDescent="0.3"/>
    <row r="52344" ht="14.4" x14ac:dyDescent="0.3"/>
    <row r="52345" ht="14.4" x14ac:dyDescent="0.3"/>
    <row r="52346" ht="14.4" x14ac:dyDescent="0.3"/>
    <row r="52347" ht="14.4" x14ac:dyDescent="0.3"/>
    <row r="52348" ht="14.4" x14ac:dyDescent="0.3"/>
    <row r="52349" ht="14.4" x14ac:dyDescent="0.3"/>
    <row r="52350" ht="14.4" x14ac:dyDescent="0.3"/>
    <row r="52351" ht="14.4" x14ac:dyDescent="0.3"/>
    <row r="52352" ht="14.4" x14ac:dyDescent="0.3"/>
    <row r="52353" ht="14.4" x14ac:dyDescent="0.3"/>
    <row r="52354" ht="14.4" x14ac:dyDescent="0.3"/>
    <row r="52355" ht="14.4" x14ac:dyDescent="0.3"/>
    <row r="52356" ht="14.4" x14ac:dyDescent="0.3"/>
    <row r="52357" ht="14.4" x14ac:dyDescent="0.3"/>
    <row r="52358" ht="14.4" x14ac:dyDescent="0.3"/>
    <row r="52359" ht="14.4" x14ac:dyDescent="0.3"/>
    <row r="52360" ht="14.4" x14ac:dyDescent="0.3"/>
    <row r="52361" ht="14.4" x14ac:dyDescent="0.3"/>
    <row r="52362" ht="14.4" x14ac:dyDescent="0.3"/>
    <row r="52363" ht="14.4" x14ac:dyDescent="0.3"/>
    <row r="52364" ht="14.4" x14ac:dyDescent="0.3"/>
    <row r="52365" ht="14.4" x14ac:dyDescent="0.3"/>
    <row r="52366" ht="14.4" x14ac:dyDescent="0.3"/>
    <row r="52367" ht="14.4" x14ac:dyDescent="0.3"/>
    <row r="52368" ht="14.4" x14ac:dyDescent="0.3"/>
    <row r="52369" spans="1:43" ht="14.4" x14ac:dyDescent="0.3"/>
    <row r="52370" spans="1:43" ht="14.4" x14ac:dyDescent="0.3"/>
    <row r="52371" spans="1:43" ht="14.4" hidden="1" x14ac:dyDescent="0.3">
      <c r="A52371" t="s">
        <v>6590</v>
      </c>
      <c r="B52371">
        <v>4909392</v>
      </c>
      <c r="C52371" t="s">
        <v>135</v>
      </c>
      <c r="D52371" t="s">
        <v>136</v>
      </c>
      <c r="E52371" t="s">
        <v>369</v>
      </c>
      <c r="F52371" t="s">
        <v>370</v>
      </c>
      <c r="H52371" t="s">
        <v>6591</v>
      </c>
      <c r="J52371" t="s">
        <v>140</v>
      </c>
      <c r="K52371">
        <v>157042.57999999999</v>
      </c>
      <c r="L52371">
        <v>382861.77</v>
      </c>
      <c r="N52371" t="s">
        <v>1867</v>
      </c>
      <c r="O52371" t="s">
        <v>1424</v>
      </c>
      <c r="P52371" t="s">
        <v>791</v>
      </c>
      <c r="Q52371" t="s">
        <v>144</v>
      </c>
      <c r="S52371">
        <v>9</v>
      </c>
      <c r="T52371">
        <v>1400</v>
      </c>
      <c r="V52371" t="s">
        <v>848</v>
      </c>
      <c r="W52371" t="s">
        <v>390</v>
      </c>
      <c r="X52371" t="s">
        <v>7</v>
      </c>
      <c r="Y52371" t="s">
        <v>2841</v>
      </c>
      <c r="Z52371" t="s">
        <v>435</v>
      </c>
      <c r="AA52371" t="s">
        <v>404</v>
      </c>
      <c r="AB52371">
        <v>180</v>
      </c>
      <c r="AE52371" t="s">
        <v>2842</v>
      </c>
      <c r="AF52371" t="s">
        <v>435</v>
      </c>
      <c r="AG52371" t="s">
        <v>404</v>
      </c>
      <c r="AL52371" t="s">
        <v>6592</v>
      </c>
      <c r="AM52371" t="s">
        <v>6593</v>
      </c>
      <c r="AN52371" t="s">
        <v>6594</v>
      </c>
      <c r="AO52371" t="s">
        <v>1867</v>
      </c>
      <c r="AQ52371" t="str">
        <f>IF(ISBLANK(AP52371), IFERROR(IF(VLOOKUP(AO52371, Ellens_additions!$A$2:$B$252, 2, FALSE) = "", "", VLOOKUP(AO52371, Ellens_additions!$A$2:$B$252, 2, FALSE)), 0), AP52371)</f>
        <v/>
      </c>
    </row>
    <row r="52372" spans="1:43" ht="14.4" hidden="1" x14ac:dyDescent="0.3">
      <c r="A52372" t="s">
        <v>6595</v>
      </c>
      <c r="B52372">
        <v>4909396</v>
      </c>
      <c r="C52372" t="s">
        <v>135</v>
      </c>
      <c r="D52372" t="s">
        <v>136</v>
      </c>
      <c r="E52372" t="s">
        <v>369</v>
      </c>
      <c r="F52372" t="s">
        <v>370</v>
      </c>
      <c r="H52372" t="s">
        <v>6596</v>
      </c>
      <c r="J52372" t="s">
        <v>140</v>
      </c>
      <c r="K52372">
        <v>157046.75</v>
      </c>
      <c r="L52372">
        <v>382858.23999999999</v>
      </c>
      <c r="N52372" t="s">
        <v>1867</v>
      </c>
      <c r="O52372" t="s">
        <v>1424</v>
      </c>
      <c r="P52372" t="s">
        <v>791</v>
      </c>
      <c r="Q52372" t="s">
        <v>144</v>
      </c>
      <c r="S52372">
        <v>9</v>
      </c>
      <c r="T52372">
        <v>1400</v>
      </c>
      <c r="V52372" t="s">
        <v>848</v>
      </c>
      <c r="W52372" t="s">
        <v>390</v>
      </c>
      <c r="X52372" t="s">
        <v>7</v>
      </c>
      <c r="Y52372" t="s">
        <v>2841</v>
      </c>
      <c r="Z52372" t="s">
        <v>435</v>
      </c>
      <c r="AA52372" t="s">
        <v>404</v>
      </c>
      <c r="AB52372">
        <v>180</v>
      </c>
      <c r="AE52372" t="s">
        <v>2842</v>
      </c>
      <c r="AF52372" t="s">
        <v>435</v>
      </c>
      <c r="AG52372" t="s">
        <v>404</v>
      </c>
      <c r="AL52372" t="s">
        <v>6597</v>
      </c>
      <c r="AM52372" t="s">
        <v>6598</v>
      </c>
      <c r="AN52372" t="s">
        <v>6599</v>
      </c>
      <c r="AO52372" t="s">
        <v>1867</v>
      </c>
      <c r="AQ52372" t="str">
        <f>IF(ISBLANK(AP52372), IFERROR(IF(VLOOKUP(AO52372, Ellens_additions!$A$2:$B$252, 2, FALSE) = "", "", VLOOKUP(AO52372, Ellens_additions!$A$2:$B$252, 2, FALSE)), 0), AP52372)</f>
        <v/>
      </c>
    </row>
    <row r="52373" spans="1:43" ht="14.4" hidden="1" x14ac:dyDescent="0.3">
      <c r="A52373" t="s">
        <v>6600</v>
      </c>
      <c r="B52373">
        <v>4909401</v>
      </c>
      <c r="C52373" t="s">
        <v>135</v>
      </c>
      <c r="D52373" t="s">
        <v>136</v>
      </c>
      <c r="E52373" t="s">
        <v>369</v>
      </c>
      <c r="F52373" t="s">
        <v>370</v>
      </c>
      <c r="H52373" t="s">
        <v>6601</v>
      </c>
      <c r="J52373" t="s">
        <v>140</v>
      </c>
      <c r="K52373">
        <v>157051.88</v>
      </c>
      <c r="L52373">
        <v>382853.77</v>
      </c>
      <c r="N52373" t="s">
        <v>1867</v>
      </c>
      <c r="O52373" t="s">
        <v>1424</v>
      </c>
      <c r="P52373" t="s">
        <v>791</v>
      </c>
      <c r="Q52373" t="s">
        <v>144</v>
      </c>
      <c r="S52373">
        <v>9</v>
      </c>
      <c r="T52373">
        <v>1400</v>
      </c>
      <c r="V52373" t="s">
        <v>848</v>
      </c>
      <c r="W52373" t="s">
        <v>390</v>
      </c>
      <c r="X52373" t="s">
        <v>7</v>
      </c>
      <c r="Y52373" t="s">
        <v>2841</v>
      </c>
      <c r="Z52373" t="s">
        <v>435</v>
      </c>
      <c r="AA52373" t="s">
        <v>404</v>
      </c>
      <c r="AB52373">
        <v>180</v>
      </c>
      <c r="AE52373" t="s">
        <v>2842</v>
      </c>
      <c r="AF52373" t="s">
        <v>435</v>
      </c>
      <c r="AG52373" t="s">
        <v>404</v>
      </c>
      <c r="AL52373" t="s">
        <v>6602</v>
      </c>
      <c r="AM52373" t="s">
        <v>6603</v>
      </c>
      <c r="AN52373" t="s">
        <v>6604</v>
      </c>
      <c r="AO52373" t="s">
        <v>1867</v>
      </c>
      <c r="AQ52373" t="str">
        <f>IF(ISBLANK(AP52373), IFERROR(IF(VLOOKUP(AO52373, Ellens_additions!$A$2:$B$252, 2, FALSE) = "", "", VLOOKUP(AO52373, Ellens_additions!$A$2:$B$252, 2, FALSE)), 0), AP52373)</f>
        <v/>
      </c>
    </row>
    <row r="52374" spans="1:43" ht="14.4" x14ac:dyDescent="0.3"/>
    <row r="52375" spans="1:43" ht="14.4" x14ac:dyDescent="0.3"/>
    <row r="52376" spans="1:43" ht="14.4" x14ac:dyDescent="0.3"/>
    <row r="52377" spans="1:43" ht="14.4" x14ac:dyDescent="0.3"/>
    <row r="52378" spans="1:43" ht="14.4" x14ac:dyDescent="0.3"/>
    <row r="52379" spans="1:43" ht="14.4" x14ac:dyDescent="0.3"/>
    <row r="52380" spans="1:43" ht="14.4" x14ac:dyDescent="0.3"/>
    <row r="52381" spans="1:43" ht="14.4" x14ac:dyDescent="0.3"/>
    <row r="52382" spans="1:43" ht="14.4" x14ac:dyDescent="0.3"/>
    <row r="52383" spans="1:43" ht="14.4" x14ac:dyDescent="0.3"/>
    <row r="52384" spans="1:43" ht="14.4" x14ac:dyDescent="0.3"/>
    <row r="52385" ht="14.4" x14ac:dyDescent="0.3"/>
    <row r="52386" ht="14.4" x14ac:dyDescent="0.3"/>
    <row r="52387" ht="14.4" x14ac:dyDescent="0.3"/>
    <row r="52388" ht="14.4" x14ac:dyDescent="0.3"/>
    <row r="52389" ht="14.4" x14ac:dyDescent="0.3"/>
    <row r="52390" ht="14.4" x14ac:dyDescent="0.3"/>
    <row r="52391" ht="14.4" x14ac:dyDescent="0.3"/>
    <row r="52392" ht="14.4" x14ac:dyDescent="0.3"/>
    <row r="52393" ht="14.4" x14ac:dyDescent="0.3"/>
    <row r="52394" ht="14.4" x14ac:dyDescent="0.3"/>
    <row r="52395" ht="14.4" x14ac:dyDescent="0.3"/>
    <row r="52396" ht="14.4" x14ac:dyDescent="0.3"/>
    <row r="52397" ht="14.4" x14ac:dyDescent="0.3"/>
    <row r="52398" ht="14.4" x14ac:dyDescent="0.3"/>
    <row r="52399" ht="14.4" x14ac:dyDescent="0.3"/>
    <row r="52400" ht="14.4" x14ac:dyDescent="0.3"/>
    <row r="52401" ht="14.4" x14ac:dyDescent="0.3"/>
    <row r="52402" ht="14.4" x14ac:dyDescent="0.3"/>
    <row r="52403" ht="14.4" x14ac:dyDescent="0.3"/>
    <row r="52404" ht="14.4" x14ac:dyDescent="0.3"/>
    <row r="52405" ht="14.4" x14ac:dyDescent="0.3"/>
    <row r="52406" ht="14.4" x14ac:dyDescent="0.3"/>
    <row r="52407" ht="14.4" x14ac:dyDescent="0.3"/>
    <row r="52408" ht="14.4" x14ac:dyDescent="0.3"/>
    <row r="52409" ht="14.4" x14ac:dyDescent="0.3"/>
    <row r="52410" ht="14.4" x14ac:dyDescent="0.3"/>
    <row r="52411" ht="14.4" x14ac:dyDescent="0.3"/>
    <row r="52412" ht="14.4" x14ac:dyDescent="0.3"/>
    <row r="52413" ht="14.4" x14ac:dyDescent="0.3"/>
    <row r="52414" ht="14.4" x14ac:dyDescent="0.3"/>
    <row r="52415" ht="14.4" x14ac:dyDescent="0.3"/>
    <row r="52416" ht="14.4" x14ac:dyDescent="0.3"/>
    <row r="52417" ht="14.4" x14ac:dyDescent="0.3"/>
    <row r="52418" ht="14.4" x14ac:dyDescent="0.3"/>
    <row r="52419" ht="14.4" x14ac:dyDescent="0.3"/>
    <row r="52420" ht="14.4" x14ac:dyDescent="0.3"/>
    <row r="52421" ht="14.4" x14ac:dyDescent="0.3"/>
    <row r="52422" ht="14.4" x14ac:dyDescent="0.3"/>
    <row r="52423" ht="14.4" x14ac:dyDescent="0.3"/>
    <row r="52424" ht="14.4" x14ac:dyDescent="0.3"/>
    <row r="52425" ht="14.4" x14ac:dyDescent="0.3"/>
    <row r="52426" ht="14.4" x14ac:dyDescent="0.3"/>
    <row r="52427" ht="14.4" x14ac:dyDescent="0.3"/>
    <row r="52428" ht="14.4" x14ac:dyDescent="0.3"/>
    <row r="52429" ht="14.4" x14ac:dyDescent="0.3"/>
    <row r="52430" ht="14.4" x14ac:dyDescent="0.3"/>
    <row r="52431" ht="14.4" x14ac:dyDescent="0.3"/>
    <row r="52432" ht="14.4" x14ac:dyDescent="0.3"/>
    <row r="52433" ht="14.4" x14ac:dyDescent="0.3"/>
    <row r="52434" ht="14.4" x14ac:dyDescent="0.3"/>
    <row r="52435" ht="14.4" x14ac:dyDescent="0.3"/>
    <row r="52436" ht="14.4" x14ac:dyDescent="0.3"/>
    <row r="52437" ht="14.4" x14ac:dyDescent="0.3"/>
    <row r="52438" ht="14.4" x14ac:dyDescent="0.3"/>
    <row r="52439" ht="14.4" x14ac:dyDescent="0.3"/>
    <row r="52440" ht="14.4" x14ac:dyDescent="0.3"/>
    <row r="52441" ht="14.4" x14ac:dyDescent="0.3"/>
    <row r="52442" ht="14.4" x14ac:dyDescent="0.3"/>
    <row r="52443" ht="14.4" x14ac:dyDescent="0.3"/>
    <row r="52444" ht="14.4" x14ac:dyDescent="0.3"/>
    <row r="52445" ht="14.4" x14ac:dyDescent="0.3"/>
    <row r="52446" ht="14.4" x14ac:dyDescent="0.3"/>
    <row r="52447" ht="14.4" x14ac:dyDescent="0.3"/>
    <row r="52448" ht="14.4" x14ac:dyDescent="0.3"/>
    <row r="52449" ht="14.4" x14ac:dyDescent="0.3"/>
    <row r="52450" ht="14.4" x14ac:dyDescent="0.3"/>
    <row r="52451" ht="14.4" x14ac:dyDescent="0.3"/>
    <row r="52452" ht="14.4" x14ac:dyDescent="0.3"/>
    <row r="52453" ht="14.4" x14ac:dyDescent="0.3"/>
    <row r="52454" ht="14.4" x14ac:dyDescent="0.3"/>
    <row r="52455" ht="14.4" x14ac:dyDescent="0.3"/>
    <row r="52456" ht="14.4" x14ac:dyDescent="0.3"/>
    <row r="52457" ht="14.4" x14ac:dyDescent="0.3"/>
    <row r="52458" ht="14.4" x14ac:dyDescent="0.3"/>
    <row r="52459" ht="14.4" x14ac:dyDescent="0.3"/>
    <row r="52460" ht="14.4" x14ac:dyDescent="0.3"/>
    <row r="52461" ht="14.4" x14ac:dyDescent="0.3"/>
    <row r="52462" ht="14.4" x14ac:dyDescent="0.3"/>
    <row r="52463" ht="14.4" x14ac:dyDescent="0.3"/>
    <row r="52464" ht="14.4" x14ac:dyDescent="0.3"/>
    <row r="52465" ht="14.4" x14ac:dyDescent="0.3"/>
    <row r="52466" ht="14.4" x14ac:dyDescent="0.3"/>
    <row r="52467" ht="14.4" x14ac:dyDescent="0.3"/>
    <row r="52468" ht="14.4" x14ac:dyDescent="0.3"/>
    <row r="52469" ht="14.4" x14ac:dyDescent="0.3"/>
    <row r="52470" ht="14.4" x14ac:dyDescent="0.3"/>
    <row r="52471" ht="14.4" x14ac:dyDescent="0.3"/>
    <row r="52472" ht="14.4" x14ac:dyDescent="0.3"/>
    <row r="52473" ht="14.4" x14ac:dyDescent="0.3"/>
    <row r="52474" ht="14.4" x14ac:dyDescent="0.3"/>
    <row r="52475" ht="14.4" x14ac:dyDescent="0.3"/>
    <row r="52476" ht="14.4" x14ac:dyDescent="0.3"/>
    <row r="52477" ht="14.4" x14ac:dyDescent="0.3"/>
    <row r="52478" ht="14.4" x14ac:dyDescent="0.3"/>
    <row r="52479" ht="14.4" x14ac:dyDescent="0.3"/>
    <row r="52480" ht="14.4" x14ac:dyDescent="0.3"/>
    <row r="52481" ht="14.4" x14ac:dyDescent="0.3"/>
    <row r="52482" ht="14.4" x14ac:dyDescent="0.3"/>
    <row r="52483" ht="14.4" x14ac:dyDescent="0.3"/>
    <row r="52484" ht="14.4" x14ac:dyDescent="0.3"/>
    <row r="52485" ht="14.4" x14ac:dyDescent="0.3"/>
    <row r="52486" ht="14.4" x14ac:dyDescent="0.3"/>
    <row r="52487" ht="14.4" x14ac:dyDescent="0.3"/>
    <row r="52488" ht="14.4" x14ac:dyDescent="0.3"/>
    <row r="52489" ht="14.4" x14ac:dyDescent="0.3"/>
    <row r="52490" ht="14.4" x14ac:dyDescent="0.3"/>
    <row r="52491" ht="14.4" x14ac:dyDescent="0.3"/>
    <row r="52492" ht="14.4" x14ac:dyDescent="0.3"/>
    <row r="52493" ht="14.4" x14ac:dyDescent="0.3"/>
    <row r="52494" ht="14.4" x14ac:dyDescent="0.3"/>
    <row r="52495" ht="14.4" x14ac:dyDescent="0.3"/>
    <row r="52496" ht="14.4" x14ac:dyDescent="0.3"/>
    <row r="52497" ht="14.4" x14ac:dyDescent="0.3"/>
    <row r="52498" ht="14.4" x14ac:dyDescent="0.3"/>
    <row r="52499" ht="14.4" x14ac:dyDescent="0.3"/>
    <row r="52500" ht="14.4" x14ac:dyDescent="0.3"/>
    <row r="52501" ht="14.4" x14ac:dyDescent="0.3"/>
    <row r="52502" ht="14.4" x14ac:dyDescent="0.3"/>
    <row r="52503" ht="14.4" x14ac:dyDescent="0.3"/>
    <row r="52504" ht="14.4" x14ac:dyDescent="0.3"/>
    <row r="52505" ht="14.4" x14ac:dyDescent="0.3"/>
    <row r="52506" ht="14.4" x14ac:dyDescent="0.3"/>
    <row r="52507" ht="14.4" x14ac:dyDescent="0.3"/>
    <row r="52508" ht="14.4" x14ac:dyDescent="0.3"/>
    <row r="52509" ht="14.4" x14ac:dyDescent="0.3"/>
    <row r="52510" ht="14.4" x14ac:dyDescent="0.3"/>
    <row r="52511" ht="14.4" x14ac:dyDescent="0.3"/>
    <row r="52512" ht="14.4" x14ac:dyDescent="0.3"/>
    <row r="52513" ht="14.4" x14ac:dyDescent="0.3"/>
    <row r="52514" ht="14.4" x14ac:dyDescent="0.3"/>
    <row r="52515" ht="14.4" x14ac:dyDescent="0.3"/>
    <row r="52516" ht="14.4" x14ac:dyDescent="0.3"/>
    <row r="52517" ht="14.4" x14ac:dyDescent="0.3"/>
    <row r="52518" ht="14.4" x14ac:dyDescent="0.3"/>
    <row r="52519" ht="14.4" x14ac:dyDescent="0.3"/>
    <row r="52520" ht="14.4" x14ac:dyDescent="0.3"/>
    <row r="52521" ht="14.4" x14ac:dyDescent="0.3"/>
    <row r="52522" ht="14.4" x14ac:dyDescent="0.3"/>
    <row r="52523" ht="14.4" x14ac:dyDescent="0.3"/>
    <row r="52524" ht="14.4" x14ac:dyDescent="0.3"/>
    <row r="52525" ht="14.4" x14ac:dyDescent="0.3"/>
    <row r="52526" ht="14.4" x14ac:dyDescent="0.3"/>
    <row r="52527" ht="14.4" x14ac:dyDescent="0.3"/>
    <row r="52528" ht="14.4" x14ac:dyDescent="0.3"/>
    <row r="52529" ht="14.4" x14ac:dyDescent="0.3"/>
    <row r="52530" ht="14.4" x14ac:dyDescent="0.3"/>
    <row r="52531" ht="14.4" x14ac:dyDescent="0.3"/>
    <row r="52532" ht="14.4" x14ac:dyDescent="0.3"/>
    <row r="52533" ht="14.4" x14ac:dyDescent="0.3"/>
    <row r="52534" ht="14.4" x14ac:dyDescent="0.3"/>
    <row r="52535" ht="14.4" x14ac:dyDescent="0.3"/>
    <row r="52536" ht="14.4" x14ac:dyDescent="0.3"/>
    <row r="52537" ht="14.4" x14ac:dyDescent="0.3"/>
    <row r="52538" ht="14.4" x14ac:dyDescent="0.3"/>
    <row r="52539" ht="14.4" x14ac:dyDescent="0.3"/>
    <row r="52540" ht="14.4" x14ac:dyDescent="0.3"/>
    <row r="52541" ht="14.4" x14ac:dyDescent="0.3"/>
    <row r="52542" ht="14.4" x14ac:dyDescent="0.3"/>
    <row r="52543" ht="14.4" x14ac:dyDescent="0.3"/>
    <row r="52544" ht="14.4" x14ac:dyDescent="0.3"/>
    <row r="52545" ht="14.4" x14ac:dyDescent="0.3"/>
    <row r="52546" ht="14.4" x14ac:dyDescent="0.3"/>
    <row r="52547" ht="14.4" x14ac:dyDescent="0.3"/>
    <row r="52548" ht="14.4" x14ac:dyDescent="0.3"/>
    <row r="52549" ht="14.4" x14ac:dyDescent="0.3"/>
    <row r="52550" ht="14.4" x14ac:dyDescent="0.3"/>
    <row r="52551" ht="14.4" x14ac:dyDescent="0.3"/>
    <row r="52552" ht="14.4" x14ac:dyDescent="0.3"/>
    <row r="52553" ht="14.4" x14ac:dyDescent="0.3"/>
    <row r="52554" ht="14.4" x14ac:dyDescent="0.3"/>
    <row r="52555" ht="14.4" x14ac:dyDescent="0.3"/>
    <row r="52556" ht="14.4" x14ac:dyDescent="0.3"/>
    <row r="52557" ht="14.4" x14ac:dyDescent="0.3"/>
    <row r="52558" ht="14.4" x14ac:dyDescent="0.3"/>
    <row r="52559" ht="14.4" x14ac:dyDescent="0.3"/>
    <row r="52560" ht="14.4" x14ac:dyDescent="0.3"/>
    <row r="52561" ht="14.4" x14ac:dyDescent="0.3"/>
    <row r="52562" ht="14.4" x14ac:dyDescent="0.3"/>
    <row r="52563" ht="14.4" x14ac:dyDescent="0.3"/>
    <row r="52564" ht="14.4" x14ac:dyDescent="0.3"/>
    <row r="52565" ht="14.4" x14ac:dyDescent="0.3"/>
    <row r="52566" ht="14.4" x14ac:dyDescent="0.3"/>
    <row r="52567" ht="14.4" x14ac:dyDescent="0.3"/>
    <row r="52568" ht="14.4" x14ac:dyDescent="0.3"/>
    <row r="52569" ht="14.4" x14ac:dyDescent="0.3"/>
    <row r="52570" ht="14.4" x14ac:dyDescent="0.3"/>
    <row r="52571" ht="14.4" x14ac:dyDescent="0.3"/>
    <row r="52572" ht="14.4" x14ac:dyDescent="0.3"/>
    <row r="52573" ht="14.4" x14ac:dyDescent="0.3"/>
    <row r="52574" ht="14.4" x14ac:dyDescent="0.3"/>
    <row r="52575" ht="14.4" x14ac:dyDescent="0.3"/>
    <row r="52576" ht="14.4" x14ac:dyDescent="0.3"/>
    <row r="52577" ht="14.4" x14ac:dyDescent="0.3"/>
    <row r="52578" ht="14.4" x14ac:dyDescent="0.3"/>
    <row r="52579" ht="14.4" x14ac:dyDescent="0.3"/>
    <row r="52580" ht="14.4" x14ac:dyDescent="0.3"/>
    <row r="52581" ht="14.4" x14ac:dyDescent="0.3"/>
    <row r="52582" ht="14.4" x14ac:dyDescent="0.3"/>
    <row r="52583" ht="14.4" x14ac:dyDescent="0.3"/>
    <row r="52584" ht="14.4" x14ac:dyDescent="0.3"/>
    <row r="52585" ht="14.4" x14ac:dyDescent="0.3"/>
    <row r="52586" ht="14.4" x14ac:dyDescent="0.3"/>
    <row r="52587" ht="14.4" x14ac:dyDescent="0.3"/>
    <row r="52588" ht="14.4" x14ac:dyDescent="0.3"/>
    <row r="52589" ht="14.4" x14ac:dyDescent="0.3"/>
    <row r="52590" ht="14.4" x14ac:dyDescent="0.3"/>
    <row r="52591" ht="14.4" x14ac:dyDescent="0.3"/>
    <row r="52592" ht="14.4" x14ac:dyDescent="0.3"/>
    <row r="52593" ht="14.4" x14ac:dyDescent="0.3"/>
    <row r="52594" ht="14.4" x14ac:dyDescent="0.3"/>
    <row r="52595" ht="14.4" x14ac:dyDescent="0.3"/>
    <row r="52596" ht="14.4" x14ac:dyDescent="0.3"/>
    <row r="52597" ht="14.4" x14ac:dyDescent="0.3"/>
    <row r="52598" ht="14.4" x14ac:dyDescent="0.3"/>
    <row r="52599" ht="14.4" x14ac:dyDescent="0.3"/>
    <row r="52600" ht="14.4" x14ac:dyDescent="0.3"/>
    <row r="52601" ht="14.4" x14ac:dyDescent="0.3"/>
    <row r="52602" ht="14.4" x14ac:dyDescent="0.3"/>
    <row r="52603" ht="14.4" x14ac:dyDescent="0.3"/>
    <row r="52604" ht="14.4" x14ac:dyDescent="0.3"/>
    <row r="52605" ht="14.4" x14ac:dyDescent="0.3"/>
    <row r="52606" ht="14.4" x14ac:dyDescent="0.3"/>
    <row r="52607" ht="14.4" x14ac:dyDescent="0.3"/>
    <row r="52608" ht="14.4" x14ac:dyDescent="0.3"/>
    <row r="52609" ht="14.4" x14ac:dyDescent="0.3"/>
    <row r="52610" ht="14.4" x14ac:dyDescent="0.3"/>
    <row r="52611" ht="14.4" x14ac:dyDescent="0.3"/>
    <row r="52612" ht="14.4" x14ac:dyDescent="0.3"/>
    <row r="52613" ht="14.4" x14ac:dyDescent="0.3"/>
    <row r="52614" ht="14.4" x14ac:dyDescent="0.3"/>
    <row r="52615" ht="14.4" x14ac:dyDescent="0.3"/>
    <row r="52616" ht="14.4" x14ac:dyDescent="0.3"/>
    <row r="52617" ht="14.4" x14ac:dyDescent="0.3"/>
    <row r="52618" ht="14.4" x14ac:dyDescent="0.3"/>
    <row r="52619" ht="14.4" x14ac:dyDescent="0.3"/>
    <row r="52620" ht="14.4" x14ac:dyDescent="0.3"/>
    <row r="52621" ht="14.4" x14ac:dyDescent="0.3"/>
    <row r="52622" ht="14.4" x14ac:dyDescent="0.3"/>
    <row r="52623" ht="14.4" x14ac:dyDescent="0.3"/>
    <row r="52624" ht="14.4" x14ac:dyDescent="0.3"/>
    <row r="52625" ht="14.4" x14ac:dyDescent="0.3"/>
    <row r="52626" ht="14.4" x14ac:dyDescent="0.3"/>
    <row r="52627" ht="14.4" x14ac:dyDescent="0.3"/>
    <row r="52628" ht="14.4" x14ac:dyDescent="0.3"/>
    <row r="52629" ht="14.4" x14ac:dyDescent="0.3"/>
    <row r="52630" ht="14.4" x14ac:dyDescent="0.3"/>
    <row r="52631" ht="14.4" x14ac:dyDescent="0.3"/>
    <row r="52632" ht="14.4" x14ac:dyDescent="0.3"/>
    <row r="52633" ht="14.4" x14ac:dyDescent="0.3"/>
    <row r="52634" ht="14.4" x14ac:dyDescent="0.3"/>
    <row r="52635" ht="14.4" x14ac:dyDescent="0.3"/>
    <row r="52636" ht="14.4" x14ac:dyDescent="0.3"/>
    <row r="52637" ht="14.4" x14ac:dyDescent="0.3"/>
    <row r="52638" ht="14.4" x14ac:dyDescent="0.3"/>
    <row r="52639" ht="14.4" x14ac:dyDescent="0.3"/>
    <row r="52640" ht="14.4" x14ac:dyDescent="0.3"/>
    <row r="52641" ht="14.4" x14ac:dyDescent="0.3"/>
    <row r="52642" ht="14.4" x14ac:dyDescent="0.3"/>
    <row r="52643" ht="14.4" x14ac:dyDescent="0.3"/>
    <row r="52644" ht="14.4" x14ac:dyDescent="0.3"/>
    <row r="52645" ht="14.4" x14ac:dyDescent="0.3"/>
    <row r="52646" ht="14.4" x14ac:dyDescent="0.3"/>
    <row r="52647" ht="14.4" x14ac:dyDescent="0.3"/>
    <row r="52648" ht="14.4" x14ac:dyDescent="0.3"/>
    <row r="52649" ht="14.4" x14ac:dyDescent="0.3"/>
    <row r="52650" ht="14.4" x14ac:dyDescent="0.3"/>
    <row r="52651" ht="14.4" x14ac:dyDescent="0.3"/>
    <row r="52652" ht="14.4" x14ac:dyDescent="0.3"/>
    <row r="52653" ht="14.4" x14ac:dyDescent="0.3"/>
    <row r="52654" ht="14.4" x14ac:dyDescent="0.3"/>
    <row r="52655" ht="14.4" x14ac:dyDescent="0.3"/>
    <row r="52656" ht="14.4" x14ac:dyDescent="0.3"/>
    <row r="52657" ht="14.4" x14ac:dyDescent="0.3"/>
    <row r="52658" ht="14.4" x14ac:dyDescent="0.3"/>
    <row r="52659" ht="14.4" x14ac:dyDescent="0.3"/>
    <row r="52660" ht="14.4" x14ac:dyDescent="0.3"/>
    <row r="52661" ht="14.4" x14ac:dyDescent="0.3"/>
    <row r="52662" ht="14.4" x14ac:dyDescent="0.3"/>
    <row r="52663" ht="14.4" x14ac:dyDescent="0.3"/>
    <row r="52664" ht="14.4" x14ac:dyDescent="0.3"/>
    <row r="52665" ht="14.4" x14ac:dyDescent="0.3"/>
    <row r="52666" ht="14.4" x14ac:dyDescent="0.3"/>
    <row r="52667" ht="14.4" x14ac:dyDescent="0.3"/>
    <row r="52668" ht="14.4" x14ac:dyDescent="0.3"/>
    <row r="52669" ht="14.4" x14ac:dyDescent="0.3"/>
    <row r="52670" ht="14.4" x14ac:dyDescent="0.3"/>
    <row r="52671" ht="14.4" x14ac:dyDescent="0.3"/>
    <row r="52672" ht="14.4" x14ac:dyDescent="0.3"/>
    <row r="52673" ht="14.4" x14ac:dyDescent="0.3"/>
    <row r="52674" ht="14.4" x14ac:dyDescent="0.3"/>
    <row r="52675" ht="14.4" x14ac:dyDescent="0.3"/>
    <row r="52676" ht="14.4" x14ac:dyDescent="0.3"/>
    <row r="52677" ht="14.4" x14ac:dyDescent="0.3"/>
    <row r="52678" ht="14.4" x14ac:dyDescent="0.3"/>
    <row r="52679" ht="14.4" x14ac:dyDescent="0.3"/>
    <row r="52680" ht="14.4" x14ac:dyDescent="0.3"/>
    <row r="52681" ht="14.4" x14ac:dyDescent="0.3"/>
    <row r="52682" ht="14.4" x14ac:dyDescent="0.3"/>
    <row r="52683" ht="14.4" x14ac:dyDescent="0.3"/>
    <row r="52684" ht="14.4" x14ac:dyDescent="0.3"/>
    <row r="52685" ht="14.4" x14ac:dyDescent="0.3"/>
    <row r="52686" ht="14.4" x14ac:dyDescent="0.3"/>
    <row r="52687" ht="14.4" x14ac:dyDescent="0.3"/>
    <row r="52688" ht="14.4" x14ac:dyDescent="0.3"/>
    <row r="52689" ht="14.4" x14ac:dyDescent="0.3"/>
    <row r="52690" ht="14.4" x14ac:dyDescent="0.3"/>
    <row r="52691" ht="14.4" x14ac:dyDescent="0.3"/>
    <row r="52692" ht="14.4" x14ac:dyDescent="0.3"/>
    <row r="52693" ht="14.4" x14ac:dyDescent="0.3"/>
    <row r="52694" ht="14.4" x14ac:dyDescent="0.3"/>
    <row r="52695" ht="14.4" x14ac:dyDescent="0.3"/>
    <row r="52696" ht="14.4" x14ac:dyDescent="0.3"/>
    <row r="52697" ht="14.4" x14ac:dyDescent="0.3"/>
    <row r="52698" ht="14.4" x14ac:dyDescent="0.3"/>
    <row r="52699" ht="14.4" x14ac:dyDescent="0.3"/>
    <row r="52700" ht="14.4" x14ac:dyDescent="0.3"/>
    <row r="52701" ht="14.4" x14ac:dyDescent="0.3"/>
    <row r="52702" ht="14.4" x14ac:dyDescent="0.3"/>
    <row r="52703" ht="14.4" x14ac:dyDescent="0.3"/>
    <row r="52704" ht="14.4" x14ac:dyDescent="0.3"/>
    <row r="52705" ht="14.4" x14ac:dyDescent="0.3"/>
    <row r="52706" ht="14.4" x14ac:dyDescent="0.3"/>
    <row r="52707" ht="14.4" x14ac:dyDescent="0.3"/>
    <row r="52708" ht="14.4" x14ac:dyDescent="0.3"/>
    <row r="52709" ht="14.4" x14ac:dyDescent="0.3"/>
    <row r="52710" ht="14.4" x14ac:dyDescent="0.3"/>
    <row r="52711" ht="14.4" x14ac:dyDescent="0.3"/>
    <row r="52712" ht="14.4" x14ac:dyDescent="0.3"/>
    <row r="52713" ht="14.4" x14ac:dyDescent="0.3"/>
    <row r="52714" ht="14.4" x14ac:dyDescent="0.3"/>
    <row r="52715" ht="14.4" x14ac:dyDescent="0.3"/>
    <row r="52716" ht="14.4" x14ac:dyDescent="0.3"/>
    <row r="52717" ht="14.4" x14ac:dyDescent="0.3"/>
    <row r="52718" ht="14.4" x14ac:dyDescent="0.3"/>
    <row r="52719" ht="14.4" x14ac:dyDescent="0.3"/>
    <row r="52720" ht="14.4" x14ac:dyDescent="0.3"/>
    <row r="52721" ht="14.4" x14ac:dyDescent="0.3"/>
    <row r="52722" ht="14.4" x14ac:dyDescent="0.3"/>
    <row r="52723" ht="14.4" x14ac:dyDescent="0.3"/>
    <row r="52724" ht="14.4" x14ac:dyDescent="0.3"/>
    <row r="52725" ht="14.4" x14ac:dyDescent="0.3"/>
    <row r="52726" ht="14.4" x14ac:dyDescent="0.3"/>
    <row r="52727" ht="14.4" x14ac:dyDescent="0.3"/>
    <row r="52728" ht="14.4" x14ac:dyDescent="0.3"/>
    <row r="52729" ht="14.4" x14ac:dyDescent="0.3"/>
    <row r="52730" ht="14.4" x14ac:dyDescent="0.3"/>
    <row r="52731" ht="14.4" x14ac:dyDescent="0.3"/>
    <row r="52732" ht="14.4" x14ac:dyDescent="0.3"/>
    <row r="52733" ht="14.4" x14ac:dyDescent="0.3"/>
    <row r="52734" ht="14.4" x14ac:dyDescent="0.3"/>
    <row r="52735" ht="14.4" x14ac:dyDescent="0.3"/>
    <row r="52736" ht="14.4" x14ac:dyDescent="0.3"/>
    <row r="52737" ht="14.4" x14ac:dyDescent="0.3"/>
    <row r="52738" ht="14.4" x14ac:dyDescent="0.3"/>
    <row r="52739" ht="14.4" x14ac:dyDescent="0.3"/>
    <row r="52740" ht="14.4" x14ac:dyDescent="0.3"/>
    <row r="52741" ht="14.4" x14ac:dyDescent="0.3"/>
    <row r="52742" ht="14.4" x14ac:dyDescent="0.3"/>
    <row r="52743" ht="14.4" x14ac:dyDescent="0.3"/>
    <row r="52744" ht="14.4" x14ac:dyDescent="0.3"/>
    <row r="52745" ht="14.4" x14ac:dyDescent="0.3"/>
    <row r="52746" ht="14.4" x14ac:dyDescent="0.3"/>
    <row r="52747" ht="14.4" x14ac:dyDescent="0.3"/>
    <row r="52748" ht="14.4" x14ac:dyDescent="0.3"/>
    <row r="52749" ht="14.4" x14ac:dyDescent="0.3"/>
    <row r="52750" ht="14.4" x14ac:dyDescent="0.3"/>
    <row r="52751" ht="14.4" x14ac:dyDescent="0.3"/>
    <row r="52752" ht="14.4" x14ac:dyDescent="0.3"/>
    <row r="52753" ht="14.4" x14ac:dyDescent="0.3"/>
    <row r="52754" ht="14.4" x14ac:dyDescent="0.3"/>
    <row r="52755" ht="14.4" x14ac:dyDescent="0.3"/>
    <row r="52756" ht="14.4" x14ac:dyDescent="0.3"/>
    <row r="52757" ht="14.4" x14ac:dyDescent="0.3"/>
    <row r="52758" ht="14.4" x14ac:dyDescent="0.3"/>
    <row r="52759" ht="14.4" x14ac:dyDescent="0.3"/>
    <row r="52760" ht="14.4" x14ac:dyDescent="0.3"/>
    <row r="52761" ht="14.4" x14ac:dyDescent="0.3"/>
    <row r="52762" ht="14.4" x14ac:dyDescent="0.3"/>
    <row r="52763" ht="14.4" x14ac:dyDescent="0.3"/>
    <row r="52764" ht="14.4" x14ac:dyDescent="0.3"/>
    <row r="52765" ht="14.4" x14ac:dyDescent="0.3"/>
    <row r="52766" ht="14.4" x14ac:dyDescent="0.3"/>
    <row r="52767" ht="14.4" x14ac:dyDescent="0.3"/>
    <row r="52768" ht="14.4" x14ac:dyDescent="0.3"/>
    <row r="52769" ht="14.4" x14ac:dyDescent="0.3"/>
    <row r="52770" ht="14.4" x14ac:dyDescent="0.3"/>
    <row r="52771" ht="14.4" x14ac:dyDescent="0.3"/>
    <row r="52772" ht="14.4" x14ac:dyDescent="0.3"/>
    <row r="52773" ht="14.4" x14ac:dyDescent="0.3"/>
    <row r="52774" ht="14.4" x14ac:dyDescent="0.3"/>
    <row r="52775" ht="14.4" x14ac:dyDescent="0.3"/>
    <row r="52776" ht="14.4" x14ac:dyDescent="0.3"/>
    <row r="52777" ht="14.4" x14ac:dyDescent="0.3"/>
    <row r="52778" ht="14.4" x14ac:dyDescent="0.3"/>
    <row r="52779" ht="14.4" x14ac:dyDescent="0.3"/>
    <row r="52780" ht="14.4" x14ac:dyDescent="0.3"/>
    <row r="52781" ht="14.4" x14ac:dyDescent="0.3"/>
    <row r="52782" ht="14.4" x14ac:dyDescent="0.3"/>
    <row r="52783" ht="14.4" x14ac:dyDescent="0.3"/>
    <row r="52784" ht="14.4" x14ac:dyDescent="0.3"/>
    <row r="52785" ht="14.4" x14ac:dyDescent="0.3"/>
    <row r="52786" ht="14.4" x14ac:dyDescent="0.3"/>
    <row r="52787" ht="14.4" x14ac:dyDescent="0.3"/>
    <row r="52788" ht="14.4" x14ac:dyDescent="0.3"/>
    <row r="52789" ht="14.4" x14ac:dyDescent="0.3"/>
    <row r="52790" ht="14.4" x14ac:dyDescent="0.3"/>
    <row r="52791" ht="14.4" x14ac:dyDescent="0.3"/>
    <row r="52792" ht="14.4" x14ac:dyDescent="0.3"/>
    <row r="52793" ht="14.4" x14ac:dyDescent="0.3"/>
    <row r="52794" ht="14.4" x14ac:dyDescent="0.3"/>
    <row r="52795" ht="14.4" x14ac:dyDescent="0.3"/>
    <row r="52796" ht="14.4" x14ac:dyDescent="0.3"/>
    <row r="52797" ht="14.4" x14ac:dyDescent="0.3"/>
    <row r="52798" ht="14.4" x14ac:dyDescent="0.3"/>
    <row r="52799" ht="14.4" x14ac:dyDescent="0.3"/>
    <row r="52800" ht="14.4" x14ac:dyDescent="0.3"/>
    <row r="52801" ht="14.4" x14ac:dyDescent="0.3"/>
    <row r="52802" ht="14.4" x14ac:dyDescent="0.3"/>
    <row r="52803" ht="14.4" x14ac:dyDescent="0.3"/>
    <row r="52804" ht="14.4" x14ac:dyDescent="0.3"/>
    <row r="52805" ht="14.4" x14ac:dyDescent="0.3"/>
    <row r="52806" ht="14.4" x14ac:dyDescent="0.3"/>
    <row r="52807" ht="14.4" x14ac:dyDescent="0.3"/>
    <row r="52808" ht="14.4" x14ac:dyDescent="0.3"/>
    <row r="52809" ht="14.4" x14ac:dyDescent="0.3"/>
    <row r="52810" ht="14.4" x14ac:dyDescent="0.3"/>
    <row r="52811" ht="14.4" x14ac:dyDescent="0.3"/>
    <row r="52812" ht="14.4" x14ac:dyDescent="0.3"/>
    <row r="52813" ht="14.4" x14ac:dyDescent="0.3"/>
    <row r="52814" ht="14.4" x14ac:dyDescent="0.3"/>
    <row r="52815" ht="14.4" x14ac:dyDescent="0.3"/>
    <row r="52816" ht="14.4" x14ac:dyDescent="0.3"/>
    <row r="52817" ht="14.4" x14ac:dyDescent="0.3"/>
    <row r="52818" ht="14.4" x14ac:dyDescent="0.3"/>
    <row r="52819" ht="14.4" x14ac:dyDescent="0.3"/>
    <row r="52820" ht="14.4" x14ac:dyDescent="0.3"/>
    <row r="52821" ht="14.4" x14ac:dyDescent="0.3"/>
    <row r="52822" ht="14.4" x14ac:dyDescent="0.3"/>
    <row r="52823" ht="14.4" x14ac:dyDescent="0.3"/>
    <row r="52824" ht="14.4" x14ac:dyDescent="0.3"/>
    <row r="52825" ht="14.4" x14ac:dyDescent="0.3"/>
    <row r="52826" ht="14.4" x14ac:dyDescent="0.3"/>
    <row r="52827" ht="14.4" x14ac:dyDescent="0.3"/>
    <row r="52828" ht="14.4" x14ac:dyDescent="0.3"/>
    <row r="52829" ht="14.4" x14ac:dyDescent="0.3"/>
    <row r="52830" ht="14.4" x14ac:dyDescent="0.3"/>
    <row r="52831" ht="14.4" x14ac:dyDescent="0.3"/>
    <row r="52832" ht="14.4" x14ac:dyDescent="0.3"/>
    <row r="52833" ht="14.4" x14ac:dyDescent="0.3"/>
    <row r="52834" ht="14.4" x14ac:dyDescent="0.3"/>
    <row r="52835" ht="14.4" x14ac:dyDescent="0.3"/>
    <row r="52836" ht="14.4" x14ac:dyDescent="0.3"/>
    <row r="52837" ht="14.4" x14ac:dyDescent="0.3"/>
    <row r="52838" ht="14.4" x14ac:dyDescent="0.3"/>
    <row r="52839" ht="14.4" x14ac:dyDescent="0.3"/>
    <row r="52840" ht="14.4" x14ac:dyDescent="0.3"/>
    <row r="52841" ht="14.4" x14ac:dyDescent="0.3"/>
    <row r="52842" ht="14.4" x14ac:dyDescent="0.3"/>
    <row r="52843" ht="14.4" x14ac:dyDescent="0.3"/>
    <row r="52844" ht="14.4" x14ac:dyDescent="0.3"/>
    <row r="52845" ht="14.4" x14ac:dyDescent="0.3"/>
    <row r="52846" ht="14.4" x14ac:dyDescent="0.3"/>
    <row r="52847" ht="14.4" x14ac:dyDescent="0.3"/>
    <row r="52848" ht="14.4" x14ac:dyDescent="0.3"/>
    <row r="52849" spans="1:43" ht="14.4" x14ac:dyDescent="0.3"/>
    <row r="52850" spans="1:43" ht="14.4" x14ac:dyDescent="0.3"/>
    <row r="52851" spans="1:43" ht="14.4" x14ac:dyDescent="0.3"/>
    <row r="52852" spans="1:43" ht="14.4" x14ac:dyDescent="0.3"/>
    <row r="52853" spans="1:43" ht="14.4" x14ac:dyDescent="0.3"/>
    <row r="52854" spans="1:43" ht="14.4" x14ac:dyDescent="0.3"/>
    <row r="52855" spans="1:43" ht="14.4" x14ac:dyDescent="0.3"/>
    <row r="52856" spans="1:43" ht="14.4" x14ac:dyDescent="0.3"/>
    <row r="52857" spans="1:43" ht="14.4" hidden="1" x14ac:dyDescent="0.3">
      <c r="A52857" t="s">
        <v>6605</v>
      </c>
      <c r="B52857">
        <v>4902953</v>
      </c>
      <c r="C52857" t="s">
        <v>135</v>
      </c>
      <c r="D52857" t="s">
        <v>136</v>
      </c>
      <c r="E52857" t="s">
        <v>318</v>
      </c>
      <c r="F52857" t="s">
        <v>537</v>
      </c>
      <c r="H52857" t="s">
        <v>543</v>
      </c>
      <c r="J52857" t="s">
        <v>140</v>
      </c>
      <c r="K52857">
        <v>155526.75</v>
      </c>
      <c r="L52857">
        <v>385610.6</v>
      </c>
      <c r="M52857">
        <v>1</v>
      </c>
      <c r="N52857" t="s">
        <v>2977</v>
      </c>
      <c r="O52857" t="s">
        <v>764</v>
      </c>
      <c r="P52857" t="s">
        <v>1245</v>
      </c>
      <c r="Q52857" t="s">
        <v>144</v>
      </c>
      <c r="S52857">
        <v>52</v>
      </c>
      <c r="T52857">
        <v>6800</v>
      </c>
      <c r="V52857" t="s">
        <v>146</v>
      </c>
      <c r="W52857" t="s">
        <v>147</v>
      </c>
      <c r="X52857" t="s">
        <v>7</v>
      </c>
      <c r="Y52857" t="s">
        <v>2033</v>
      </c>
      <c r="Z52857" t="s">
        <v>764</v>
      </c>
      <c r="AA52857" t="s">
        <v>2987</v>
      </c>
      <c r="AB52857">
        <v>0</v>
      </c>
      <c r="AE52857" t="s">
        <v>2035</v>
      </c>
      <c r="AF52857" t="s">
        <v>764</v>
      </c>
      <c r="AG52857" t="s">
        <v>1229</v>
      </c>
      <c r="AL52857" t="s">
        <v>6606</v>
      </c>
      <c r="AM52857" t="s">
        <v>6607</v>
      </c>
      <c r="AN52857" t="s">
        <v>6608</v>
      </c>
      <c r="AO52857" t="s">
        <v>2977</v>
      </c>
      <c r="AP52857" t="s">
        <v>158</v>
      </c>
      <c r="AQ52857" t="str">
        <f>IF(ISBLANK(AP52857), IFERROR(IF(VLOOKUP(AO52857, Ellens_additions!$A$2:$B$252, 2, FALSE) = "", "", VLOOKUP(AO52857, Ellens_additions!$A$2:$B$252, 2, FALSE)), 0), AP52857)</f>
        <v>3000</v>
      </c>
    </row>
    <row r="52858" spans="1:43" ht="14.4" x14ac:dyDescent="0.3"/>
    <row r="52859" spans="1:43" ht="14.4" x14ac:dyDescent="0.3"/>
    <row r="52860" spans="1:43" ht="14.4" x14ac:dyDescent="0.3"/>
    <row r="52861" spans="1:43" ht="14.4" x14ac:dyDescent="0.3"/>
    <row r="52862" spans="1:43" ht="14.4" x14ac:dyDescent="0.3"/>
    <row r="52863" spans="1:43" ht="14.4" x14ac:dyDescent="0.3"/>
    <row r="52864" spans="1:43" ht="14.4" x14ac:dyDescent="0.3"/>
    <row r="52865" ht="14.4" x14ac:dyDescent="0.3"/>
    <row r="52866" ht="14.4" x14ac:dyDescent="0.3"/>
    <row r="52867" ht="14.4" x14ac:dyDescent="0.3"/>
    <row r="52868" ht="14.4" x14ac:dyDescent="0.3"/>
    <row r="52869" ht="14.4" x14ac:dyDescent="0.3"/>
    <row r="52870" ht="14.4" x14ac:dyDescent="0.3"/>
    <row r="52871" ht="14.4" x14ac:dyDescent="0.3"/>
    <row r="52872" ht="14.4" x14ac:dyDescent="0.3"/>
    <row r="52873" ht="14.4" x14ac:dyDescent="0.3"/>
    <row r="52874" ht="14.4" x14ac:dyDescent="0.3"/>
    <row r="52875" ht="14.4" x14ac:dyDescent="0.3"/>
    <row r="52876" ht="14.4" x14ac:dyDescent="0.3"/>
    <row r="52877" ht="14.4" x14ac:dyDescent="0.3"/>
    <row r="52878" ht="14.4" x14ac:dyDescent="0.3"/>
    <row r="52879" ht="14.4" x14ac:dyDescent="0.3"/>
    <row r="52880" ht="14.4" x14ac:dyDescent="0.3"/>
    <row r="52881" ht="14.4" x14ac:dyDescent="0.3"/>
    <row r="52882" ht="14.4" x14ac:dyDescent="0.3"/>
    <row r="52883" ht="14.4" x14ac:dyDescent="0.3"/>
    <row r="52884" ht="14.4" x14ac:dyDescent="0.3"/>
    <row r="52885" ht="14.4" x14ac:dyDescent="0.3"/>
    <row r="52886" ht="14.4" x14ac:dyDescent="0.3"/>
    <row r="52887" ht="14.4" x14ac:dyDescent="0.3"/>
    <row r="52888" ht="14.4" x14ac:dyDescent="0.3"/>
    <row r="52889" ht="14.4" x14ac:dyDescent="0.3"/>
    <row r="52890" ht="14.4" x14ac:dyDescent="0.3"/>
    <row r="52891" ht="14.4" x14ac:dyDescent="0.3"/>
    <row r="52892" ht="14.4" x14ac:dyDescent="0.3"/>
    <row r="52893" ht="14.4" x14ac:dyDescent="0.3"/>
    <row r="52894" ht="14.4" x14ac:dyDescent="0.3"/>
    <row r="52895" ht="14.4" x14ac:dyDescent="0.3"/>
    <row r="52896" ht="14.4" x14ac:dyDescent="0.3"/>
    <row r="52897" ht="14.4" x14ac:dyDescent="0.3"/>
    <row r="52898" ht="14.4" x14ac:dyDescent="0.3"/>
    <row r="52899" ht="14.4" x14ac:dyDescent="0.3"/>
    <row r="52900" ht="14.4" x14ac:dyDescent="0.3"/>
    <row r="52901" ht="14.4" x14ac:dyDescent="0.3"/>
    <row r="52902" ht="14.4" x14ac:dyDescent="0.3"/>
    <row r="52903" ht="14.4" x14ac:dyDescent="0.3"/>
    <row r="52904" ht="14.4" x14ac:dyDescent="0.3"/>
    <row r="52905" ht="14.4" x14ac:dyDescent="0.3"/>
    <row r="52906" ht="14.4" x14ac:dyDescent="0.3"/>
    <row r="52907" ht="14.4" x14ac:dyDescent="0.3"/>
    <row r="52908" ht="14.4" x14ac:dyDescent="0.3"/>
    <row r="52909" ht="14.4" x14ac:dyDescent="0.3"/>
    <row r="52910" ht="14.4" x14ac:dyDescent="0.3"/>
    <row r="52911" ht="14.4" x14ac:dyDescent="0.3"/>
    <row r="52912" ht="14.4" x14ac:dyDescent="0.3"/>
    <row r="52913" ht="14.4" x14ac:dyDescent="0.3"/>
    <row r="52914" ht="14.4" x14ac:dyDescent="0.3"/>
    <row r="52915" ht="14.4" x14ac:dyDescent="0.3"/>
    <row r="52916" ht="14.4" x14ac:dyDescent="0.3"/>
    <row r="52917" ht="14.4" x14ac:dyDescent="0.3"/>
    <row r="52918" ht="14.4" x14ac:dyDescent="0.3"/>
    <row r="52919" ht="14.4" x14ac:dyDescent="0.3"/>
    <row r="52920" ht="14.4" x14ac:dyDescent="0.3"/>
    <row r="52921" ht="14.4" x14ac:dyDescent="0.3"/>
    <row r="52922" ht="14.4" x14ac:dyDescent="0.3"/>
    <row r="52923" ht="14.4" x14ac:dyDescent="0.3"/>
    <row r="52924" ht="14.4" x14ac:dyDescent="0.3"/>
    <row r="52925" ht="14.4" x14ac:dyDescent="0.3"/>
    <row r="52926" ht="14.4" x14ac:dyDescent="0.3"/>
    <row r="52927" ht="14.4" x14ac:dyDescent="0.3"/>
    <row r="52928" ht="14.4" x14ac:dyDescent="0.3"/>
    <row r="52929" ht="14.4" x14ac:dyDescent="0.3"/>
    <row r="52930" ht="14.4" x14ac:dyDescent="0.3"/>
    <row r="52931" ht="14.4" x14ac:dyDescent="0.3"/>
    <row r="52932" ht="14.4" x14ac:dyDescent="0.3"/>
    <row r="52933" ht="14.4" x14ac:dyDescent="0.3"/>
    <row r="52934" ht="14.4" x14ac:dyDescent="0.3"/>
    <row r="52935" ht="14.4" x14ac:dyDescent="0.3"/>
    <row r="52936" ht="14.4" x14ac:dyDescent="0.3"/>
    <row r="52937" ht="14.4" x14ac:dyDescent="0.3"/>
    <row r="52938" ht="14.4" x14ac:dyDescent="0.3"/>
    <row r="52939" ht="14.4" x14ac:dyDescent="0.3"/>
    <row r="52940" ht="14.4" x14ac:dyDescent="0.3"/>
    <row r="52941" ht="14.4" x14ac:dyDescent="0.3"/>
    <row r="52942" ht="14.4" x14ac:dyDescent="0.3"/>
    <row r="52943" ht="14.4" x14ac:dyDescent="0.3"/>
    <row r="52944" ht="14.4" x14ac:dyDescent="0.3"/>
    <row r="52945" ht="14.4" x14ac:dyDescent="0.3"/>
    <row r="52946" ht="14.4" x14ac:dyDescent="0.3"/>
    <row r="52947" ht="14.4" x14ac:dyDescent="0.3"/>
    <row r="52948" ht="14.4" x14ac:dyDescent="0.3"/>
    <row r="52949" ht="14.4" x14ac:dyDescent="0.3"/>
    <row r="52950" ht="14.4" x14ac:dyDescent="0.3"/>
    <row r="52951" ht="14.4" x14ac:dyDescent="0.3"/>
    <row r="52952" ht="14.4" x14ac:dyDescent="0.3"/>
    <row r="52953" ht="14.4" x14ac:dyDescent="0.3"/>
    <row r="52954" ht="14.4" x14ac:dyDescent="0.3"/>
    <row r="52955" ht="14.4" x14ac:dyDescent="0.3"/>
    <row r="52956" ht="14.4" x14ac:dyDescent="0.3"/>
    <row r="52957" ht="14.4" x14ac:dyDescent="0.3"/>
    <row r="52958" ht="14.4" x14ac:dyDescent="0.3"/>
    <row r="52959" ht="14.4" x14ac:dyDescent="0.3"/>
    <row r="52960" ht="14.4" x14ac:dyDescent="0.3"/>
    <row r="52961" ht="14.4" x14ac:dyDescent="0.3"/>
    <row r="52962" ht="14.4" x14ac:dyDescent="0.3"/>
    <row r="52963" ht="14.4" x14ac:dyDescent="0.3"/>
    <row r="52964" ht="14.4" x14ac:dyDescent="0.3"/>
    <row r="52965" ht="14.4" x14ac:dyDescent="0.3"/>
    <row r="52966" ht="14.4" x14ac:dyDescent="0.3"/>
    <row r="52967" ht="14.4" x14ac:dyDescent="0.3"/>
    <row r="52968" ht="14.4" x14ac:dyDescent="0.3"/>
    <row r="52969" ht="14.4" x14ac:dyDescent="0.3"/>
    <row r="52970" ht="14.4" x14ac:dyDescent="0.3"/>
    <row r="52971" ht="14.4" x14ac:dyDescent="0.3"/>
    <row r="52972" ht="14.4" x14ac:dyDescent="0.3"/>
    <row r="52973" ht="14.4" x14ac:dyDescent="0.3"/>
    <row r="52974" ht="14.4" x14ac:dyDescent="0.3"/>
    <row r="52975" ht="14.4" x14ac:dyDescent="0.3"/>
    <row r="52976" ht="14.4" x14ac:dyDescent="0.3"/>
    <row r="52977" ht="14.4" x14ac:dyDescent="0.3"/>
    <row r="52978" ht="14.4" x14ac:dyDescent="0.3"/>
    <row r="52979" ht="14.4" x14ac:dyDescent="0.3"/>
    <row r="52980" ht="14.4" x14ac:dyDescent="0.3"/>
    <row r="52981" ht="14.4" x14ac:dyDescent="0.3"/>
    <row r="52982" ht="14.4" x14ac:dyDescent="0.3"/>
    <row r="52983" ht="14.4" x14ac:dyDescent="0.3"/>
    <row r="52984" ht="14.4" x14ac:dyDescent="0.3"/>
    <row r="52985" ht="14.4" x14ac:dyDescent="0.3"/>
    <row r="52986" ht="14.4" x14ac:dyDescent="0.3"/>
    <row r="52987" ht="14.4" x14ac:dyDescent="0.3"/>
    <row r="52988" ht="14.4" x14ac:dyDescent="0.3"/>
    <row r="52989" ht="14.4" x14ac:dyDescent="0.3"/>
    <row r="52990" ht="14.4" x14ac:dyDescent="0.3"/>
    <row r="52991" ht="14.4" x14ac:dyDescent="0.3"/>
    <row r="52992" ht="14.4" x14ac:dyDescent="0.3"/>
    <row r="52993" ht="14.4" x14ac:dyDescent="0.3"/>
    <row r="52994" ht="14.4" x14ac:dyDescent="0.3"/>
    <row r="52995" ht="14.4" x14ac:dyDescent="0.3"/>
    <row r="52996" ht="14.4" x14ac:dyDescent="0.3"/>
    <row r="52997" ht="14.4" x14ac:dyDescent="0.3"/>
    <row r="52998" ht="14.4" x14ac:dyDescent="0.3"/>
    <row r="52999" ht="14.4" x14ac:dyDescent="0.3"/>
    <row r="53000" ht="14.4" x14ac:dyDescent="0.3"/>
    <row r="53001" ht="14.4" x14ac:dyDescent="0.3"/>
    <row r="53002" ht="14.4" x14ac:dyDescent="0.3"/>
    <row r="53003" ht="14.4" x14ac:dyDescent="0.3"/>
    <row r="53004" ht="14.4" x14ac:dyDescent="0.3"/>
    <row r="53005" ht="14.4" x14ac:dyDescent="0.3"/>
    <row r="53006" ht="14.4" x14ac:dyDescent="0.3"/>
    <row r="53007" ht="14.4" x14ac:dyDescent="0.3"/>
    <row r="53008" ht="14.4" x14ac:dyDescent="0.3"/>
    <row r="53009" ht="14.4" x14ac:dyDescent="0.3"/>
    <row r="53010" ht="14.4" x14ac:dyDescent="0.3"/>
    <row r="53011" ht="14.4" x14ac:dyDescent="0.3"/>
    <row r="53012" ht="14.4" x14ac:dyDescent="0.3"/>
    <row r="53013" ht="14.4" x14ac:dyDescent="0.3"/>
    <row r="53014" ht="14.4" x14ac:dyDescent="0.3"/>
    <row r="53015" ht="14.4" x14ac:dyDescent="0.3"/>
    <row r="53016" ht="14.4" x14ac:dyDescent="0.3"/>
    <row r="53017" ht="14.4" x14ac:dyDescent="0.3"/>
    <row r="53018" ht="14.4" x14ac:dyDescent="0.3"/>
    <row r="53019" ht="14.4" x14ac:dyDescent="0.3"/>
    <row r="53020" ht="14.4" x14ac:dyDescent="0.3"/>
    <row r="53021" ht="14.4" x14ac:dyDescent="0.3"/>
    <row r="53022" ht="14.4" x14ac:dyDescent="0.3"/>
    <row r="53023" ht="14.4" x14ac:dyDescent="0.3"/>
    <row r="53024" ht="14.4" x14ac:dyDescent="0.3"/>
    <row r="53025" ht="14.4" x14ac:dyDescent="0.3"/>
    <row r="53026" ht="14.4" x14ac:dyDescent="0.3"/>
    <row r="53027" ht="14.4" x14ac:dyDescent="0.3"/>
    <row r="53028" ht="14.4" x14ac:dyDescent="0.3"/>
    <row r="53029" ht="14.4" x14ac:dyDescent="0.3"/>
    <row r="53030" ht="14.4" x14ac:dyDescent="0.3"/>
    <row r="53031" ht="14.4" x14ac:dyDescent="0.3"/>
    <row r="53032" ht="14.4" x14ac:dyDescent="0.3"/>
    <row r="53033" ht="14.4" x14ac:dyDescent="0.3"/>
    <row r="53034" ht="14.4" x14ac:dyDescent="0.3"/>
    <row r="53035" ht="14.4" x14ac:dyDescent="0.3"/>
    <row r="53036" ht="14.4" x14ac:dyDescent="0.3"/>
    <row r="53037" ht="14.4" x14ac:dyDescent="0.3"/>
    <row r="53038" ht="14.4" x14ac:dyDescent="0.3"/>
    <row r="53039" ht="14.4" x14ac:dyDescent="0.3"/>
    <row r="53040" ht="14.4" x14ac:dyDescent="0.3"/>
    <row r="53041" ht="14.4" x14ac:dyDescent="0.3"/>
    <row r="53042" ht="14.4" x14ac:dyDescent="0.3"/>
    <row r="53043" ht="14.4" x14ac:dyDescent="0.3"/>
    <row r="53044" ht="14.4" x14ac:dyDescent="0.3"/>
    <row r="53045" ht="14.4" x14ac:dyDescent="0.3"/>
    <row r="53046" ht="14.4" x14ac:dyDescent="0.3"/>
    <row r="53047" ht="14.4" x14ac:dyDescent="0.3"/>
    <row r="53048" ht="14.4" x14ac:dyDescent="0.3"/>
    <row r="53049" ht="14.4" x14ac:dyDescent="0.3"/>
    <row r="53050" ht="14.4" x14ac:dyDescent="0.3"/>
    <row r="53051" ht="14.4" x14ac:dyDescent="0.3"/>
    <row r="53052" ht="14.4" x14ac:dyDescent="0.3"/>
    <row r="53053" ht="14.4" x14ac:dyDescent="0.3"/>
    <row r="53054" ht="14.4" x14ac:dyDescent="0.3"/>
    <row r="53055" ht="14.4" x14ac:dyDescent="0.3"/>
    <row r="53056" ht="14.4" x14ac:dyDescent="0.3"/>
    <row r="53057" ht="14.4" x14ac:dyDescent="0.3"/>
    <row r="53058" ht="14.4" x14ac:dyDescent="0.3"/>
    <row r="53059" ht="14.4" x14ac:dyDescent="0.3"/>
    <row r="53060" ht="14.4" x14ac:dyDescent="0.3"/>
    <row r="53061" ht="14.4" x14ac:dyDescent="0.3"/>
    <row r="53062" ht="14.4" x14ac:dyDescent="0.3"/>
    <row r="53063" ht="14.4" x14ac:dyDescent="0.3"/>
    <row r="53064" ht="14.4" x14ac:dyDescent="0.3"/>
    <row r="53065" ht="14.4" x14ac:dyDescent="0.3"/>
    <row r="53066" ht="14.4" x14ac:dyDescent="0.3"/>
    <row r="53067" ht="14.4" x14ac:dyDescent="0.3"/>
    <row r="53068" ht="14.4" x14ac:dyDescent="0.3"/>
    <row r="53069" ht="14.4" x14ac:dyDescent="0.3"/>
    <row r="53070" ht="14.4" x14ac:dyDescent="0.3"/>
    <row r="53071" ht="14.4" x14ac:dyDescent="0.3"/>
    <row r="53072" ht="14.4" x14ac:dyDescent="0.3"/>
    <row r="53073" ht="14.4" x14ac:dyDescent="0.3"/>
    <row r="53074" ht="14.4" x14ac:dyDescent="0.3"/>
    <row r="53075" ht="14.4" x14ac:dyDescent="0.3"/>
    <row r="53076" ht="14.4" x14ac:dyDescent="0.3"/>
    <row r="53077" ht="14.4" x14ac:dyDescent="0.3"/>
    <row r="53078" ht="14.4" x14ac:dyDescent="0.3"/>
    <row r="53079" ht="14.4" x14ac:dyDescent="0.3"/>
    <row r="53080" ht="14.4" x14ac:dyDescent="0.3"/>
    <row r="53081" ht="14.4" x14ac:dyDescent="0.3"/>
    <row r="53082" ht="14.4" x14ac:dyDescent="0.3"/>
    <row r="53083" ht="14.4" x14ac:dyDescent="0.3"/>
    <row r="53084" ht="14.4" x14ac:dyDescent="0.3"/>
    <row r="53085" ht="14.4" x14ac:dyDescent="0.3"/>
    <row r="53086" ht="14.4" x14ac:dyDescent="0.3"/>
    <row r="53087" ht="14.4" x14ac:dyDescent="0.3"/>
    <row r="53088" ht="14.4" x14ac:dyDescent="0.3"/>
    <row r="53089" ht="14.4" x14ac:dyDescent="0.3"/>
    <row r="53090" ht="14.4" x14ac:dyDescent="0.3"/>
    <row r="53091" ht="14.4" x14ac:dyDescent="0.3"/>
    <row r="53092" ht="14.4" x14ac:dyDescent="0.3"/>
    <row r="53093" ht="14.4" x14ac:dyDescent="0.3"/>
    <row r="53094" ht="14.4" x14ac:dyDescent="0.3"/>
    <row r="53095" ht="14.4" x14ac:dyDescent="0.3"/>
    <row r="53096" ht="14.4" x14ac:dyDescent="0.3"/>
    <row r="53097" ht="14.4" x14ac:dyDescent="0.3"/>
    <row r="53098" ht="14.4" x14ac:dyDescent="0.3"/>
    <row r="53099" ht="14.4" x14ac:dyDescent="0.3"/>
    <row r="53100" ht="14.4" x14ac:dyDescent="0.3"/>
    <row r="53101" ht="14.4" x14ac:dyDescent="0.3"/>
    <row r="53102" ht="14.4" x14ac:dyDescent="0.3"/>
    <row r="53103" ht="14.4" x14ac:dyDescent="0.3"/>
    <row r="53104" ht="14.4" x14ac:dyDescent="0.3"/>
    <row r="53105" ht="14.4" x14ac:dyDescent="0.3"/>
    <row r="53106" ht="14.4" x14ac:dyDescent="0.3"/>
    <row r="53107" ht="14.4" x14ac:dyDescent="0.3"/>
    <row r="53108" ht="14.4" x14ac:dyDescent="0.3"/>
    <row r="53109" ht="14.4" x14ac:dyDescent="0.3"/>
    <row r="53110" ht="14.4" x14ac:dyDescent="0.3"/>
    <row r="53111" ht="14.4" x14ac:dyDescent="0.3"/>
    <row r="53112" ht="14.4" x14ac:dyDescent="0.3"/>
    <row r="53113" ht="14.4" x14ac:dyDescent="0.3"/>
    <row r="53114" ht="14.4" x14ac:dyDescent="0.3"/>
    <row r="53115" ht="14.4" x14ac:dyDescent="0.3"/>
    <row r="53116" ht="14.4" x14ac:dyDescent="0.3"/>
    <row r="53117" ht="14.4" x14ac:dyDescent="0.3"/>
    <row r="53118" ht="14.4" x14ac:dyDescent="0.3"/>
    <row r="53119" ht="14.4" x14ac:dyDescent="0.3"/>
    <row r="53120" ht="14.4" x14ac:dyDescent="0.3"/>
    <row r="53121" ht="14.4" x14ac:dyDescent="0.3"/>
    <row r="53122" ht="14.4" x14ac:dyDescent="0.3"/>
    <row r="53123" ht="14.4" x14ac:dyDescent="0.3"/>
    <row r="53124" ht="14.4" x14ac:dyDescent="0.3"/>
    <row r="53125" ht="14.4" x14ac:dyDescent="0.3"/>
    <row r="53126" ht="14.4" x14ac:dyDescent="0.3"/>
    <row r="53127" ht="14.4" x14ac:dyDescent="0.3"/>
    <row r="53128" ht="14.4" x14ac:dyDescent="0.3"/>
    <row r="53129" ht="14.4" x14ac:dyDescent="0.3"/>
    <row r="53130" ht="14.4" x14ac:dyDescent="0.3"/>
    <row r="53131" ht="14.4" x14ac:dyDescent="0.3"/>
    <row r="53132" ht="14.4" x14ac:dyDescent="0.3"/>
    <row r="53133" ht="14.4" x14ac:dyDescent="0.3"/>
    <row r="53134" ht="14.4" x14ac:dyDescent="0.3"/>
    <row r="53135" ht="14.4" x14ac:dyDescent="0.3"/>
    <row r="53136" ht="14.4" x14ac:dyDescent="0.3"/>
    <row r="53137" spans="1:43" ht="14.4" x14ac:dyDescent="0.3"/>
    <row r="53138" spans="1:43" ht="14.4" x14ac:dyDescent="0.3"/>
    <row r="53139" spans="1:43" ht="14.4" x14ac:dyDescent="0.3"/>
    <row r="53140" spans="1:43" ht="14.4" hidden="1" x14ac:dyDescent="0.3">
      <c r="A53140" t="s">
        <v>6609</v>
      </c>
      <c r="B53140">
        <v>4910334</v>
      </c>
      <c r="C53140" t="s">
        <v>135</v>
      </c>
      <c r="D53140" t="s">
        <v>136</v>
      </c>
      <c r="E53140" t="s">
        <v>2880</v>
      </c>
      <c r="F53140" t="s">
        <v>411</v>
      </c>
      <c r="H53140" t="s">
        <v>338</v>
      </c>
      <c r="I53140" t="s">
        <v>2881</v>
      </c>
      <c r="J53140" t="s">
        <v>140</v>
      </c>
      <c r="K53140">
        <v>156155.85</v>
      </c>
      <c r="L53140">
        <v>383945.3</v>
      </c>
      <c r="M53140">
        <v>1</v>
      </c>
      <c r="N53140" t="s">
        <v>2882</v>
      </c>
      <c r="O53140" t="s">
        <v>448</v>
      </c>
      <c r="P53140" t="s">
        <v>2883</v>
      </c>
      <c r="Q53140" t="s">
        <v>144</v>
      </c>
      <c r="S53140">
        <v>5</v>
      </c>
      <c r="T53140">
        <v>220</v>
      </c>
      <c r="V53140" t="s">
        <v>146</v>
      </c>
      <c r="W53140" t="s">
        <v>184</v>
      </c>
      <c r="X53140" t="s">
        <v>7</v>
      </c>
      <c r="Y53140" t="s">
        <v>2884</v>
      </c>
      <c r="Z53140" t="s">
        <v>448</v>
      </c>
      <c r="AA53140" t="s">
        <v>456</v>
      </c>
      <c r="AB53140">
        <v>100</v>
      </c>
      <c r="AE53140" t="s">
        <v>2885</v>
      </c>
      <c r="AF53140" t="s">
        <v>448</v>
      </c>
      <c r="AG53140" t="s">
        <v>665</v>
      </c>
      <c r="AL53140" t="s">
        <v>6610</v>
      </c>
      <c r="AM53140" t="s">
        <v>6611</v>
      </c>
      <c r="AN53140" t="s">
        <v>6612</v>
      </c>
      <c r="AO53140" t="s">
        <v>2882</v>
      </c>
      <c r="AQ53140">
        <f>IF(ISBLANK(AP53140), IFERROR(IF(VLOOKUP(AO53140, Ellens_additions!$A$2:$B$252, 2, FALSE) = "", "", VLOOKUP(AO53140, Ellens_additions!$A$2:$B$252, 2, FALSE)), 0), AP53140)</f>
        <v>0</v>
      </c>
    </row>
    <row r="53141" spans="1:43" ht="14.4" hidden="1" x14ac:dyDescent="0.3">
      <c r="A53141" t="s">
        <v>6613</v>
      </c>
      <c r="B53141">
        <v>4910343</v>
      </c>
      <c r="C53141" t="s">
        <v>135</v>
      </c>
      <c r="D53141" t="s">
        <v>136</v>
      </c>
      <c r="E53141" t="s">
        <v>2880</v>
      </c>
      <c r="F53141" t="s">
        <v>411</v>
      </c>
      <c r="H53141" t="s">
        <v>666</v>
      </c>
      <c r="I53141" t="s">
        <v>2881</v>
      </c>
      <c r="J53141" t="s">
        <v>140</v>
      </c>
      <c r="K53141">
        <v>156160.84</v>
      </c>
      <c r="L53141">
        <v>383941.57</v>
      </c>
      <c r="M53141">
        <v>1</v>
      </c>
      <c r="N53141" t="s">
        <v>2882</v>
      </c>
      <c r="O53141" t="s">
        <v>448</v>
      </c>
      <c r="P53141" t="s">
        <v>2883</v>
      </c>
      <c r="Q53141" t="s">
        <v>144</v>
      </c>
      <c r="S53141">
        <v>5</v>
      </c>
      <c r="T53141">
        <v>220</v>
      </c>
      <c r="V53141" t="s">
        <v>146</v>
      </c>
      <c r="W53141" t="s">
        <v>184</v>
      </c>
      <c r="X53141" t="s">
        <v>7</v>
      </c>
      <c r="Y53141" t="s">
        <v>2884</v>
      </c>
      <c r="Z53141" t="s">
        <v>448</v>
      </c>
      <c r="AA53141" t="s">
        <v>456</v>
      </c>
      <c r="AB53141">
        <v>100</v>
      </c>
      <c r="AE53141" t="s">
        <v>2885</v>
      </c>
      <c r="AF53141" t="s">
        <v>448</v>
      </c>
      <c r="AG53141" t="s">
        <v>665</v>
      </c>
      <c r="AL53141" t="s">
        <v>6614</v>
      </c>
      <c r="AM53141" t="s">
        <v>6615</v>
      </c>
      <c r="AN53141" t="s">
        <v>6616</v>
      </c>
      <c r="AO53141" t="s">
        <v>2882</v>
      </c>
      <c r="AQ53141">
        <f>IF(ISBLANK(AP53141), IFERROR(IF(VLOOKUP(AO53141, Ellens_additions!$A$2:$B$252, 2, FALSE) = "", "", VLOOKUP(AO53141, Ellens_additions!$A$2:$B$252, 2, FALSE)), 0), AP53141)</f>
        <v>0</v>
      </c>
    </row>
    <row r="53142" spans="1:43" ht="14.4" x14ac:dyDescent="0.3"/>
    <row r="53143" spans="1:43" ht="14.4" x14ac:dyDescent="0.3"/>
    <row r="53144" spans="1:43" ht="14.4" x14ac:dyDescent="0.3"/>
    <row r="53145" spans="1:43" ht="14.4" hidden="1" x14ac:dyDescent="0.3">
      <c r="A53145" t="s">
        <v>6617</v>
      </c>
      <c r="B53145">
        <v>4910353</v>
      </c>
      <c r="C53145" t="s">
        <v>135</v>
      </c>
      <c r="D53145" t="s">
        <v>136</v>
      </c>
      <c r="E53145" t="s">
        <v>2880</v>
      </c>
      <c r="F53145" t="s">
        <v>411</v>
      </c>
      <c r="H53145" t="s">
        <v>1792</v>
      </c>
      <c r="I53145" t="s">
        <v>2929</v>
      </c>
      <c r="J53145" t="s">
        <v>140</v>
      </c>
      <c r="K53145">
        <v>155758.87</v>
      </c>
      <c r="L53145">
        <v>383691.39</v>
      </c>
      <c r="M53145">
        <v>1</v>
      </c>
      <c r="N53145" t="s">
        <v>2882</v>
      </c>
      <c r="O53145" t="s">
        <v>448</v>
      </c>
      <c r="P53145" t="s">
        <v>2883</v>
      </c>
      <c r="Q53145" t="s">
        <v>144</v>
      </c>
      <c r="S53145">
        <v>5</v>
      </c>
      <c r="T53145">
        <v>220</v>
      </c>
      <c r="V53145" t="s">
        <v>146</v>
      </c>
      <c r="W53145" t="s">
        <v>184</v>
      </c>
      <c r="X53145" t="s">
        <v>7</v>
      </c>
      <c r="Y53145" t="s">
        <v>2884</v>
      </c>
      <c r="Z53145" t="s">
        <v>448</v>
      </c>
      <c r="AA53145" t="s">
        <v>456</v>
      </c>
      <c r="AB53145">
        <v>100</v>
      </c>
      <c r="AE53145" t="s">
        <v>2885</v>
      </c>
      <c r="AF53145" t="s">
        <v>448</v>
      </c>
      <c r="AG53145" t="s">
        <v>665</v>
      </c>
      <c r="AL53145" t="s">
        <v>6618</v>
      </c>
      <c r="AM53145" t="s">
        <v>6619</v>
      </c>
      <c r="AN53145" t="s">
        <v>6620</v>
      </c>
      <c r="AO53145" t="s">
        <v>2882</v>
      </c>
      <c r="AQ53145">
        <f>IF(ISBLANK(AP53145), IFERROR(IF(VLOOKUP(AO53145, Ellens_additions!$A$2:$B$252, 2, FALSE) = "", "", VLOOKUP(AO53145, Ellens_additions!$A$2:$B$252, 2, FALSE)), 0), AP53145)</f>
        <v>0</v>
      </c>
    </row>
    <row r="53146" spans="1:43" ht="14.4" hidden="1" x14ac:dyDescent="0.3">
      <c r="A53146" t="s">
        <v>6621</v>
      </c>
      <c r="B53146">
        <v>4910355</v>
      </c>
      <c r="C53146" t="s">
        <v>135</v>
      </c>
      <c r="D53146" t="s">
        <v>136</v>
      </c>
      <c r="E53146" t="s">
        <v>2880</v>
      </c>
      <c r="F53146" t="s">
        <v>411</v>
      </c>
      <c r="H53146" t="s">
        <v>1793</v>
      </c>
      <c r="I53146" t="s">
        <v>2929</v>
      </c>
      <c r="J53146" t="s">
        <v>140</v>
      </c>
      <c r="K53146">
        <v>155758.07999999999</v>
      </c>
      <c r="L53146">
        <v>383687.04</v>
      </c>
      <c r="M53146">
        <v>1</v>
      </c>
      <c r="N53146" t="s">
        <v>2882</v>
      </c>
      <c r="O53146" t="s">
        <v>448</v>
      </c>
      <c r="P53146" t="s">
        <v>2883</v>
      </c>
      <c r="Q53146" t="s">
        <v>144</v>
      </c>
      <c r="S53146">
        <v>5</v>
      </c>
      <c r="T53146">
        <v>220</v>
      </c>
      <c r="V53146" t="s">
        <v>146</v>
      </c>
      <c r="W53146" t="s">
        <v>184</v>
      </c>
      <c r="X53146" t="s">
        <v>7</v>
      </c>
      <c r="Y53146" t="s">
        <v>2884</v>
      </c>
      <c r="Z53146" t="s">
        <v>448</v>
      </c>
      <c r="AA53146" t="s">
        <v>456</v>
      </c>
      <c r="AB53146">
        <v>100</v>
      </c>
      <c r="AE53146" t="s">
        <v>2885</v>
      </c>
      <c r="AF53146" t="s">
        <v>448</v>
      </c>
      <c r="AG53146" t="s">
        <v>665</v>
      </c>
      <c r="AL53146" t="s">
        <v>6622</v>
      </c>
      <c r="AM53146" t="s">
        <v>6623</v>
      </c>
      <c r="AN53146" t="s">
        <v>6624</v>
      </c>
      <c r="AO53146" t="s">
        <v>2882</v>
      </c>
      <c r="AQ53146">
        <f>IF(ISBLANK(AP53146), IFERROR(IF(VLOOKUP(AO53146, Ellens_additions!$A$2:$B$252, 2, FALSE) = "", "", VLOOKUP(AO53146, Ellens_additions!$A$2:$B$252, 2, FALSE)), 0), AP53146)</f>
        <v>0</v>
      </c>
    </row>
    <row r="53147" spans="1:43" ht="14.4" hidden="1" x14ac:dyDescent="0.3">
      <c r="A53147" t="s">
        <v>6625</v>
      </c>
      <c r="B53147">
        <v>4910358</v>
      </c>
      <c r="C53147" t="s">
        <v>135</v>
      </c>
      <c r="D53147" t="s">
        <v>136</v>
      </c>
      <c r="E53147" t="s">
        <v>2880</v>
      </c>
      <c r="F53147" t="s">
        <v>411</v>
      </c>
      <c r="H53147" t="s">
        <v>3397</v>
      </c>
      <c r="I53147" t="s">
        <v>2929</v>
      </c>
      <c r="J53147" t="s">
        <v>140</v>
      </c>
      <c r="K53147">
        <v>155754.1</v>
      </c>
      <c r="L53147">
        <v>383683.63</v>
      </c>
      <c r="M53147">
        <v>1</v>
      </c>
      <c r="N53147" t="s">
        <v>2882</v>
      </c>
      <c r="O53147" t="s">
        <v>448</v>
      </c>
      <c r="P53147" t="s">
        <v>2883</v>
      </c>
      <c r="Q53147" t="s">
        <v>144</v>
      </c>
      <c r="S53147">
        <v>5</v>
      </c>
      <c r="T53147">
        <v>220</v>
      </c>
      <c r="V53147" t="s">
        <v>146</v>
      </c>
      <c r="W53147" t="s">
        <v>184</v>
      </c>
      <c r="X53147" t="s">
        <v>7</v>
      </c>
      <c r="Y53147" t="s">
        <v>2884</v>
      </c>
      <c r="Z53147" t="s">
        <v>448</v>
      </c>
      <c r="AA53147" t="s">
        <v>456</v>
      </c>
      <c r="AB53147">
        <v>100</v>
      </c>
      <c r="AE53147" t="s">
        <v>2885</v>
      </c>
      <c r="AF53147" t="s">
        <v>448</v>
      </c>
      <c r="AG53147" t="s">
        <v>665</v>
      </c>
      <c r="AL53147" t="s">
        <v>6626</v>
      </c>
      <c r="AM53147" t="s">
        <v>6627</v>
      </c>
      <c r="AN53147" t="s">
        <v>6628</v>
      </c>
      <c r="AO53147" t="s">
        <v>2882</v>
      </c>
      <c r="AQ53147">
        <f>IF(ISBLANK(AP53147), IFERROR(IF(VLOOKUP(AO53147, Ellens_additions!$A$2:$B$252, 2, FALSE) = "", "", VLOOKUP(AO53147, Ellens_additions!$A$2:$B$252, 2, FALSE)), 0), AP53147)</f>
        <v>0</v>
      </c>
    </row>
    <row r="53148" spans="1:43" ht="14.4" hidden="1" x14ac:dyDescent="0.3">
      <c r="A53148" t="s">
        <v>6629</v>
      </c>
      <c r="B53148">
        <v>4910361</v>
      </c>
      <c r="C53148" t="s">
        <v>135</v>
      </c>
      <c r="D53148" t="s">
        <v>136</v>
      </c>
      <c r="E53148" t="s">
        <v>2880</v>
      </c>
      <c r="F53148" t="s">
        <v>411</v>
      </c>
      <c r="H53148" t="s">
        <v>402</v>
      </c>
      <c r="I53148" t="s">
        <v>2938</v>
      </c>
      <c r="J53148" t="s">
        <v>140</v>
      </c>
      <c r="K53148">
        <v>156304.51</v>
      </c>
      <c r="L53148">
        <v>383411</v>
      </c>
      <c r="M53148">
        <v>1</v>
      </c>
      <c r="N53148" t="s">
        <v>2882</v>
      </c>
      <c r="O53148" t="s">
        <v>448</v>
      </c>
      <c r="P53148" t="s">
        <v>2883</v>
      </c>
      <c r="Q53148" t="s">
        <v>144</v>
      </c>
      <c r="S53148">
        <v>5</v>
      </c>
      <c r="T53148">
        <v>220</v>
      </c>
      <c r="V53148" t="s">
        <v>146</v>
      </c>
      <c r="W53148" t="s">
        <v>184</v>
      </c>
      <c r="X53148" t="s">
        <v>7</v>
      </c>
      <c r="Y53148" t="s">
        <v>2884</v>
      </c>
      <c r="Z53148" t="s">
        <v>448</v>
      </c>
      <c r="AA53148" t="s">
        <v>456</v>
      </c>
      <c r="AB53148">
        <v>100</v>
      </c>
      <c r="AE53148" t="s">
        <v>2885</v>
      </c>
      <c r="AF53148" t="s">
        <v>448</v>
      </c>
      <c r="AG53148" t="s">
        <v>665</v>
      </c>
      <c r="AL53148" t="s">
        <v>6630</v>
      </c>
      <c r="AM53148" t="s">
        <v>6631</v>
      </c>
      <c r="AN53148" t="s">
        <v>6632</v>
      </c>
      <c r="AO53148" t="s">
        <v>2882</v>
      </c>
      <c r="AQ53148">
        <f>IF(ISBLANK(AP53148), IFERROR(IF(VLOOKUP(AO53148, Ellens_additions!$A$2:$B$252, 2, FALSE) = "", "", VLOOKUP(AO53148, Ellens_additions!$A$2:$B$252, 2, FALSE)), 0), AP53148)</f>
        <v>0</v>
      </c>
    </row>
    <row r="53149" spans="1:43" ht="14.4" hidden="1" x14ac:dyDescent="0.3">
      <c r="A53149" t="s">
        <v>6633</v>
      </c>
      <c r="B53149">
        <v>4910362</v>
      </c>
      <c r="C53149" t="s">
        <v>135</v>
      </c>
      <c r="D53149" t="s">
        <v>136</v>
      </c>
      <c r="E53149" t="s">
        <v>2880</v>
      </c>
      <c r="F53149" t="s">
        <v>411</v>
      </c>
      <c r="H53149" t="s">
        <v>403</v>
      </c>
      <c r="I53149" t="s">
        <v>2938</v>
      </c>
      <c r="J53149" t="s">
        <v>140</v>
      </c>
      <c r="K53149">
        <v>156302.22</v>
      </c>
      <c r="L53149">
        <v>383414.07</v>
      </c>
      <c r="M53149">
        <v>1</v>
      </c>
      <c r="N53149" t="s">
        <v>2882</v>
      </c>
      <c r="O53149" t="s">
        <v>448</v>
      </c>
      <c r="P53149" t="s">
        <v>2883</v>
      </c>
      <c r="Q53149" t="s">
        <v>144</v>
      </c>
      <c r="S53149">
        <v>5</v>
      </c>
      <c r="T53149">
        <v>220</v>
      </c>
      <c r="V53149" t="s">
        <v>146</v>
      </c>
      <c r="W53149" t="s">
        <v>184</v>
      </c>
      <c r="X53149" t="s">
        <v>7</v>
      </c>
      <c r="Y53149" t="s">
        <v>2884</v>
      </c>
      <c r="Z53149" t="s">
        <v>448</v>
      </c>
      <c r="AA53149" t="s">
        <v>456</v>
      </c>
      <c r="AB53149">
        <v>100</v>
      </c>
      <c r="AE53149" t="s">
        <v>2885</v>
      </c>
      <c r="AF53149" t="s">
        <v>448</v>
      </c>
      <c r="AG53149" t="s">
        <v>665</v>
      </c>
      <c r="AL53149" t="s">
        <v>6634</v>
      </c>
      <c r="AM53149" t="s">
        <v>6635</v>
      </c>
      <c r="AN53149" t="s">
        <v>6636</v>
      </c>
      <c r="AO53149" t="s">
        <v>2882</v>
      </c>
      <c r="AQ53149">
        <f>IF(ISBLANK(AP53149), IFERROR(IF(VLOOKUP(AO53149, Ellens_additions!$A$2:$B$252, 2, FALSE) = "", "", VLOOKUP(AO53149, Ellens_additions!$A$2:$B$252, 2, FALSE)), 0), AP53149)</f>
        <v>0</v>
      </c>
    </row>
    <row r="53150" spans="1:43" ht="14.4" hidden="1" x14ac:dyDescent="0.3">
      <c r="A53150" t="s">
        <v>6637</v>
      </c>
      <c r="B53150">
        <v>4910366</v>
      </c>
      <c r="C53150" t="s">
        <v>135</v>
      </c>
      <c r="D53150" t="s">
        <v>136</v>
      </c>
      <c r="E53150" t="s">
        <v>2880</v>
      </c>
      <c r="F53150" t="s">
        <v>411</v>
      </c>
      <c r="H53150" t="s">
        <v>3287</v>
      </c>
      <c r="I53150" t="s">
        <v>2938</v>
      </c>
      <c r="J53150" t="s">
        <v>140</v>
      </c>
      <c r="K53150">
        <v>156301.13</v>
      </c>
      <c r="L53150">
        <v>383409.79</v>
      </c>
      <c r="M53150">
        <v>1</v>
      </c>
      <c r="N53150" t="s">
        <v>2882</v>
      </c>
      <c r="O53150" t="s">
        <v>448</v>
      </c>
      <c r="P53150" t="s">
        <v>2883</v>
      </c>
      <c r="Q53150" t="s">
        <v>144</v>
      </c>
      <c r="S53150">
        <v>5</v>
      </c>
      <c r="T53150">
        <v>220</v>
      </c>
      <c r="V53150" t="s">
        <v>146</v>
      </c>
      <c r="W53150" t="s">
        <v>184</v>
      </c>
      <c r="X53150" t="s">
        <v>7</v>
      </c>
      <c r="Y53150" t="s">
        <v>2884</v>
      </c>
      <c r="Z53150" t="s">
        <v>448</v>
      </c>
      <c r="AA53150" t="s">
        <v>456</v>
      </c>
      <c r="AB53150">
        <v>100</v>
      </c>
      <c r="AE53150" t="s">
        <v>2885</v>
      </c>
      <c r="AF53150" t="s">
        <v>448</v>
      </c>
      <c r="AG53150" t="s">
        <v>665</v>
      </c>
      <c r="AL53150" t="s">
        <v>6638</v>
      </c>
      <c r="AM53150" t="s">
        <v>6639</v>
      </c>
      <c r="AN53150" t="s">
        <v>6640</v>
      </c>
      <c r="AO53150" t="s">
        <v>2882</v>
      </c>
      <c r="AQ53150">
        <f>IF(ISBLANK(AP53150), IFERROR(IF(VLOOKUP(AO53150, Ellens_additions!$A$2:$B$252, 2, FALSE) = "", "", VLOOKUP(AO53150, Ellens_additions!$A$2:$B$252, 2, FALSE)), 0), AP53150)</f>
        <v>0</v>
      </c>
    </row>
    <row r="53151" spans="1:43" ht="14.4" hidden="1" x14ac:dyDescent="0.3">
      <c r="A53151" t="s">
        <v>6641</v>
      </c>
      <c r="B53151">
        <v>4910367</v>
      </c>
      <c r="C53151" t="s">
        <v>135</v>
      </c>
      <c r="D53151" t="s">
        <v>136</v>
      </c>
      <c r="E53151" t="s">
        <v>2880</v>
      </c>
      <c r="F53151" t="s">
        <v>411</v>
      </c>
      <c r="H53151" t="s">
        <v>1531</v>
      </c>
      <c r="I53151" t="s">
        <v>2938</v>
      </c>
      <c r="J53151" t="s">
        <v>140</v>
      </c>
      <c r="K53151">
        <v>156299.23000000001</v>
      </c>
      <c r="L53151">
        <v>383409.56</v>
      </c>
      <c r="M53151">
        <v>1</v>
      </c>
      <c r="N53151" t="s">
        <v>2882</v>
      </c>
      <c r="O53151" t="s">
        <v>448</v>
      </c>
      <c r="P53151" t="s">
        <v>2883</v>
      </c>
      <c r="Q53151" t="s">
        <v>144</v>
      </c>
      <c r="S53151">
        <v>5</v>
      </c>
      <c r="T53151">
        <v>220</v>
      </c>
      <c r="V53151" t="s">
        <v>146</v>
      </c>
      <c r="W53151" t="s">
        <v>184</v>
      </c>
      <c r="X53151" t="s">
        <v>7</v>
      </c>
      <c r="Y53151" t="s">
        <v>2884</v>
      </c>
      <c r="Z53151" t="s">
        <v>448</v>
      </c>
      <c r="AA53151" t="s">
        <v>456</v>
      </c>
      <c r="AB53151">
        <v>100</v>
      </c>
      <c r="AE53151" t="s">
        <v>2885</v>
      </c>
      <c r="AF53151" t="s">
        <v>448</v>
      </c>
      <c r="AG53151" t="s">
        <v>665</v>
      </c>
      <c r="AL53151" t="s">
        <v>6642</v>
      </c>
      <c r="AM53151" t="s">
        <v>6643</v>
      </c>
      <c r="AN53151" t="s">
        <v>6644</v>
      </c>
      <c r="AO53151" t="s">
        <v>2882</v>
      </c>
      <c r="AQ53151">
        <f>IF(ISBLANK(AP53151), IFERROR(IF(VLOOKUP(AO53151, Ellens_additions!$A$2:$B$252, 2, FALSE) = "", "", VLOOKUP(AO53151, Ellens_additions!$A$2:$B$252, 2, FALSE)), 0), AP53151)</f>
        <v>0</v>
      </c>
    </row>
    <row r="53152" spans="1:43" ht="14.4" hidden="1" x14ac:dyDescent="0.3">
      <c r="A53152" t="s">
        <v>6645</v>
      </c>
      <c r="B53152">
        <v>4910379</v>
      </c>
      <c r="C53152" t="s">
        <v>135</v>
      </c>
      <c r="D53152" t="s">
        <v>136</v>
      </c>
      <c r="E53152" t="s">
        <v>2880</v>
      </c>
      <c r="F53152" t="s">
        <v>411</v>
      </c>
      <c r="H53152" t="s">
        <v>1253</v>
      </c>
      <c r="I53152" t="s">
        <v>2964</v>
      </c>
      <c r="J53152" t="s">
        <v>140</v>
      </c>
      <c r="K53152">
        <v>156128.32999999999</v>
      </c>
      <c r="L53152">
        <v>383379.36</v>
      </c>
      <c r="M53152">
        <v>1</v>
      </c>
      <c r="N53152" t="s">
        <v>2882</v>
      </c>
      <c r="O53152" t="s">
        <v>448</v>
      </c>
      <c r="P53152" t="s">
        <v>2883</v>
      </c>
      <c r="Q53152" t="s">
        <v>144</v>
      </c>
      <c r="S53152">
        <v>5</v>
      </c>
      <c r="T53152">
        <v>220</v>
      </c>
      <c r="V53152" t="s">
        <v>146</v>
      </c>
      <c r="W53152" t="s">
        <v>184</v>
      </c>
      <c r="X53152" t="s">
        <v>7</v>
      </c>
      <c r="Y53152" t="s">
        <v>2884</v>
      </c>
      <c r="Z53152" t="s">
        <v>448</v>
      </c>
      <c r="AA53152" t="s">
        <v>456</v>
      </c>
      <c r="AB53152">
        <v>100</v>
      </c>
      <c r="AE53152" t="s">
        <v>2885</v>
      </c>
      <c r="AF53152" t="s">
        <v>448</v>
      </c>
      <c r="AG53152" t="s">
        <v>665</v>
      </c>
      <c r="AL53152" t="s">
        <v>6646</v>
      </c>
      <c r="AM53152" t="s">
        <v>6647</v>
      </c>
      <c r="AN53152" t="s">
        <v>6648</v>
      </c>
      <c r="AO53152" t="s">
        <v>2882</v>
      </c>
      <c r="AQ53152">
        <f>IF(ISBLANK(AP53152), IFERROR(IF(VLOOKUP(AO53152, Ellens_additions!$A$2:$B$252, 2, FALSE) = "", "", VLOOKUP(AO53152, Ellens_additions!$A$2:$B$252, 2, FALSE)), 0), AP53152)</f>
        <v>0</v>
      </c>
    </row>
    <row r="53153" ht="14.4" x14ac:dyDescent="0.3"/>
    <row r="53154" ht="14.4" x14ac:dyDescent="0.3"/>
    <row r="53155" ht="14.4" x14ac:dyDescent="0.3"/>
    <row r="53156" ht="14.4" x14ac:dyDescent="0.3"/>
    <row r="53157" ht="14.4" x14ac:dyDescent="0.3"/>
    <row r="53158" ht="14.4" x14ac:dyDescent="0.3"/>
    <row r="53159" ht="14.4" x14ac:dyDescent="0.3"/>
    <row r="53160" ht="14.4" x14ac:dyDescent="0.3"/>
    <row r="53161" ht="14.4" x14ac:dyDescent="0.3"/>
    <row r="53162" ht="14.4" x14ac:dyDescent="0.3"/>
    <row r="53163" ht="14.4" x14ac:dyDescent="0.3"/>
    <row r="53164" ht="14.4" x14ac:dyDescent="0.3"/>
    <row r="53165" ht="14.4" x14ac:dyDescent="0.3"/>
    <row r="53166" ht="14.4" x14ac:dyDescent="0.3"/>
    <row r="53167" ht="14.4" x14ac:dyDescent="0.3"/>
    <row r="53168" ht="14.4" x14ac:dyDescent="0.3"/>
    <row r="53169" ht="14.4" x14ac:dyDescent="0.3"/>
    <row r="53170" ht="14.4" x14ac:dyDescent="0.3"/>
    <row r="53171" ht="14.4" x14ac:dyDescent="0.3"/>
    <row r="53172" ht="14.4" x14ac:dyDescent="0.3"/>
    <row r="53173" ht="14.4" x14ac:dyDescent="0.3"/>
    <row r="53174" ht="14.4" x14ac:dyDescent="0.3"/>
    <row r="53175" ht="14.4" x14ac:dyDescent="0.3"/>
    <row r="53176" ht="14.4" x14ac:dyDescent="0.3"/>
    <row r="53177" ht="14.4" x14ac:dyDescent="0.3"/>
    <row r="53178" ht="14.4" x14ac:dyDescent="0.3"/>
    <row r="53179" ht="14.4" x14ac:dyDescent="0.3"/>
    <row r="53180" ht="14.4" x14ac:dyDescent="0.3"/>
    <row r="53181" ht="14.4" x14ac:dyDescent="0.3"/>
    <row r="53182" ht="14.4" x14ac:dyDescent="0.3"/>
    <row r="53183" ht="14.4" x14ac:dyDescent="0.3"/>
    <row r="53184" ht="14.4" x14ac:dyDescent="0.3"/>
    <row r="53185" ht="14.4" x14ac:dyDescent="0.3"/>
    <row r="53186" ht="14.4" x14ac:dyDescent="0.3"/>
    <row r="53187" ht="14.4" x14ac:dyDescent="0.3"/>
    <row r="53188" ht="14.4" x14ac:dyDescent="0.3"/>
    <row r="53189" ht="14.4" x14ac:dyDescent="0.3"/>
    <row r="53190" ht="14.4" x14ac:dyDescent="0.3"/>
    <row r="53191" ht="14.4" x14ac:dyDescent="0.3"/>
    <row r="53192" ht="14.4" x14ac:dyDescent="0.3"/>
    <row r="53193" ht="14.4" x14ac:dyDescent="0.3"/>
    <row r="53194" ht="14.4" x14ac:dyDescent="0.3"/>
    <row r="53195" ht="14.4" x14ac:dyDescent="0.3"/>
    <row r="53196" ht="14.4" x14ac:dyDescent="0.3"/>
    <row r="53197" ht="14.4" x14ac:dyDescent="0.3"/>
    <row r="53198" ht="14.4" x14ac:dyDescent="0.3"/>
    <row r="53199" ht="14.4" x14ac:dyDescent="0.3"/>
    <row r="53200" ht="14.4" x14ac:dyDescent="0.3"/>
    <row r="53201" ht="14.4" x14ac:dyDescent="0.3"/>
    <row r="53202" ht="14.4" x14ac:dyDescent="0.3"/>
    <row r="53203" ht="14.4" x14ac:dyDescent="0.3"/>
    <row r="53204" ht="14.4" x14ac:dyDescent="0.3"/>
    <row r="53205" ht="14.4" x14ac:dyDescent="0.3"/>
    <row r="53206" ht="14.4" x14ac:dyDescent="0.3"/>
    <row r="53207" ht="14.4" x14ac:dyDescent="0.3"/>
    <row r="53208" ht="14.4" x14ac:dyDescent="0.3"/>
    <row r="53209" ht="14.4" x14ac:dyDescent="0.3"/>
    <row r="53210" ht="14.4" x14ac:dyDescent="0.3"/>
    <row r="53211" ht="14.4" x14ac:dyDescent="0.3"/>
    <row r="53212" ht="14.4" x14ac:dyDescent="0.3"/>
    <row r="53213" ht="14.4" x14ac:dyDescent="0.3"/>
    <row r="53214" ht="14.4" x14ac:dyDescent="0.3"/>
    <row r="53215" ht="14.4" x14ac:dyDescent="0.3"/>
    <row r="53216" ht="14.4" x14ac:dyDescent="0.3"/>
    <row r="53217" ht="14.4" x14ac:dyDescent="0.3"/>
    <row r="53218" ht="14.4" x14ac:dyDescent="0.3"/>
    <row r="53219" ht="14.4" x14ac:dyDescent="0.3"/>
    <row r="53220" ht="14.4" x14ac:dyDescent="0.3"/>
    <row r="53221" ht="14.4" x14ac:dyDescent="0.3"/>
    <row r="53222" ht="14.4" x14ac:dyDescent="0.3"/>
    <row r="53223" ht="14.4" x14ac:dyDescent="0.3"/>
    <row r="53224" ht="14.4" x14ac:dyDescent="0.3"/>
    <row r="53225" ht="14.4" x14ac:dyDescent="0.3"/>
    <row r="53226" ht="14.4" x14ac:dyDescent="0.3"/>
    <row r="53227" ht="14.4" x14ac:dyDescent="0.3"/>
    <row r="53228" ht="14.4" x14ac:dyDescent="0.3"/>
    <row r="53229" ht="14.4" x14ac:dyDescent="0.3"/>
    <row r="53230" ht="14.4" x14ac:dyDescent="0.3"/>
    <row r="53231" ht="14.4" x14ac:dyDescent="0.3"/>
    <row r="53232" ht="14.4" x14ac:dyDescent="0.3"/>
    <row r="53233" ht="14.4" x14ac:dyDescent="0.3"/>
    <row r="53234" ht="14.4" x14ac:dyDescent="0.3"/>
    <row r="53235" ht="14.4" x14ac:dyDescent="0.3"/>
    <row r="53236" ht="14.4" x14ac:dyDescent="0.3"/>
    <row r="53237" ht="14.4" x14ac:dyDescent="0.3"/>
    <row r="53238" ht="14.4" x14ac:dyDescent="0.3"/>
    <row r="53239" ht="14.4" x14ac:dyDescent="0.3"/>
    <row r="53240" ht="14.4" x14ac:dyDescent="0.3"/>
    <row r="53241" ht="14.4" x14ac:dyDescent="0.3"/>
    <row r="53242" ht="14.4" x14ac:dyDescent="0.3"/>
    <row r="53243" ht="14.4" x14ac:dyDescent="0.3"/>
    <row r="53244" ht="14.4" x14ac:dyDescent="0.3"/>
    <row r="53245" ht="14.4" x14ac:dyDescent="0.3"/>
    <row r="53246" ht="14.4" x14ac:dyDescent="0.3"/>
    <row r="53247" ht="14.4" x14ac:dyDescent="0.3"/>
    <row r="53248" ht="14.4" x14ac:dyDescent="0.3"/>
    <row r="53249" ht="14.4" x14ac:dyDescent="0.3"/>
    <row r="53250" ht="14.4" x14ac:dyDescent="0.3"/>
    <row r="53251" ht="14.4" x14ac:dyDescent="0.3"/>
    <row r="53252" ht="14.4" x14ac:dyDescent="0.3"/>
    <row r="53253" ht="14.4" x14ac:dyDescent="0.3"/>
    <row r="53254" ht="14.4" x14ac:dyDescent="0.3"/>
    <row r="53255" ht="14.4" x14ac:dyDescent="0.3"/>
    <row r="53256" ht="14.4" x14ac:dyDescent="0.3"/>
    <row r="53257" ht="14.4" x14ac:dyDescent="0.3"/>
    <row r="53258" ht="14.4" x14ac:dyDescent="0.3"/>
    <row r="53259" ht="14.4" x14ac:dyDescent="0.3"/>
    <row r="53260" ht="14.4" x14ac:dyDescent="0.3"/>
    <row r="53261" ht="14.4" x14ac:dyDescent="0.3"/>
    <row r="53262" ht="14.4" x14ac:dyDescent="0.3"/>
    <row r="53263" ht="14.4" x14ac:dyDescent="0.3"/>
    <row r="53264" ht="14.4" x14ac:dyDescent="0.3"/>
    <row r="53265" ht="14.4" x14ac:dyDescent="0.3"/>
    <row r="53266" ht="14.4" x14ac:dyDescent="0.3"/>
    <row r="53267" ht="14.4" x14ac:dyDescent="0.3"/>
    <row r="53268" ht="14.4" x14ac:dyDescent="0.3"/>
    <row r="53269" ht="14.4" x14ac:dyDescent="0.3"/>
    <row r="53270" ht="14.4" x14ac:dyDescent="0.3"/>
    <row r="53271" ht="14.4" x14ac:dyDescent="0.3"/>
    <row r="53272" ht="14.4" x14ac:dyDescent="0.3"/>
    <row r="53273" ht="14.4" x14ac:dyDescent="0.3"/>
    <row r="53274" ht="14.4" x14ac:dyDescent="0.3"/>
    <row r="53275" ht="14.4" x14ac:dyDescent="0.3"/>
    <row r="53276" ht="14.4" x14ac:dyDescent="0.3"/>
    <row r="53277" ht="14.4" x14ac:dyDescent="0.3"/>
    <row r="53278" ht="14.4" x14ac:dyDescent="0.3"/>
    <row r="53279" ht="14.4" x14ac:dyDescent="0.3"/>
    <row r="53280" ht="14.4" x14ac:dyDescent="0.3"/>
    <row r="53281" ht="14.4" x14ac:dyDescent="0.3"/>
    <row r="53282" ht="14.4" x14ac:dyDescent="0.3"/>
    <row r="53283" ht="14.4" x14ac:dyDescent="0.3"/>
    <row r="53284" ht="14.4" x14ac:dyDescent="0.3"/>
    <row r="53285" ht="14.4" x14ac:dyDescent="0.3"/>
    <row r="53286" ht="14.4" x14ac:dyDescent="0.3"/>
    <row r="53287" ht="14.4" x14ac:dyDescent="0.3"/>
    <row r="53288" ht="14.4" x14ac:dyDescent="0.3"/>
    <row r="53289" ht="14.4" x14ac:dyDescent="0.3"/>
    <row r="53290" ht="14.4" x14ac:dyDescent="0.3"/>
    <row r="53291" ht="14.4" x14ac:dyDescent="0.3"/>
    <row r="53292" ht="14.4" x14ac:dyDescent="0.3"/>
    <row r="53293" ht="14.4" x14ac:dyDescent="0.3"/>
    <row r="53294" ht="14.4" x14ac:dyDescent="0.3"/>
    <row r="53295" ht="14.4" x14ac:dyDescent="0.3"/>
    <row r="53296" ht="14.4" x14ac:dyDescent="0.3"/>
    <row r="53297" ht="14.4" x14ac:dyDescent="0.3"/>
    <row r="53298" ht="14.4" x14ac:dyDescent="0.3"/>
    <row r="53299" ht="14.4" x14ac:dyDescent="0.3"/>
    <row r="53300" ht="14.4" x14ac:dyDescent="0.3"/>
    <row r="53301" ht="14.4" x14ac:dyDescent="0.3"/>
    <row r="53302" ht="14.4" x14ac:dyDescent="0.3"/>
    <row r="53303" ht="14.4" x14ac:dyDescent="0.3"/>
    <row r="53304" ht="14.4" x14ac:dyDescent="0.3"/>
    <row r="53305" ht="14.4" x14ac:dyDescent="0.3"/>
    <row r="53306" ht="14.4" x14ac:dyDescent="0.3"/>
    <row r="53307" ht="14.4" x14ac:dyDescent="0.3"/>
    <row r="53308" ht="14.4" x14ac:dyDescent="0.3"/>
    <row r="53309" ht="14.4" x14ac:dyDescent="0.3"/>
    <row r="53310" ht="14.4" x14ac:dyDescent="0.3"/>
    <row r="53311" ht="14.4" x14ac:dyDescent="0.3"/>
    <row r="53312" ht="14.4" x14ac:dyDescent="0.3"/>
    <row r="53313" ht="14.4" x14ac:dyDescent="0.3"/>
    <row r="53314" ht="14.4" x14ac:dyDescent="0.3"/>
    <row r="53315" ht="14.4" x14ac:dyDescent="0.3"/>
    <row r="53316" ht="14.4" x14ac:dyDescent="0.3"/>
    <row r="53317" ht="14.4" x14ac:dyDescent="0.3"/>
    <row r="53318" ht="14.4" x14ac:dyDescent="0.3"/>
    <row r="53319" ht="14.4" x14ac:dyDescent="0.3"/>
    <row r="53320" ht="14.4" x14ac:dyDescent="0.3"/>
    <row r="53321" ht="14.4" x14ac:dyDescent="0.3"/>
    <row r="53322" ht="14.4" x14ac:dyDescent="0.3"/>
    <row r="53323" ht="14.4" x14ac:dyDescent="0.3"/>
    <row r="53324" ht="14.4" x14ac:dyDescent="0.3"/>
    <row r="53325" ht="14.4" x14ac:dyDescent="0.3"/>
    <row r="53326" ht="14.4" x14ac:dyDescent="0.3"/>
    <row r="53327" ht="14.4" x14ac:dyDescent="0.3"/>
    <row r="53328" ht="14.4" x14ac:dyDescent="0.3"/>
    <row r="53329" ht="14.4" x14ac:dyDescent="0.3"/>
    <row r="53330" ht="14.4" x14ac:dyDescent="0.3"/>
    <row r="53331" ht="14.4" x14ac:dyDescent="0.3"/>
    <row r="53332" ht="14.4" x14ac:dyDescent="0.3"/>
    <row r="53333" ht="14.4" x14ac:dyDescent="0.3"/>
    <row r="53334" ht="14.4" x14ac:dyDescent="0.3"/>
    <row r="53335" ht="14.4" x14ac:dyDescent="0.3"/>
    <row r="53336" ht="14.4" x14ac:dyDescent="0.3"/>
    <row r="53337" ht="14.4" x14ac:dyDescent="0.3"/>
    <row r="53338" ht="14.4" x14ac:dyDescent="0.3"/>
    <row r="53339" ht="14.4" x14ac:dyDescent="0.3"/>
    <row r="53340" ht="14.4" x14ac:dyDescent="0.3"/>
    <row r="53341" ht="14.4" x14ac:dyDescent="0.3"/>
    <row r="53342" ht="14.4" x14ac:dyDescent="0.3"/>
    <row r="53343" ht="14.4" x14ac:dyDescent="0.3"/>
    <row r="53344" ht="14.4" x14ac:dyDescent="0.3"/>
    <row r="53345" ht="14.4" x14ac:dyDescent="0.3"/>
    <row r="53346" ht="14.4" x14ac:dyDescent="0.3"/>
    <row r="53347" ht="14.4" x14ac:dyDescent="0.3"/>
    <row r="53348" ht="14.4" x14ac:dyDescent="0.3"/>
    <row r="53349" ht="14.4" x14ac:dyDescent="0.3"/>
    <row r="53350" ht="14.4" x14ac:dyDescent="0.3"/>
    <row r="53351" ht="14.4" x14ac:dyDescent="0.3"/>
    <row r="53352" ht="14.4" x14ac:dyDescent="0.3"/>
    <row r="53353" ht="14.4" x14ac:dyDescent="0.3"/>
    <row r="53354" ht="14.4" x14ac:dyDescent="0.3"/>
    <row r="53355" ht="14.4" x14ac:dyDescent="0.3"/>
    <row r="53356" ht="14.4" x14ac:dyDescent="0.3"/>
    <row r="53357" ht="14.4" x14ac:dyDescent="0.3"/>
    <row r="53358" ht="14.4" x14ac:dyDescent="0.3"/>
    <row r="53359" ht="14.4" x14ac:dyDescent="0.3"/>
    <row r="53360" ht="14.4" x14ac:dyDescent="0.3"/>
    <row r="53361" ht="14.4" x14ac:dyDescent="0.3"/>
    <row r="53362" ht="14.4" x14ac:dyDescent="0.3"/>
    <row r="53363" ht="14.4" x14ac:dyDescent="0.3"/>
    <row r="53364" ht="14.4" x14ac:dyDescent="0.3"/>
    <row r="53365" ht="14.4" x14ac:dyDescent="0.3"/>
    <row r="53366" ht="14.4" x14ac:dyDescent="0.3"/>
    <row r="53367" ht="14.4" x14ac:dyDescent="0.3"/>
    <row r="53368" ht="14.4" x14ac:dyDescent="0.3"/>
    <row r="53369" ht="14.4" x14ac:dyDescent="0.3"/>
    <row r="53370" ht="14.4" x14ac:dyDescent="0.3"/>
    <row r="53371" ht="14.4" x14ac:dyDescent="0.3"/>
    <row r="53372" ht="14.4" x14ac:dyDescent="0.3"/>
    <row r="53373" ht="14.4" x14ac:dyDescent="0.3"/>
    <row r="53374" ht="14.4" x14ac:dyDescent="0.3"/>
    <row r="53375" ht="14.4" x14ac:dyDescent="0.3"/>
    <row r="53376" ht="14.4" x14ac:dyDescent="0.3"/>
    <row r="53377" ht="14.4" x14ac:dyDescent="0.3"/>
    <row r="53378" ht="14.4" x14ac:dyDescent="0.3"/>
    <row r="53379" ht="14.4" x14ac:dyDescent="0.3"/>
    <row r="53380" ht="14.4" x14ac:dyDescent="0.3"/>
    <row r="53381" ht="14.4" x14ac:dyDescent="0.3"/>
    <row r="53382" ht="14.4" x14ac:dyDescent="0.3"/>
    <row r="53383" ht="14.4" x14ac:dyDescent="0.3"/>
    <row r="53384" ht="14.4" x14ac:dyDescent="0.3"/>
    <row r="53385" ht="14.4" x14ac:dyDescent="0.3"/>
    <row r="53386" ht="14.4" x14ac:dyDescent="0.3"/>
    <row r="53387" ht="14.4" x14ac:dyDescent="0.3"/>
    <row r="53388" ht="14.4" x14ac:dyDescent="0.3"/>
    <row r="53389" ht="14.4" x14ac:dyDescent="0.3"/>
    <row r="53390" ht="14.4" x14ac:dyDescent="0.3"/>
    <row r="53391" ht="14.4" x14ac:dyDescent="0.3"/>
    <row r="53392" ht="14.4" x14ac:dyDescent="0.3"/>
    <row r="53393" ht="14.4" x14ac:dyDescent="0.3"/>
    <row r="53394" ht="14.4" x14ac:dyDescent="0.3"/>
    <row r="53395" ht="14.4" x14ac:dyDescent="0.3"/>
    <row r="53396" ht="14.4" x14ac:dyDescent="0.3"/>
    <row r="53397" ht="14.4" x14ac:dyDescent="0.3"/>
    <row r="53398" ht="14.4" x14ac:dyDescent="0.3"/>
    <row r="53399" ht="14.4" x14ac:dyDescent="0.3"/>
    <row r="53400" ht="14.4" x14ac:dyDescent="0.3"/>
    <row r="53401" ht="14.4" x14ac:dyDescent="0.3"/>
    <row r="53402" ht="14.4" x14ac:dyDescent="0.3"/>
    <row r="53403" ht="14.4" x14ac:dyDescent="0.3"/>
    <row r="53404" ht="14.4" x14ac:dyDescent="0.3"/>
    <row r="53405" ht="14.4" x14ac:dyDescent="0.3"/>
    <row r="53406" ht="14.4" x14ac:dyDescent="0.3"/>
    <row r="53407" ht="14.4" x14ac:dyDescent="0.3"/>
    <row r="53408" ht="14.4" x14ac:dyDescent="0.3"/>
    <row r="53409" ht="14.4" x14ac:dyDescent="0.3"/>
    <row r="53410" ht="14.4" x14ac:dyDescent="0.3"/>
    <row r="53411" ht="14.4" x14ac:dyDescent="0.3"/>
    <row r="53412" ht="14.4" x14ac:dyDescent="0.3"/>
    <row r="53413" ht="14.4" x14ac:dyDescent="0.3"/>
    <row r="53414" ht="14.4" x14ac:dyDescent="0.3"/>
    <row r="53415" ht="14.4" x14ac:dyDescent="0.3"/>
    <row r="53416" ht="14.4" x14ac:dyDescent="0.3"/>
    <row r="53417" ht="14.4" x14ac:dyDescent="0.3"/>
    <row r="53418" ht="14.4" x14ac:dyDescent="0.3"/>
    <row r="53419" ht="14.4" x14ac:dyDescent="0.3"/>
    <row r="53420" ht="14.4" x14ac:dyDescent="0.3"/>
    <row r="53421" ht="14.4" x14ac:dyDescent="0.3"/>
    <row r="53422" ht="14.4" x14ac:dyDescent="0.3"/>
    <row r="53423" ht="14.4" x14ac:dyDescent="0.3"/>
    <row r="53424" ht="14.4" x14ac:dyDescent="0.3"/>
    <row r="53425" ht="14.4" x14ac:dyDescent="0.3"/>
    <row r="53426" ht="14.4" x14ac:dyDescent="0.3"/>
    <row r="53427" ht="14.4" x14ac:dyDescent="0.3"/>
    <row r="53428" ht="14.4" x14ac:dyDescent="0.3"/>
    <row r="53429" ht="14.4" x14ac:dyDescent="0.3"/>
    <row r="53430" ht="14.4" x14ac:dyDescent="0.3"/>
    <row r="53431" ht="14.4" x14ac:dyDescent="0.3"/>
    <row r="53432" ht="14.4" x14ac:dyDescent="0.3"/>
    <row r="53433" ht="14.4" x14ac:dyDescent="0.3"/>
    <row r="53434" ht="14.4" x14ac:dyDescent="0.3"/>
    <row r="53435" ht="14.4" x14ac:dyDescent="0.3"/>
    <row r="53436" ht="14.4" x14ac:dyDescent="0.3"/>
    <row r="53437" ht="14.4" x14ac:dyDescent="0.3"/>
    <row r="53438" ht="14.4" x14ac:dyDescent="0.3"/>
    <row r="53439" ht="14.4" x14ac:dyDescent="0.3"/>
    <row r="53440" ht="14.4" x14ac:dyDescent="0.3"/>
    <row r="53441" ht="14.4" x14ac:dyDescent="0.3"/>
    <row r="53442" ht="14.4" x14ac:dyDescent="0.3"/>
    <row r="53443" ht="14.4" x14ac:dyDescent="0.3"/>
    <row r="53444" ht="14.4" x14ac:dyDescent="0.3"/>
    <row r="53445" ht="14.4" x14ac:dyDescent="0.3"/>
    <row r="53446" ht="14.4" x14ac:dyDescent="0.3"/>
    <row r="53447" ht="14.4" x14ac:dyDescent="0.3"/>
    <row r="53448" ht="14.4" x14ac:dyDescent="0.3"/>
    <row r="53449" ht="14.4" x14ac:dyDescent="0.3"/>
    <row r="53450" ht="14.4" x14ac:dyDescent="0.3"/>
    <row r="53451" ht="14.4" x14ac:dyDescent="0.3"/>
    <row r="53452" ht="14.4" x14ac:dyDescent="0.3"/>
    <row r="53453" ht="14.4" x14ac:dyDescent="0.3"/>
    <row r="53454" ht="14.4" x14ac:dyDescent="0.3"/>
    <row r="53455" ht="14.4" x14ac:dyDescent="0.3"/>
    <row r="53456" ht="14.4" x14ac:dyDescent="0.3"/>
    <row r="53457" ht="14.4" x14ac:dyDescent="0.3"/>
    <row r="53458" ht="14.4" x14ac:dyDescent="0.3"/>
    <row r="53459" ht="14.4" x14ac:dyDescent="0.3"/>
    <row r="53460" ht="14.4" x14ac:dyDescent="0.3"/>
    <row r="53461" ht="14.4" x14ac:dyDescent="0.3"/>
    <row r="53462" ht="14.4" x14ac:dyDescent="0.3"/>
    <row r="53463" ht="14.4" x14ac:dyDescent="0.3"/>
    <row r="53464" ht="14.4" x14ac:dyDescent="0.3"/>
    <row r="53465" ht="14.4" x14ac:dyDescent="0.3"/>
    <row r="53466" ht="14.4" x14ac:dyDescent="0.3"/>
    <row r="53467" ht="14.4" x14ac:dyDescent="0.3"/>
    <row r="53468" ht="14.4" x14ac:dyDescent="0.3"/>
    <row r="53469" ht="14.4" x14ac:dyDescent="0.3"/>
    <row r="53470" ht="14.4" x14ac:dyDescent="0.3"/>
    <row r="53471" ht="14.4" x14ac:dyDescent="0.3"/>
    <row r="53472" ht="14.4" x14ac:dyDescent="0.3"/>
    <row r="53473" spans="1:43" ht="14.4" x14ac:dyDescent="0.3"/>
    <row r="53474" spans="1:43" ht="14.4" x14ac:dyDescent="0.3"/>
    <row r="53475" spans="1:43" ht="14.4" x14ac:dyDescent="0.3"/>
    <row r="53476" spans="1:43" ht="14.4" x14ac:dyDescent="0.3"/>
    <row r="53477" spans="1:43" ht="14.4" x14ac:dyDescent="0.3"/>
    <row r="53478" spans="1:43" ht="14.4" hidden="1" x14ac:dyDescent="0.3">
      <c r="A53478" t="s">
        <v>6650</v>
      </c>
      <c r="B53478">
        <v>4903415</v>
      </c>
      <c r="C53478" t="s">
        <v>135</v>
      </c>
      <c r="D53478" t="s">
        <v>136</v>
      </c>
      <c r="E53478" t="s">
        <v>318</v>
      </c>
      <c r="F53478" t="s">
        <v>537</v>
      </c>
      <c r="H53478" t="s">
        <v>454</v>
      </c>
      <c r="J53478" t="s">
        <v>140</v>
      </c>
      <c r="K53478">
        <v>155398.98000000001</v>
      </c>
      <c r="L53478">
        <v>385519.87</v>
      </c>
      <c r="M53478">
        <v>1</v>
      </c>
      <c r="N53478" t="s">
        <v>2977</v>
      </c>
      <c r="O53478" t="s">
        <v>455</v>
      </c>
      <c r="P53478" t="s">
        <v>1235</v>
      </c>
      <c r="Q53478" t="s">
        <v>144</v>
      </c>
      <c r="S53478">
        <v>52</v>
      </c>
      <c r="T53478">
        <v>6800</v>
      </c>
      <c r="V53478" t="s">
        <v>146</v>
      </c>
      <c r="W53478" t="s">
        <v>147</v>
      </c>
      <c r="X53478" t="s">
        <v>7</v>
      </c>
      <c r="Y53478" t="s">
        <v>2033</v>
      </c>
      <c r="Z53478" t="s">
        <v>455</v>
      </c>
      <c r="AA53478" t="s">
        <v>1951</v>
      </c>
      <c r="AB53478">
        <v>0</v>
      </c>
      <c r="AE53478" t="s">
        <v>2035</v>
      </c>
      <c r="AF53478" t="s">
        <v>455</v>
      </c>
      <c r="AG53478" t="s">
        <v>6651</v>
      </c>
      <c r="AL53478" t="s">
        <v>6652</v>
      </c>
      <c r="AM53478" t="s">
        <v>6653</v>
      </c>
      <c r="AN53478" t="s">
        <v>6654</v>
      </c>
      <c r="AO53478" t="s">
        <v>2977</v>
      </c>
      <c r="AP53478" t="s">
        <v>158</v>
      </c>
      <c r="AQ53478" t="str">
        <f>IF(ISBLANK(AP53478), IFERROR(IF(VLOOKUP(AO53478, Ellens_additions!$A$2:$B$252, 2, FALSE) = "", "", VLOOKUP(AO53478, Ellens_additions!$A$2:$B$252, 2, FALSE)), 0), AP53478)</f>
        <v>3000</v>
      </c>
    </row>
    <row r="53479" spans="1:43" ht="14.4" x14ac:dyDescent="0.3"/>
    <row r="53480" spans="1:43" ht="14.4" x14ac:dyDescent="0.3"/>
    <row r="53481" spans="1:43" ht="14.4" x14ac:dyDescent="0.3"/>
    <row r="53482" spans="1:43" ht="14.4" hidden="1" x14ac:dyDescent="0.3">
      <c r="A53482" t="s">
        <v>6655</v>
      </c>
      <c r="B53482">
        <v>4903444</v>
      </c>
      <c r="C53482" t="s">
        <v>135</v>
      </c>
      <c r="D53482" t="s">
        <v>136</v>
      </c>
      <c r="E53482" t="s">
        <v>318</v>
      </c>
      <c r="F53482" t="s">
        <v>537</v>
      </c>
      <c r="H53482" t="s">
        <v>268</v>
      </c>
      <c r="J53482" t="s">
        <v>140</v>
      </c>
      <c r="K53482">
        <v>155382.2004</v>
      </c>
      <c r="L53482">
        <v>385494.5441</v>
      </c>
      <c r="M53482">
        <v>1</v>
      </c>
      <c r="N53482" t="s">
        <v>2977</v>
      </c>
      <c r="O53482" t="s">
        <v>455</v>
      </c>
      <c r="P53482" t="s">
        <v>1235</v>
      </c>
      <c r="Q53482" t="s">
        <v>144</v>
      </c>
      <c r="S53482">
        <v>52</v>
      </c>
      <c r="T53482">
        <v>6800</v>
      </c>
      <c r="V53482" t="s">
        <v>146</v>
      </c>
      <c r="W53482" t="s">
        <v>147</v>
      </c>
      <c r="X53482" t="s">
        <v>7</v>
      </c>
      <c r="Y53482" t="s">
        <v>2033</v>
      </c>
      <c r="Z53482" t="s">
        <v>455</v>
      </c>
      <c r="AA53482" t="s">
        <v>1951</v>
      </c>
      <c r="AB53482">
        <v>0</v>
      </c>
      <c r="AE53482" t="s">
        <v>2035</v>
      </c>
      <c r="AF53482" t="s">
        <v>455</v>
      </c>
      <c r="AG53482" t="s">
        <v>6651</v>
      </c>
      <c r="AL53482" t="s">
        <v>6656</v>
      </c>
      <c r="AM53482" t="s">
        <v>6657</v>
      </c>
      <c r="AN53482" t="s">
        <v>6658</v>
      </c>
      <c r="AO53482" t="s">
        <v>2977</v>
      </c>
      <c r="AP53482" t="s">
        <v>158</v>
      </c>
      <c r="AQ53482" t="str">
        <f>IF(ISBLANK(AP53482), IFERROR(IF(VLOOKUP(AO53482, Ellens_additions!$A$2:$B$252, 2, FALSE) = "", "", VLOOKUP(AO53482, Ellens_additions!$A$2:$B$252, 2, FALSE)), 0), AP53482)</f>
        <v>3000</v>
      </c>
    </row>
    <row r="53483" spans="1:43" ht="14.4" x14ac:dyDescent="0.3"/>
    <row r="53484" spans="1:43" ht="14.4" x14ac:dyDescent="0.3"/>
    <row r="53485" spans="1:43" ht="14.4" x14ac:dyDescent="0.3"/>
    <row r="53486" spans="1:43" ht="14.4" x14ac:dyDescent="0.3"/>
    <row r="53487" spans="1:43" ht="14.4" x14ac:dyDescent="0.3"/>
    <row r="53488" spans="1:43" ht="14.4" x14ac:dyDescent="0.3"/>
    <row r="53489" ht="14.4" x14ac:dyDescent="0.3"/>
    <row r="53490" ht="14.4" x14ac:dyDescent="0.3"/>
    <row r="53491" ht="14.4" x14ac:dyDescent="0.3"/>
    <row r="53492" ht="14.4" x14ac:dyDescent="0.3"/>
    <row r="53493" ht="14.4" x14ac:dyDescent="0.3"/>
    <row r="53494" ht="14.4" x14ac:dyDescent="0.3"/>
    <row r="53495" ht="14.4" x14ac:dyDescent="0.3"/>
    <row r="53496" ht="14.4" x14ac:dyDescent="0.3"/>
    <row r="53497" ht="14.4" x14ac:dyDescent="0.3"/>
    <row r="53498" ht="14.4" x14ac:dyDescent="0.3"/>
    <row r="53499" ht="14.4" x14ac:dyDescent="0.3"/>
    <row r="53500" ht="14.4" x14ac:dyDescent="0.3"/>
    <row r="53501" ht="14.4" x14ac:dyDescent="0.3"/>
    <row r="53502" ht="14.4" x14ac:dyDescent="0.3"/>
    <row r="53503" ht="14.4" x14ac:dyDescent="0.3"/>
    <row r="53504" ht="14.4" x14ac:dyDescent="0.3"/>
    <row r="53505" ht="14.4" x14ac:dyDescent="0.3"/>
    <row r="53506" ht="14.4" x14ac:dyDescent="0.3"/>
    <row r="53507" ht="14.4" x14ac:dyDescent="0.3"/>
    <row r="53508" ht="14.4" x14ac:dyDescent="0.3"/>
    <row r="53509" ht="14.4" x14ac:dyDescent="0.3"/>
    <row r="53510" ht="14.4" x14ac:dyDescent="0.3"/>
    <row r="53511" ht="14.4" x14ac:dyDescent="0.3"/>
    <row r="53512" ht="14.4" x14ac:dyDescent="0.3"/>
    <row r="53513" ht="14.4" x14ac:dyDescent="0.3"/>
    <row r="53514" ht="14.4" x14ac:dyDescent="0.3"/>
    <row r="53515" ht="14.4" x14ac:dyDescent="0.3"/>
    <row r="53516" ht="14.4" x14ac:dyDescent="0.3"/>
    <row r="53517" ht="14.4" x14ac:dyDescent="0.3"/>
    <row r="53518" ht="14.4" x14ac:dyDescent="0.3"/>
    <row r="53519" ht="14.4" x14ac:dyDescent="0.3"/>
    <row r="53520" ht="14.4" x14ac:dyDescent="0.3"/>
    <row r="53521" ht="14.4" x14ac:dyDescent="0.3"/>
    <row r="53522" ht="14.4" x14ac:dyDescent="0.3"/>
    <row r="53523" ht="14.4" x14ac:dyDescent="0.3"/>
    <row r="53524" ht="14.4" x14ac:dyDescent="0.3"/>
    <row r="53525" ht="14.4" x14ac:dyDescent="0.3"/>
    <row r="53526" ht="14.4" x14ac:dyDescent="0.3"/>
    <row r="53527" ht="14.4" x14ac:dyDescent="0.3"/>
    <row r="53528" ht="14.4" x14ac:dyDescent="0.3"/>
    <row r="53529" ht="14.4" x14ac:dyDescent="0.3"/>
    <row r="53530" ht="14.4" x14ac:dyDescent="0.3"/>
    <row r="53531" ht="14.4" x14ac:dyDescent="0.3"/>
    <row r="53532" ht="14.4" x14ac:dyDescent="0.3"/>
    <row r="53533" ht="14.4" x14ac:dyDescent="0.3"/>
    <row r="53534" ht="14.4" x14ac:dyDescent="0.3"/>
    <row r="53535" ht="14.4" x14ac:dyDescent="0.3"/>
    <row r="53536" ht="14.4" x14ac:dyDescent="0.3"/>
    <row r="53537" ht="14.4" x14ac:dyDescent="0.3"/>
    <row r="53538" ht="14.4" x14ac:dyDescent="0.3"/>
    <row r="53539" ht="14.4" x14ac:dyDescent="0.3"/>
    <row r="53540" ht="14.4" x14ac:dyDescent="0.3"/>
    <row r="53541" ht="14.4" x14ac:dyDescent="0.3"/>
    <row r="53542" ht="14.4" x14ac:dyDescent="0.3"/>
    <row r="53543" ht="14.4" x14ac:dyDescent="0.3"/>
    <row r="53544" ht="14.4" x14ac:dyDescent="0.3"/>
    <row r="53545" ht="14.4" x14ac:dyDescent="0.3"/>
    <row r="53546" ht="14.4" x14ac:dyDescent="0.3"/>
    <row r="53547" ht="14.4" x14ac:dyDescent="0.3"/>
    <row r="53548" ht="14.4" x14ac:dyDescent="0.3"/>
    <row r="53549" ht="14.4" x14ac:dyDescent="0.3"/>
    <row r="53550" ht="14.4" x14ac:dyDescent="0.3"/>
    <row r="53551" ht="14.4" x14ac:dyDescent="0.3"/>
    <row r="53552" ht="14.4" x14ac:dyDescent="0.3"/>
    <row r="53553" ht="14.4" x14ac:dyDescent="0.3"/>
    <row r="53554" ht="14.4" x14ac:dyDescent="0.3"/>
    <row r="53555" ht="14.4" x14ac:dyDescent="0.3"/>
    <row r="53556" ht="14.4" x14ac:dyDescent="0.3"/>
    <row r="53557" ht="14.4" x14ac:dyDescent="0.3"/>
    <row r="53558" ht="14.4" x14ac:dyDescent="0.3"/>
    <row r="53559" ht="14.4" x14ac:dyDescent="0.3"/>
    <row r="53560" ht="14.4" x14ac:dyDescent="0.3"/>
    <row r="53561" ht="14.4" x14ac:dyDescent="0.3"/>
    <row r="53562" ht="14.4" x14ac:dyDescent="0.3"/>
    <row r="53563" ht="14.4" x14ac:dyDescent="0.3"/>
    <row r="53564" ht="14.4" x14ac:dyDescent="0.3"/>
    <row r="53565" ht="14.4" x14ac:dyDescent="0.3"/>
    <row r="53566" ht="14.4" x14ac:dyDescent="0.3"/>
    <row r="53567" ht="14.4" x14ac:dyDescent="0.3"/>
    <row r="53568" ht="14.4" x14ac:dyDescent="0.3"/>
    <row r="53569" ht="14.4" x14ac:dyDescent="0.3"/>
    <row r="53570" ht="14.4" x14ac:dyDescent="0.3"/>
    <row r="53571" ht="14.4" x14ac:dyDescent="0.3"/>
    <row r="53572" ht="14.4" x14ac:dyDescent="0.3"/>
    <row r="53573" ht="14.4" x14ac:dyDescent="0.3"/>
    <row r="53574" ht="14.4" x14ac:dyDescent="0.3"/>
    <row r="53575" ht="14.4" x14ac:dyDescent="0.3"/>
    <row r="53576" ht="14.4" x14ac:dyDescent="0.3"/>
    <row r="53577" ht="14.4" x14ac:dyDescent="0.3"/>
    <row r="53578" ht="14.4" x14ac:dyDescent="0.3"/>
    <row r="53579" ht="14.4" x14ac:dyDescent="0.3"/>
    <row r="53580" ht="14.4" x14ac:dyDescent="0.3"/>
    <row r="53581" ht="14.4" x14ac:dyDescent="0.3"/>
    <row r="53582" ht="14.4" x14ac:dyDescent="0.3"/>
    <row r="53583" ht="14.4" x14ac:dyDescent="0.3"/>
    <row r="53584" ht="14.4" x14ac:dyDescent="0.3"/>
    <row r="53585" ht="14.4" x14ac:dyDescent="0.3"/>
    <row r="53586" ht="14.4" x14ac:dyDescent="0.3"/>
    <row r="53587" ht="14.4" x14ac:dyDescent="0.3"/>
    <row r="53588" ht="14.4" x14ac:dyDescent="0.3"/>
    <row r="53589" ht="14.4" x14ac:dyDescent="0.3"/>
    <row r="53590" ht="14.4" x14ac:dyDescent="0.3"/>
    <row r="53591" ht="14.4" x14ac:dyDescent="0.3"/>
    <row r="53592" ht="14.4" x14ac:dyDescent="0.3"/>
    <row r="53593" ht="14.4" x14ac:dyDescent="0.3"/>
    <row r="53594" ht="14.4" x14ac:dyDescent="0.3"/>
    <row r="53595" ht="14.4" x14ac:dyDescent="0.3"/>
    <row r="53596" ht="14.4" x14ac:dyDescent="0.3"/>
    <row r="53597" ht="14.4" x14ac:dyDescent="0.3"/>
    <row r="53598" ht="14.4" x14ac:dyDescent="0.3"/>
    <row r="53599" ht="14.4" x14ac:dyDescent="0.3"/>
    <row r="53600" ht="14.4" x14ac:dyDescent="0.3"/>
    <row r="53601" ht="14.4" x14ac:dyDescent="0.3"/>
    <row r="53602" ht="14.4" x14ac:dyDescent="0.3"/>
    <row r="53603" ht="14.4" x14ac:dyDescent="0.3"/>
    <row r="53604" ht="14.4" x14ac:dyDescent="0.3"/>
    <row r="53605" ht="14.4" x14ac:dyDescent="0.3"/>
    <row r="53606" ht="14.4" x14ac:dyDescent="0.3"/>
    <row r="53607" ht="14.4" x14ac:dyDescent="0.3"/>
    <row r="53608" ht="14.4" x14ac:dyDescent="0.3"/>
    <row r="53609" ht="14.4" x14ac:dyDescent="0.3"/>
    <row r="53610" ht="14.4" x14ac:dyDescent="0.3"/>
    <row r="53611" ht="14.4" x14ac:dyDescent="0.3"/>
    <row r="53612" ht="14.4" x14ac:dyDescent="0.3"/>
    <row r="53613" ht="14.4" x14ac:dyDescent="0.3"/>
    <row r="53614" ht="14.4" x14ac:dyDescent="0.3"/>
    <row r="53615" ht="14.4" x14ac:dyDescent="0.3"/>
    <row r="53616" ht="14.4" x14ac:dyDescent="0.3"/>
    <row r="53617" spans="1:43" ht="14.4" x14ac:dyDescent="0.3"/>
    <row r="53618" spans="1:43" ht="14.4" x14ac:dyDescent="0.3"/>
    <row r="53619" spans="1:43" ht="14.4" x14ac:dyDescent="0.3"/>
    <row r="53620" spans="1:43" ht="14.4" x14ac:dyDescent="0.3"/>
    <row r="53621" spans="1:43" ht="14.4" x14ac:dyDescent="0.3"/>
    <row r="53622" spans="1:43" ht="14.4" x14ac:dyDescent="0.3"/>
    <row r="53623" spans="1:43" ht="14.4" x14ac:dyDescent="0.3"/>
    <row r="53624" spans="1:43" ht="14.4" x14ac:dyDescent="0.3"/>
    <row r="53625" spans="1:43" ht="14.4" x14ac:dyDescent="0.3"/>
    <row r="53626" spans="1:43" ht="14.4" x14ac:dyDescent="0.3"/>
    <row r="53627" spans="1:43" ht="14.4" x14ac:dyDescent="0.3"/>
    <row r="53628" spans="1:43" ht="14.4" x14ac:dyDescent="0.3"/>
    <row r="53629" spans="1:43" ht="14.4" x14ac:dyDescent="0.3"/>
    <row r="53630" spans="1:43" ht="14.4" x14ac:dyDescent="0.3"/>
    <row r="53631" spans="1:43" ht="14.4" hidden="1" x14ac:dyDescent="0.3">
      <c r="A53631" t="s">
        <v>6659</v>
      </c>
      <c r="B53631">
        <v>4910383</v>
      </c>
      <c r="C53631" t="s">
        <v>135</v>
      </c>
      <c r="D53631" t="s">
        <v>136</v>
      </c>
      <c r="E53631" t="s">
        <v>2880</v>
      </c>
      <c r="F53631" t="s">
        <v>411</v>
      </c>
      <c r="H53631" t="s">
        <v>3286</v>
      </c>
      <c r="I53631" t="s">
        <v>2964</v>
      </c>
      <c r="J53631" t="s">
        <v>140</v>
      </c>
      <c r="K53631">
        <v>156119.63</v>
      </c>
      <c r="L53631">
        <v>383377.74</v>
      </c>
      <c r="M53631">
        <v>1</v>
      </c>
      <c r="N53631" t="s">
        <v>2882</v>
      </c>
      <c r="O53631" t="s">
        <v>448</v>
      </c>
      <c r="P53631" t="s">
        <v>2883</v>
      </c>
      <c r="Q53631" t="s">
        <v>144</v>
      </c>
      <c r="S53631">
        <v>5</v>
      </c>
      <c r="T53631">
        <v>220</v>
      </c>
      <c r="V53631" t="s">
        <v>146</v>
      </c>
      <c r="W53631" t="s">
        <v>184</v>
      </c>
      <c r="X53631" t="s">
        <v>7</v>
      </c>
      <c r="Y53631" t="s">
        <v>2884</v>
      </c>
      <c r="Z53631" t="s">
        <v>448</v>
      </c>
      <c r="AA53631" t="s">
        <v>456</v>
      </c>
      <c r="AB53631">
        <v>100</v>
      </c>
      <c r="AE53631" t="s">
        <v>2885</v>
      </c>
      <c r="AF53631" t="s">
        <v>448</v>
      </c>
      <c r="AG53631" t="s">
        <v>665</v>
      </c>
      <c r="AL53631" t="s">
        <v>6660</v>
      </c>
      <c r="AM53631" t="s">
        <v>6661</v>
      </c>
      <c r="AN53631" t="s">
        <v>6662</v>
      </c>
      <c r="AO53631" t="s">
        <v>2882</v>
      </c>
      <c r="AQ53631">
        <f>IF(ISBLANK(AP53631), IFERROR(IF(VLOOKUP(AO53631, Ellens_additions!$A$2:$B$252, 2, FALSE) = "", "", VLOOKUP(AO53631, Ellens_additions!$A$2:$B$252, 2, FALSE)), 0), AP53631)</f>
        <v>0</v>
      </c>
    </row>
    <row r="53632" spans="1:43" ht="14.4" hidden="1" x14ac:dyDescent="0.3">
      <c r="A53632" t="s">
        <v>6663</v>
      </c>
      <c r="B53632">
        <v>4910384</v>
      </c>
      <c r="C53632" t="s">
        <v>135</v>
      </c>
      <c r="D53632" t="s">
        <v>136</v>
      </c>
      <c r="E53632" t="s">
        <v>2880</v>
      </c>
      <c r="F53632" t="s">
        <v>411</v>
      </c>
      <c r="H53632" t="s">
        <v>1538</v>
      </c>
      <c r="I53632" t="s">
        <v>2964</v>
      </c>
      <c r="J53632" t="s">
        <v>140</v>
      </c>
      <c r="K53632">
        <v>156125.66</v>
      </c>
      <c r="L53632">
        <v>383383.03</v>
      </c>
      <c r="M53632">
        <v>1</v>
      </c>
      <c r="N53632" t="s">
        <v>2882</v>
      </c>
      <c r="O53632" t="s">
        <v>448</v>
      </c>
      <c r="P53632" t="s">
        <v>2883</v>
      </c>
      <c r="Q53632" t="s">
        <v>144</v>
      </c>
      <c r="S53632">
        <v>5</v>
      </c>
      <c r="T53632">
        <v>220</v>
      </c>
      <c r="V53632" t="s">
        <v>146</v>
      </c>
      <c r="W53632" t="s">
        <v>184</v>
      </c>
      <c r="X53632" t="s">
        <v>7</v>
      </c>
      <c r="Y53632" t="s">
        <v>2884</v>
      </c>
      <c r="Z53632" t="s">
        <v>448</v>
      </c>
      <c r="AA53632" t="s">
        <v>456</v>
      </c>
      <c r="AB53632">
        <v>100</v>
      </c>
      <c r="AE53632" t="s">
        <v>2885</v>
      </c>
      <c r="AF53632" t="s">
        <v>448</v>
      </c>
      <c r="AG53632" t="s">
        <v>665</v>
      </c>
      <c r="AL53632" t="s">
        <v>6664</v>
      </c>
      <c r="AM53632" t="s">
        <v>6665</v>
      </c>
      <c r="AN53632" t="s">
        <v>6666</v>
      </c>
      <c r="AO53632" t="s">
        <v>2882</v>
      </c>
      <c r="AQ53632">
        <f>IF(ISBLANK(AP53632), IFERROR(IF(VLOOKUP(AO53632, Ellens_additions!$A$2:$B$252, 2, FALSE) = "", "", VLOOKUP(AO53632, Ellens_additions!$A$2:$B$252, 2, FALSE)), 0), AP53632)</f>
        <v>0</v>
      </c>
    </row>
    <row r="53633" spans="1:43" ht="14.4" hidden="1" x14ac:dyDescent="0.3">
      <c r="A53633" t="s">
        <v>6667</v>
      </c>
      <c r="B53633">
        <v>4910385</v>
      </c>
      <c r="C53633" t="s">
        <v>135</v>
      </c>
      <c r="D53633" t="s">
        <v>136</v>
      </c>
      <c r="E53633" t="s">
        <v>2880</v>
      </c>
      <c r="F53633" t="s">
        <v>411</v>
      </c>
      <c r="H53633" t="s">
        <v>1795</v>
      </c>
      <c r="I53633" t="s">
        <v>2964</v>
      </c>
      <c r="J53633" t="s">
        <v>140</v>
      </c>
      <c r="K53633">
        <v>156122.60999999999</v>
      </c>
      <c r="L53633">
        <v>383380.4</v>
      </c>
      <c r="M53633">
        <v>1</v>
      </c>
      <c r="N53633" t="s">
        <v>2882</v>
      </c>
      <c r="O53633" t="s">
        <v>448</v>
      </c>
      <c r="P53633" t="s">
        <v>2883</v>
      </c>
      <c r="Q53633" t="s">
        <v>144</v>
      </c>
      <c r="S53633">
        <v>5</v>
      </c>
      <c r="T53633">
        <v>220</v>
      </c>
      <c r="V53633" t="s">
        <v>146</v>
      </c>
      <c r="W53633" t="s">
        <v>184</v>
      </c>
      <c r="X53633" t="s">
        <v>7</v>
      </c>
      <c r="Y53633" t="s">
        <v>2884</v>
      </c>
      <c r="Z53633" t="s">
        <v>448</v>
      </c>
      <c r="AA53633" t="s">
        <v>456</v>
      </c>
      <c r="AB53633">
        <v>100</v>
      </c>
      <c r="AE53633" t="s">
        <v>2885</v>
      </c>
      <c r="AF53633" t="s">
        <v>448</v>
      </c>
      <c r="AG53633" t="s">
        <v>665</v>
      </c>
      <c r="AL53633" t="s">
        <v>6668</v>
      </c>
      <c r="AM53633" t="s">
        <v>6669</v>
      </c>
      <c r="AN53633" t="s">
        <v>6670</v>
      </c>
      <c r="AO53633" t="s">
        <v>2882</v>
      </c>
      <c r="AQ53633">
        <f>IF(ISBLANK(AP53633), IFERROR(IF(VLOOKUP(AO53633, Ellens_additions!$A$2:$B$252, 2, FALSE) = "", "", VLOOKUP(AO53633, Ellens_additions!$A$2:$B$252, 2, FALSE)), 0), AP53633)</f>
        <v>0</v>
      </c>
    </row>
    <row r="53634" spans="1:43" ht="14.4" hidden="1" x14ac:dyDescent="0.3">
      <c r="A53634" t="s">
        <v>6671</v>
      </c>
      <c r="B53634">
        <v>4910386</v>
      </c>
      <c r="C53634" t="s">
        <v>135</v>
      </c>
      <c r="D53634" t="s">
        <v>136</v>
      </c>
      <c r="E53634" t="s">
        <v>2880</v>
      </c>
      <c r="F53634" t="s">
        <v>411</v>
      </c>
      <c r="H53634" t="s">
        <v>1944</v>
      </c>
      <c r="I53634" t="s">
        <v>2964</v>
      </c>
      <c r="J53634" t="s">
        <v>140</v>
      </c>
      <c r="K53634">
        <v>156116.62</v>
      </c>
      <c r="L53634">
        <v>383375.21</v>
      </c>
      <c r="M53634">
        <v>1</v>
      </c>
      <c r="N53634" t="s">
        <v>2882</v>
      </c>
      <c r="O53634" t="s">
        <v>448</v>
      </c>
      <c r="P53634" t="s">
        <v>2883</v>
      </c>
      <c r="Q53634" t="s">
        <v>144</v>
      </c>
      <c r="S53634">
        <v>5</v>
      </c>
      <c r="T53634">
        <v>220</v>
      </c>
      <c r="V53634" t="s">
        <v>146</v>
      </c>
      <c r="W53634" t="s">
        <v>184</v>
      </c>
      <c r="X53634" t="s">
        <v>7</v>
      </c>
      <c r="Y53634" t="s">
        <v>2884</v>
      </c>
      <c r="Z53634" t="s">
        <v>448</v>
      </c>
      <c r="AA53634" t="s">
        <v>456</v>
      </c>
      <c r="AB53634">
        <v>100</v>
      </c>
      <c r="AE53634" t="s">
        <v>2885</v>
      </c>
      <c r="AF53634" t="s">
        <v>448</v>
      </c>
      <c r="AG53634" t="s">
        <v>665</v>
      </c>
      <c r="AL53634" t="s">
        <v>6672</v>
      </c>
      <c r="AM53634" t="s">
        <v>6673</v>
      </c>
      <c r="AN53634" t="s">
        <v>6674</v>
      </c>
      <c r="AO53634" t="s">
        <v>2882</v>
      </c>
      <c r="AQ53634">
        <f>IF(ISBLANK(AP53634), IFERROR(IF(VLOOKUP(AO53634, Ellens_additions!$A$2:$B$252, 2, FALSE) = "", "", VLOOKUP(AO53634, Ellens_additions!$A$2:$B$252, 2, FALSE)), 0), AP53634)</f>
        <v>0</v>
      </c>
    </row>
    <row r="53635" spans="1:43" ht="14.4" x14ac:dyDescent="0.3"/>
    <row r="53636" spans="1:43" ht="14.4" x14ac:dyDescent="0.3"/>
    <row r="53637" spans="1:43" ht="14.4" x14ac:dyDescent="0.3"/>
    <row r="53638" spans="1:43" ht="14.4" x14ac:dyDescent="0.3"/>
    <row r="53639" spans="1:43" ht="14.4" x14ac:dyDescent="0.3"/>
    <row r="53640" spans="1:43" ht="14.4" x14ac:dyDescent="0.3"/>
    <row r="53641" spans="1:43" ht="14.4" x14ac:dyDescent="0.3"/>
    <row r="53642" spans="1:43" ht="14.4" x14ac:dyDescent="0.3"/>
    <row r="53643" spans="1:43" ht="14.4" x14ac:dyDescent="0.3"/>
    <row r="53644" spans="1:43" ht="14.4" x14ac:dyDescent="0.3"/>
    <row r="53645" spans="1:43" ht="14.4" x14ac:dyDescent="0.3"/>
    <row r="53646" spans="1:43" ht="14.4" x14ac:dyDescent="0.3"/>
    <row r="53647" spans="1:43" ht="14.4" x14ac:dyDescent="0.3"/>
    <row r="53648" spans="1:43" ht="14.4" x14ac:dyDescent="0.3"/>
    <row r="53649" spans="1:43" ht="14.4" x14ac:dyDescent="0.3"/>
    <row r="53650" spans="1:43" ht="14.4" x14ac:dyDescent="0.3"/>
    <row r="53651" spans="1:43" ht="14.4" x14ac:dyDescent="0.3"/>
    <row r="53652" spans="1:43" ht="14.4" x14ac:dyDescent="0.3"/>
    <row r="53653" spans="1:43" ht="14.4" x14ac:dyDescent="0.3"/>
    <row r="53654" spans="1:43" ht="14.4" x14ac:dyDescent="0.3"/>
    <row r="53655" spans="1:43" ht="14.4" x14ac:dyDescent="0.3"/>
    <row r="53656" spans="1:43" ht="14.4" x14ac:dyDescent="0.3"/>
    <row r="53657" spans="1:43" ht="14.4" x14ac:dyDescent="0.3"/>
    <row r="53658" spans="1:43" ht="14.4" x14ac:dyDescent="0.3"/>
    <row r="53659" spans="1:43" ht="14.4" hidden="1" x14ac:dyDescent="0.3">
      <c r="A53659" t="s">
        <v>6675</v>
      </c>
      <c r="B53659">
        <v>4910472</v>
      </c>
      <c r="C53659" t="s">
        <v>135</v>
      </c>
      <c r="D53659" t="s">
        <v>136</v>
      </c>
      <c r="E53659" t="s">
        <v>2880</v>
      </c>
      <c r="F53659" t="s">
        <v>2996</v>
      </c>
      <c r="H53659" t="s">
        <v>6676</v>
      </c>
      <c r="J53659" t="s">
        <v>140</v>
      </c>
      <c r="K53659">
        <v>156533.18</v>
      </c>
      <c r="L53659">
        <v>383682.47</v>
      </c>
      <c r="M53659">
        <v>1</v>
      </c>
      <c r="N53659" t="s">
        <v>382</v>
      </c>
      <c r="O53659" t="s">
        <v>566</v>
      </c>
      <c r="P53659" t="s">
        <v>1873</v>
      </c>
      <c r="Q53659" t="s">
        <v>358</v>
      </c>
      <c r="R53659" t="s">
        <v>145</v>
      </c>
      <c r="S53659">
        <v>35</v>
      </c>
      <c r="T53659">
        <v>3300</v>
      </c>
      <c r="V53659" t="s">
        <v>359</v>
      </c>
      <c r="W53659" t="s">
        <v>184</v>
      </c>
      <c r="X53659" t="s">
        <v>7</v>
      </c>
      <c r="Y53659" t="s">
        <v>2864</v>
      </c>
      <c r="Z53659" t="s">
        <v>566</v>
      </c>
      <c r="AA53659" t="s">
        <v>387</v>
      </c>
      <c r="AB53659">
        <v>0</v>
      </c>
      <c r="AE53659" t="s">
        <v>1496</v>
      </c>
      <c r="AF53659" t="s">
        <v>566</v>
      </c>
      <c r="AG53659" t="s">
        <v>387</v>
      </c>
      <c r="AL53659" t="s">
        <v>6677</v>
      </c>
      <c r="AM53659" t="s">
        <v>6678</v>
      </c>
      <c r="AN53659" t="s">
        <v>6679</v>
      </c>
      <c r="AO53659" t="s">
        <v>382</v>
      </c>
      <c r="AQ53659" t="str">
        <f>IF(ISBLANK(AP53659), IFERROR(IF(VLOOKUP(AO53659, Ellens_additions!$A$2:$B$252, 2, FALSE) = "", "", VLOOKUP(AO53659, Ellens_additions!$A$2:$B$252, 2, FALSE)), 0), AP53659)</f>
        <v/>
      </c>
    </row>
    <row r="53660" spans="1:43" ht="14.4" hidden="1" x14ac:dyDescent="0.3">
      <c r="A53660" t="s">
        <v>6680</v>
      </c>
      <c r="B53660">
        <v>4910473</v>
      </c>
      <c r="C53660" t="s">
        <v>135</v>
      </c>
      <c r="D53660" t="s">
        <v>136</v>
      </c>
      <c r="E53660" t="s">
        <v>2880</v>
      </c>
      <c r="F53660" t="s">
        <v>2996</v>
      </c>
      <c r="H53660" t="s">
        <v>6681</v>
      </c>
      <c r="J53660" t="s">
        <v>140</v>
      </c>
      <c r="K53660">
        <v>156532.20000000001</v>
      </c>
      <c r="L53660">
        <v>383683.82</v>
      </c>
      <c r="M53660">
        <v>1</v>
      </c>
      <c r="N53660" t="s">
        <v>382</v>
      </c>
      <c r="O53660" t="s">
        <v>566</v>
      </c>
      <c r="P53660" t="s">
        <v>1873</v>
      </c>
      <c r="Q53660" t="s">
        <v>358</v>
      </c>
      <c r="R53660" t="s">
        <v>145</v>
      </c>
      <c r="S53660">
        <v>35</v>
      </c>
      <c r="T53660">
        <v>3300</v>
      </c>
      <c r="V53660" t="s">
        <v>359</v>
      </c>
      <c r="W53660" t="s">
        <v>184</v>
      </c>
      <c r="X53660" t="s">
        <v>7</v>
      </c>
      <c r="Y53660" t="s">
        <v>2864</v>
      </c>
      <c r="Z53660" t="s">
        <v>566</v>
      </c>
      <c r="AA53660" t="s">
        <v>387</v>
      </c>
      <c r="AB53660">
        <v>0</v>
      </c>
      <c r="AE53660" t="s">
        <v>1496</v>
      </c>
      <c r="AF53660" t="s">
        <v>566</v>
      </c>
      <c r="AG53660" t="s">
        <v>387</v>
      </c>
      <c r="AL53660" t="s">
        <v>6682</v>
      </c>
      <c r="AM53660" t="s">
        <v>6683</v>
      </c>
      <c r="AN53660" t="s">
        <v>6684</v>
      </c>
      <c r="AO53660" t="s">
        <v>382</v>
      </c>
      <c r="AQ53660" t="str">
        <f>IF(ISBLANK(AP53660), IFERROR(IF(VLOOKUP(AO53660, Ellens_additions!$A$2:$B$252, 2, FALSE) = "", "", VLOOKUP(AO53660, Ellens_additions!$A$2:$B$252, 2, FALSE)), 0), AP53660)</f>
        <v/>
      </c>
    </row>
    <row r="53661" spans="1:43" ht="14.4" hidden="1" x14ac:dyDescent="0.3">
      <c r="A53661" t="s">
        <v>6685</v>
      </c>
      <c r="B53661">
        <v>4910474</v>
      </c>
      <c r="C53661" t="s">
        <v>135</v>
      </c>
      <c r="D53661" t="s">
        <v>136</v>
      </c>
      <c r="E53661" t="s">
        <v>2880</v>
      </c>
      <c r="F53661" t="s">
        <v>2996</v>
      </c>
      <c r="H53661" t="s">
        <v>6686</v>
      </c>
      <c r="J53661" t="s">
        <v>140</v>
      </c>
      <c r="K53661">
        <v>156533.76999999999</v>
      </c>
      <c r="L53661">
        <v>383684.05</v>
      </c>
      <c r="M53661">
        <v>1</v>
      </c>
      <c r="N53661" t="s">
        <v>382</v>
      </c>
      <c r="O53661" t="s">
        <v>566</v>
      </c>
      <c r="P53661" t="s">
        <v>1873</v>
      </c>
      <c r="Q53661" t="s">
        <v>358</v>
      </c>
      <c r="R53661" t="s">
        <v>145</v>
      </c>
      <c r="S53661">
        <v>35</v>
      </c>
      <c r="T53661">
        <v>3300</v>
      </c>
      <c r="V53661" t="s">
        <v>359</v>
      </c>
      <c r="W53661" t="s">
        <v>184</v>
      </c>
      <c r="X53661" t="s">
        <v>7</v>
      </c>
      <c r="Y53661" t="s">
        <v>2864</v>
      </c>
      <c r="Z53661" t="s">
        <v>566</v>
      </c>
      <c r="AA53661" t="s">
        <v>387</v>
      </c>
      <c r="AB53661">
        <v>0</v>
      </c>
      <c r="AE53661" t="s">
        <v>1496</v>
      </c>
      <c r="AF53661" t="s">
        <v>566</v>
      </c>
      <c r="AG53661" t="s">
        <v>387</v>
      </c>
      <c r="AL53661" t="s">
        <v>6687</v>
      </c>
      <c r="AM53661" t="s">
        <v>6688</v>
      </c>
      <c r="AN53661" t="s">
        <v>6689</v>
      </c>
      <c r="AO53661" t="s">
        <v>382</v>
      </c>
      <c r="AQ53661" t="str">
        <f>IF(ISBLANK(AP53661), IFERROR(IF(VLOOKUP(AO53661, Ellens_additions!$A$2:$B$252, 2, FALSE) = "", "", VLOOKUP(AO53661, Ellens_additions!$A$2:$B$252, 2, FALSE)), 0), AP53661)</f>
        <v/>
      </c>
    </row>
    <row r="53662" spans="1:43" ht="14.4" hidden="1" x14ac:dyDescent="0.3">
      <c r="A53662" t="s">
        <v>6690</v>
      </c>
      <c r="B53662">
        <v>4910475</v>
      </c>
      <c r="C53662" t="s">
        <v>135</v>
      </c>
      <c r="D53662" t="s">
        <v>136</v>
      </c>
      <c r="E53662" t="s">
        <v>2880</v>
      </c>
      <c r="F53662" t="s">
        <v>2996</v>
      </c>
      <c r="H53662" t="s">
        <v>6691</v>
      </c>
      <c r="J53662" t="s">
        <v>140</v>
      </c>
      <c r="K53662">
        <v>156535.60999999999</v>
      </c>
      <c r="L53662">
        <v>383692.15</v>
      </c>
      <c r="M53662">
        <v>1</v>
      </c>
      <c r="N53662" t="s">
        <v>382</v>
      </c>
      <c r="O53662" t="s">
        <v>566</v>
      </c>
      <c r="P53662" t="s">
        <v>1873</v>
      </c>
      <c r="Q53662" t="s">
        <v>358</v>
      </c>
      <c r="R53662" t="s">
        <v>145</v>
      </c>
      <c r="S53662">
        <v>35</v>
      </c>
      <c r="T53662">
        <v>3300</v>
      </c>
      <c r="V53662" t="s">
        <v>359</v>
      </c>
      <c r="W53662" t="s">
        <v>184</v>
      </c>
      <c r="X53662" t="s">
        <v>7</v>
      </c>
      <c r="Y53662" t="s">
        <v>2864</v>
      </c>
      <c r="Z53662" t="s">
        <v>566</v>
      </c>
      <c r="AA53662" t="s">
        <v>387</v>
      </c>
      <c r="AB53662">
        <v>0</v>
      </c>
      <c r="AE53662" t="s">
        <v>1496</v>
      </c>
      <c r="AF53662" t="s">
        <v>566</v>
      </c>
      <c r="AG53662" t="s">
        <v>387</v>
      </c>
      <c r="AL53662" t="s">
        <v>6692</v>
      </c>
      <c r="AM53662" t="s">
        <v>6693</v>
      </c>
      <c r="AN53662" t="s">
        <v>6694</v>
      </c>
      <c r="AO53662" t="s">
        <v>382</v>
      </c>
      <c r="AQ53662" t="str">
        <f>IF(ISBLANK(AP53662), IFERROR(IF(VLOOKUP(AO53662, Ellens_additions!$A$2:$B$252, 2, FALSE) = "", "", VLOOKUP(AO53662, Ellens_additions!$A$2:$B$252, 2, FALSE)), 0), AP53662)</f>
        <v/>
      </c>
    </row>
    <row r="53663" spans="1:43" ht="14.4" hidden="1" x14ac:dyDescent="0.3">
      <c r="A53663" t="s">
        <v>6695</v>
      </c>
      <c r="B53663">
        <v>4910476</v>
      </c>
      <c r="C53663" t="s">
        <v>135</v>
      </c>
      <c r="D53663" t="s">
        <v>136</v>
      </c>
      <c r="E53663" t="s">
        <v>2880</v>
      </c>
      <c r="F53663" t="s">
        <v>2996</v>
      </c>
      <c r="H53663" t="s">
        <v>6696</v>
      </c>
      <c r="J53663" t="s">
        <v>140</v>
      </c>
      <c r="K53663">
        <v>156537.28</v>
      </c>
      <c r="L53663">
        <v>383693.31</v>
      </c>
      <c r="M53663">
        <v>1</v>
      </c>
      <c r="N53663" t="s">
        <v>382</v>
      </c>
      <c r="O53663" t="s">
        <v>566</v>
      </c>
      <c r="P53663" t="s">
        <v>1873</v>
      </c>
      <c r="Q53663" t="s">
        <v>358</v>
      </c>
      <c r="R53663" t="s">
        <v>145</v>
      </c>
      <c r="S53663">
        <v>35</v>
      </c>
      <c r="T53663">
        <v>3300</v>
      </c>
      <c r="V53663" t="s">
        <v>359</v>
      </c>
      <c r="W53663" t="s">
        <v>184</v>
      </c>
      <c r="X53663" t="s">
        <v>7</v>
      </c>
      <c r="Y53663" t="s">
        <v>2864</v>
      </c>
      <c r="Z53663" t="s">
        <v>566</v>
      </c>
      <c r="AA53663" t="s">
        <v>387</v>
      </c>
      <c r="AB53663">
        <v>0</v>
      </c>
      <c r="AE53663" t="s">
        <v>1496</v>
      </c>
      <c r="AF53663" t="s">
        <v>566</v>
      </c>
      <c r="AG53663" t="s">
        <v>387</v>
      </c>
      <c r="AL53663" t="s">
        <v>6697</v>
      </c>
      <c r="AM53663" t="s">
        <v>6698</v>
      </c>
      <c r="AN53663" t="s">
        <v>6699</v>
      </c>
      <c r="AO53663" t="s">
        <v>382</v>
      </c>
      <c r="AQ53663" t="str">
        <f>IF(ISBLANK(AP53663), IFERROR(IF(VLOOKUP(AO53663, Ellens_additions!$A$2:$B$252, 2, FALSE) = "", "", VLOOKUP(AO53663, Ellens_additions!$A$2:$B$252, 2, FALSE)), 0), AP53663)</f>
        <v/>
      </c>
    </row>
    <row r="53664" spans="1:43" ht="14.4" hidden="1" x14ac:dyDescent="0.3">
      <c r="A53664" t="s">
        <v>6700</v>
      </c>
      <c r="B53664">
        <v>4910480</v>
      </c>
      <c r="C53664" t="s">
        <v>135</v>
      </c>
      <c r="D53664" t="s">
        <v>136</v>
      </c>
      <c r="E53664" t="s">
        <v>2880</v>
      </c>
      <c r="F53664" t="s">
        <v>2996</v>
      </c>
      <c r="H53664" t="s">
        <v>6701</v>
      </c>
      <c r="J53664" t="s">
        <v>140</v>
      </c>
      <c r="K53664">
        <v>156529.51999999999</v>
      </c>
      <c r="L53664">
        <v>383695.53</v>
      </c>
      <c r="M53664">
        <v>1</v>
      </c>
      <c r="N53664" t="s">
        <v>382</v>
      </c>
      <c r="O53664" t="s">
        <v>566</v>
      </c>
      <c r="P53664" t="s">
        <v>1873</v>
      </c>
      <c r="Q53664" t="s">
        <v>358</v>
      </c>
      <c r="R53664" t="s">
        <v>145</v>
      </c>
      <c r="S53664">
        <v>35</v>
      </c>
      <c r="T53664">
        <v>3300</v>
      </c>
      <c r="V53664" t="s">
        <v>359</v>
      </c>
      <c r="W53664" t="s">
        <v>184</v>
      </c>
      <c r="X53664" t="s">
        <v>7</v>
      </c>
      <c r="Y53664" t="s">
        <v>2864</v>
      </c>
      <c r="Z53664" t="s">
        <v>566</v>
      </c>
      <c r="AA53664" t="s">
        <v>387</v>
      </c>
      <c r="AB53664">
        <v>0</v>
      </c>
      <c r="AE53664" t="s">
        <v>1496</v>
      </c>
      <c r="AF53664" t="s">
        <v>566</v>
      </c>
      <c r="AG53664" t="s">
        <v>387</v>
      </c>
      <c r="AL53664" t="s">
        <v>6702</v>
      </c>
      <c r="AM53664" t="s">
        <v>6703</v>
      </c>
      <c r="AN53664" t="s">
        <v>6704</v>
      </c>
      <c r="AO53664" t="s">
        <v>382</v>
      </c>
      <c r="AQ53664" t="str">
        <f>IF(ISBLANK(AP53664), IFERROR(IF(VLOOKUP(AO53664, Ellens_additions!$A$2:$B$252, 2, FALSE) = "", "", VLOOKUP(AO53664, Ellens_additions!$A$2:$B$252, 2, FALSE)), 0), AP53664)</f>
        <v/>
      </c>
    </row>
    <row r="53665" spans="1:43" ht="14.4" hidden="1" x14ac:dyDescent="0.3">
      <c r="A53665" t="s">
        <v>6705</v>
      </c>
      <c r="B53665">
        <v>4910481</v>
      </c>
      <c r="C53665" t="s">
        <v>135</v>
      </c>
      <c r="D53665" t="s">
        <v>136</v>
      </c>
      <c r="E53665" t="s">
        <v>2880</v>
      </c>
      <c r="F53665" t="s">
        <v>2996</v>
      </c>
      <c r="H53665" t="s">
        <v>6706</v>
      </c>
      <c r="J53665" t="s">
        <v>140</v>
      </c>
      <c r="K53665">
        <v>156539.92000000001</v>
      </c>
      <c r="L53665">
        <v>383727.83</v>
      </c>
      <c r="M53665">
        <v>1</v>
      </c>
      <c r="N53665" t="s">
        <v>382</v>
      </c>
      <c r="O53665" t="s">
        <v>566</v>
      </c>
      <c r="P53665" t="s">
        <v>1873</v>
      </c>
      <c r="Q53665" t="s">
        <v>358</v>
      </c>
      <c r="R53665" t="s">
        <v>145</v>
      </c>
      <c r="S53665">
        <v>35</v>
      </c>
      <c r="T53665">
        <v>3300</v>
      </c>
      <c r="V53665" t="s">
        <v>359</v>
      </c>
      <c r="W53665" t="s">
        <v>184</v>
      </c>
      <c r="X53665" t="s">
        <v>7</v>
      </c>
      <c r="Y53665" t="s">
        <v>2864</v>
      </c>
      <c r="Z53665" t="s">
        <v>566</v>
      </c>
      <c r="AA53665" t="s">
        <v>387</v>
      </c>
      <c r="AB53665">
        <v>0</v>
      </c>
      <c r="AE53665" t="s">
        <v>1496</v>
      </c>
      <c r="AF53665" t="s">
        <v>566</v>
      </c>
      <c r="AG53665" t="s">
        <v>387</v>
      </c>
      <c r="AL53665" t="s">
        <v>6707</v>
      </c>
      <c r="AM53665" t="s">
        <v>6708</v>
      </c>
      <c r="AN53665" t="s">
        <v>6709</v>
      </c>
      <c r="AO53665" t="s">
        <v>382</v>
      </c>
      <c r="AQ53665" t="str">
        <f>IF(ISBLANK(AP53665), IFERROR(IF(VLOOKUP(AO53665, Ellens_additions!$A$2:$B$252, 2, FALSE) = "", "", VLOOKUP(AO53665, Ellens_additions!$A$2:$B$252, 2, FALSE)), 0), AP53665)</f>
        <v/>
      </c>
    </row>
    <row r="53666" spans="1:43" ht="14.4" hidden="1" x14ac:dyDescent="0.3">
      <c r="A53666" t="s">
        <v>6710</v>
      </c>
      <c r="B53666">
        <v>4910483</v>
      </c>
      <c r="C53666" t="s">
        <v>135</v>
      </c>
      <c r="D53666" t="s">
        <v>136</v>
      </c>
      <c r="E53666" t="s">
        <v>2880</v>
      </c>
      <c r="F53666" t="s">
        <v>2996</v>
      </c>
      <c r="H53666" t="s">
        <v>6711</v>
      </c>
      <c r="J53666" t="s">
        <v>140</v>
      </c>
      <c r="K53666">
        <v>156555.32999999999</v>
      </c>
      <c r="L53666">
        <v>383730.62</v>
      </c>
      <c r="M53666">
        <v>1</v>
      </c>
      <c r="N53666" t="s">
        <v>382</v>
      </c>
      <c r="O53666" t="s">
        <v>566</v>
      </c>
      <c r="P53666" t="s">
        <v>1873</v>
      </c>
      <c r="Q53666" t="s">
        <v>358</v>
      </c>
      <c r="R53666" t="s">
        <v>145</v>
      </c>
      <c r="S53666">
        <v>35</v>
      </c>
      <c r="T53666">
        <v>3300</v>
      </c>
      <c r="V53666" t="s">
        <v>359</v>
      </c>
      <c r="W53666" t="s">
        <v>184</v>
      </c>
      <c r="X53666" t="s">
        <v>7</v>
      </c>
      <c r="Y53666" t="s">
        <v>2864</v>
      </c>
      <c r="Z53666" t="s">
        <v>566</v>
      </c>
      <c r="AA53666" t="s">
        <v>387</v>
      </c>
      <c r="AB53666">
        <v>0</v>
      </c>
      <c r="AE53666" t="s">
        <v>1496</v>
      </c>
      <c r="AF53666" t="s">
        <v>566</v>
      </c>
      <c r="AG53666" t="s">
        <v>387</v>
      </c>
      <c r="AL53666" t="s">
        <v>6712</v>
      </c>
      <c r="AM53666" t="s">
        <v>6713</v>
      </c>
      <c r="AN53666" t="s">
        <v>6714</v>
      </c>
      <c r="AO53666" t="s">
        <v>382</v>
      </c>
      <c r="AQ53666" t="str">
        <f>IF(ISBLANK(AP53666), IFERROR(IF(VLOOKUP(AO53666, Ellens_additions!$A$2:$B$252, 2, FALSE) = "", "", VLOOKUP(AO53666, Ellens_additions!$A$2:$B$252, 2, FALSE)), 0), AP53666)</f>
        <v/>
      </c>
    </row>
    <row r="53667" spans="1:43" ht="14.4" x14ac:dyDescent="0.3"/>
    <row r="53668" spans="1:43" ht="14.4" x14ac:dyDescent="0.3"/>
    <row r="53669" spans="1:43" ht="14.4" x14ac:dyDescent="0.3"/>
    <row r="53670" spans="1:43" ht="14.4" x14ac:dyDescent="0.3"/>
    <row r="53671" spans="1:43" ht="14.4" x14ac:dyDescent="0.3"/>
    <row r="53672" spans="1:43" ht="14.4" hidden="1" x14ac:dyDescent="0.3">
      <c r="A53672" t="s">
        <v>6715</v>
      </c>
      <c r="B53672">
        <v>4910497</v>
      </c>
      <c r="C53672" t="s">
        <v>135</v>
      </c>
      <c r="D53672" t="s">
        <v>136</v>
      </c>
      <c r="E53672" t="s">
        <v>344</v>
      </c>
      <c r="F53672" t="s">
        <v>1868</v>
      </c>
      <c r="H53672" t="s">
        <v>377</v>
      </c>
      <c r="J53672" t="s">
        <v>140</v>
      </c>
      <c r="K53672">
        <v>156794.21</v>
      </c>
      <c r="L53672">
        <v>384385.53</v>
      </c>
      <c r="M53672">
        <v>1</v>
      </c>
      <c r="N53672" t="s">
        <v>857</v>
      </c>
      <c r="O53672" t="s">
        <v>1878</v>
      </c>
      <c r="P53672" t="s">
        <v>4663</v>
      </c>
      <c r="Q53672" t="s">
        <v>264</v>
      </c>
      <c r="R53672" t="s">
        <v>145</v>
      </c>
      <c r="S53672">
        <v>42</v>
      </c>
      <c r="T53672">
        <v>3200</v>
      </c>
      <c r="V53672" t="s">
        <v>858</v>
      </c>
      <c r="W53672" t="s">
        <v>147</v>
      </c>
      <c r="X53672" t="s">
        <v>7</v>
      </c>
      <c r="Y53672" t="s">
        <v>859</v>
      </c>
      <c r="Z53672" t="s">
        <v>1878</v>
      </c>
      <c r="AA53672" t="s">
        <v>1879</v>
      </c>
      <c r="AB53672">
        <v>0</v>
      </c>
      <c r="AE53672" t="s">
        <v>853</v>
      </c>
      <c r="AF53672" t="s">
        <v>1878</v>
      </c>
      <c r="AG53672" t="s">
        <v>1879</v>
      </c>
      <c r="AL53672" t="s">
        <v>6716</v>
      </c>
      <c r="AM53672" t="s">
        <v>6717</v>
      </c>
      <c r="AN53672" t="s">
        <v>6718</v>
      </c>
      <c r="AO53672" t="s">
        <v>857</v>
      </c>
      <c r="AQ53672">
        <f>IF(ISBLANK(AP53672), IFERROR(IF(VLOOKUP(AO53672, Ellens_additions!$A$2:$B$252, 2, FALSE) = "", "", VLOOKUP(AO53672, Ellens_additions!$A$2:$B$252, 2, FALSE)), 0), AP53672)</f>
        <v>3000</v>
      </c>
    </row>
    <row r="53673" spans="1:43" ht="14.4" hidden="1" x14ac:dyDescent="0.3">
      <c r="A53673" t="s">
        <v>6719</v>
      </c>
      <c r="B53673">
        <v>4910504</v>
      </c>
      <c r="C53673" t="s">
        <v>135</v>
      </c>
      <c r="D53673" t="s">
        <v>136</v>
      </c>
      <c r="E53673" t="s">
        <v>318</v>
      </c>
      <c r="F53673" t="s">
        <v>537</v>
      </c>
      <c r="H53673" t="s">
        <v>165</v>
      </c>
      <c r="J53673" t="s">
        <v>140</v>
      </c>
      <c r="K53673">
        <v>155415.39629999999</v>
      </c>
      <c r="L53673">
        <v>385350.87359999999</v>
      </c>
      <c r="M53673">
        <v>1</v>
      </c>
      <c r="N53673" t="s">
        <v>2977</v>
      </c>
      <c r="O53673" t="s">
        <v>851</v>
      </c>
      <c r="P53673" t="s">
        <v>2044</v>
      </c>
      <c r="Q53673" t="s">
        <v>144</v>
      </c>
      <c r="S53673">
        <v>52</v>
      </c>
      <c r="T53673">
        <v>6800</v>
      </c>
      <c r="V53673" t="s">
        <v>146</v>
      </c>
      <c r="W53673" t="s">
        <v>147</v>
      </c>
      <c r="X53673" t="s">
        <v>7</v>
      </c>
      <c r="Y53673" t="s">
        <v>2033</v>
      </c>
      <c r="Z53673" t="s">
        <v>851</v>
      </c>
      <c r="AA53673" t="s">
        <v>2982</v>
      </c>
      <c r="AB53673">
        <v>0</v>
      </c>
      <c r="AE53673" t="s">
        <v>2035</v>
      </c>
      <c r="AF53673" t="s">
        <v>851</v>
      </c>
      <c r="AG53673" t="s">
        <v>1082</v>
      </c>
      <c r="AL53673" t="s">
        <v>6720</v>
      </c>
      <c r="AM53673" t="s">
        <v>6721</v>
      </c>
      <c r="AN53673" t="s">
        <v>6722</v>
      </c>
      <c r="AO53673" t="s">
        <v>2977</v>
      </c>
      <c r="AP53673" t="s">
        <v>158</v>
      </c>
      <c r="AQ53673" t="str">
        <f>IF(ISBLANK(AP53673), IFERROR(IF(VLOOKUP(AO53673, Ellens_additions!$A$2:$B$252, 2, FALSE) = "", "", VLOOKUP(AO53673, Ellens_additions!$A$2:$B$252, 2, FALSE)), 0), AP53673)</f>
        <v>3000</v>
      </c>
    </row>
    <row r="53674" spans="1:43" ht="14.4" hidden="1" x14ac:dyDescent="0.3">
      <c r="A53674" t="s">
        <v>6723</v>
      </c>
      <c r="B53674">
        <v>4910505</v>
      </c>
      <c r="C53674" t="s">
        <v>135</v>
      </c>
      <c r="D53674" t="s">
        <v>136</v>
      </c>
      <c r="E53674" t="s">
        <v>318</v>
      </c>
      <c r="F53674" t="s">
        <v>537</v>
      </c>
      <c r="H53674" t="s">
        <v>434</v>
      </c>
      <c r="J53674" t="s">
        <v>140</v>
      </c>
      <c r="K53674">
        <v>155413.88310000001</v>
      </c>
      <c r="L53674">
        <v>385369.66499999998</v>
      </c>
      <c r="M53674">
        <v>1</v>
      </c>
      <c r="N53674" t="s">
        <v>2977</v>
      </c>
      <c r="O53674" t="s">
        <v>851</v>
      </c>
      <c r="P53674" t="s">
        <v>2044</v>
      </c>
      <c r="Q53674" t="s">
        <v>144</v>
      </c>
      <c r="S53674">
        <v>52</v>
      </c>
      <c r="T53674">
        <v>6800</v>
      </c>
      <c r="V53674" t="s">
        <v>146</v>
      </c>
      <c r="W53674" t="s">
        <v>147</v>
      </c>
      <c r="X53674" t="s">
        <v>7</v>
      </c>
      <c r="Y53674" t="s">
        <v>2033</v>
      </c>
      <c r="Z53674" t="s">
        <v>851</v>
      </c>
      <c r="AA53674" t="s">
        <v>2982</v>
      </c>
      <c r="AB53674">
        <v>0</v>
      </c>
      <c r="AE53674" t="s">
        <v>2035</v>
      </c>
      <c r="AF53674" t="s">
        <v>851</v>
      </c>
      <c r="AG53674" t="s">
        <v>1082</v>
      </c>
      <c r="AL53674" t="s">
        <v>6724</v>
      </c>
      <c r="AM53674" t="s">
        <v>6725</v>
      </c>
      <c r="AN53674" t="s">
        <v>6726</v>
      </c>
      <c r="AO53674" t="s">
        <v>2977</v>
      </c>
      <c r="AP53674" t="s">
        <v>158</v>
      </c>
      <c r="AQ53674" t="str">
        <f>IF(ISBLANK(AP53674), IFERROR(IF(VLOOKUP(AO53674, Ellens_additions!$A$2:$B$252, 2, FALSE) = "", "", VLOOKUP(AO53674, Ellens_additions!$A$2:$B$252, 2, FALSE)), 0), AP53674)</f>
        <v>3000</v>
      </c>
    </row>
    <row r="53675" spans="1:43" ht="14.4" hidden="1" x14ac:dyDescent="0.3">
      <c r="A53675" t="s">
        <v>6727</v>
      </c>
      <c r="B53675">
        <v>4910509</v>
      </c>
      <c r="C53675" t="s">
        <v>135</v>
      </c>
      <c r="D53675" t="s">
        <v>136</v>
      </c>
      <c r="E53675" t="s">
        <v>318</v>
      </c>
      <c r="F53675" t="s">
        <v>537</v>
      </c>
      <c r="H53675" t="s">
        <v>269</v>
      </c>
      <c r="J53675" t="s">
        <v>140</v>
      </c>
      <c r="K53675">
        <v>155417.18</v>
      </c>
      <c r="L53675">
        <v>385531.98</v>
      </c>
      <c r="M53675">
        <v>1</v>
      </c>
      <c r="N53675" t="s">
        <v>2977</v>
      </c>
      <c r="O53675" t="s">
        <v>455</v>
      </c>
      <c r="P53675" t="s">
        <v>1235</v>
      </c>
      <c r="Q53675" t="s">
        <v>144</v>
      </c>
      <c r="S53675">
        <v>52</v>
      </c>
      <c r="T53675">
        <v>6800</v>
      </c>
      <c r="V53675" t="s">
        <v>146</v>
      </c>
      <c r="W53675" t="s">
        <v>147</v>
      </c>
      <c r="X53675" t="s">
        <v>7</v>
      </c>
      <c r="Y53675" t="s">
        <v>2033</v>
      </c>
      <c r="Z53675" t="s">
        <v>455</v>
      </c>
      <c r="AA53675" t="s">
        <v>1951</v>
      </c>
      <c r="AB53675">
        <v>0</v>
      </c>
      <c r="AE53675" t="s">
        <v>2035</v>
      </c>
      <c r="AF53675" t="s">
        <v>455</v>
      </c>
      <c r="AG53675" t="s">
        <v>6651</v>
      </c>
      <c r="AL53675" t="s">
        <v>6728</v>
      </c>
      <c r="AM53675" t="s">
        <v>6729</v>
      </c>
      <c r="AN53675" t="s">
        <v>6730</v>
      </c>
      <c r="AO53675" t="s">
        <v>2977</v>
      </c>
      <c r="AP53675" t="s">
        <v>158</v>
      </c>
      <c r="AQ53675" t="str">
        <f>IF(ISBLANK(AP53675), IFERROR(IF(VLOOKUP(AO53675, Ellens_additions!$A$2:$B$252, 2, FALSE) = "", "", VLOOKUP(AO53675, Ellens_additions!$A$2:$B$252, 2, FALSE)), 0), AP53675)</f>
        <v>3000</v>
      </c>
    </row>
    <row r="53676" spans="1:43" ht="14.4" x14ac:dyDescent="0.3"/>
    <row r="53677" spans="1:43" ht="14.4" x14ac:dyDescent="0.3"/>
    <row r="53678" spans="1:43" ht="14.4" x14ac:dyDescent="0.3"/>
    <row r="53679" spans="1:43" ht="14.4" x14ac:dyDescent="0.3"/>
    <row r="53680" spans="1:43" ht="14.4" x14ac:dyDescent="0.3"/>
    <row r="53681" ht="14.4" x14ac:dyDescent="0.3"/>
    <row r="53682" ht="14.4" x14ac:dyDescent="0.3"/>
    <row r="53683" ht="14.4" x14ac:dyDescent="0.3"/>
    <row r="53684" ht="14.4" x14ac:dyDescent="0.3"/>
    <row r="53685" ht="14.4" x14ac:dyDescent="0.3"/>
    <row r="53686" ht="14.4" x14ac:dyDescent="0.3"/>
    <row r="53687" ht="14.4" x14ac:dyDescent="0.3"/>
    <row r="53688" ht="14.4" x14ac:dyDescent="0.3"/>
    <row r="53689" ht="14.4" x14ac:dyDescent="0.3"/>
    <row r="53690" ht="14.4" x14ac:dyDescent="0.3"/>
    <row r="53691" ht="14.4" x14ac:dyDescent="0.3"/>
    <row r="53692" ht="14.4" x14ac:dyDescent="0.3"/>
    <row r="53693" ht="14.4" x14ac:dyDescent="0.3"/>
    <row r="53694" ht="14.4" x14ac:dyDescent="0.3"/>
    <row r="53695" ht="14.4" x14ac:dyDescent="0.3"/>
    <row r="53696" ht="14.4" x14ac:dyDescent="0.3"/>
    <row r="53697" ht="14.4" x14ac:dyDescent="0.3"/>
    <row r="53698" ht="14.4" x14ac:dyDescent="0.3"/>
    <row r="53699" ht="14.4" x14ac:dyDescent="0.3"/>
    <row r="53700" ht="14.4" x14ac:dyDescent="0.3"/>
    <row r="53701" ht="14.4" x14ac:dyDescent="0.3"/>
    <row r="53702" ht="14.4" x14ac:dyDescent="0.3"/>
    <row r="53703" ht="14.4" x14ac:dyDescent="0.3"/>
    <row r="53704" ht="14.4" x14ac:dyDescent="0.3"/>
    <row r="53705" ht="14.4" x14ac:dyDescent="0.3"/>
    <row r="53706" ht="14.4" x14ac:dyDescent="0.3"/>
    <row r="53707" ht="14.4" x14ac:dyDescent="0.3"/>
    <row r="53708" ht="14.4" x14ac:dyDescent="0.3"/>
    <row r="53709" ht="14.4" x14ac:dyDescent="0.3"/>
    <row r="53710" ht="14.4" x14ac:dyDescent="0.3"/>
    <row r="53711" ht="14.4" x14ac:dyDescent="0.3"/>
    <row r="53712" ht="14.4" x14ac:dyDescent="0.3"/>
    <row r="53713" spans="1:43" ht="14.4" x14ac:dyDescent="0.3"/>
    <row r="53714" spans="1:43" ht="14.4" x14ac:dyDescent="0.3"/>
    <row r="53715" spans="1:43" ht="14.4" x14ac:dyDescent="0.3"/>
    <row r="53716" spans="1:43" ht="14.4" x14ac:dyDescent="0.3"/>
    <row r="53717" spans="1:43" ht="14.4" x14ac:dyDescent="0.3"/>
    <row r="53718" spans="1:43" ht="14.4" x14ac:dyDescent="0.3"/>
    <row r="53719" spans="1:43" ht="14.4" x14ac:dyDescent="0.3"/>
    <row r="53720" spans="1:43" ht="14.4" x14ac:dyDescent="0.3"/>
    <row r="53721" spans="1:43" ht="14.4" x14ac:dyDescent="0.3"/>
    <row r="53722" spans="1:43" ht="14.4" x14ac:dyDescent="0.3"/>
    <row r="53723" spans="1:43" ht="14.4" x14ac:dyDescent="0.3"/>
    <row r="53724" spans="1:43" ht="14.4" x14ac:dyDescent="0.3"/>
    <row r="53725" spans="1:43" ht="14.4" hidden="1" x14ac:dyDescent="0.3">
      <c r="A53725" t="s">
        <v>6731</v>
      </c>
      <c r="B53725">
        <v>4910636</v>
      </c>
      <c r="C53725" t="s">
        <v>135</v>
      </c>
      <c r="D53725" t="s">
        <v>174</v>
      </c>
      <c r="E53725" t="s">
        <v>261</v>
      </c>
      <c r="F53725" t="s">
        <v>5886</v>
      </c>
      <c r="H53725" t="s">
        <v>275</v>
      </c>
      <c r="J53725" t="s">
        <v>140</v>
      </c>
      <c r="K53725">
        <v>159061.56</v>
      </c>
      <c r="L53725">
        <v>384733.38</v>
      </c>
      <c r="M53725">
        <v>1</v>
      </c>
      <c r="N53725" t="s">
        <v>3024</v>
      </c>
      <c r="O53725" t="s">
        <v>528</v>
      </c>
      <c r="P53725" t="s">
        <v>1875</v>
      </c>
      <c r="Q53725" t="s">
        <v>144</v>
      </c>
      <c r="S53725">
        <v>6.8</v>
      </c>
      <c r="T53725">
        <v>800</v>
      </c>
      <c r="V53725" t="s">
        <v>146</v>
      </c>
      <c r="W53725" t="s">
        <v>147</v>
      </c>
      <c r="X53725" t="s">
        <v>7</v>
      </c>
      <c r="Y53725" t="s">
        <v>698</v>
      </c>
      <c r="Z53725" t="s">
        <v>528</v>
      </c>
      <c r="AA53725" t="s">
        <v>312</v>
      </c>
      <c r="AB53725">
        <v>0</v>
      </c>
      <c r="AE53725" t="s">
        <v>763</v>
      </c>
      <c r="AF53725" t="s">
        <v>528</v>
      </c>
      <c r="AG53725" t="s">
        <v>730</v>
      </c>
      <c r="AL53725" t="s">
        <v>6732</v>
      </c>
      <c r="AM53725" t="s">
        <v>6733</v>
      </c>
      <c r="AN53725" t="s">
        <v>6734</v>
      </c>
      <c r="AO53725" t="s">
        <v>3024</v>
      </c>
      <c r="AP53725" t="s">
        <v>158</v>
      </c>
      <c r="AQ53725" t="str">
        <f>IF(ISBLANK(AP53725), IFERROR(IF(VLOOKUP(AO53725, Ellens_additions!$A$2:$B$252, 2, FALSE) = "", "", VLOOKUP(AO53725, Ellens_additions!$A$2:$B$252, 2, FALSE)), 0), AP53725)</f>
        <v>3000</v>
      </c>
    </row>
    <row r="53726" spans="1:43" ht="14.4" x14ac:dyDescent="0.3"/>
    <row r="53727" spans="1:43" ht="14.4" hidden="1" x14ac:dyDescent="0.3">
      <c r="A53727" t="s">
        <v>6735</v>
      </c>
      <c r="B53727">
        <v>4910642</v>
      </c>
      <c r="C53727" t="s">
        <v>135</v>
      </c>
      <c r="D53727" t="s">
        <v>174</v>
      </c>
      <c r="E53727" t="s">
        <v>261</v>
      </c>
      <c r="F53727" t="s">
        <v>695</v>
      </c>
      <c r="H53727" t="s">
        <v>255</v>
      </c>
      <c r="J53727" t="s">
        <v>140</v>
      </c>
      <c r="K53727">
        <v>159106.81</v>
      </c>
      <c r="L53727">
        <v>384639.88</v>
      </c>
      <c r="M53727">
        <v>1</v>
      </c>
      <c r="N53727" t="s">
        <v>696</v>
      </c>
      <c r="O53727" t="s">
        <v>528</v>
      </c>
      <c r="P53727" t="s">
        <v>697</v>
      </c>
      <c r="Q53727" t="s">
        <v>144</v>
      </c>
      <c r="S53727">
        <v>6.8</v>
      </c>
      <c r="T53727">
        <v>800</v>
      </c>
      <c r="V53727" t="s">
        <v>146</v>
      </c>
      <c r="W53727" t="s">
        <v>184</v>
      </c>
      <c r="X53727" t="s">
        <v>7</v>
      </c>
      <c r="Y53727" t="s">
        <v>698</v>
      </c>
      <c r="Z53727" t="s">
        <v>528</v>
      </c>
      <c r="AA53727" t="s">
        <v>312</v>
      </c>
      <c r="AB53727">
        <v>0</v>
      </c>
      <c r="AE53727" t="s">
        <v>763</v>
      </c>
      <c r="AF53727" t="s">
        <v>528</v>
      </c>
      <c r="AG53727" t="s">
        <v>730</v>
      </c>
      <c r="AL53727" t="s">
        <v>6736</v>
      </c>
      <c r="AM53727" t="s">
        <v>6737</v>
      </c>
      <c r="AN53727" t="s">
        <v>6738</v>
      </c>
      <c r="AO53727" t="s">
        <v>696</v>
      </c>
      <c r="AP53727" t="s">
        <v>158</v>
      </c>
      <c r="AQ53727" t="str">
        <f>IF(ISBLANK(AP53727), IFERROR(IF(VLOOKUP(AO53727, Ellens_additions!$A$2:$B$252, 2, FALSE) = "", "", VLOOKUP(AO53727, Ellens_additions!$A$2:$B$252, 2, FALSE)), 0), AP53727)</f>
        <v>3000</v>
      </c>
    </row>
    <row r="53728" spans="1:43" ht="14.4" hidden="1" x14ac:dyDescent="0.3">
      <c r="A53728" t="s">
        <v>6739</v>
      </c>
      <c r="B53728">
        <v>4910643</v>
      </c>
      <c r="C53728" t="s">
        <v>135</v>
      </c>
      <c r="D53728" t="s">
        <v>174</v>
      </c>
      <c r="E53728" t="s">
        <v>261</v>
      </c>
      <c r="F53728" t="s">
        <v>695</v>
      </c>
      <c r="H53728" t="s">
        <v>256</v>
      </c>
      <c r="J53728" t="s">
        <v>140</v>
      </c>
      <c r="K53728">
        <v>159116.87</v>
      </c>
      <c r="L53728">
        <v>384646.64</v>
      </c>
      <c r="M53728">
        <v>1</v>
      </c>
      <c r="N53728" t="s">
        <v>696</v>
      </c>
      <c r="O53728" t="s">
        <v>528</v>
      </c>
      <c r="P53728" t="s">
        <v>697</v>
      </c>
      <c r="Q53728" t="s">
        <v>144</v>
      </c>
      <c r="S53728">
        <v>6.8</v>
      </c>
      <c r="T53728">
        <v>800</v>
      </c>
      <c r="V53728" t="s">
        <v>146</v>
      </c>
      <c r="W53728" t="s">
        <v>184</v>
      </c>
      <c r="X53728" t="s">
        <v>7</v>
      </c>
      <c r="Y53728" t="s">
        <v>698</v>
      </c>
      <c r="Z53728" t="s">
        <v>528</v>
      </c>
      <c r="AA53728" t="s">
        <v>312</v>
      </c>
      <c r="AB53728">
        <v>0</v>
      </c>
      <c r="AE53728" t="s">
        <v>763</v>
      </c>
      <c r="AF53728" t="s">
        <v>528</v>
      </c>
      <c r="AG53728" t="s">
        <v>730</v>
      </c>
      <c r="AL53728" t="s">
        <v>6740</v>
      </c>
      <c r="AM53728" t="s">
        <v>6741</v>
      </c>
      <c r="AN53728" t="s">
        <v>6742</v>
      </c>
      <c r="AO53728" t="s">
        <v>696</v>
      </c>
      <c r="AP53728" t="s">
        <v>158</v>
      </c>
      <c r="AQ53728" t="str">
        <f>IF(ISBLANK(AP53728), IFERROR(IF(VLOOKUP(AO53728, Ellens_additions!$A$2:$B$252, 2, FALSE) = "", "", VLOOKUP(AO53728, Ellens_additions!$A$2:$B$252, 2, FALSE)), 0), AP53728)</f>
        <v>3000</v>
      </c>
    </row>
    <row r="53729" spans="1:43" ht="14.4" hidden="1" x14ac:dyDescent="0.3">
      <c r="A53729" t="s">
        <v>6743</v>
      </c>
      <c r="B53729">
        <v>4910644</v>
      </c>
      <c r="C53729" t="s">
        <v>135</v>
      </c>
      <c r="D53729" t="s">
        <v>174</v>
      </c>
      <c r="E53729" t="s">
        <v>261</v>
      </c>
      <c r="F53729" t="s">
        <v>695</v>
      </c>
      <c r="H53729" t="s">
        <v>278</v>
      </c>
      <c r="J53729" t="s">
        <v>140</v>
      </c>
      <c r="K53729">
        <v>159130.99</v>
      </c>
      <c r="L53729">
        <v>384656.12</v>
      </c>
      <c r="M53729">
        <v>1</v>
      </c>
      <c r="N53729" t="s">
        <v>696</v>
      </c>
      <c r="O53729" t="s">
        <v>528</v>
      </c>
      <c r="P53729" t="s">
        <v>697</v>
      </c>
      <c r="Q53729" t="s">
        <v>144</v>
      </c>
      <c r="S53729">
        <v>6.8</v>
      </c>
      <c r="T53729">
        <v>800</v>
      </c>
      <c r="V53729" t="s">
        <v>146</v>
      </c>
      <c r="W53729" t="s">
        <v>184</v>
      </c>
      <c r="X53729" t="s">
        <v>7</v>
      </c>
      <c r="Y53729" t="s">
        <v>698</v>
      </c>
      <c r="Z53729" t="s">
        <v>528</v>
      </c>
      <c r="AA53729" t="s">
        <v>312</v>
      </c>
      <c r="AB53729">
        <v>0</v>
      </c>
      <c r="AE53729" t="s">
        <v>763</v>
      </c>
      <c r="AF53729" t="s">
        <v>528</v>
      </c>
      <c r="AG53729" t="s">
        <v>730</v>
      </c>
      <c r="AL53729" t="s">
        <v>6744</v>
      </c>
      <c r="AM53729" t="s">
        <v>6745</v>
      </c>
      <c r="AN53729" t="s">
        <v>6746</v>
      </c>
      <c r="AO53729" t="s">
        <v>696</v>
      </c>
      <c r="AP53729" t="s">
        <v>158</v>
      </c>
      <c r="AQ53729" t="str">
        <f>IF(ISBLANK(AP53729), IFERROR(IF(VLOOKUP(AO53729, Ellens_additions!$A$2:$B$252, 2, FALSE) = "", "", VLOOKUP(AO53729, Ellens_additions!$A$2:$B$252, 2, FALSE)), 0), AP53729)</f>
        <v>3000</v>
      </c>
    </row>
    <row r="53730" spans="1:43" ht="14.4" hidden="1" x14ac:dyDescent="0.3">
      <c r="A53730" t="s">
        <v>6747</v>
      </c>
      <c r="B53730">
        <v>4910648</v>
      </c>
      <c r="C53730" t="s">
        <v>135</v>
      </c>
      <c r="D53730" t="s">
        <v>174</v>
      </c>
      <c r="E53730" t="s">
        <v>261</v>
      </c>
      <c r="F53730" t="s">
        <v>695</v>
      </c>
      <c r="H53730" t="s">
        <v>407</v>
      </c>
      <c r="J53730" t="s">
        <v>140</v>
      </c>
      <c r="K53730">
        <v>159107.03</v>
      </c>
      <c r="L53730">
        <v>384661.29</v>
      </c>
      <c r="M53730">
        <v>1</v>
      </c>
      <c r="N53730" t="s">
        <v>696</v>
      </c>
      <c r="O53730" t="s">
        <v>528</v>
      </c>
      <c r="P53730" t="s">
        <v>697</v>
      </c>
      <c r="Q53730" t="s">
        <v>144</v>
      </c>
      <c r="S53730">
        <v>6.8</v>
      </c>
      <c r="T53730">
        <v>800</v>
      </c>
      <c r="V53730" t="s">
        <v>146</v>
      </c>
      <c r="W53730" t="s">
        <v>184</v>
      </c>
      <c r="X53730" t="s">
        <v>7</v>
      </c>
      <c r="Y53730" t="s">
        <v>698</v>
      </c>
      <c r="Z53730" t="s">
        <v>528</v>
      </c>
      <c r="AA53730" t="s">
        <v>312</v>
      </c>
      <c r="AB53730">
        <v>0</v>
      </c>
      <c r="AE53730" t="s">
        <v>763</v>
      </c>
      <c r="AF53730" t="s">
        <v>528</v>
      </c>
      <c r="AG53730" t="s">
        <v>730</v>
      </c>
      <c r="AL53730" t="s">
        <v>6748</v>
      </c>
      <c r="AM53730" t="s">
        <v>6749</v>
      </c>
      <c r="AN53730" t="s">
        <v>6750</v>
      </c>
      <c r="AO53730" t="s">
        <v>696</v>
      </c>
      <c r="AP53730" t="s">
        <v>158</v>
      </c>
      <c r="AQ53730" t="str">
        <f>IF(ISBLANK(AP53730), IFERROR(IF(VLOOKUP(AO53730, Ellens_additions!$A$2:$B$252, 2, FALSE) = "", "", VLOOKUP(AO53730, Ellens_additions!$A$2:$B$252, 2, FALSE)), 0), AP53730)</f>
        <v>3000</v>
      </c>
    </row>
    <row r="53731" spans="1:43" ht="14.4" hidden="1" x14ac:dyDescent="0.3">
      <c r="A53731" t="s">
        <v>6751</v>
      </c>
      <c r="B53731">
        <v>4910649</v>
      </c>
      <c r="C53731" t="s">
        <v>135</v>
      </c>
      <c r="D53731" t="s">
        <v>174</v>
      </c>
      <c r="E53731" t="s">
        <v>261</v>
      </c>
      <c r="F53731" t="s">
        <v>695</v>
      </c>
      <c r="H53731" t="s">
        <v>279</v>
      </c>
      <c r="J53731" t="s">
        <v>140</v>
      </c>
      <c r="K53731">
        <v>159097.07</v>
      </c>
      <c r="L53731">
        <v>384654.46</v>
      </c>
      <c r="M53731">
        <v>1</v>
      </c>
      <c r="N53731" t="s">
        <v>696</v>
      </c>
      <c r="O53731" t="s">
        <v>528</v>
      </c>
      <c r="P53731" t="s">
        <v>697</v>
      </c>
      <c r="Q53731" t="s">
        <v>144</v>
      </c>
      <c r="S53731">
        <v>6.8</v>
      </c>
      <c r="T53731">
        <v>800</v>
      </c>
      <c r="V53731" t="s">
        <v>146</v>
      </c>
      <c r="W53731" t="s">
        <v>184</v>
      </c>
      <c r="X53731" t="s">
        <v>7</v>
      </c>
      <c r="Y53731" t="s">
        <v>698</v>
      </c>
      <c r="Z53731" t="s">
        <v>528</v>
      </c>
      <c r="AA53731" t="s">
        <v>312</v>
      </c>
      <c r="AB53731">
        <v>0</v>
      </c>
      <c r="AE53731" t="s">
        <v>763</v>
      </c>
      <c r="AF53731" t="s">
        <v>528</v>
      </c>
      <c r="AG53731" t="s">
        <v>730</v>
      </c>
      <c r="AL53731" t="s">
        <v>6752</v>
      </c>
      <c r="AM53731" t="s">
        <v>6753</v>
      </c>
      <c r="AN53731" t="s">
        <v>6754</v>
      </c>
      <c r="AO53731" t="s">
        <v>696</v>
      </c>
      <c r="AP53731" t="s">
        <v>158</v>
      </c>
      <c r="AQ53731" t="str">
        <f>IF(ISBLANK(AP53731), IFERROR(IF(VLOOKUP(AO53731, Ellens_additions!$A$2:$B$252, 2, FALSE) = "", "", VLOOKUP(AO53731, Ellens_additions!$A$2:$B$252, 2, FALSE)), 0), AP53731)</f>
        <v>3000</v>
      </c>
    </row>
    <row r="53732" spans="1:43" ht="14.4" x14ac:dyDescent="0.3"/>
    <row r="53733" spans="1:43" ht="14.4" x14ac:dyDescent="0.3"/>
    <row r="53734" spans="1:43" ht="14.4" x14ac:dyDescent="0.3"/>
    <row r="53735" spans="1:43" ht="14.4" x14ac:dyDescent="0.3"/>
    <row r="53736" spans="1:43" ht="14.4" x14ac:dyDescent="0.3"/>
    <row r="53737" spans="1:43" ht="14.4" x14ac:dyDescent="0.3"/>
    <row r="53738" spans="1:43" ht="14.4" x14ac:dyDescent="0.3"/>
    <row r="53739" spans="1:43" ht="14.4" x14ac:dyDescent="0.3"/>
    <row r="53740" spans="1:43" ht="14.4" x14ac:dyDescent="0.3"/>
    <row r="53741" spans="1:43" ht="14.4" x14ac:dyDescent="0.3"/>
    <row r="53742" spans="1:43" ht="14.4" hidden="1" x14ac:dyDescent="0.3">
      <c r="A53742" t="s">
        <v>6755</v>
      </c>
      <c r="B53742">
        <v>4910685</v>
      </c>
      <c r="C53742" t="s">
        <v>135</v>
      </c>
      <c r="D53742" t="s">
        <v>174</v>
      </c>
      <c r="E53742" t="s">
        <v>261</v>
      </c>
      <c r="F53742" t="s">
        <v>449</v>
      </c>
      <c r="H53742" t="s">
        <v>400</v>
      </c>
      <c r="J53742" t="s">
        <v>140</v>
      </c>
      <c r="K53742">
        <v>158832.36350000001</v>
      </c>
      <c r="L53742">
        <v>384652.63780000003</v>
      </c>
      <c r="M53742">
        <v>1</v>
      </c>
      <c r="N53742" t="s">
        <v>3024</v>
      </c>
      <c r="O53742" t="s">
        <v>528</v>
      </c>
      <c r="P53742" t="s">
        <v>697</v>
      </c>
      <c r="Q53742" t="s">
        <v>144</v>
      </c>
      <c r="S53742">
        <v>6.8</v>
      </c>
      <c r="T53742">
        <v>800</v>
      </c>
      <c r="V53742" t="s">
        <v>146</v>
      </c>
      <c r="W53742" t="s">
        <v>184</v>
      </c>
      <c r="X53742" t="s">
        <v>7</v>
      </c>
      <c r="Y53742" t="s">
        <v>698</v>
      </c>
      <c r="Z53742" t="s">
        <v>528</v>
      </c>
      <c r="AA53742" t="s">
        <v>312</v>
      </c>
      <c r="AB53742">
        <v>0</v>
      </c>
      <c r="AE53742" t="s">
        <v>763</v>
      </c>
      <c r="AF53742" t="s">
        <v>528</v>
      </c>
      <c r="AG53742" t="s">
        <v>730</v>
      </c>
      <c r="AL53742" t="s">
        <v>6756</v>
      </c>
      <c r="AM53742" t="s">
        <v>6757</v>
      </c>
      <c r="AN53742" t="s">
        <v>6758</v>
      </c>
      <c r="AO53742" t="s">
        <v>3024</v>
      </c>
      <c r="AP53742" t="s">
        <v>158</v>
      </c>
      <c r="AQ53742" t="str">
        <f>IF(ISBLANK(AP53742), IFERROR(IF(VLOOKUP(AO53742, Ellens_additions!$A$2:$B$252, 2, FALSE) = "", "", VLOOKUP(AO53742, Ellens_additions!$A$2:$B$252, 2, FALSE)), 0), AP53742)</f>
        <v>3000</v>
      </c>
    </row>
    <row r="53743" spans="1:43" ht="14.4" hidden="1" x14ac:dyDescent="0.3">
      <c r="A53743" t="s">
        <v>6759</v>
      </c>
      <c r="B53743">
        <v>4910686</v>
      </c>
      <c r="C53743" t="s">
        <v>135</v>
      </c>
      <c r="D53743" t="s">
        <v>174</v>
      </c>
      <c r="E53743" t="s">
        <v>261</v>
      </c>
      <c r="F53743" t="s">
        <v>449</v>
      </c>
      <c r="H53743" t="s">
        <v>734</v>
      </c>
      <c r="J53743" t="s">
        <v>140</v>
      </c>
      <c r="K53743">
        <v>158848.42000000001</v>
      </c>
      <c r="L53743">
        <v>384679.14</v>
      </c>
      <c r="M53743">
        <v>1</v>
      </c>
      <c r="N53743" t="s">
        <v>3024</v>
      </c>
      <c r="O53743" t="s">
        <v>528</v>
      </c>
      <c r="P53743" t="s">
        <v>697</v>
      </c>
      <c r="Q53743" t="s">
        <v>144</v>
      </c>
      <c r="S53743">
        <v>6.8</v>
      </c>
      <c r="T53743">
        <v>800</v>
      </c>
      <c r="V53743" t="s">
        <v>146</v>
      </c>
      <c r="W53743" t="s">
        <v>184</v>
      </c>
      <c r="X53743" t="s">
        <v>7</v>
      </c>
      <c r="Y53743" t="s">
        <v>698</v>
      </c>
      <c r="Z53743" t="s">
        <v>528</v>
      </c>
      <c r="AA53743" t="s">
        <v>312</v>
      </c>
      <c r="AB53743">
        <v>0</v>
      </c>
      <c r="AE53743" t="s">
        <v>763</v>
      </c>
      <c r="AF53743" t="s">
        <v>528</v>
      </c>
      <c r="AG53743" t="s">
        <v>730</v>
      </c>
      <c r="AL53743" t="s">
        <v>6760</v>
      </c>
      <c r="AM53743" t="s">
        <v>6761</v>
      </c>
      <c r="AN53743" t="s">
        <v>6762</v>
      </c>
      <c r="AO53743" t="s">
        <v>3024</v>
      </c>
      <c r="AP53743" t="s">
        <v>158</v>
      </c>
      <c r="AQ53743" t="str">
        <f>IF(ISBLANK(AP53743), IFERROR(IF(VLOOKUP(AO53743, Ellens_additions!$A$2:$B$252, 2, FALSE) = "", "", VLOOKUP(AO53743, Ellens_additions!$A$2:$B$252, 2, FALSE)), 0), AP53743)</f>
        <v>3000</v>
      </c>
    </row>
    <row r="53744" spans="1:43" ht="14.4" hidden="1" x14ac:dyDescent="0.3">
      <c r="A53744" t="s">
        <v>6763</v>
      </c>
      <c r="B53744">
        <v>4910687</v>
      </c>
      <c r="C53744" t="s">
        <v>135</v>
      </c>
      <c r="D53744" t="s">
        <v>174</v>
      </c>
      <c r="E53744" t="s">
        <v>261</v>
      </c>
      <c r="F53744" t="s">
        <v>449</v>
      </c>
      <c r="H53744" t="s">
        <v>822</v>
      </c>
      <c r="J53744" t="s">
        <v>140</v>
      </c>
      <c r="K53744">
        <v>158861.1</v>
      </c>
      <c r="L53744">
        <v>384699.02</v>
      </c>
      <c r="M53744">
        <v>1</v>
      </c>
      <c r="N53744" t="s">
        <v>3024</v>
      </c>
      <c r="O53744" t="s">
        <v>528</v>
      </c>
      <c r="P53744" t="s">
        <v>697</v>
      </c>
      <c r="Q53744" t="s">
        <v>144</v>
      </c>
      <c r="S53744">
        <v>6.8</v>
      </c>
      <c r="T53744">
        <v>800</v>
      </c>
      <c r="V53744" t="s">
        <v>146</v>
      </c>
      <c r="W53744" t="s">
        <v>184</v>
      </c>
      <c r="X53744" t="s">
        <v>7</v>
      </c>
      <c r="Y53744" t="s">
        <v>698</v>
      </c>
      <c r="Z53744" t="s">
        <v>528</v>
      </c>
      <c r="AA53744" t="s">
        <v>312</v>
      </c>
      <c r="AB53744">
        <v>0</v>
      </c>
      <c r="AE53744" t="s">
        <v>763</v>
      </c>
      <c r="AF53744" t="s">
        <v>528</v>
      </c>
      <c r="AG53744" t="s">
        <v>730</v>
      </c>
      <c r="AL53744" t="s">
        <v>6764</v>
      </c>
      <c r="AM53744" t="s">
        <v>6765</v>
      </c>
      <c r="AN53744" t="s">
        <v>6766</v>
      </c>
      <c r="AO53744" t="s">
        <v>3024</v>
      </c>
      <c r="AP53744" t="s">
        <v>158</v>
      </c>
      <c r="AQ53744" t="str">
        <f>IF(ISBLANK(AP53744), IFERROR(IF(VLOOKUP(AO53744, Ellens_additions!$A$2:$B$252, 2, FALSE) = "", "", VLOOKUP(AO53744, Ellens_additions!$A$2:$B$252, 2, FALSE)), 0), AP53744)</f>
        <v>3000</v>
      </c>
    </row>
    <row r="53745" spans="1:43" ht="14.4" hidden="1" x14ac:dyDescent="0.3">
      <c r="A53745" t="s">
        <v>6767</v>
      </c>
      <c r="B53745">
        <v>4910688</v>
      </c>
      <c r="C53745" t="s">
        <v>135</v>
      </c>
      <c r="D53745" t="s">
        <v>174</v>
      </c>
      <c r="E53745" t="s">
        <v>261</v>
      </c>
      <c r="F53745" t="s">
        <v>449</v>
      </c>
      <c r="H53745" t="s">
        <v>320</v>
      </c>
      <c r="J53745" t="s">
        <v>140</v>
      </c>
      <c r="K53745">
        <v>158879.98910000001</v>
      </c>
      <c r="L53745">
        <v>384730.44059999997</v>
      </c>
      <c r="M53745">
        <v>1</v>
      </c>
      <c r="N53745" t="s">
        <v>3024</v>
      </c>
      <c r="O53745" t="s">
        <v>528</v>
      </c>
      <c r="P53745" t="s">
        <v>697</v>
      </c>
      <c r="Q53745" t="s">
        <v>144</v>
      </c>
      <c r="S53745">
        <v>6.8</v>
      </c>
      <c r="T53745">
        <v>800</v>
      </c>
      <c r="V53745" t="s">
        <v>146</v>
      </c>
      <c r="W53745" t="s">
        <v>184</v>
      </c>
      <c r="X53745" t="s">
        <v>7</v>
      </c>
      <c r="Y53745" t="s">
        <v>698</v>
      </c>
      <c r="Z53745" t="s">
        <v>528</v>
      </c>
      <c r="AA53745" t="s">
        <v>312</v>
      </c>
      <c r="AB53745">
        <v>0</v>
      </c>
      <c r="AE53745" t="s">
        <v>763</v>
      </c>
      <c r="AF53745" t="s">
        <v>528</v>
      </c>
      <c r="AG53745" t="s">
        <v>730</v>
      </c>
      <c r="AL53745" t="s">
        <v>6768</v>
      </c>
      <c r="AM53745" t="s">
        <v>6769</v>
      </c>
      <c r="AN53745" t="s">
        <v>6770</v>
      </c>
      <c r="AO53745" t="s">
        <v>3024</v>
      </c>
      <c r="AP53745" t="s">
        <v>158</v>
      </c>
      <c r="AQ53745" t="str">
        <f>IF(ISBLANK(AP53745), IFERROR(IF(VLOOKUP(AO53745, Ellens_additions!$A$2:$B$252, 2, FALSE) = "", "", VLOOKUP(AO53745, Ellens_additions!$A$2:$B$252, 2, FALSE)), 0), AP53745)</f>
        <v>3000</v>
      </c>
    </row>
    <row r="53746" spans="1:43" ht="14.4" x14ac:dyDescent="0.3"/>
    <row r="53747" spans="1:43" ht="14.4" x14ac:dyDescent="0.3"/>
    <row r="53748" spans="1:43" ht="14.4" x14ac:dyDescent="0.3"/>
    <row r="53749" spans="1:43" ht="14.4" x14ac:dyDescent="0.3"/>
    <row r="53750" spans="1:43" ht="14.4" x14ac:dyDescent="0.3"/>
    <row r="53751" spans="1:43" ht="14.4" x14ac:dyDescent="0.3"/>
    <row r="53752" spans="1:43" ht="14.4" x14ac:dyDescent="0.3"/>
    <row r="53753" spans="1:43" ht="14.4" x14ac:dyDescent="0.3"/>
    <row r="53754" spans="1:43" ht="14.4" x14ac:dyDescent="0.3"/>
    <row r="53755" spans="1:43" ht="14.4" x14ac:dyDescent="0.3"/>
    <row r="53756" spans="1:43" ht="14.4" x14ac:dyDescent="0.3"/>
    <row r="53757" spans="1:43" ht="14.4" x14ac:dyDescent="0.3"/>
    <row r="53758" spans="1:43" ht="14.4" x14ac:dyDescent="0.3"/>
    <row r="53759" spans="1:43" ht="14.4" x14ac:dyDescent="0.3"/>
    <row r="53760" spans="1:43" ht="14.4" x14ac:dyDescent="0.3"/>
    <row r="53761" spans="1:43" ht="14.4" x14ac:dyDescent="0.3"/>
    <row r="53762" spans="1:43" ht="14.4" x14ac:dyDescent="0.3"/>
    <row r="53763" spans="1:43" ht="14.4" x14ac:dyDescent="0.3"/>
    <row r="53764" spans="1:43" ht="14.4" x14ac:dyDescent="0.3"/>
    <row r="53765" spans="1:43" ht="14.4" x14ac:dyDescent="0.3"/>
    <row r="53766" spans="1:43" ht="14.4" x14ac:dyDescent="0.3"/>
    <row r="53767" spans="1:43" ht="14.4" x14ac:dyDescent="0.3"/>
    <row r="53768" spans="1:43" ht="14.4" x14ac:dyDescent="0.3"/>
    <row r="53769" spans="1:43" ht="14.4" x14ac:dyDescent="0.3"/>
    <row r="53770" spans="1:43" ht="14.4" x14ac:dyDescent="0.3"/>
    <row r="53771" spans="1:43" ht="14.4" x14ac:dyDescent="0.3"/>
    <row r="53772" spans="1:43" ht="14.4" x14ac:dyDescent="0.3"/>
    <row r="53773" spans="1:43" ht="14.4" x14ac:dyDescent="0.3"/>
    <row r="53774" spans="1:43" ht="14.4" hidden="1" x14ac:dyDescent="0.3">
      <c r="A53774" t="s">
        <v>6771</v>
      </c>
      <c r="B53774">
        <v>4910781</v>
      </c>
      <c r="C53774" t="s">
        <v>135</v>
      </c>
      <c r="D53774" t="s">
        <v>136</v>
      </c>
      <c r="E53774" t="s">
        <v>2880</v>
      </c>
      <c r="F53774" t="s">
        <v>3035</v>
      </c>
      <c r="H53774" t="s">
        <v>244</v>
      </c>
      <c r="J53774" t="s">
        <v>140</v>
      </c>
      <c r="K53774">
        <v>156454.89989999999</v>
      </c>
      <c r="L53774">
        <v>383576.39840000001</v>
      </c>
      <c r="M53774">
        <v>1</v>
      </c>
      <c r="N53774" t="s">
        <v>3036</v>
      </c>
      <c r="O53774" t="s">
        <v>790</v>
      </c>
      <c r="P53774" t="s">
        <v>2878</v>
      </c>
      <c r="Q53774" t="s">
        <v>144</v>
      </c>
      <c r="S53774">
        <v>21</v>
      </c>
      <c r="T53774">
        <v>2500</v>
      </c>
      <c r="V53774" t="s">
        <v>146</v>
      </c>
      <c r="W53774" t="s">
        <v>147</v>
      </c>
      <c r="X53774" t="s">
        <v>7</v>
      </c>
      <c r="Y53774" t="s">
        <v>852</v>
      </c>
      <c r="Z53774" t="s">
        <v>790</v>
      </c>
      <c r="AA53774" t="s">
        <v>3037</v>
      </c>
      <c r="AB53774">
        <v>0</v>
      </c>
      <c r="AE53774" t="s">
        <v>853</v>
      </c>
      <c r="AF53774" t="s">
        <v>790</v>
      </c>
      <c r="AG53774" t="s">
        <v>3038</v>
      </c>
      <c r="AL53774" t="s">
        <v>6772</v>
      </c>
      <c r="AM53774" t="s">
        <v>6773</v>
      </c>
      <c r="AN53774" t="s">
        <v>6774</v>
      </c>
      <c r="AO53774" t="s">
        <v>3036</v>
      </c>
      <c r="AP53774" t="s">
        <v>158</v>
      </c>
      <c r="AQ53774" t="str">
        <f>IF(ISBLANK(AP53774), IFERROR(IF(VLOOKUP(AO53774, Ellens_additions!$A$2:$B$252, 2, FALSE) = "", "", VLOOKUP(AO53774, Ellens_additions!$A$2:$B$252, 2, FALSE)), 0), AP53774)</f>
        <v>3000</v>
      </c>
    </row>
    <row r="53775" spans="1:43" ht="14.4" hidden="1" x14ac:dyDescent="0.3">
      <c r="A53775" t="s">
        <v>6775</v>
      </c>
      <c r="B53775">
        <v>4910783</v>
      </c>
      <c r="C53775" t="s">
        <v>135</v>
      </c>
      <c r="D53775" t="s">
        <v>136</v>
      </c>
      <c r="E53775" t="s">
        <v>2880</v>
      </c>
      <c r="F53775" t="s">
        <v>3035</v>
      </c>
      <c r="H53775" t="s">
        <v>251</v>
      </c>
      <c r="J53775" t="s">
        <v>140</v>
      </c>
      <c r="K53775">
        <v>156437.4535</v>
      </c>
      <c r="L53775">
        <v>383596.85800000001</v>
      </c>
      <c r="M53775">
        <v>1</v>
      </c>
      <c r="N53775" t="s">
        <v>3036</v>
      </c>
      <c r="O53775" t="s">
        <v>790</v>
      </c>
      <c r="P53775" t="s">
        <v>2878</v>
      </c>
      <c r="Q53775" t="s">
        <v>144</v>
      </c>
      <c r="S53775">
        <v>21</v>
      </c>
      <c r="T53775">
        <v>2500</v>
      </c>
      <c r="V53775" t="s">
        <v>146</v>
      </c>
      <c r="W53775" t="s">
        <v>147</v>
      </c>
      <c r="X53775" t="s">
        <v>7</v>
      </c>
      <c r="Y53775" t="s">
        <v>852</v>
      </c>
      <c r="Z53775" t="s">
        <v>790</v>
      </c>
      <c r="AA53775" t="s">
        <v>3037</v>
      </c>
      <c r="AB53775">
        <v>0</v>
      </c>
      <c r="AE53775" t="s">
        <v>853</v>
      </c>
      <c r="AF53775" t="s">
        <v>790</v>
      </c>
      <c r="AG53775" t="s">
        <v>3038</v>
      </c>
      <c r="AL53775" t="s">
        <v>6776</v>
      </c>
      <c r="AM53775" t="s">
        <v>6777</v>
      </c>
      <c r="AN53775" t="s">
        <v>6778</v>
      </c>
      <c r="AO53775" t="s">
        <v>3036</v>
      </c>
      <c r="AP53775" t="s">
        <v>158</v>
      </c>
      <c r="AQ53775" t="str">
        <f>IF(ISBLANK(AP53775), IFERROR(IF(VLOOKUP(AO53775, Ellens_additions!$A$2:$B$252, 2, FALSE) = "", "", VLOOKUP(AO53775, Ellens_additions!$A$2:$B$252, 2, FALSE)), 0), AP53775)</f>
        <v>3000</v>
      </c>
    </row>
    <row r="53776" spans="1:43" ht="14.4" x14ac:dyDescent="0.3"/>
    <row r="53777" ht="14.4" x14ac:dyDescent="0.3"/>
    <row r="53778" ht="14.4" x14ac:dyDescent="0.3"/>
    <row r="53779" ht="14.4" x14ac:dyDescent="0.3"/>
    <row r="53780" ht="14.4" x14ac:dyDescent="0.3"/>
    <row r="53781" ht="14.4" x14ac:dyDescent="0.3"/>
    <row r="53782" ht="14.4" x14ac:dyDescent="0.3"/>
    <row r="53783" ht="14.4" x14ac:dyDescent="0.3"/>
    <row r="53784" ht="14.4" x14ac:dyDescent="0.3"/>
    <row r="53785" ht="14.4" x14ac:dyDescent="0.3"/>
    <row r="53786" ht="14.4" x14ac:dyDescent="0.3"/>
    <row r="53787" ht="14.4" x14ac:dyDescent="0.3"/>
    <row r="53788" ht="14.4" x14ac:dyDescent="0.3"/>
    <row r="53789" ht="14.4" x14ac:dyDescent="0.3"/>
    <row r="53790" ht="14.4" x14ac:dyDescent="0.3"/>
    <row r="53791" ht="14.4" x14ac:dyDescent="0.3"/>
    <row r="53792" ht="14.4" x14ac:dyDescent="0.3"/>
    <row r="53793" ht="14.4" x14ac:dyDescent="0.3"/>
    <row r="53794" ht="14.4" x14ac:dyDescent="0.3"/>
    <row r="53795" ht="14.4" x14ac:dyDescent="0.3"/>
    <row r="53796" ht="14.4" x14ac:dyDescent="0.3"/>
    <row r="53797" ht="14.4" x14ac:dyDescent="0.3"/>
    <row r="53798" ht="14.4" x14ac:dyDescent="0.3"/>
    <row r="53799" ht="14.4" x14ac:dyDescent="0.3"/>
    <row r="53800" ht="14.4" x14ac:dyDescent="0.3"/>
    <row r="53801" ht="14.4" x14ac:dyDescent="0.3"/>
    <row r="53802" ht="14.4" x14ac:dyDescent="0.3"/>
    <row r="53803" ht="14.4" x14ac:dyDescent="0.3"/>
    <row r="53804" ht="14.4" x14ac:dyDescent="0.3"/>
    <row r="53805" ht="14.4" x14ac:dyDescent="0.3"/>
    <row r="53806" ht="14.4" x14ac:dyDescent="0.3"/>
    <row r="53807" ht="14.4" x14ac:dyDescent="0.3"/>
    <row r="53808" ht="14.4" x14ac:dyDescent="0.3"/>
    <row r="53809" ht="14.4" x14ac:dyDescent="0.3"/>
    <row r="53810" ht="14.4" x14ac:dyDescent="0.3"/>
    <row r="53811" ht="14.4" x14ac:dyDescent="0.3"/>
    <row r="53812" ht="14.4" x14ac:dyDescent="0.3"/>
    <row r="53813" ht="14.4" x14ac:dyDescent="0.3"/>
    <row r="53814" ht="14.4" x14ac:dyDescent="0.3"/>
    <row r="53815" ht="14.4" x14ac:dyDescent="0.3"/>
    <row r="53816" ht="14.4" x14ac:dyDescent="0.3"/>
    <row r="53817" ht="14.4" x14ac:dyDescent="0.3"/>
    <row r="53818" ht="14.4" x14ac:dyDescent="0.3"/>
    <row r="53819" ht="14.4" x14ac:dyDescent="0.3"/>
    <row r="53820" ht="14.4" x14ac:dyDescent="0.3"/>
    <row r="53821" ht="14.4" x14ac:dyDescent="0.3"/>
    <row r="53822" ht="14.4" x14ac:dyDescent="0.3"/>
    <row r="53823" ht="14.4" x14ac:dyDescent="0.3"/>
    <row r="53824" ht="14.4" x14ac:dyDescent="0.3"/>
    <row r="53825" ht="14.4" x14ac:dyDescent="0.3"/>
    <row r="53826" ht="14.4" x14ac:dyDescent="0.3"/>
    <row r="53827" ht="14.4" x14ac:dyDescent="0.3"/>
    <row r="53828" ht="14.4" x14ac:dyDescent="0.3"/>
    <row r="53829" ht="14.4" x14ac:dyDescent="0.3"/>
    <row r="53830" ht="14.4" x14ac:dyDescent="0.3"/>
    <row r="53831" ht="14.4" x14ac:dyDescent="0.3"/>
    <row r="53832" ht="14.4" x14ac:dyDescent="0.3"/>
    <row r="53833" ht="14.4" x14ac:dyDescent="0.3"/>
    <row r="53834" ht="14.4" x14ac:dyDescent="0.3"/>
    <row r="53835" ht="14.4" x14ac:dyDescent="0.3"/>
    <row r="53836" ht="14.4" x14ac:dyDescent="0.3"/>
    <row r="53837" ht="14.4" x14ac:dyDescent="0.3"/>
    <row r="53838" ht="14.4" x14ac:dyDescent="0.3"/>
    <row r="53839" ht="14.4" x14ac:dyDescent="0.3"/>
    <row r="53840" ht="14.4" x14ac:dyDescent="0.3"/>
    <row r="53841" ht="14.4" x14ac:dyDescent="0.3"/>
    <row r="53842" ht="14.4" x14ac:dyDescent="0.3"/>
    <row r="53843" ht="14.4" x14ac:dyDescent="0.3"/>
    <row r="53844" ht="14.4" x14ac:dyDescent="0.3"/>
    <row r="53845" ht="14.4" x14ac:dyDescent="0.3"/>
    <row r="53846" ht="14.4" x14ac:dyDescent="0.3"/>
    <row r="53847" ht="14.4" x14ac:dyDescent="0.3"/>
    <row r="53848" ht="14.4" x14ac:dyDescent="0.3"/>
    <row r="53849" ht="14.4" x14ac:dyDescent="0.3"/>
    <row r="53850" ht="14.4" x14ac:dyDescent="0.3"/>
    <row r="53851" ht="14.4" x14ac:dyDescent="0.3"/>
    <row r="53852" ht="14.4" x14ac:dyDescent="0.3"/>
    <row r="53853" ht="14.4" x14ac:dyDescent="0.3"/>
    <row r="53854" ht="14.4" x14ac:dyDescent="0.3"/>
    <row r="53855" ht="14.4" x14ac:dyDescent="0.3"/>
    <row r="53856" ht="14.4" x14ac:dyDescent="0.3"/>
    <row r="53857" ht="14.4" x14ac:dyDescent="0.3"/>
    <row r="53858" ht="14.4" x14ac:dyDescent="0.3"/>
    <row r="53859" ht="14.4" x14ac:dyDescent="0.3"/>
    <row r="53860" ht="14.4" x14ac:dyDescent="0.3"/>
    <row r="53861" ht="14.4" x14ac:dyDescent="0.3"/>
    <row r="53862" ht="14.4" x14ac:dyDescent="0.3"/>
    <row r="53863" ht="14.4" x14ac:dyDescent="0.3"/>
    <row r="53864" ht="14.4" x14ac:dyDescent="0.3"/>
    <row r="53865" ht="14.4" x14ac:dyDescent="0.3"/>
    <row r="53866" ht="14.4" x14ac:dyDescent="0.3"/>
    <row r="53867" ht="14.4" x14ac:dyDescent="0.3"/>
    <row r="53868" ht="14.4" x14ac:dyDescent="0.3"/>
    <row r="53869" ht="14.4" x14ac:dyDescent="0.3"/>
    <row r="53870" ht="14.4" x14ac:dyDescent="0.3"/>
    <row r="53871" ht="14.4" x14ac:dyDescent="0.3"/>
    <row r="53872" ht="14.4" x14ac:dyDescent="0.3"/>
    <row r="53873" ht="14.4" x14ac:dyDescent="0.3"/>
    <row r="53874" ht="14.4" x14ac:dyDescent="0.3"/>
    <row r="53875" ht="14.4" x14ac:dyDescent="0.3"/>
    <row r="53876" ht="14.4" x14ac:dyDescent="0.3"/>
    <row r="53877" ht="14.4" x14ac:dyDescent="0.3"/>
    <row r="53878" ht="14.4" x14ac:dyDescent="0.3"/>
    <row r="53879" ht="14.4" x14ac:dyDescent="0.3"/>
    <row r="53880" ht="14.4" x14ac:dyDescent="0.3"/>
    <row r="53881" ht="14.4" x14ac:dyDescent="0.3"/>
    <row r="53882" ht="14.4" x14ac:dyDescent="0.3"/>
    <row r="53883" ht="14.4" x14ac:dyDescent="0.3"/>
    <row r="53884" ht="14.4" x14ac:dyDescent="0.3"/>
    <row r="53885" ht="14.4" x14ac:dyDescent="0.3"/>
    <row r="53886" ht="14.4" x14ac:dyDescent="0.3"/>
    <row r="53887" ht="14.4" x14ac:dyDescent="0.3"/>
    <row r="53888" ht="14.4" x14ac:dyDescent="0.3"/>
    <row r="53889" ht="14.4" x14ac:dyDescent="0.3"/>
    <row r="53890" ht="14.4" x14ac:dyDescent="0.3"/>
    <row r="53891" ht="14.4" x14ac:dyDescent="0.3"/>
    <row r="53892" ht="14.4" x14ac:dyDescent="0.3"/>
    <row r="53893" ht="14.4" x14ac:dyDescent="0.3"/>
    <row r="53894" ht="14.4" x14ac:dyDescent="0.3"/>
    <row r="53895" ht="14.4" x14ac:dyDescent="0.3"/>
    <row r="53896" ht="14.4" x14ac:dyDescent="0.3"/>
    <row r="53897" ht="14.4" x14ac:dyDescent="0.3"/>
    <row r="53898" ht="14.4" x14ac:dyDescent="0.3"/>
    <row r="53899" ht="14.4" x14ac:dyDescent="0.3"/>
    <row r="53900" ht="14.4" x14ac:dyDescent="0.3"/>
    <row r="53901" ht="14.4" x14ac:dyDescent="0.3"/>
    <row r="53902" ht="14.4" x14ac:dyDescent="0.3"/>
    <row r="53903" ht="14.4" x14ac:dyDescent="0.3"/>
    <row r="53904" ht="14.4" x14ac:dyDescent="0.3"/>
    <row r="53905" ht="14.4" x14ac:dyDescent="0.3"/>
    <row r="53906" ht="14.4" x14ac:dyDescent="0.3"/>
    <row r="53907" ht="14.4" x14ac:dyDescent="0.3"/>
    <row r="53908" ht="14.4" x14ac:dyDescent="0.3"/>
    <row r="53909" ht="14.4" x14ac:dyDescent="0.3"/>
    <row r="53910" ht="14.4" x14ac:dyDescent="0.3"/>
    <row r="53911" ht="14.4" x14ac:dyDescent="0.3"/>
    <row r="53912" ht="14.4" x14ac:dyDescent="0.3"/>
    <row r="53913" ht="14.4" x14ac:dyDescent="0.3"/>
    <row r="53914" ht="14.4" x14ac:dyDescent="0.3"/>
    <row r="53915" ht="14.4" x14ac:dyDescent="0.3"/>
    <row r="53916" ht="14.4" x14ac:dyDescent="0.3"/>
    <row r="53917" ht="14.4" x14ac:dyDescent="0.3"/>
    <row r="53918" ht="14.4" x14ac:dyDescent="0.3"/>
    <row r="53919" ht="14.4" x14ac:dyDescent="0.3"/>
    <row r="53920" ht="14.4" x14ac:dyDescent="0.3"/>
    <row r="53921" ht="14.4" x14ac:dyDescent="0.3"/>
    <row r="53922" ht="14.4" x14ac:dyDescent="0.3"/>
    <row r="53923" ht="14.4" x14ac:dyDescent="0.3"/>
    <row r="53924" ht="14.4" x14ac:dyDescent="0.3"/>
    <row r="53925" ht="14.4" x14ac:dyDescent="0.3"/>
    <row r="53926" ht="14.4" x14ac:dyDescent="0.3"/>
    <row r="53927" ht="14.4" x14ac:dyDescent="0.3"/>
    <row r="53928" ht="14.4" x14ac:dyDescent="0.3"/>
    <row r="53929" ht="14.4" x14ac:dyDescent="0.3"/>
    <row r="53930" ht="14.4" x14ac:dyDescent="0.3"/>
    <row r="53931" ht="14.4" x14ac:dyDescent="0.3"/>
    <row r="53932" ht="14.4" x14ac:dyDescent="0.3"/>
    <row r="53933" ht="14.4" x14ac:dyDescent="0.3"/>
    <row r="53934" ht="14.4" x14ac:dyDescent="0.3"/>
    <row r="53935" ht="14.4" x14ac:dyDescent="0.3"/>
    <row r="53936" ht="14.4" x14ac:dyDescent="0.3"/>
    <row r="53937" ht="14.4" x14ac:dyDescent="0.3"/>
    <row r="53938" ht="14.4" x14ac:dyDescent="0.3"/>
    <row r="53939" ht="14.4" x14ac:dyDescent="0.3"/>
    <row r="53940" ht="14.4" x14ac:dyDescent="0.3"/>
    <row r="53941" ht="14.4" x14ac:dyDescent="0.3"/>
    <row r="53942" ht="14.4" x14ac:dyDescent="0.3"/>
    <row r="53943" ht="14.4" x14ac:dyDescent="0.3"/>
    <row r="53944" ht="14.4" x14ac:dyDescent="0.3"/>
    <row r="53945" ht="14.4" x14ac:dyDescent="0.3"/>
    <row r="53946" ht="14.4" x14ac:dyDescent="0.3"/>
    <row r="53947" ht="14.4" x14ac:dyDescent="0.3"/>
    <row r="53948" ht="14.4" x14ac:dyDescent="0.3"/>
    <row r="53949" ht="14.4" x14ac:dyDescent="0.3"/>
    <row r="53950" ht="14.4" x14ac:dyDescent="0.3"/>
    <row r="53951" ht="14.4" x14ac:dyDescent="0.3"/>
    <row r="53952" ht="14.4" x14ac:dyDescent="0.3"/>
    <row r="53953" ht="14.4" x14ac:dyDescent="0.3"/>
    <row r="53954" ht="14.4" x14ac:dyDescent="0.3"/>
    <row r="53955" ht="14.4" x14ac:dyDescent="0.3"/>
    <row r="53956" ht="14.4" x14ac:dyDescent="0.3"/>
    <row r="53957" ht="14.4" x14ac:dyDescent="0.3"/>
    <row r="53958" ht="14.4" x14ac:dyDescent="0.3"/>
    <row r="53959" ht="14.4" x14ac:dyDescent="0.3"/>
    <row r="53960" ht="14.4" x14ac:dyDescent="0.3"/>
    <row r="53961" ht="14.4" x14ac:dyDescent="0.3"/>
    <row r="53962" ht="14.4" x14ac:dyDescent="0.3"/>
    <row r="53963" ht="14.4" x14ac:dyDescent="0.3"/>
    <row r="53964" ht="14.4" x14ac:dyDescent="0.3"/>
    <row r="53965" ht="14.4" x14ac:dyDescent="0.3"/>
    <row r="53966" ht="14.4" x14ac:dyDescent="0.3"/>
    <row r="53967" ht="14.4" x14ac:dyDescent="0.3"/>
    <row r="53968" ht="14.4" x14ac:dyDescent="0.3"/>
    <row r="53969" ht="14.4" x14ac:dyDescent="0.3"/>
    <row r="53970" ht="14.4" x14ac:dyDescent="0.3"/>
    <row r="53971" ht="14.4" x14ac:dyDescent="0.3"/>
    <row r="53972" ht="14.4" x14ac:dyDescent="0.3"/>
    <row r="53973" ht="14.4" x14ac:dyDescent="0.3"/>
    <row r="53974" ht="14.4" x14ac:dyDescent="0.3"/>
    <row r="53975" ht="14.4" x14ac:dyDescent="0.3"/>
    <row r="53976" ht="14.4" x14ac:dyDescent="0.3"/>
    <row r="53977" ht="14.4" x14ac:dyDescent="0.3"/>
    <row r="53978" ht="14.4" x14ac:dyDescent="0.3"/>
    <row r="53979" ht="14.4" x14ac:dyDescent="0.3"/>
    <row r="53980" ht="14.4" x14ac:dyDescent="0.3"/>
    <row r="53981" ht="14.4" x14ac:dyDescent="0.3"/>
    <row r="53982" ht="14.4" x14ac:dyDescent="0.3"/>
    <row r="53983" ht="14.4" x14ac:dyDescent="0.3"/>
    <row r="53984" ht="14.4" x14ac:dyDescent="0.3"/>
    <row r="53985" ht="14.4" x14ac:dyDescent="0.3"/>
    <row r="53986" ht="14.4" x14ac:dyDescent="0.3"/>
    <row r="53987" ht="14.4" x14ac:dyDescent="0.3"/>
    <row r="53988" ht="14.4" x14ac:dyDescent="0.3"/>
    <row r="53989" ht="14.4" x14ac:dyDescent="0.3"/>
    <row r="53990" ht="14.4" x14ac:dyDescent="0.3"/>
    <row r="53991" ht="14.4" x14ac:dyDescent="0.3"/>
    <row r="53992" ht="14.4" x14ac:dyDescent="0.3"/>
    <row r="53993" ht="14.4" x14ac:dyDescent="0.3"/>
    <row r="53994" ht="14.4" x14ac:dyDescent="0.3"/>
    <row r="53995" ht="14.4" x14ac:dyDescent="0.3"/>
    <row r="53996" ht="14.4" x14ac:dyDescent="0.3"/>
    <row r="53997" ht="14.4" x14ac:dyDescent="0.3"/>
    <row r="53998" ht="14.4" x14ac:dyDescent="0.3"/>
    <row r="53999" ht="14.4" x14ac:dyDescent="0.3"/>
    <row r="54000" ht="14.4" x14ac:dyDescent="0.3"/>
    <row r="54001" ht="14.4" x14ac:dyDescent="0.3"/>
    <row r="54002" ht="14.4" x14ac:dyDescent="0.3"/>
    <row r="54003" ht="14.4" x14ac:dyDescent="0.3"/>
    <row r="54004" ht="14.4" x14ac:dyDescent="0.3"/>
    <row r="54005" ht="14.4" x14ac:dyDescent="0.3"/>
    <row r="54006" ht="14.4" x14ac:dyDescent="0.3"/>
    <row r="54007" ht="14.4" x14ac:dyDescent="0.3"/>
    <row r="54008" ht="14.4" x14ac:dyDescent="0.3"/>
    <row r="54009" ht="14.4" x14ac:dyDescent="0.3"/>
    <row r="54010" ht="14.4" x14ac:dyDescent="0.3"/>
    <row r="54011" ht="14.4" x14ac:dyDescent="0.3"/>
    <row r="54012" ht="14.4" x14ac:dyDescent="0.3"/>
    <row r="54013" ht="14.4" x14ac:dyDescent="0.3"/>
    <row r="54014" ht="14.4" x14ac:dyDescent="0.3"/>
    <row r="54015" ht="14.4" x14ac:dyDescent="0.3"/>
    <row r="54016" ht="14.4" x14ac:dyDescent="0.3"/>
    <row r="54017" ht="14.4" x14ac:dyDescent="0.3"/>
    <row r="54018" ht="14.4" x14ac:dyDescent="0.3"/>
    <row r="54019" ht="14.4" x14ac:dyDescent="0.3"/>
    <row r="54020" ht="14.4" x14ac:dyDescent="0.3"/>
    <row r="54021" ht="14.4" x14ac:dyDescent="0.3"/>
    <row r="54022" ht="14.4" x14ac:dyDescent="0.3"/>
    <row r="54023" ht="14.4" x14ac:dyDescent="0.3"/>
    <row r="54024" ht="14.4" x14ac:dyDescent="0.3"/>
    <row r="54025" ht="14.4" x14ac:dyDescent="0.3"/>
    <row r="54026" ht="14.4" x14ac:dyDescent="0.3"/>
    <row r="54027" ht="14.4" x14ac:dyDescent="0.3"/>
    <row r="54028" ht="14.4" x14ac:dyDescent="0.3"/>
    <row r="54029" ht="14.4" x14ac:dyDescent="0.3"/>
    <row r="54030" ht="14.4" x14ac:dyDescent="0.3"/>
    <row r="54031" ht="14.4" x14ac:dyDescent="0.3"/>
    <row r="54032" ht="14.4" x14ac:dyDescent="0.3"/>
    <row r="54033" ht="14.4" x14ac:dyDescent="0.3"/>
    <row r="54034" ht="14.4" x14ac:dyDescent="0.3"/>
    <row r="54035" ht="14.4" x14ac:dyDescent="0.3"/>
    <row r="54036" ht="14.4" x14ac:dyDescent="0.3"/>
    <row r="54037" ht="14.4" x14ac:dyDescent="0.3"/>
    <row r="54038" ht="14.4" x14ac:dyDescent="0.3"/>
    <row r="54039" ht="14.4" x14ac:dyDescent="0.3"/>
    <row r="54040" ht="14.4" x14ac:dyDescent="0.3"/>
    <row r="54041" ht="14.4" x14ac:dyDescent="0.3"/>
    <row r="54042" ht="14.4" x14ac:dyDescent="0.3"/>
    <row r="54043" ht="14.4" x14ac:dyDescent="0.3"/>
    <row r="54044" ht="14.4" x14ac:dyDescent="0.3"/>
    <row r="54045" ht="14.4" x14ac:dyDescent="0.3"/>
    <row r="54046" ht="14.4" x14ac:dyDescent="0.3"/>
    <row r="54047" ht="14.4" x14ac:dyDescent="0.3"/>
    <row r="54048" ht="14.4" x14ac:dyDescent="0.3"/>
    <row r="54049" ht="14.4" x14ac:dyDescent="0.3"/>
    <row r="54050" ht="14.4" x14ac:dyDescent="0.3"/>
    <row r="54051" ht="14.4" x14ac:dyDescent="0.3"/>
    <row r="54052" ht="14.4" x14ac:dyDescent="0.3"/>
    <row r="54053" ht="14.4" x14ac:dyDescent="0.3"/>
    <row r="54054" ht="14.4" x14ac:dyDescent="0.3"/>
    <row r="54055" ht="14.4" x14ac:dyDescent="0.3"/>
    <row r="54056" ht="14.4" x14ac:dyDescent="0.3"/>
    <row r="54057" ht="14.4" x14ac:dyDescent="0.3"/>
    <row r="54058" ht="14.4" x14ac:dyDescent="0.3"/>
    <row r="54059" ht="14.4" x14ac:dyDescent="0.3"/>
    <row r="54060" ht="14.4" x14ac:dyDescent="0.3"/>
    <row r="54061" ht="14.4" x14ac:dyDescent="0.3"/>
    <row r="54062" ht="14.4" x14ac:dyDescent="0.3"/>
    <row r="54063" ht="14.4" x14ac:dyDescent="0.3"/>
    <row r="54064" ht="14.4" x14ac:dyDescent="0.3"/>
    <row r="54065" ht="14.4" x14ac:dyDescent="0.3"/>
    <row r="54066" ht="14.4" x14ac:dyDescent="0.3"/>
    <row r="54067" ht="14.4" x14ac:dyDescent="0.3"/>
    <row r="54068" ht="14.4" x14ac:dyDescent="0.3"/>
    <row r="54069" ht="14.4" x14ac:dyDescent="0.3"/>
    <row r="54070" ht="14.4" x14ac:dyDescent="0.3"/>
    <row r="54071" ht="14.4" x14ac:dyDescent="0.3"/>
    <row r="54072" ht="14.4" x14ac:dyDescent="0.3"/>
    <row r="54073" ht="14.4" x14ac:dyDescent="0.3"/>
    <row r="54074" ht="14.4" x14ac:dyDescent="0.3"/>
    <row r="54075" ht="14.4" x14ac:dyDescent="0.3"/>
    <row r="54076" ht="14.4" x14ac:dyDescent="0.3"/>
    <row r="54077" ht="14.4" x14ac:dyDescent="0.3"/>
    <row r="54078" ht="14.4" x14ac:dyDescent="0.3"/>
    <row r="54079" ht="14.4" x14ac:dyDescent="0.3"/>
    <row r="54080" ht="14.4" x14ac:dyDescent="0.3"/>
    <row r="54081" ht="14.4" x14ac:dyDescent="0.3"/>
    <row r="54082" ht="14.4" x14ac:dyDescent="0.3"/>
    <row r="54083" ht="14.4" x14ac:dyDescent="0.3"/>
    <row r="54084" ht="14.4" x14ac:dyDescent="0.3"/>
    <row r="54085" ht="14.4" x14ac:dyDescent="0.3"/>
    <row r="54086" ht="14.4" x14ac:dyDescent="0.3"/>
    <row r="54087" ht="14.4" x14ac:dyDescent="0.3"/>
    <row r="54088" ht="14.4" x14ac:dyDescent="0.3"/>
    <row r="54089" ht="14.4" x14ac:dyDescent="0.3"/>
    <row r="54090" ht="14.4" x14ac:dyDescent="0.3"/>
    <row r="54091" ht="14.4" x14ac:dyDescent="0.3"/>
    <row r="54092" ht="14.4" x14ac:dyDescent="0.3"/>
    <row r="54093" ht="14.4" x14ac:dyDescent="0.3"/>
    <row r="54094" ht="14.4" x14ac:dyDescent="0.3"/>
    <row r="54095" ht="14.4" x14ac:dyDescent="0.3"/>
    <row r="54096" ht="14.4" x14ac:dyDescent="0.3"/>
    <row r="54097" ht="14.4" x14ac:dyDescent="0.3"/>
    <row r="54098" ht="14.4" x14ac:dyDescent="0.3"/>
    <row r="54099" ht="14.4" x14ac:dyDescent="0.3"/>
    <row r="54100" ht="14.4" x14ac:dyDescent="0.3"/>
    <row r="54101" ht="14.4" x14ac:dyDescent="0.3"/>
    <row r="54102" ht="14.4" x14ac:dyDescent="0.3"/>
    <row r="54103" ht="14.4" x14ac:dyDescent="0.3"/>
    <row r="54104" ht="14.4" x14ac:dyDescent="0.3"/>
    <row r="54105" ht="14.4" x14ac:dyDescent="0.3"/>
    <row r="54106" ht="14.4" x14ac:dyDescent="0.3"/>
    <row r="54107" ht="14.4" x14ac:dyDescent="0.3"/>
    <row r="54108" ht="14.4" x14ac:dyDescent="0.3"/>
    <row r="54109" ht="14.4" x14ac:dyDescent="0.3"/>
    <row r="54110" ht="14.4" x14ac:dyDescent="0.3"/>
    <row r="54111" ht="14.4" x14ac:dyDescent="0.3"/>
    <row r="54112" ht="14.4" x14ac:dyDescent="0.3"/>
    <row r="54113" ht="14.4" x14ac:dyDescent="0.3"/>
    <row r="54114" ht="14.4" x14ac:dyDescent="0.3"/>
    <row r="54115" ht="14.4" x14ac:dyDescent="0.3"/>
    <row r="54116" ht="14.4" x14ac:dyDescent="0.3"/>
    <row r="54117" ht="14.4" x14ac:dyDescent="0.3"/>
    <row r="54118" ht="14.4" x14ac:dyDescent="0.3"/>
    <row r="54119" ht="14.4" x14ac:dyDescent="0.3"/>
    <row r="54120" ht="14.4" x14ac:dyDescent="0.3"/>
    <row r="54121" ht="14.4" x14ac:dyDescent="0.3"/>
    <row r="54122" ht="14.4" x14ac:dyDescent="0.3"/>
    <row r="54123" ht="14.4" x14ac:dyDescent="0.3"/>
    <row r="54124" ht="14.4" x14ac:dyDescent="0.3"/>
    <row r="54125" ht="14.4" x14ac:dyDescent="0.3"/>
    <row r="54126" ht="14.4" x14ac:dyDescent="0.3"/>
    <row r="54127" ht="14.4" x14ac:dyDescent="0.3"/>
    <row r="54128" ht="14.4" x14ac:dyDescent="0.3"/>
    <row r="54129" ht="14.4" x14ac:dyDescent="0.3"/>
    <row r="54130" ht="14.4" x14ac:dyDescent="0.3"/>
    <row r="54131" ht="14.4" x14ac:dyDescent="0.3"/>
    <row r="54132" ht="14.4" x14ac:dyDescent="0.3"/>
    <row r="54133" ht="14.4" x14ac:dyDescent="0.3"/>
    <row r="54134" ht="14.4" x14ac:dyDescent="0.3"/>
    <row r="54135" ht="14.4" x14ac:dyDescent="0.3"/>
    <row r="54136" ht="14.4" x14ac:dyDescent="0.3"/>
    <row r="54137" ht="14.4" x14ac:dyDescent="0.3"/>
    <row r="54138" ht="14.4" x14ac:dyDescent="0.3"/>
    <row r="54139" ht="14.4" x14ac:dyDescent="0.3"/>
    <row r="54140" ht="14.4" x14ac:dyDescent="0.3"/>
    <row r="54141" ht="14.4" x14ac:dyDescent="0.3"/>
    <row r="54142" ht="14.4" x14ac:dyDescent="0.3"/>
    <row r="54143" ht="14.4" x14ac:dyDescent="0.3"/>
    <row r="54144" ht="14.4" x14ac:dyDescent="0.3"/>
    <row r="54145" ht="14.4" x14ac:dyDescent="0.3"/>
    <row r="54146" ht="14.4" x14ac:dyDescent="0.3"/>
    <row r="54147" ht="14.4" x14ac:dyDescent="0.3"/>
    <row r="54148" ht="14.4" x14ac:dyDescent="0.3"/>
    <row r="54149" ht="14.4" x14ac:dyDescent="0.3"/>
    <row r="54150" ht="14.4" x14ac:dyDescent="0.3"/>
    <row r="54151" ht="14.4" x14ac:dyDescent="0.3"/>
    <row r="54152" ht="14.4" x14ac:dyDescent="0.3"/>
    <row r="54153" ht="14.4" x14ac:dyDescent="0.3"/>
    <row r="54154" ht="14.4" x14ac:dyDescent="0.3"/>
    <row r="54155" ht="14.4" x14ac:dyDescent="0.3"/>
    <row r="54156" ht="14.4" x14ac:dyDescent="0.3"/>
    <row r="54157" ht="14.4" x14ac:dyDescent="0.3"/>
    <row r="54158" ht="14.4" x14ac:dyDescent="0.3"/>
    <row r="54159" ht="14.4" x14ac:dyDescent="0.3"/>
    <row r="54160" ht="14.4" x14ac:dyDescent="0.3"/>
    <row r="54161" ht="14.4" x14ac:dyDescent="0.3"/>
    <row r="54162" ht="14.4" x14ac:dyDescent="0.3"/>
    <row r="54163" ht="14.4" x14ac:dyDescent="0.3"/>
    <row r="54164" ht="14.4" x14ac:dyDescent="0.3"/>
    <row r="54165" ht="14.4" x14ac:dyDescent="0.3"/>
    <row r="54166" ht="14.4" x14ac:dyDescent="0.3"/>
    <row r="54167" ht="14.4" x14ac:dyDescent="0.3"/>
    <row r="54168" ht="14.4" x14ac:dyDescent="0.3"/>
    <row r="54169" ht="14.4" x14ac:dyDescent="0.3"/>
    <row r="54170" ht="14.4" x14ac:dyDescent="0.3"/>
    <row r="54171" ht="14.4" x14ac:dyDescent="0.3"/>
    <row r="54172" ht="14.4" x14ac:dyDescent="0.3"/>
    <row r="54173" ht="14.4" x14ac:dyDescent="0.3"/>
    <row r="54174" ht="14.4" x14ac:dyDescent="0.3"/>
    <row r="54175" ht="14.4" x14ac:dyDescent="0.3"/>
    <row r="54176" ht="14.4" x14ac:dyDescent="0.3"/>
    <row r="54177" ht="14.4" x14ac:dyDescent="0.3"/>
    <row r="54178" ht="14.4" x14ac:dyDescent="0.3"/>
    <row r="54179" ht="14.4" x14ac:dyDescent="0.3"/>
    <row r="54180" ht="14.4" x14ac:dyDescent="0.3"/>
    <row r="54181" ht="14.4" x14ac:dyDescent="0.3"/>
    <row r="54182" ht="14.4" x14ac:dyDescent="0.3"/>
    <row r="54183" ht="14.4" x14ac:dyDescent="0.3"/>
    <row r="54184" ht="14.4" x14ac:dyDescent="0.3"/>
    <row r="54185" ht="14.4" x14ac:dyDescent="0.3"/>
    <row r="54186" ht="14.4" x14ac:dyDescent="0.3"/>
    <row r="54187" ht="14.4" x14ac:dyDescent="0.3"/>
    <row r="54188" ht="14.4" x14ac:dyDescent="0.3"/>
    <row r="54189" ht="14.4" x14ac:dyDescent="0.3"/>
    <row r="54190" ht="14.4" x14ac:dyDescent="0.3"/>
    <row r="54191" ht="14.4" x14ac:dyDescent="0.3"/>
    <row r="54192" ht="14.4" x14ac:dyDescent="0.3"/>
    <row r="54193" ht="14.4" x14ac:dyDescent="0.3"/>
    <row r="54194" ht="14.4" x14ac:dyDescent="0.3"/>
    <row r="54195" ht="14.4" x14ac:dyDescent="0.3"/>
    <row r="54196" ht="14.4" x14ac:dyDescent="0.3"/>
    <row r="54197" ht="14.4" x14ac:dyDescent="0.3"/>
    <row r="54198" ht="14.4" x14ac:dyDescent="0.3"/>
    <row r="54199" ht="14.4" x14ac:dyDescent="0.3"/>
    <row r="54200" ht="14.4" x14ac:dyDescent="0.3"/>
    <row r="54201" ht="14.4" x14ac:dyDescent="0.3"/>
    <row r="54202" ht="14.4" x14ac:dyDescent="0.3"/>
    <row r="54203" ht="14.4" x14ac:dyDescent="0.3"/>
    <row r="54204" ht="14.4" x14ac:dyDescent="0.3"/>
    <row r="54205" ht="14.4" x14ac:dyDescent="0.3"/>
    <row r="54206" ht="14.4" x14ac:dyDescent="0.3"/>
    <row r="54207" ht="14.4" x14ac:dyDescent="0.3"/>
    <row r="54208" ht="14.4" x14ac:dyDescent="0.3"/>
    <row r="54209" ht="14.4" x14ac:dyDescent="0.3"/>
    <row r="54210" ht="14.4" x14ac:dyDescent="0.3"/>
    <row r="54211" ht="14.4" x14ac:dyDescent="0.3"/>
    <row r="54212" ht="14.4" x14ac:dyDescent="0.3"/>
    <row r="54213" ht="14.4" x14ac:dyDescent="0.3"/>
    <row r="54214" ht="14.4" x14ac:dyDescent="0.3"/>
    <row r="54215" ht="14.4" x14ac:dyDescent="0.3"/>
    <row r="54216" ht="14.4" x14ac:dyDescent="0.3"/>
    <row r="54217" ht="14.4" x14ac:dyDescent="0.3"/>
    <row r="54218" ht="14.4" x14ac:dyDescent="0.3"/>
    <row r="54219" ht="14.4" x14ac:dyDescent="0.3"/>
    <row r="54220" ht="14.4" x14ac:dyDescent="0.3"/>
    <row r="54221" ht="14.4" x14ac:dyDescent="0.3"/>
    <row r="54222" ht="14.4" x14ac:dyDescent="0.3"/>
    <row r="54223" ht="14.4" x14ac:dyDescent="0.3"/>
    <row r="54224" ht="14.4" x14ac:dyDescent="0.3"/>
    <row r="54225" ht="14.4" x14ac:dyDescent="0.3"/>
    <row r="54226" ht="14.4" x14ac:dyDescent="0.3"/>
    <row r="54227" ht="14.4" x14ac:dyDescent="0.3"/>
    <row r="54228" ht="14.4" x14ac:dyDescent="0.3"/>
    <row r="54229" ht="14.4" x14ac:dyDescent="0.3"/>
    <row r="54230" ht="14.4" x14ac:dyDescent="0.3"/>
    <row r="54231" ht="14.4" x14ac:dyDescent="0.3"/>
    <row r="54232" ht="14.4" x14ac:dyDescent="0.3"/>
    <row r="54233" ht="14.4" x14ac:dyDescent="0.3"/>
    <row r="54234" ht="14.4" x14ac:dyDescent="0.3"/>
    <row r="54235" ht="14.4" x14ac:dyDescent="0.3"/>
    <row r="54236" ht="14.4" x14ac:dyDescent="0.3"/>
    <row r="54237" ht="14.4" x14ac:dyDescent="0.3"/>
    <row r="54238" ht="14.4" x14ac:dyDescent="0.3"/>
    <row r="54239" ht="14.4" x14ac:dyDescent="0.3"/>
    <row r="54240" ht="14.4" x14ac:dyDescent="0.3"/>
    <row r="54241" ht="14.4" x14ac:dyDescent="0.3"/>
    <row r="54242" ht="14.4" x14ac:dyDescent="0.3"/>
    <row r="54243" ht="14.4" x14ac:dyDescent="0.3"/>
    <row r="54244" ht="14.4" x14ac:dyDescent="0.3"/>
    <row r="54245" ht="14.4" x14ac:dyDescent="0.3"/>
    <row r="54246" ht="14.4" x14ac:dyDescent="0.3"/>
    <row r="54247" ht="14.4" x14ac:dyDescent="0.3"/>
    <row r="54248" ht="14.4" x14ac:dyDescent="0.3"/>
    <row r="54249" ht="14.4" x14ac:dyDescent="0.3"/>
    <row r="54250" ht="14.4" x14ac:dyDescent="0.3"/>
    <row r="54251" ht="14.4" x14ac:dyDescent="0.3"/>
    <row r="54252" ht="14.4" x14ac:dyDescent="0.3"/>
    <row r="54253" ht="14.4" x14ac:dyDescent="0.3"/>
    <row r="54254" ht="14.4" x14ac:dyDescent="0.3"/>
    <row r="54255" ht="14.4" x14ac:dyDescent="0.3"/>
    <row r="54256" ht="14.4" x14ac:dyDescent="0.3"/>
    <row r="54257" ht="14.4" x14ac:dyDescent="0.3"/>
    <row r="54258" ht="14.4" x14ac:dyDescent="0.3"/>
    <row r="54259" ht="14.4" x14ac:dyDescent="0.3"/>
    <row r="54260" ht="14.4" x14ac:dyDescent="0.3"/>
    <row r="54261" ht="14.4" x14ac:dyDescent="0.3"/>
    <row r="54262" ht="14.4" x14ac:dyDescent="0.3"/>
    <row r="54263" ht="14.4" x14ac:dyDescent="0.3"/>
    <row r="54264" ht="14.4" x14ac:dyDescent="0.3"/>
    <row r="54265" ht="14.4" x14ac:dyDescent="0.3"/>
    <row r="54266" ht="14.4" x14ac:dyDescent="0.3"/>
    <row r="54267" ht="14.4" x14ac:dyDescent="0.3"/>
    <row r="54268" ht="14.4" x14ac:dyDescent="0.3"/>
    <row r="54269" ht="14.4" x14ac:dyDescent="0.3"/>
    <row r="54270" ht="14.4" x14ac:dyDescent="0.3"/>
    <row r="54271" ht="14.4" x14ac:dyDescent="0.3"/>
    <row r="54272" ht="14.4" x14ac:dyDescent="0.3"/>
    <row r="54273" ht="14.4" x14ac:dyDescent="0.3"/>
    <row r="54274" ht="14.4" x14ac:dyDescent="0.3"/>
    <row r="54275" ht="14.4" x14ac:dyDescent="0.3"/>
    <row r="54276" ht="14.4" x14ac:dyDescent="0.3"/>
    <row r="54277" ht="14.4" x14ac:dyDescent="0.3"/>
    <row r="54278" ht="14.4" x14ac:dyDescent="0.3"/>
    <row r="54279" ht="14.4" x14ac:dyDescent="0.3"/>
    <row r="54280" ht="14.4" x14ac:dyDescent="0.3"/>
    <row r="54281" ht="14.4" x14ac:dyDescent="0.3"/>
    <row r="54282" ht="14.4" x14ac:dyDescent="0.3"/>
    <row r="54283" ht="14.4" x14ac:dyDescent="0.3"/>
    <row r="54284" ht="14.4" x14ac:dyDescent="0.3"/>
    <row r="54285" ht="14.4" x14ac:dyDescent="0.3"/>
    <row r="54286" ht="14.4" x14ac:dyDescent="0.3"/>
    <row r="54287" ht="14.4" x14ac:dyDescent="0.3"/>
    <row r="54288" ht="14.4" x14ac:dyDescent="0.3"/>
    <row r="54289" ht="14.4" x14ac:dyDescent="0.3"/>
    <row r="54290" ht="14.4" x14ac:dyDescent="0.3"/>
    <row r="54291" ht="14.4" x14ac:dyDescent="0.3"/>
    <row r="54292" ht="14.4" x14ac:dyDescent="0.3"/>
    <row r="54293" ht="14.4" x14ac:dyDescent="0.3"/>
    <row r="54294" ht="14.4" x14ac:dyDescent="0.3"/>
    <row r="54295" ht="14.4" x14ac:dyDescent="0.3"/>
    <row r="54296" ht="14.4" x14ac:dyDescent="0.3"/>
    <row r="54297" ht="14.4" x14ac:dyDescent="0.3"/>
    <row r="54298" ht="14.4" x14ac:dyDescent="0.3"/>
    <row r="54299" ht="14.4" x14ac:dyDescent="0.3"/>
    <row r="54300" ht="14.4" x14ac:dyDescent="0.3"/>
    <row r="54301" ht="14.4" x14ac:dyDescent="0.3"/>
    <row r="54302" ht="14.4" x14ac:dyDescent="0.3"/>
    <row r="54303" ht="14.4" x14ac:dyDescent="0.3"/>
    <row r="54304" ht="14.4" x14ac:dyDescent="0.3"/>
    <row r="54305" ht="14.4" x14ac:dyDescent="0.3"/>
    <row r="54306" ht="14.4" x14ac:dyDescent="0.3"/>
    <row r="54307" ht="14.4" x14ac:dyDescent="0.3"/>
    <row r="54308" ht="14.4" x14ac:dyDescent="0.3"/>
    <row r="54309" ht="14.4" x14ac:dyDescent="0.3"/>
    <row r="54310" ht="14.4" x14ac:dyDescent="0.3"/>
    <row r="54311" ht="14.4" x14ac:dyDescent="0.3"/>
    <row r="54312" ht="14.4" x14ac:dyDescent="0.3"/>
    <row r="54313" ht="14.4" x14ac:dyDescent="0.3"/>
    <row r="54314" ht="14.4" x14ac:dyDescent="0.3"/>
    <row r="54315" ht="14.4" x14ac:dyDescent="0.3"/>
    <row r="54316" ht="14.4" x14ac:dyDescent="0.3"/>
    <row r="54317" ht="14.4" x14ac:dyDescent="0.3"/>
    <row r="54318" ht="14.4" x14ac:dyDescent="0.3"/>
    <row r="54319" ht="14.4" x14ac:dyDescent="0.3"/>
    <row r="54320" ht="14.4" x14ac:dyDescent="0.3"/>
    <row r="54321" ht="14.4" x14ac:dyDescent="0.3"/>
    <row r="54322" ht="14.4" x14ac:dyDescent="0.3"/>
    <row r="54323" ht="14.4" x14ac:dyDescent="0.3"/>
    <row r="54324" ht="14.4" x14ac:dyDescent="0.3"/>
    <row r="54325" ht="14.4" x14ac:dyDescent="0.3"/>
    <row r="54326" ht="14.4" x14ac:dyDescent="0.3"/>
    <row r="54327" ht="14.4" x14ac:dyDescent="0.3"/>
    <row r="54328" ht="14.4" x14ac:dyDescent="0.3"/>
    <row r="54329" ht="14.4" x14ac:dyDescent="0.3"/>
    <row r="54330" ht="14.4" x14ac:dyDescent="0.3"/>
    <row r="54331" ht="14.4" x14ac:dyDescent="0.3"/>
    <row r="54332" ht="14.4" x14ac:dyDescent="0.3"/>
    <row r="54333" ht="14.4" x14ac:dyDescent="0.3"/>
    <row r="54334" ht="14.4" x14ac:dyDescent="0.3"/>
    <row r="54335" ht="14.4" x14ac:dyDescent="0.3"/>
    <row r="54336" ht="14.4" x14ac:dyDescent="0.3"/>
    <row r="54337" ht="14.4" x14ac:dyDescent="0.3"/>
    <row r="54338" ht="14.4" x14ac:dyDescent="0.3"/>
    <row r="54339" ht="14.4" x14ac:dyDescent="0.3"/>
    <row r="54340" ht="14.4" x14ac:dyDescent="0.3"/>
    <row r="54341" ht="14.4" x14ac:dyDescent="0.3"/>
    <row r="54342" ht="14.4" x14ac:dyDescent="0.3"/>
    <row r="54343" ht="14.4" x14ac:dyDescent="0.3"/>
    <row r="54344" ht="14.4" x14ac:dyDescent="0.3"/>
    <row r="54345" ht="14.4" x14ac:dyDescent="0.3"/>
    <row r="54346" ht="14.4" x14ac:dyDescent="0.3"/>
    <row r="54347" ht="14.4" x14ac:dyDescent="0.3"/>
    <row r="54348" ht="14.4" x14ac:dyDescent="0.3"/>
    <row r="54349" ht="14.4" x14ac:dyDescent="0.3"/>
    <row r="54350" ht="14.4" x14ac:dyDescent="0.3"/>
    <row r="54351" ht="14.4" x14ac:dyDescent="0.3"/>
    <row r="54352" ht="14.4" x14ac:dyDescent="0.3"/>
    <row r="54353" ht="14.4" x14ac:dyDescent="0.3"/>
    <row r="54354" ht="14.4" x14ac:dyDescent="0.3"/>
    <row r="54355" ht="14.4" x14ac:dyDescent="0.3"/>
    <row r="54356" ht="14.4" x14ac:dyDescent="0.3"/>
    <row r="54357" ht="14.4" x14ac:dyDescent="0.3"/>
    <row r="54358" ht="14.4" x14ac:dyDescent="0.3"/>
    <row r="54359" ht="14.4" x14ac:dyDescent="0.3"/>
    <row r="54360" ht="14.4" x14ac:dyDescent="0.3"/>
    <row r="54361" ht="14.4" x14ac:dyDescent="0.3"/>
    <row r="54362" ht="14.4" x14ac:dyDescent="0.3"/>
    <row r="54363" ht="14.4" x14ac:dyDescent="0.3"/>
    <row r="54364" ht="14.4" x14ac:dyDescent="0.3"/>
    <row r="54365" ht="14.4" x14ac:dyDescent="0.3"/>
    <row r="54366" ht="14.4" x14ac:dyDescent="0.3"/>
    <row r="54367" ht="14.4" x14ac:dyDescent="0.3"/>
    <row r="54368" ht="14.4" x14ac:dyDescent="0.3"/>
    <row r="54369" ht="14.4" x14ac:dyDescent="0.3"/>
    <row r="54370" ht="14.4" x14ac:dyDescent="0.3"/>
    <row r="54371" ht="14.4" x14ac:dyDescent="0.3"/>
    <row r="54372" ht="14.4" x14ac:dyDescent="0.3"/>
    <row r="54373" ht="14.4" x14ac:dyDescent="0.3"/>
    <row r="54374" ht="14.4" x14ac:dyDescent="0.3"/>
    <row r="54375" ht="14.4" x14ac:dyDescent="0.3"/>
    <row r="54376" ht="14.4" x14ac:dyDescent="0.3"/>
    <row r="54377" ht="14.4" x14ac:dyDescent="0.3"/>
    <row r="54378" ht="14.4" x14ac:dyDescent="0.3"/>
    <row r="54379" ht="14.4" x14ac:dyDescent="0.3"/>
    <row r="54380" ht="14.4" x14ac:dyDescent="0.3"/>
    <row r="54381" ht="14.4" x14ac:dyDescent="0.3"/>
    <row r="54382" ht="14.4" x14ac:dyDescent="0.3"/>
    <row r="54383" ht="14.4" x14ac:dyDescent="0.3"/>
    <row r="54384" ht="14.4" x14ac:dyDescent="0.3"/>
    <row r="54385" ht="14.4" x14ac:dyDescent="0.3"/>
    <row r="54386" ht="14.4" x14ac:dyDescent="0.3"/>
    <row r="54387" ht="14.4" x14ac:dyDescent="0.3"/>
    <row r="54388" ht="14.4" x14ac:dyDescent="0.3"/>
    <row r="54389" ht="14.4" x14ac:dyDescent="0.3"/>
    <row r="54390" ht="14.4" x14ac:dyDescent="0.3"/>
    <row r="54391" ht="14.4" x14ac:dyDescent="0.3"/>
    <row r="54392" ht="14.4" x14ac:dyDescent="0.3"/>
    <row r="54393" ht="14.4" x14ac:dyDescent="0.3"/>
    <row r="54394" ht="14.4" x14ac:dyDescent="0.3"/>
    <row r="54395" ht="14.4" x14ac:dyDescent="0.3"/>
    <row r="54396" ht="14.4" x14ac:dyDescent="0.3"/>
    <row r="54397" ht="14.4" x14ac:dyDescent="0.3"/>
    <row r="54398" ht="14.4" x14ac:dyDescent="0.3"/>
    <row r="54399" ht="14.4" x14ac:dyDescent="0.3"/>
    <row r="54400" ht="14.4" x14ac:dyDescent="0.3"/>
    <row r="54401" ht="14.4" x14ac:dyDescent="0.3"/>
    <row r="54402" ht="14.4" x14ac:dyDescent="0.3"/>
    <row r="54403" ht="14.4" x14ac:dyDescent="0.3"/>
    <row r="54404" ht="14.4" x14ac:dyDescent="0.3"/>
    <row r="54405" ht="14.4" x14ac:dyDescent="0.3"/>
    <row r="54406" ht="14.4" x14ac:dyDescent="0.3"/>
    <row r="54407" ht="14.4" x14ac:dyDescent="0.3"/>
    <row r="54408" ht="14.4" x14ac:dyDescent="0.3"/>
    <row r="54409" ht="14.4" x14ac:dyDescent="0.3"/>
    <row r="54410" ht="14.4" x14ac:dyDescent="0.3"/>
    <row r="54411" ht="14.4" x14ac:dyDescent="0.3"/>
    <row r="54412" ht="14.4" x14ac:dyDescent="0.3"/>
    <row r="54413" ht="14.4" x14ac:dyDescent="0.3"/>
    <row r="54414" ht="14.4" x14ac:dyDescent="0.3"/>
    <row r="54415" ht="14.4" x14ac:dyDescent="0.3"/>
    <row r="54416" ht="14.4" x14ac:dyDescent="0.3"/>
    <row r="54417" ht="14.4" x14ac:dyDescent="0.3"/>
    <row r="54418" ht="14.4" x14ac:dyDescent="0.3"/>
    <row r="54419" ht="14.4" x14ac:dyDescent="0.3"/>
    <row r="54420" ht="14.4" x14ac:dyDescent="0.3"/>
    <row r="54421" ht="14.4" x14ac:dyDescent="0.3"/>
    <row r="54422" ht="14.4" x14ac:dyDescent="0.3"/>
    <row r="54423" ht="14.4" x14ac:dyDescent="0.3"/>
    <row r="54424" ht="14.4" x14ac:dyDescent="0.3"/>
    <row r="54425" ht="14.4" x14ac:dyDescent="0.3"/>
    <row r="54426" ht="14.4" x14ac:dyDescent="0.3"/>
    <row r="54427" ht="14.4" x14ac:dyDescent="0.3"/>
    <row r="54428" ht="14.4" x14ac:dyDescent="0.3"/>
    <row r="54429" ht="14.4" x14ac:dyDescent="0.3"/>
    <row r="54430" ht="14.4" x14ac:dyDescent="0.3"/>
    <row r="54431" ht="14.4" x14ac:dyDescent="0.3"/>
    <row r="54432" ht="14.4" x14ac:dyDescent="0.3"/>
    <row r="54433" ht="14.4" x14ac:dyDescent="0.3"/>
    <row r="54434" ht="14.4" x14ac:dyDescent="0.3"/>
    <row r="54435" ht="14.4" x14ac:dyDescent="0.3"/>
    <row r="54436" ht="14.4" x14ac:dyDescent="0.3"/>
    <row r="54437" ht="14.4" x14ac:dyDescent="0.3"/>
    <row r="54438" ht="14.4" x14ac:dyDescent="0.3"/>
    <row r="54439" ht="14.4" x14ac:dyDescent="0.3"/>
    <row r="54440" ht="14.4" x14ac:dyDescent="0.3"/>
    <row r="54441" ht="14.4" x14ac:dyDescent="0.3"/>
    <row r="54442" ht="14.4" x14ac:dyDescent="0.3"/>
    <row r="54443" ht="14.4" x14ac:dyDescent="0.3"/>
    <row r="54444" ht="14.4" x14ac:dyDescent="0.3"/>
    <row r="54445" ht="14.4" x14ac:dyDescent="0.3"/>
    <row r="54446" ht="14.4" x14ac:dyDescent="0.3"/>
    <row r="54447" ht="14.4" x14ac:dyDescent="0.3"/>
    <row r="54448" ht="14.4" x14ac:dyDescent="0.3"/>
    <row r="54449" ht="14.4" x14ac:dyDescent="0.3"/>
    <row r="54450" ht="14.4" x14ac:dyDescent="0.3"/>
    <row r="54451" ht="14.4" x14ac:dyDescent="0.3"/>
    <row r="54452" ht="14.4" x14ac:dyDescent="0.3"/>
    <row r="54453" ht="14.4" x14ac:dyDescent="0.3"/>
    <row r="54454" ht="14.4" x14ac:dyDescent="0.3"/>
    <row r="54455" ht="14.4" x14ac:dyDescent="0.3"/>
    <row r="54456" ht="14.4" x14ac:dyDescent="0.3"/>
    <row r="54457" ht="14.4" x14ac:dyDescent="0.3"/>
    <row r="54458" ht="14.4" x14ac:dyDescent="0.3"/>
    <row r="54459" ht="14.4" x14ac:dyDescent="0.3"/>
    <row r="54460" ht="14.4" x14ac:dyDescent="0.3"/>
    <row r="54461" ht="14.4" x14ac:dyDescent="0.3"/>
    <row r="54462" ht="14.4" x14ac:dyDescent="0.3"/>
    <row r="54463" ht="14.4" x14ac:dyDescent="0.3"/>
    <row r="54464" ht="14.4" x14ac:dyDescent="0.3"/>
    <row r="54465" ht="14.4" x14ac:dyDescent="0.3"/>
    <row r="54466" ht="14.4" x14ac:dyDescent="0.3"/>
    <row r="54467" ht="14.4" x14ac:dyDescent="0.3"/>
    <row r="54468" ht="14.4" x14ac:dyDescent="0.3"/>
    <row r="54469" ht="14.4" x14ac:dyDescent="0.3"/>
    <row r="54470" ht="14.4" x14ac:dyDescent="0.3"/>
    <row r="54471" ht="14.4" x14ac:dyDescent="0.3"/>
    <row r="54472" ht="14.4" x14ac:dyDescent="0.3"/>
    <row r="54473" ht="14.4" x14ac:dyDescent="0.3"/>
    <row r="54474" ht="14.4" x14ac:dyDescent="0.3"/>
    <row r="54475" ht="14.4" x14ac:dyDescent="0.3"/>
    <row r="54476" ht="14.4" x14ac:dyDescent="0.3"/>
    <row r="54477" ht="14.4" x14ac:dyDescent="0.3"/>
    <row r="54478" ht="14.4" x14ac:dyDescent="0.3"/>
    <row r="54479" ht="14.4" x14ac:dyDescent="0.3"/>
    <row r="54480" ht="14.4" x14ac:dyDescent="0.3"/>
    <row r="54481" ht="14.4" x14ac:dyDescent="0.3"/>
    <row r="54482" ht="14.4" x14ac:dyDescent="0.3"/>
    <row r="54483" ht="14.4" x14ac:dyDescent="0.3"/>
    <row r="54484" ht="14.4" x14ac:dyDescent="0.3"/>
    <row r="54485" ht="14.4" x14ac:dyDescent="0.3"/>
    <row r="54486" ht="14.4" x14ac:dyDescent="0.3"/>
    <row r="54487" ht="14.4" x14ac:dyDescent="0.3"/>
    <row r="54488" ht="14.4" x14ac:dyDescent="0.3"/>
    <row r="54489" ht="14.4" x14ac:dyDescent="0.3"/>
    <row r="54490" ht="14.4" x14ac:dyDescent="0.3"/>
    <row r="54491" ht="14.4" x14ac:dyDescent="0.3"/>
    <row r="54492" ht="14.4" x14ac:dyDescent="0.3"/>
    <row r="54493" ht="14.4" x14ac:dyDescent="0.3"/>
    <row r="54494" ht="14.4" x14ac:dyDescent="0.3"/>
    <row r="54495" ht="14.4" x14ac:dyDescent="0.3"/>
    <row r="54496" ht="14.4" x14ac:dyDescent="0.3"/>
    <row r="54497" ht="14.4" x14ac:dyDescent="0.3"/>
    <row r="54498" ht="14.4" x14ac:dyDescent="0.3"/>
    <row r="54499" ht="14.4" x14ac:dyDescent="0.3"/>
    <row r="54500" ht="14.4" x14ac:dyDescent="0.3"/>
    <row r="54501" ht="14.4" x14ac:dyDescent="0.3"/>
    <row r="54502" ht="14.4" x14ac:dyDescent="0.3"/>
    <row r="54503" ht="14.4" x14ac:dyDescent="0.3"/>
    <row r="54504" ht="14.4" x14ac:dyDescent="0.3"/>
    <row r="54505" ht="14.4" x14ac:dyDescent="0.3"/>
    <row r="54506" ht="14.4" x14ac:dyDescent="0.3"/>
    <row r="54507" ht="14.4" x14ac:dyDescent="0.3"/>
    <row r="54508" ht="14.4" x14ac:dyDescent="0.3"/>
    <row r="54509" ht="14.4" x14ac:dyDescent="0.3"/>
    <row r="54510" ht="14.4" x14ac:dyDescent="0.3"/>
    <row r="54511" ht="14.4" x14ac:dyDescent="0.3"/>
    <row r="54512" ht="14.4" x14ac:dyDescent="0.3"/>
    <row r="54513" ht="14.4" x14ac:dyDescent="0.3"/>
    <row r="54514" ht="14.4" x14ac:dyDescent="0.3"/>
    <row r="54515" ht="14.4" x14ac:dyDescent="0.3"/>
    <row r="54516" ht="14.4" x14ac:dyDescent="0.3"/>
    <row r="54517" ht="14.4" x14ac:dyDescent="0.3"/>
    <row r="54518" ht="14.4" x14ac:dyDescent="0.3"/>
    <row r="54519" ht="14.4" x14ac:dyDescent="0.3"/>
    <row r="54520" ht="14.4" x14ac:dyDescent="0.3"/>
    <row r="54521" ht="14.4" x14ac:dyDescent="0.3"/>
    <row r="54522" ht="14.4" x14ac:dyDescent="0.3"/>
    <row r="54523" ht="14.4" x14ac:dyDescent="0.3"/>
    <row r="54524" ht="14.4" x14ac:dyDescent="0.3"/>
    <row r="54525" ht="14.4" x14ac:dyDescent="0.3"/>
    <row r="54526" ht="14.4" x14ac:dyDescent="0.3"/>
    <row r="54527" ht="14.4" x14ac:dyDescent="0.3"/>
    <row r="54528" ht="14.4" x14ac:dyDescent="0.3"/>
    <row r="54529" ht="14.4" x14ac:dyDescent="0.3"/>
    <row r="54530" ht="14.4" x14ac:dyDescent="0.3"/>
    <row r="54531" ht="14.4" x14ac:dyDescent="0.3"/>
    <row r="54532" ht="14.4" x14ac:dyDescent="0.3"/>
    <row r="54533" ht="14.4" x14ac:dyDescent="0.3"/>
    <row r="54534" ht="14.4" x14ac:dyDescent="0.3"/>
    <row r="54535" ht="14.4" x14ac:dyDescent="0.3"/>
    <row r="54536" ht="14.4" x14ac:dyDescent="0.3"/>
    <row r="54537" ht="14.4" x14ac:dyDescent="0.3"/>
    <row r="54538" ht="14.4" x14ac:dyDescent="0.3"/>
    <row r="54539" ht="14.4" x14ac:dyDescent="0.3"/>
    <row r="54540" ht="14.4" x14ac:dyDescent="0.3"/>
    <row r="54541" ht="14.4" x14ac:dyDescent="0.3"/>
    <row r="54542" ht="14.4" x14ac:dyDescent="0.3"/>
    <row r="54543" ht="14.4" x14ac:dyDescent="0.3"/>
    <row r="54544" ht="14.4" x14ac:dyDescent="0.3"/>
    <row r="54545" ht="14.4" x14ac:dyDescent="0.3"/>
    <row r="54546" ht="14.4" x14ac:dyDescent="0.3"/>
    <row r="54547" ht="14.4" x14ac:dyDescent="0.3"/>
    <row r="54548" ht="14.4" x14ac:dyDescent="0.3"/>
    <row r="54549" ht="14.4" x14ac:dyDescent="0.3"/>
    <row r="54550" ht="14.4" x14ac:dyDescent="0.3"/>
    <row r="54551" ht="14.4" x14ac:dyDescent="0.3"/>
    <row r="54552" ht="14.4" x14ac:dyDescent="0.3"/>
    <row r="54553" ht="14.4" x14ac:dyDescent="0.3"/>
    <row r="54554" ht="14.4" x14ac:dyDescent="0.3"/>
    <row r="54555" ht="14.4" x14ac:dyDescent="0.3"/>
    <row r="54556" ht="14.4" x14ac:dyDescent="0.3"/>
    <row r="54557" ht="14.4" x14ac:dyDescent="0.3"/>
    <row r="54558" ht="14.4" x14ac:dyDescent="0.3"/>
    <row r="54559" ht="14.4" x14ac:dyDescent="0.3"/>
    <row r="54560" ht="14.4" x14ac:dyDescent="0.3"/>
    <row r="54561" ht="14.4" x14ac:dyDescent="0.3"/>
    <row r="54562" ht="14.4" x14ac:dyDescent="0.3"/>
    <row r="54563" ht="14.4" x14ac:dyDescent="0.3"/>
    <row r="54564" ht="14.4" x14ac:dyDescent="0.3"/>
    <row r="54565" ht="14.4" x14ac:dyDescent="0.3"/>
    <row r="54566" ht="14.4" x14ac:dyDescent="0.3"/>
    <row r="54567" ht="14.4" x14ac:dyDescent="0.3"/>
    <row r="54568" ht="14.4" x14ac:dyDescent="0.3"/>
    <row r="54569" ht="14.4" x14ac:dyDescent="0.3"/>
    <row r="54570" ht="14.4" x14ac:dyDescent="0.3"/>
    <row r="54571" ht="14.4" x14ac:dyDescent="0.3"/>
    <row r="54572" ht="14.4" x14ac:dyDescent="0.3"/>
    <row r="54573" ht="14.4" x14ac:dyDescent="0.3"/>
    <row r="54574" ht="14.4" x14ac:dyDescent="0.3"/>
    <row r="54575" ht="14.4" x14ac:dyDescent="0.3"/>
    <row r="54576" ht="14.4" x14ac:dyDescent="0.3"/>
    <row r="54577" ht="14.4" x14ac:dyDescent="0.3"/>
    <row r="54578" ht="14.4" x14ac:dyDescent="0.3"/>
    <row r="54579" ht="14.4" x14ac:dyDescent="0.3"/>
    <row r="54580" ht="14.4" x14ac:dyDescent="0.3"/>
    <row r="54581" ht="14.4" x14ac:dyDescent="0.3"/>
    <row r="54582" ht="14.4" x14ac:dyDescent="0.3"/>
    <row r="54583" ht="14.4" x14ac:dyDescent="0.3"/>
    <row r="54584" ht="14.4" x14ac:dyDescent="0.3"/>
    <row r="54585" ht="14.4" x14ac:dyDescent="0.3"/>
    <row r="54586" ht="14.4" x14ac:dyDescent="0.3"/>
    <row r="54587" ht="14.4" x14ac:dyDescent="0.3"/>
    <row r="54588" ht="14.4" x14ac:dyDescent="0.3"/>
    <row r="54589" ht="14.4" x14ac:dyDescent="0.3"/>
    <row r="54590" ht="14.4" x14ac:dyDescent="0.3"/>
    <row r="54591" ht="14.4" x14ac:dyDescent="0.3"/>
    <row r="54592" ht="14.4" x14ac:dyDescent="0.3"/>
    <row r="54593" ht="14.4" x14ac:dyDescent="0.3"/>
    <row r="54594" ht="14.4" x14ac:dyDescent="0.3"/>
    <row r="54595" ht="14.4" x14ac:dyDescent="0.3"/>
    <row r="54596" ht="14.4" x14ac:dyDescent="0.3"/>
    <row r="54597" ht="14.4" x14ac:dyDescent="0.3"/>
    <row r="54598" ht="14.4" x14ac:dyDescent="0.3"/>
    <row r="54599" ht="14.4" x14ac:dyDescent="0.3"/>
    <row r="54600" ht="14.4" x14ac:dyDescent="0.3"/>
    <row r="54601" ht="14.4" x14ac:dyDescent="0.3"/>
    <row r="54602" ht="14.4" x14ac:dyDescent="0.3"/>
    <row r="54603" ht="14.4" x14ac:dyDescent="0.3"/>
    <row r="54604" ht="14.4" x14ac:dyDescent="0.3"/>
    <row r="54605" ht="14.4" x14ac:dyDescent="0.3"/>
    <row r="54606" ht="14.4" x14ac:dyDescent="0.3"/>
    <row r="54607" ht="14.4" x14ac:dyDescent="0.3"/>
    <row r="54608" ht="14.4" x14ac:dyDescent="0.3"/>
    <row r="54609" ht="14.4" x14ac:dyDescent="0.3"/>
    <row r="54610" ht="14.4" x14ac:dyDescent="0.3"/>
    <row r="54611" ht="14.4" x14ac:dyDescent="0.3"/>
    <row r="54612" ht="14.4" x14ac:dyDescent="0.3"/>
    <row r="54613" ht="14.4" x14ac:dyDescent="0.3"/>
    <row r="54614" ht="14.4" x14ac:dyDescent="0.3"/>
    <row r="54615" ht="14.4" x14ac:dyDescent="0.3"/>
    <row r="54616" ht="14.4" x14ac:dyDescent="0.3"/>
    <row r="54617" ht="14.4" x14ac:dyDescent="0.3"/>
    <row r="54618" ht="14.4" x14ac:dyDescent="0.3"/>
    <row r="54619" ht="14.4" x14ac:dyDescent="0.3"/>
    <row r="54620" ht="14.4" x14ac:dyDescent="0.3"/>
    <row r="54621" ht="14.4" x14ac:dyDescent="0.3"/>
    <row r="54622" ht="14.4" x14ac:dyDescent="0.3"/>
    <row r="54623" ht="14.4" x14ac:dyDescent="0.3"/>
    <row r="54624" ht="14.4" x14ac:dyDescent="0.3"/>
    <row r="54625" ht="14.4" x14ac:dyDescent="0.3"/>
    <row r="54626" ht="14.4" x14ac:dyDescent="0.3"/>
    <row r="54627" ht="14.4" x14ac:dyDescent="0.3"/>
    <row r="54628" ht="14.4" x14ac:dyDescent="0.3"/>
    <row r="54629" ht="14.4" x14ac:dyDescent="0.3"/>
    <row r="54630" ht="14.4" x14ac:dyDescent="0.3"/>
    <row r="54631" ht="14.4" x14ac:dyDescent="0.3"/>
    <row r="54632" ht="14.4" x14ac:dyDescent="0.3"/>
    <row r="54633" ht="14.4" x14ac:dyDescent="0.3"/>
    <row r="54634" ht="14.4" x14ac:dyDescent="0.3"/>
    <row r="54635" ht="14.4" x14ac:dyDescent="0.3"/>
    <row r="54636" ht="14.4" x14ac:dyDescent="0.3"/>
    <row r="54637" ht="14.4" x14ac:dyDescent="0.3"/>
    <row r="54638" ht="14.4" x14ac:dyDescent="0.3"/>
    <row r="54639" ht="14.4" x14ac:dyDescent="0.3"/>
    <row r="54640" ht="14.4" x14ac:dyDescent="0.3"/>
    <row r="54641" ht="14.4" x14ac:dyDescent="0.3"/>
    <row r="54642" ht="14.4" x14ac:dyDescent="0.3"/>
    <row r="54643" ht="14.4" x14ac:dyDescent="0.3"/>
    <row r="54644" ht="14.4" x14ac:dyDescent="0.3"/>
    <row r="54645" ht="14.4" x14ac:dyDescent="0.3"/>
    <row r="54646" ht="14.4" x14ac:dyDescent="0.3"/>
    <row r="54647" ht="14.4" x14ac:dyDescent="0.3"/>
    <row r="54648" ht="14.4" x14ac:dyDescent="0.3"/>
    <row r="54649" ht="14.4" x14ac:dyDescent="0.3"/>
    <row r="54650" ht="14.4" x14ac:dyDescent="0.3"/>
    <row r="54651" ht="14.4" x14ac:dyDescent="0.3"/>
    <row r="54652" ht="14.4" x14ac:dyDescent="0.3"/>
    <row r="54653" ht="14.4" x14ac:dyDescent="0.3"/>
    <row r="54654" ht="14.4" x14ac:dyDescent="0.3"/>
    <row r="54655" ht="14.4" x14ac:dyDescent="0.3"/>
    <row r="54656" ht="14.4" x14ac:dyDescent="0.3"/>
    <row r="54657" ht="14.4" x14ac:dyDescent="0.3"/>
    <row r="54658" ht="14.4" x14ac:dyDescent="0.3"/>
    <row r="54659" ht="14.4" x14ac:dyDescent="0.3"/>
    <row r="54660" ht="14.4" x14ac:dyDescent="0.3"/>
    <row r="54661" ht="14.4" x14ac:dyDescent="0.3"/>
    <row r="54662" ht="14.4" x14ac:dyDescent="0.3"/>
    <row r="54663" ht="14.4" x14ac:dyDescent="0.3"/>
    <row r="54664" ht="14.4" x14ac:dyDescent="0.3"/>
    <row r="54665" ht="14.4" x14ac:dyDescent="0.3"/>
    <row r="54666" ht="14.4" x14ac:dyDescent="0.3"/>
    <row r="54667" ht="14.4" x14ac:dyDescent="0.3"/>
    <row r="54668" ht="14.4" x14ac:dyDescent="0.3"/>
    <row r="54669" ht="14.4" x14ac:dyDescent="0.3"/>
    <row r="54670" ht="14.4" x14ac:dyDescent="0.3"/>
    <row r="54671" ht="14.4" x14ac:dyDescent="0.3"/>
    <row r="54672" ht="14.4" x14ac:dyDescent="0.3"/>
    <row r="54673" ht="14.4" x14ac:dyDescent="0.3"/>
    <row r="54674" ht="14.4" x14ac:dyDescent="0.3"/>
    <row r="54675" ht="14.4" x14ac:dyDescent="0.3"/>
    <row r="54676" ht="14.4" x14ac:dyDescent="0.3"/>
    <row r="54677" ht="14.4" x14ac:dyDescent="0.3"/>
    <row r="54678" ht="14.4" x14ac:dyDescent="0.3"/>
    <row r="54679" ht="14.4" x14ac:dyDescent="0.3"/>
    <row r="54680" ht="14.4" x14ac:dyDescent="0.3"/>
    <row r="54681" ht="14.4" x14ac:dyDescent="0.3"/>
    <row r="54682" ht="14.4" x14ac:dyDescent="0.3"/>
    <row r="54683" ht="14.4" x14ac:dyDescent="0.3"/>
    <row r="54684" ht="14.4" x14ac:dyDescent="0.3"/>
    <row r="54685" ht="14.4" x14ac:dyDescent="0.3"/>
    <row r="54686" ht="14.4" x14ac:dyDescent="0.3"/>
    <row r="54687" ht="14.4" x14ac:dyDescent="0.3"/>
    <row r="54688" ht="14.4" x14ac:dyDescent="0.3"/>
    <row r="54689" ht="14.4" x14ac:dyDescent="0.3"/>
    <row r="54690" ht="14.4" x14ac:dyDescent="0.3"/>
    <row r="54691" ht="14.4" x14ac:dyDescent="0.3"/>
    <row r="54692" ht="14.4" x14ac:dyDescent="0.3"/>
    <row r="54693" ht="14.4" x14ac:dyDescent="0.3"/>
    <row r="54694" ht="14.4" x14ac:dyDescent="0.3"/>
    <row r="54695" ht="14.4" x14ac:dyDescent="0.3"/>
    <row r="54696" ht="14.4" x14ac:dyDescent="0.3"/>
    <row r="54697" ht="14.4" x14ac:dyDescent="0.3"/>
    <row r="54698" ht="14.4" x14ac:dyDescent="0.3"/>
    <row r="54699" ht="14.4" x14ac:dyDescent="0.3"/>
    <row r="54700" ht="14.4" x14ac:dyDescent="0.3"/>
    <row r="54701" ht="14.4" x14ac:dyDescent="0.3"/>
    <row r="54702" ht="14.4" x14ac:dyDescent="0.3"/>
    <row r="54703" ht="14.4" x14ac:dyDescent="0.3"/>
    <row r="54704" ht="14.4" x14ac:dyDescent="0.3"/>
    <row r="54705" ht="14.4" x14ac:dyDescent="0.3"/>
    <row r="54706" ht="14.4" x14ac:dyDescent="0.3"/>
    <row r="54707" ht="14.4" x14ac:dyDescent="0.3"/>
    <row r="54708" ht="14.4" x14ac:dyDescent="0.3"/>
    <row r="54709" ht="14.4" x14ac:dyDescent="0.3"/>
    <row r="54710" ht="14.4" x14ac:dyDescent="0.3"/>
    <row r="54711" ht="14.4" x14ac:dyDescent="0.3"/>
    <row r="54712" ht="14.4" x14ac:dyDescent="0.3"/>
    <row r="54713" ht="14.4" x14ac:dyDescent="0.3"/>
    <row r="54714" ht="14.4" x14ac:dyDescent="0.3"/>
    <row r="54715" ht="14.4" x14ac:dyDescent="0.3"/>
    <row r="54716" ht="14.4" x14ac:dyDescent="0.3"/>
    <row r="54717" ht="14.4" x14ac:dyDescent="0.3"/>
    <row r="54718" ht="14.4" x14ac:dyDescent="0.3"/>
    <row r="54719" ht="14.4" x14ac:dyDescent="0.3"/>
    <row r="54720" ht="14.4" x14ac:dyDescent="0.3"/>
    <row r="54721" ht="14.4" x14ac:dyDescent="0.3"/>
    <row r="54722" ht="14.4" x14ac:dyDescent="0.3"/>
    <row r="54723" ht="14.4" x14ac:dyDescent="0.3"/>
    <row r="54724" ht="14.4" x14ac:dyDescent="0.3"/>
    <row r="54725" ht="14.4" x14ac:dyDescent="0.3"/>
    <row r="54726" ht="14.4" x14ac:dyDescent="0.3"/>
    <row r="54727" ht="14.4" x14ac:dyDescent="0.3"/>
    <row r="54728" ht="14.4" x14ac:dyDescent="0.3"/>
    <row r="54729" ht="14.4" x14ac:dyDescent="0.3"/>
    <row r="54730" ht="14.4" x14ac:dyDescent="0.3"/>
    <row r="54731" ht="14.4" x14ac:dyDescent="0.3"/>
    <row r="54732" ht="14.4" x14ac:dyDescent="0.3"/>
    <row r="54733" ht="14.4" x14ac:dyDescent="0.3"/>
    <row r="54734" ht="14.4" x14ac:dyDescent="0.3"/>
    <row r="54735" ht="14.4" x14ac:dyDescent="0.3"/>
    <row r="54736" ht="14.4" x14ac:dyDescent="0.3"/>
    <row r="54737" ht="14.4" x14ac:dyDescent="0.3"/>
    <row r="54738" ht="14.4" x14ac:dyDescent="0.3"/>
    <row r="54739" ht="14.4" x14ac:dyDescent="0.3"/>
    <row r="54740" ht="14.4" x14ac:dyDescent="0.3"/>
    <row r="54741" ht="14.4" x14ac:dyDescent="0.3"/>
    <row r="54742" ht="14.4" x14ac:dyDescent="0.3"/>
    <row r="54743" ht="14.4" x14ac:dyDescent="0.3"/>
    <row r="54744" ht="14.4" x14ac:dyDescent="0.3"/>
    <row r="54745" ht="14.4" x14ac:dyDescent="0.3"/>
    <row r="54746" ht="14.4" x14ac:dyDescent="0.3"/>
    <row r="54747" ht="14.4" x14ac:dyDescent="0.3"/>
    <row r="54748" ht="14.4" x14ac:dyDescent="0.3"/>
    <row r="54749" ht="14.4" x14ac:dyDescent="0.3"/>
    <row r="54750" ht="14.4" x14ac:dyDescent="0.3"/>
    <row r="54751" ht="14.4" x14ac:dyDescent="0.3"/>
    <row r="54752" ht="14.4" x14ac:dyDescent="0.3"/>
    <row r="54753" ht="14.4" x14ac:dyDescent="0.3"/>
    <row r="54754" ht="14.4" x14ac:dyDescent="0.3"/>
    <row r="54755" ht="14.4" x14ac:dyDescent="0.3"/>
    <row r="54756" ht="14.4" x14ac:dyDescent="0.3"/>
    <row r="54757" ht="14.4" x14ac:dyDescent="0.3"/>
    <row r="54758" ht="14.4" x14ac:dyDescent="0.3"/>
    <row r="54759" ht="14.4" x14ac:dyDescent="0.3"/>
    <row r="54760" ht="14.4" x14ac:dyDescent="0.3"/>
    <row r="54761" ht="14.4" x14ac:dyDescent="0.3"/>
    <row r="54762" ht="14.4" x14ac:dyDescent="0.3"/>
    <row r="54763" ht="14.4" x14ac:dyDescent="0.3"/>
    <row r="54764" ht="14.4" x14ac:dyDescent="0.3"/>
    <row r="54765" ht="14.4" x14ac:dyDescent="0.3"/>
    <row r="54766" ht="14.4" x14ac:dyDescent="0.3"/>
    <row r="54767" ht="14.4" x14ac:dyDescent="0.3"/>
    <row r="54768" ht="14.4" x14ac:dyDescent="0.3"/>
    <row r="54769" ht="14.4" x14ac:dyDescent="0.3"/>
    <row r="54770" ht="14.4" x14ac:dyDescent="0.3"/>
    <row r="54771" ht="14.4" x14ac:dyDescent="0.3"/>
    <row r="54772" ht="14.4" x14ac:dyDescent="0.3"/>
    <row r="54773" ht="14.4" x14ac:dyDescent="0.3"/>
    <row r="54774" ht="14.4" x14ac:dyDescent="0.3"/>
    <row r="54775" ht="14.4" x14ac:dyDescent="0.3"/>
    <row r="54776" ht="14.4" x14ac:dyDescent="0.3"/>
    <row r="54777" ht="14.4" x14ac:dyDescent="0.3"/>
    <row r="54778" ht="14.4" x14ac:dyDescent="0.3"/>
    <row r="54779" ht="14.4" x14ac:dyDescent="0.3"/>
    <row r="54780" ht="14.4" x14ac:dyDescent="0.3"/>
    <row r="54781" ht="14.4" x14ac:dyDescent="0.3"/>
    <row r="54782" ht="14.4" x14ac:dyDescent="0.3"/>
    <row r="54783" ht="14.4" x14ac:dyDescent="0.3"/>
    <row r="54784" ht="14.4" x14ac:dyDescent="0.3"/>
    <row r="54785" ht="14.4" x14ac:dyDescent="0.3"/>
    <row r="54786" ht="14.4" x14ac:dyDescent="0.3"/>
    <row r="54787" ht="14.4" x14ac:dyDescent="0.3"/>
    <row r="54788" ht="14.4" x14ac:dyDescent="0.3"/>
    <row r="54789" ht="14.4" x14ac:dyDescent="0.3"/>
    <row r="54790" ht="14.4" x14ac:dyDescent="0.3"/>
    <row r="54791" ht="14.4" x14ac:dyDescent="0.3"/>
    <row r="54792" ht="14.4" x14ac:dyDescent="0.3"/>
    <row r="54793" ht="14.4" x14ac:dyDescent="0.3"/>
    <row r="54794" ht="14.4" x14ac:dyDescent="0.3"/>
    <row r="54795" ht="14.4" x14ac:dyDescent="0.3"/>
    <row r="54796" ht="14.4" x14ac:dyDescent="0.3"/>
    <row r="54797" ht="14.4" x14ac:dyDescent="0.3"/>
    <row r="54798" ht="14.4" x14ac:dyDescent="0.3"/>
    <row r="54799" ht="14.4" x14ac:dyDescent="0.3"/>
    <row r="54800" ht="14.4" x14ac:dyDescent="0.3"/>
    <row r="54801" ht="14.4" x14ac:dyDescent="0.3"/>
    <row r="54802" ht="14.4" x14ac:dyDescent="0.3"/>
    <row r="54803" ht="14.4" x14ac:dyDescent="0.3"/>
    <row r="54804" ht="14.4" x14ac:dyDescent="0.3"/>
    <row r="54805" ht="14.4" x14ac:dyDescent="0.3"/>
    <row r="54806" ht="14.4" x14ac:dyDescent="0.3"/>
    <row r="54807" ht="14.4" x14ac:dyDescent="0.3"/>
    <row r="54808" ht="14.4" x14ac:dyDescent="0.3"/>
    <row r="54809" ht="14.4" x14ac:dyDescent="0.3"/>
    <row r="54810" ht="14.4" x14ac:dyDescent="0.3"/>
    <row r="54811" ht="14.4" x14ac:dyDescent="0.3"/>
    <row r="54812" ht="14.4" x14ac:dyDescent="0.3"/>
    <row r="54813" ht="14.4" x14ac:dyDescent="0.3"/>
    <row r="54814" ht="14.4" x14ac:dyDescent="0.3"/>
    <row r="54815" ht="14.4" x14ac:dyDescent="0.3"/>
    <row r="54816" ht="14.4" x14ac:dyDescent="0.3"/>
    <row r="54817" ht="14.4" x14ac:dyDescent="0.3"/>
    <row r="54818" ht="14.4" x14ac:dyDescent="0.3"/>
    <row r="54819" ht="14.4" x14ac:dyDescent="0.3"/>
    <row r="54820" ht="14.4" x14ac:dyDescent="0.3"/>
    <row r="54821" ht="14.4" x14ac:dyDescent="0.3"/>
    <row r="54822" ht="14.4" x14ac:dyDescent="0.3"/>
    <row r="54823" ht="14.4" x14ac:dyDescent="0.3"/>
    <row r="54824" ht="14.4" x14ac:dyDescent="0.3"/>
    <row r="54825" ht="14.4" x14ac:dyDescent="0.3"/>
    <row r="54826" ht="14.4" x14ac:dyDescent="0.3"/>
    <row r="54827" ht="14.4" x14ac:dyDescent="0.3"/>
    <row r="54828" ht="14.4" x14ac:dyDescent="0.3"/>
    <row r="54829" ht="14.4" x14ac:dyDescent="0.3"/>
    <row r="54830" ht="14.4" x14ac:dyDescent="0.3"/>
    <row r="54831" ht="14.4" x14ac:dyDescent="0.3"/>
    <row r="54832" ht="14.4" x14ac:dyDescent="0.3"/>
    <row r="54833" ht="14.4" x14ac:dyDescent="0.3"/>
    <row r="54834" ht="14.4" x14ac:dyDescent="0.3"/>
    <row r="54835" ht="14.4" x14ac:dyDescent="0.3"/>
    <row r="54836" ht="14.4" x14ac:dyDescent="0.3"/>
    <row r="54837" ht="14.4" x14ac:dyDescent="0.3"/>
    <row r="54838" ht="14.4" x14ac:dyDescent="0.3"/>
    <row r="54839" ht="14.4" x14ac:dyDescent="0.3"/>
    <row r="54840" ht="14.4" x14ac:dyDescent="0.3"/>
    <row r="54841" ht="14.4" x14ac:dyDescent="0.3"/>
    <row r="54842" ht="14.4" x14ac:dyDescent="0.3"/>
    <row r="54843" ht="14.4" x14ac:dyDescent="0.3"/>
    <row r="54844" ht="14.4" x14ac:dyDescent="0.3"/>
    <row r="54845" ht="14.4" x14ac:dyDescent="0.3"/>
    <row r="54846" ht="14.4" x14ac:dyDescent="0.3"/>
    <row r="54847" ht="14.4" x14ac:dyDescent="0.3"/>
    <row r="54848" ht="14.4" x14ac:dyDescent="0.3"/>
    <row r="54849" ht="14.4" x14ac:dyDescent="0.3"/>
    <row r="54850" ht="14.4" x14ac:dyDescent="0.3"/>
    <row r="54851" ht="14.4" x14ac:dyDescent="0.3"/>
    <row r="54852" ht="14.4" x14ac:dyDescent="0.3"/>
    <row r="54853" ht="14.4" x14ac:dyDescent="0.3"/>
    <row r="54854" ht="14.4" x14ac:dyDescent="0.3"/>
    <row r="54855" ht="14.4" x14ac:dyDescent="0.3"/>
    <row r="54856" ht="14.4" x14ac:dyDescent="0.3"/>
    <row r="54857" ht="14.4" x14ac:dyDescent="0.3"/>
    <row r="54858" ht="14.4" x14ac:dyDescent="0.3"/>
    <row r="54859" ht="14.4" x14ac:dyDescent="0.3"/>
    <row r="54860" ht="14.4" x14ac:dyDescent="0.3"/>
    <row r="54861" ht="14.4" x14ac:dyDescent="0.3"/>
    <row r="54862" ht="14.4" x14ac:dyDescent="0.3"/>
    <row r="54863" ht="14.4" x14ac:dyDescent="0.3"/>
    <row r="54864" ht="14.4" x14ac:dyDescent="0.3"/>
    <row r="54865" ht="14.4" x14ac:dyDescent="0.3"/>
    <row r="54866" ht="14.4" x14ac:dyDescent="0.3"/>
    <row r="54867" ht="14.4" x14ac:dyDescent="0.3"/>
    <row r="54868" ht="14.4" x14ac:dyDescent="0.3"/>
    <row r="54869" ht="14.4" x14ac:dyDescent="0.3"/>
    <row r="54870" ht="14.4" x14ac:dyDescent="0.3"/>
    <row r="54871" ht="14.4" x14ac:dyDescent="0.3"/>
    <row r="54872" ht="14.4" x14ac:dyDescent="0.3"/>
    <row r="54873" ht="14.4" x14ac:dyDescent="0.3"/>
    <row r="54874" ht="14.4" x14ac:dyDescent="0.3"/>
    <row r="54875" ht="14.4" x14ac:dyDescent="0.3"/>
    <row r="54876" ht="14.4" x14ac:dyDescent="0.3"/>
    <row r="54877" ht="14.4" x14ac:dyDescent="0.3"/>
    <row r="54878" ht="14.4" x14ac:dyDescent="0.3"/>
    <row r="54879" ht="14.4" x14ac:dyDescent="0.3"/>
    <row r="54880" ht="14.4" x14ac:dyDescent="0.3"/>
    <row r="54881" ht="14.4" x14ac:dyDescent="0.3"/>
    <row r="54882" ht="14.4" x14ac:dyDescent="0.3"/>
    <row r="54883" ht="14.4" x14ac:dyDescent="0.3"/>
    <row r="54884" ht="14.4" x14ac:dyDescent="0.3"/>
    <row r="54885" ht="14.4" x14ac:dyDescent="0.3"/>
    <row r="54886" ht="14.4" x14ac:dyDescent="0.3"/>
    <row r="54887" ht="14.4" x14ac:dyDescent="0.3"/>
    <row r="54888" ht="14.4" x14ac:dyDescent="0.3"/>
    <row r="54889" ht="14.4" x14ac:dyDescent="0.3"/>
    <row r="54890" ht="14.4" x14ac:dyDescent="0.3"/>
    <row r="54891" ht="14.4" x14ac:dyDescent="0.3"/>
    <row r="54892" ht="14.4" x14ac:dyDescent="0.3"/>
    <row r="54893" ht="14.4" x14ac:dyDescent="0.3"/>
    <row r="54894" ht="14.4" x14ac:dyDescent="0.3"/>
    <row r="54895" ht="14.4" x14ac:dyDescent="0.3"/>
    <row r="54896" ht="14.4" x14ac:dyDescent="0.3"/>
    <row r="54897" ht="14.4" x14ac:dyDescent="0.3"/>
    <row r="54898" ht="14.4" x14ac:dyDescent="0.3"/>
    <row r="54899" ht="14.4" x14ac:dyDescent="0.3"/>
    <row r="54900" ht="14.4" x14ac:dyDescent="0.3"/>
    <row r="54901" ht="14.4" x14ac:dyDescent="0.3"/>
    <row r="54902" ht="14.4" x14ac:dyDescent="0.3"/>
    <row r="54903" ht="14.4" x14ac:dyDescent="0.3"/>
    <row r="54904" ht="14.4" x14ac:dyDescent="0.3"/>
    <row r="54905" ht="14.4" x14ac:dyDescent="0.3"/>
    <row r="54906" ht="14.4" x14ac:dyDescent="0.3"/>
    <row r="54907" ht="14.4" x14ac:dyDescent="0.3"/>
    <row r="54908" ht="14.4" x14ac:dyDescent="0.3"/>
    <row r="54909" ht="14.4" x14ac:dyDescent="0.3"/>
    <row r="54910" ht="14.4" x14ac:dyDescent="0.3"/>
    <row r="54911" ht="14.4" x14ac:dyDescent="0.3"/>
    <row r="54912" ht="14.4" x14ac:dyDescent="0.3"/>
    <row r="54913" spans="1:43" ht="14.4" x14ac:dyDescent="0.3"/>
    <row r="54914" spans="1:43" ht="14.4" x14ac:dyDescent="0.3"/>
    <row r="54915" spans="1:43" ht="14.4" x14ac:dyDescent="0.3"/>
    <row r="54916" spans="1:43" ht="14.4" x14ac:dyDescent="0.3"/>
    <row r="54917" spans="1:43" ht="14.4" x14ac:dyDescent="0.3"/>
    <row r="54918" spans="1:43" ht="14.4" x14ac:dyDescent="0.3"/>
    <row r="54919" spans="1:43" ht="14.4" x14ac:dyDescent="0.3"/>
    <row r="54920" spans="1:43" ht="14.4" x14ac:dyDescent="0.3"/>
    <row r="54921" spans="1:43" ht="14.4" x14ac:dyDescent="0.3"/>
    <row r="54922" spans="1:43" ht="14.4" x14ac:dyDescent="0.3"/>
    <row r="54923" spans="1:43" ht="14.4" x14ac:dyDescent="0.3"/>
    <row r="54924" spans="1:43" ht="14.4" x14ac:dyDescent="0.3"/>
    <row r="54925" spans="1:43" ht="14.4" hidden="1" x14ac:dyDescent="0.3">
      <c r="A54925" t="s">
        <v>6781</v>
      </c>
      <c r="B54925">
        <v>4906588</v>
      </c>
      <c r="C54925" t="s">
        <v>135</v>
      </c>
      <c r="D54925" t="s">
        <v>136</v>
      </c>
      <c r="E54925" t="s">
        <v>344</v>
      </c>
      <c r="F54925" t="s">
        <v>1799</v>
      </c>
      <c r="H54925" t="s">
        <v>1021</v>
      </c>
      <c r="I54925" t="s">
        <v>3064</v>
      </c>
      <c r="J54925" t="s">
        <v>140</v>
      </c>
      <c r="K54925">
        <v>156864.07500000001</v>
      </c>
      <c r="L54925">
        <v>384399.54800000001</v>
      </c>
      <c r="M54925">
        <v>1</v>
      </c>
      <c r="N54925" t="s">
        <v>3065</v>
      </c>
      <c r="O54925" t="s">
        <v>3061</v>
      </c>
      <c r="P54925" t="s">
        <v>1380</v>
      </c>
      <c r="Q54925" t="s">
        <v>144</v>
      </c>
      <c r="S54925">
        <v>7</v>
      </c>
      <c r="T54925">
        <v>0</v>
      </c>
      <c r="V54925" t="s">
        <v>146</v>
      </c>
      <c r="W54925" t="s">
        <v>415</v>
      </c>
      <c r="X54925" t="s">
        <v>7</v>
      </c>
      <c r="Y54925" t="s">
        <v>3066</v>
      </c>
      <c r="Z54925" t="s">
        <v>3061</v>
      </c>
      <c r="AA54925" t="s">
        <v>1570</v>
      </c>
      <c r="AB54925">
        <v>80</v>
      </c>
      <c r="AC54925" t="s">
        <v>150</v>
      </c>
      <c r="AE54925" t="s">
        <v>2885</v>
      </c>
      <c r="AF54925" t="s">
        <v>1512</v>
      </c>
      <c r="AG54925" t="s">
        <v>3067</v>
      </c>
      <c r="AL54925" t="s">
        <v>6782</v>
      </c>
      <c r="AM54925" t="s">
        <v>6783</v>
      </c>
      <c r="AN54925" t="s">
        <v>6784</v>
      </c>
      <c r="AO54925" t="s">
        <v>3065</v>
      </c>
      <c r="AQ54925">
        <f>IF(ISBLANK(AP54925), IFERROR(IF(VLOOKUP(AO54925, Ellens_additions!$A$2:$B$252, 2, FALSE) = "", "", VLOOKUP(AO54925, Ellens_additions!$A$2:$B$252, 2, FALSE)), 0), AP54925)</f>
        <v>0</v>
      </c>
    </row>
    <row r="54926" spans="1:43" ht="14.4" hidden="1" x14ac:dyDescent="0.3">
      <c r="A54926" t="s">
        <v>6785</v>
      </c>
      <c r="B54926">
        <v>4906592</v>
      </c>
      <c r="C54926" t="s">
        <v>135</v>
      </c>
      <c r="D54926" t="s">
        <v>136</v>
      </c>
      <c r="E54926" t="s">
        <v>344</v>
      </c>
      <c r="F54926" t="s">
        <v>1799</v>
      </c>
      <c r="H54926" t="s">
        <v>293</v>
      </c>
      <c r="I54926" t="s">
        <v>3064</v>
      </c>
      <c r="J54926" t="s">
        <v>140</v>
      </c>
      <c r="K54926">
        <v>156868.39499999999</v>
      </c>
      <c r="L54926">
        <v>384411.14299999998</v>
      </c>
      <c r="M54926">
        <v>1</v>
      </c>
      <c r="N54926" t="s">
        <v>3065</v>
      </c>
      <c r="O54926" t="s">
        <v>3061</v>
      </c>
      <c r="P54926" t="s">
        <v>1380</v>
      </c>
      <c r="Q54926" t="s">
        <v>144</v>
      </c>
      <c r="S54926">
        <v>7</v>
      </c>
      <c r="T54926">
        <v>0</v>
      </c>
      <c r="V54926" t="s">
        <v>146</v>
      </c>
      <c r="W54926" t="s">
        <v>415</v>
      </c>
      <c r="X54926" t="s">
        <v>7</v>
      </c>
      <c r="Y54926" t="s">
        <v>3066</v>
      </c>
      <c r="Z54926" t="s">
        <v>3061</v>
      </c>
      <c r="AA54926" t="s">
        <v>1570</v>
      </c>
      <c r="AB54926">
        <v>80</v>
      </c>
      <c r="AC54926" t="s">
        <v>150</v>
      </c>
      <c r="AE54926" t="s">
        <v>2885</v>
      </c>
      <c r="AF54926" t="s">
        <v>1512</v>
      </c>
      <c r="AG54926" t="s">
        <v>3067</v>
      </c>
      <c r="AL54926" t="s">
        <v>6786</v>
      </c>
      <c r="AM54926" t="s">
        <v>6787</v>
      </c>
      <c r="AN54926" t="s">
        <v>6788</v>
      </c>
      <c r="AO54926" t="s">
        <v>3065</v>
      </c>
      <c r="AQ54926">
        <f>IF(ISBLANK(AP54926), IFERROR(IF(VLOOKUP(AO54926, Ellens_additions!$A$2:$B$252, 2, FALSE) = "", "", VLOOKUP(AO54926, Ellens_additions!$A$2:$B$252, 2, FALSE)), 0), AP54926)</f>
        <v>0</v>
      </c>
    </row>
    <row r="54927" spans="1:43" ht="14.4" hidden="1" x14ac:dyDescent="0.3">
      <c r="A54927" t="s">
        <v>6789</v>
      </c>
      <c r="B54927">
        <v>4906595</v>
      </c>
      <c r="C54927" t="s">
        <v>135</v>
      </c>
      <c r="D54927" t="s">
        <v>136</v>
      </c>
      <c r="E54927" t="s">
        <v>344</v>
      </c>
      <c r="F54927" t="s">
        <v>1799</v>
      </c>
      <c r="H54927" t="s">
        <v>292</v>
      </c>
      <c r="I54927" t="s">
        <v>3064</v>
      </c>
      <c r="J54927" t="s">
        <v>140</v>
      </c>
      <c r="K54927">
        <v>156871.50899999999</v>
      </c>
      <c r="L54927">
        <v>384419.85700000002</v>
      </c>
      <c r="M54927">
        <v>1</v>
      </c>
      <c r="N54927" t="s">
        <v>3065</v>
      </c>
      <c r="O54927" t="s">
        <v>3061</v>
      </c>
      <c r="P54927" t="s">
        <v>1380</v>
      </c>
      <c r="Q54927" t="s">
        <v>144</v>
      </c>
      <c r="S54927">
        <v>7</v>
      </c>
      <c r="T54927">
        <v>0</v>
      </c>
      <c r="V54927" t="s">
        <v>146</v>
      </c>
      <c r="W54927" t="s">
        <v>415</v>
      </c>
      <c r="X54927" t="s">
        <v>7</v>
      </c>
      <c r="Y54927" t="s">
        <v>3066</v>
      </c>
      <c r="Z54927" t="s">
        <v>3061</v>
      </c>
      <c r="AA54927" t="s">
        <v>1570</v>
      </c>
      <c r="AB54927">
        <v>80</v>
      </c>
      <c r="AC54927" t="s">
        <v>150</v>
      </c>
      <c r="AE54927" t="s">
        <v>2885</v>
      </c>
      <c r="AF54927" t="s">
        <v>1512</v>
      </c>
      <c r="AG54927" t="s">
        <v>3067</v>
      </c>
      <c r="AL54927" t="s">
        <v>6790</v>
      </c>
      <c r="AM54927" t="s">
        <v>6791</v>
      </c>
      <c r="AN54927" t="s">
        <v>6792</v>
      </c>
      <c r="AO54927" t="s">
        <v>3065</v>
      </c>
      <c r="AQ54927">
        <f>IF(ISBLANK(AP54927), IFERROR(IF(VLOOKUP(AO54927, Ellens_additions!$A$2:$B$252, 2, FALSE) = "", "", VLOOKUP(AO54927, Ellens_additions!$A$2:$B$252, 2, FALSE)), 0), AP54927)</f>
        <v>0</v>
      </c>
    </row>
    <row r="54928" spans="1:43" ht="14.4" hidden="1" x14ac:dyDescent="0.3">
      <c r="A54928" t="s">
        <v>6793</v>
      </c>
      <c r="B54928">
        <v>4906599</v>
      </c>
      <c r="C54928" t="s">
        <v>135</v>
      </c>
      <c r="D54928" t="s">
        <v>136</v>
      </c>
      <c r="E54928" t="s">
        <v>344</v>
      </c>
      <c r="F54928" t="s">
        <v>1799</v>
      </c>
      <c r="H54928" t="s">
        <v>1351</v>
      </c>
      <c r="I54928" t="s">
        <v>3064</v>
      </c>
      <c r="J54928" t="s">
        <v>140</v>
      </c>
      <c r="K54928">
        <v>156875.79399999999</v>
      </c>
      <c r="L54928">
        <v>384431.484</v>
      </c>
      <c r="M54928">
        <v>1</v>
      </c>
      <c r="N54928" t="s">
        <v>3065</v>
      </c>
      <c r="O54928" t="s">
        <v>3061</v>
      </c>
      <c r="P54928" t="s">
        <v>1380</v>
      </c>
      <c r="Q54928" t="s">
        <v>144</v>
      </c>
      <c r="S54928">
        <v>7</v>
      </c>
      <c r="T54928">
        <v>0</v>
      </c>
      <c r="V54928" t="s">
        <v>146</v>
      </c>
      <c r="W54928" t="s">
        <v>415</v>
      </c>
      <c r="X54928" t="s">
        <v>7</v>
      </c>
      <c r="Y54928" t="s">
        <v>3066</v>
      </c>
      <c r="Z54928" t="s">
        <v>3061</v>
      </c>
      <c r="AA54928" t="s">
        <v>1570</v>
      </c>
      <c r="AB54928">
        <v>80</v>
      </c>
      <c r="AC54928" t="s">
        <v>150</v>
      </c>
      <c r="AE54928" t="s">
        <v>2885</v>
      </c>
      <c r="AF54928" t="s">
        <v>1512</v>
      </c>
      <c r="AG54928" t="s">
        <v>3067</v>
      </c>
      <c r="AL54928" t="s">
        <v>6794</v>
      </c>
      <c r="AM54928" t="s">
        <v>6795</v>
      </c>
      <c r="AN54928" t="s">
        <v>6796</v>
      </c>
      <c r="AO54928" t="s">
        <v>3065</v>
      </c>
      <c r="AQ54928">
        <f>IF(ISBLANK(AP54928), IFERROR(IF(VLOOKUP(AO54928, Ellens_additions!$A$2:$B$252, 2, FALSE) = "", "", VLOOKUP(AO54928, Ellens_additions!$A$2:$B$252, 2, FALSE)), 0), AP54928)</f>
        <v>0</v>
      </c>
    </row>
    <row r="54929" spans="1:43" ht="14.4" hidden="1" x14ac:dyDescent="0.3">
      <c r="A54929" t="s">
        <v>6797</v>
      </c>
      <c r="B54929">
        <v>4906603</v>
      </c>
      <c r="C54929" t="s">
        <v>135</v>
      </c>
      <c r="D54929" t="s">
        <v>136</v>
      </c>
      <c r="E54929" t="s">
        <v>344</v>
      </c>
      <c r="F54929" t="s">
        <v>1799</v>
      </c>
      <c r="H54929" t="s">
        <v>669</v>
      </c>
      <c r="I54929" t="s">
        <v>3064</v>
      </c>
      <c r="J54929" t="s">
        <v>140</v>
      </c>
      <c r="K54929">
        <v>156879.70699999999</v>
      </c>
      <c r="L54929">
        <v>384443.05200000003</v>
      </c>
      <c r="M54929">
        <v>1</v>
      </c>
      <c r="N54929" t="s">
        <v>3065</v>
      </c>
      <c r="O54929" t="s">
        <v>3061</v>
      </c>
      <c r="P54929" t="s">
        <v>1380</v>
      </c>
      <c r="Q54929" t="s">
        <v>144</v>
      </c>
      <c r="S54929">
        <v>7</v>
      </c>
      <c r="T54929">
        <v>0</v>
      </c>
      <c r="V54929" t="s">
        <v>146</v>
      </c>
      <c r="W54929" t="s">
        <v>415</v>
      </c>
      <c r="X54929" t="s">
        <v>7</v>
      </c>
      <c r="Y54929" t="s">
        <v>3066</v>
      </c>
      <c r="Z54929" t="s">
        <v>3061</v>
      </c>
      <c r="AA54929" t="s">
        <v>1570</v>
      </c>
      <c r="AB54929">
        <v>80</v>
      </c>
      <c r="AC54929" t="s">
        <v>150</v>
      </c>
      <c r="AE54929" t="s">
        <v>2885</v>
      </c>
      <c r="AF54929" t="s">
        <v>1512</v>
      </c>
      <c r="AG54929" t="s">
        <v>3067</v>
      </c>
      <c r="AL54929" t="s">
        <v>6798</v>
      </c>
      <c r="AM54929" t="s">
        <v>6799</v>
      </c>
      <c r="AN54929" t="s">
        <v>6800</v>
      </c>
      <c r="AO54929" t="s">
        <v>3065</v>
      </c>
      <c r="AQ54929">
        <f>IF(ISBLANK(AP54929), IFERROR(IF(VLOOKUP(AO54929, Ellens_additions!$A$2:$B$252, 2, FALSE) = "", "", VLOOKUP(AO54929, Ellens_additions!$A$2:$B$252, 2, FALSE)), 0), AP54929)</f>
        <v>0</v>
      </c>
    </row>
    <row r="54930" spans="1:43" ht="14.4" hidden="1" x14ac:dyDescent="0.3">
      <c r="A54930" t="s">
        <v>6801</v>
      </c>
      <c r="B54930">
        <v>4906604</v>
      </c>
      <c r="C54930" t="s">
        <v>135</v>
      </c>
      <c r="D54930" t="s">
        <v>136</v>
      </c>
      <c r="E54930" t="s">
        <v>344</v>
      </c>
      <c r="F54930" t="s">
        <v>1799</v>
      </c>
      <c r="H54930" t="s">
        <v>282</v>
      </c>
      <c r="I54930" t="s">
        <v>3064</v>
      </c>
      <c r="J54930" t="s">
        <v>140</v>
      </c>
      <c r="K54930">
        <v>156880.81299999999</v>
      </c>
      <c r="L54930">
        <v>384445.97499999998</v>
      </c>
      <c r="M54930">
        <v>1</v>
      </c>
      <c r="N54930" t="s">
        <v>3065</v>
      </c>
      <c r="O54930" t="s">
        <v>3061</v>
      </c>
      <c r="P54930" t="s">
        <v>1380</v>
      </c>
      <c r="Q54930" t="s">
        <v>144</v>
      </c>
      <c r="S54930">
        <v>7</v>
      </c>
      <c r="T54930">
        <v>0</v>
      </c>
      <c r="V54930" t="s">
        <v>146</v>
      </c>
      <c r="W54930" t="s">
        <v>415</v>
      </c>
      <c r="X54930" t="s">
        <v>7</v>
      </c>
      <c r="Y54930" t="s">
        <v>3066</v>
      </c>
      <c r="Z54930" t="s">
        <v>3061</v>
      </c>
      <c r="AA54930" t="s">
        <v>1570</v>
      </c>
      <c r="AB54930">
        <v>80</v>
      </c>
      <c r="AC54930" t="s">
        <v>150</v>
      </c>
      <c r="AE54930" t="s">
        <v>2885</v>
      </c>
      <c r="AF54930" t="s">
        <v>1512</v>
      </c>
      <c r="AG54930" t="s">
        <v>3067</v>
      </c>
      <c r="AL54930" t="s">
        <v>6802</v>
      </c>
      <c r="AM54930" t="s">
        <v>6803</v>
      </c>
      <c r="AN54930" t="s">
        <v>6804</v>
      </c>
      <c r="AO54930" t="s">
        <v>3065</v>
      </c>
      <c r="AQ54930">
        <f>IF(ISBLANK(AP54930), IFERROR(IF(VLOOKUP(AO54930, Ellens_additions!$A$2:$B$252, 2, FALSE) = "", "", VLOOKUP(AO54930, Ellens_additions!$A$2:$B$252, 2, FALSE)), 0), AP54930)</f>
        <v>0</v>
      </c>
    </row>
    <row r="54931" spans="1:43" ht="14.4" hidden="1" x14ac:dyDescent="0.3">
      <c r="A54931" t="s">
        <v>6805</v>
      </c>
      <c r="B54931">
        <v>4906605</v>
      </c>
      <c r="C54931" t="s">
        <v>135</v>
      </c>
      <c r="D54931" t="s">
        <v>136</v>
      </c>
      <c r="E54931" t="s">
        <v>344</v>
      </c>
      <c r="F54931" t="s">
        <v>1799</v>
      </c>
      <c r="H54931" t="s">
        <v>670</v>
      </c>
      <c r="I54931" t="s">
        <v>3064</v>
      </c>
      <c r="J54931" t="s">
        <v>140</v>
      </c>
      <c r="K54931">
        <v>156881.897</v>
      </c>
      <c r="L54931">
        <v>384448.89899999998</v>
      </c>
      <c r="M54931">
        <v>1</v>
      </c>
      <c r="N54931" t="s">
        <v>3065</v>
      </c>
      <c r="O54931" t="s">
        <v>3061</v>
      </c>
      <c r="P54931" t="s">
        <v>1380</v>
      </c>
      <c r="Q54931" t="s">
        <v>144</v>
      </c>
      <c r="S54931">
        <v>7</v>
      </c>
      <c r="T54931">
        <v>0</v>
      </c>
      <c r="V54931" t="s">
        <v>146</v>
      </c>
      <c r="W54931" t="s">
        <v>415</v>
      </c>
      <c r="X54931" t="s">
        <v>7</v>
      </c>
      <c r="Y54931" t="s">
        <v>3066</v>
      </c>
      <c r="Z54931" t="s">
        <v>3061</v>
      </c>
      <c r="AA54931" t="s">
        <v>1570</v>
      </c>
      <c r="AB54931">
        <v>80</v>
      </c>
      <c r="AC54931" t="s">
        <v>150</v>
      </c>
      <c r="AE54931" t="s">
        <v>2885</v>
      </c>
      <c r="AF54931" t="s">
        <v>1512</v>
      </c>
      <c r="AG54931" t="s">
        <v>3067</v>
      </c>
      <c r="AL54931" t="s">
        <v>6806</v>
      </c>
      <c r="AM54931" t="s">
        <v>6807</v>
      </c>
      <c r="AN54931" t="s">
        <v>6808</v>
      </c>
      <c r="AO54931" t="s">
        <v>3065</v>
      </c>
      <c r="AQ54931">
        <f>IF(ISBLANK(AP54931), IFERROR(IF(VLOOKUP(AO54931, Ellens_additions!$A$2:$B$252, 2, FALSE) = "", "", VLOOKUP(AO54931, Ellens_additions!$A$2:$B$252, 2, FALSE)), 0), AP54931)</f>
        <v>0</v>
      </c>
    </row>
    <row r="54932" spans="1:43" ht="14.4" hidden="1" x14ac:dyDescent="0.3">
      <c r="A54932" t="s">
        <v>6809</v>
      </c>
      <c r="B54932">
        <v>4906610</v>
      </c>
      <c r="C54932" t="s">
        <v>135</v>
      </c>
      <c r="D54932" t="s">
        <v>136</v>
      </c>
      <c r="E54932" t="s">
        <v>344</v>
      </c>
      <c r="F54932" t="s">
        <v>1799</v>
      </c>
      <c r="H54932" t="s">
        <v>287</v>
      </c>
      <c r="I54932" t="s">
        <v>3064</v>
      </c>
      <c r="J54932" t="s">
        <v>140</v>
      </c>
      <c r="K54932">
        <v>156867.42000000001</v>
      </c>
      <c r="L54932">
        <v>384395.58600000001</v>
      </c>
      <c r="M54932">
        <v>1</v>
      </c>
      <c r="N54932" t="s">
        <v>3065</v>
      </c>
      <c r="O54932" t="s">
        <v>3061</v>
      </c>
      <c r="P54932" t="s">
        <v>1380</v>
      </c>
      <c r="Q54932" t="s">
        <v>144</v>
      </c>
      <c r="S54932">
        <v>7</v>
      </c>
      <c r="T54932">
        <v>0</v>
      </c>
      <c r="V54932" t="s">
        <v>146</v>
      </c>
      <c r="W54932" t="s">
        <v>415</v>
      </c>
      <c r="X54932" t="s">
        <v>7</v>
      </c>
      <c r="Y54932" t="s">
        <v>3066</v>
      </c>
      <c r="Z54932" t="s">
        <v>3061</v>
      </c>
      <c r="AA54932" t="s">
        <v>1570</v>
      </c>
      <c r="AB54932">
        <v>80</v>
      </c>
      <c r="AC54932" t="s">
        <v>150</v>
      </c>
      <c r="AE54932" t="s">
        <v>2885</v>
      </c>
      <c r="AF54932" t="s">
        <v>1512</v>
      </c>
      <c r="AG54932" t="s">
        <v>3067</v>
      </c>
      <c r="AL54932" t="s">
        <v>6810</v>
      </c>
      <c r="AM54932" t="s">
        <v>6811</v>
      </c>
      <c r="AN54932" t="s">
        <v>6812</v>
      </c>
      <c r="AO54932" t="s">
        <v>3065</v>
      </c>
      <c r="AQ54932">
        <f>IF(ISBLANK(AP54932), IFERROR(IF(VLOOKUP(AO54932, Ellens_additions!$A$2:$B$252, 2, FALSE) = "", "", VLOOKUP(AO54932, Ellens_additions!$A$2:$B$252, 2, FALSE)), 0), AP54932)</f>
        <v>0</v>
      </c>
    </row>
    <row r="54933" spans="1:43" ht="14.4" hidden="1" x14ac:dyDescent="0.3">
      <c r="A54933" t="s">
        <v>6813</v>
      </c>
      <c r="B54933">
        <v>4906612</v>
      </c>
      <c r="C54933" t="s">
        <v>135</v>
      </c>
      <c r="D54933" t="s">
        <v>136</v>
      </c>
      <c r="E54933" t="s">
        <v>344</v>
      </c>
      <c r="F54933" t="s">
        <v>1799</v>
      </c>
      <c r="H54933" t="s">
        <v>363</v>
      </c>
      <c r="I54933" t="s">
        <v>3064</v>
      </c>
      <c r="J54933" t="s">
        <v>140</v>
      </c>
      <c r="K54933">
        <v>156869.58799999999</v>
      </c>
      <c r="L54933">
        <v>384401.34100000001</v>
      </c>
      <c r="M54933">
        <v>1</v>
      </c>
      <c r="N54933" t="s">
        <v>3065</v>
      </c>
      <c r="O54933" t="s">
        <v>3061</v>
      </c>
      <c r="P54933" t="s">
        <v>1380</v>
      </c>
      <c r="Q54933" t="s">
        <v>144</v>
      </c>
      <c r="S54933">
        <v>7</v>
      </c>
      <c r="T54933">
        <v>0</v>
      </c>
      <c r="V54933" t="s">
        <v>146</v>
      </c>
      <c r="W54933" t="s">
        <v>415</v>
      </c>
      <c r="X54933" t="s">
        <v>7</v>
      </c>
      <c r="Y54933" t="s">
        <v>3066</v>
      </c>
      <c r="Z54933" t="s">
        <v>3061</v>
      </c>
      <c r="AA54933" t="s">
        <v>1570</v>
      </c>
      <c r="AB54933">
        <v>80</v>
      </c>
      <c r="AC54933" t="s">
        <v>150</v>
      </c>
      <c r="AE54933" t="s">
        <v>2885</v>
      </c>
      <c r="AF54933" t="s">
        <v>1512</v>
      </c>
      <c r="AG54933" t="s">
        <v>3067</v>
      </c>
      <c r="AL54933" t="s">
        <v>6814</v>
      </c>
      <c r="AM54933" t="s">
        <v>6815</v>
      </c>
      <c r="AN54933" t="s">
        <v>6816</v>
      </c>
      <c r="AO54933" t="s">
        <v>3065</v>
      </c>
      <c r="AQ54933">
        <f>IF(ISBLANK(AP54933), IFERROR(IF(VLOOKUP(AO54933, Ellens_additions!$A$2:$B$252, 2, FALSE) = "", "", VLOOKUP(AO54933, Ellens_additions!$A$2:$B$252, 2, FALSE)), 0), AP54933)</f>
        <v>0</v>
      </c>
    </row>
    <row r="54934" spans="1:43" ht="14.4" hidden="1" x14ac:dyDescent="0.3">
      <c r="A54934" t="s">
        <v>6817</v>
      </c>
      <c r="B54934">
        <v>4906613</v>
      </c>
      <c r="C54934" t="s">
        <v>135</v>
      </c>
      <c r="D54934" t="s">
        <v>136</v>
      </c>
      <c r="E54934" t="s">
        <v>344</v>
      </c>
      <c r="F54934" t="s">
        <v>1799</v>
      </c>
      <c r="H54934" t="s">
        <v>827</v>
      </c>
      <c r="I54934" t="s">
        <v>3064</v>
      </c>
      <c r="J54934" t="s">
        <v>140</v>
      </c>
      <c r="K54934">
        <v>156870.66500000001</v>
      </c>
      <c r="L54934">
        <v>384404.22700000001</v>
      </c>
      <c r="M54934">
        <v>1</v>
      </c>
      <c r="N54934" t="s">
        <v>3065</v>
      </c>
      <c r="O54934" t="s">
        <v>3061</v>
      </c>
      <c r="P54934" t="s">
        <v>1380</v>
      </c>
      <c r="Q54934" t="s">
        <v>144</v>
      </c>
      <c r="S54934">
        <v>7</v>
      </c>
      <c r="T54934">
        <v>0</v>
      </c>
      <c r="V54934" t="s">
        <v>146</v>
      </c>
      <c r="W54934" t="s">
        <v>415</v>
      </c>
      <c r="X54934" t="s">
        <v>7</v>
      </c>
      <c r="Y54934" t="s">
        <v>3066</v>
      </c>
      <c r="Z54934" t="s">
        <v>3061</v>
      </c>
      <c r="AA54934" t="s">
        <v>1570</v>
      </c>
      <c r="AB54934">
        <v>80</v>
      </c>
      <c r="AC54934" t="s">
        <v>150</v>
      </c>
      <c r="AE54934" t="s">
        <v>2885</v>
      </c>
      <c r="AF54934" t="s">
        <v>1512</v>
      </c>
      <c r="AG54934" t="s">
        <v>3067</v>
      </c>
      <c r="AL54934" t="s">
        <v>6818</v>
      </c>
      <c r="AM54934" t="s">
        <v>6819</v>
      </c>
      <c r="AN54934" t="s">
        <v>6820</v>
      </c>
      <c r="AO54934" t="s">
        <v>3065</v>
      </c>
      <c r="AQ54934">
        <f>IF(ISBLANK(AP54934), IFERROR(IF(VLOOKUP(AO54934, Ellens_additions!$A$2:$B$252, 2, FALSE) = "", "", VLOOKUP(AO54934, Ellens_additions!$A$2:$B$252, 2, FALSE)), 0), AP54934)</f>
        <v>0</v>
      </c>
    </row>
    <row r="54935" spans="1:43" ht="14.4" hidden="1" x14ac:dyDescent="0.3">
      <c r="A54935" t="s">
        <v>6821</v>
      </c>
      <c r="B54935">
        <v>4906617</v>
      </c>
      <c r="C54935" t="s">
        <v>135</v>
      </c>
      <c r="D54935" t="s">
        <v>136</v>
      </c>
      <c r="E54935" t="s">
        <v>344</v>
      </c>
      <c r="F54935" t="s">
        <v>1799</v>
      </c>
      <c r="H54935" t="s">
        <v>821</v>
      </c>
      <c r="I54935" t="s">
        <v>3064</v>
      </c>
      <c r="J54935" t="s">
        <v>140</v>
      </c>
      <c r="K54935">
        <v>156874.85399999999</v>
      </c>
      <c r="L54935">
        <v>384415.89500000002</v>
      </c>
      <c r="M54935">
        <v>1</v>
      </c>
      <c r="N54935" t="s">
        <v>3065</v>
      </c>
      <c r="O54935" t="s">
        <v>3061</v>
      </c>
      <c r="P54935" t="s">
        <v>1380</v>
      </c>
      <c r="Q54935" t="s">
        <v>144</v>
      </c>
      <c r="S54935">
        <v>7</v>
      </c>
      <c r="T54935">
        <v>0</v>
      </c>
      <c r="V54935" t="s">
        <v>146</v>
      </c>
      <c r="W54935" t="s">
        <v>415</v>
      </c>
      <c r="X54935" t="s">
        <v>7</v>
      </c>
      <c r="Y54935" t="s">
        <v>3066</v>
      </c>
      <c r="Z54935" t="s">
        <v>3061</v>
      </c>
      <c r="AA54935" t="s">
        <v>1570</v>
      </c>
      <c r="AB54935">
        <v>80</v>
      </c>
      <c r="AC54935" t="s">
        <v>150</v>
      </c>
      <c r="AE54935" t="s">
        <v>2885</v>
      </c>
      <c r="AF54935" t="s">
        <v>1512</v>
      </c>
      <c r="AG54935" t="s">
        <v>3067</v>
      </c>
      <c r="AL54935" t="s">
        <v>6822</v>
      </c>
      <c r="AM54935" t="s">
        <v>6823</v>
      </c>
      <c r="AN54935" t="s">
        <v>6824</v>
      </c>
      <c r="AO54935" t="s">
        <v>3065</v>
      </c>
      <c r="AQ54935">
        <f>IF(ISBLANK(AP54935), IFERROR(IF(VLOOKUP(AO54935, Ellens_additions!$A$2:$B$252, 2, FALSE) = "", "", VLOOKUP(AO54935, Ellens_additions!$A$2:$B$252, 2, FALSE)), 0), AP54935)</f>
        <v>0</v>
      </c>
    </row>
    <row r="54936" spans="1:43" ht="14.4" hidden="1" x14ac:dyDescent="0.3">
      <c r="A54936" t="s">
        <v>6825</v>
      </c>
      <c r="B54936">
        <v>4906619</v>
      </c>
      <c r="C54936" t="s">
        <v>135</v>
      </c>
      <c r="D54936" t="s">
        <v>136</v>
      </c>
      <c r="E54936" t="s">
        <v>344</v>
      </c>
      <c r="F54936" t="s">
        <v>1799</v>
      </c>
      <c r="H54936" t="s">
        <v>365</v>
      </c>
      <c r="I54936" t="s">
        <v>3064</v>
      </c>
      <c r="J54936" t="s">
        <v>140</v>
      </c>
      <c r="K54936">
        <v>156876.981</v>
      </c>
      <c r="L54936">
        <v>384421.67700000003</v>
      </c>
      <c r="M54936">
        <v>1</v>
      </c>
      <c r="N54936" t="s">
        <v>3065</v>
      </c>
      <c r="O54936" t="s">
        <v>3061</v>
      </c>
      <c r="P54936" t="s">
        <v>1380</v>
      </c>
      <c r="Q54936" t="s">
        <v>144</v>
      </c>
      <c r="S54936">
        <v>7</v>
      </c>
      <c r="T54936">
        <v>0</v>
      </c>
      <c r="V54936" t="s">
        <v>146</v>
      </c>
      <c r="W54936" t="s">
        <v>415</v>
      </c>
      <c r="X54936" t="s">
        <v>7</v>
      </c>
      <c r="Y54936" t="s">
        <v>3066</v>
      </c>
      <c r="Z54936" t="s">
        <v>3061</v>
      </c>
      <c r="AA54936" t="s">
        <v>1570</v>
      </c>
      <c r="AB54936">
        <v>80</v>
      </c>
      <c r="AC54936" t="s">
        <v>150</v>
      </c>
      <c r="AE54936" t="s">
        <v>2885</v>
      </c>
      <c r="AF54936" t="s">
        <v>1512</v>
      </c>
      <c r="AG54936" t="s">
        <v>3067</v>
      </c>
      <c r="AL54936" t="s">
        <v>6826</v>
      </c>
      <c r="AM54936" t="s">
        <v>6827</v>
      </c>
      <c r="AN54936" t="s">
        <v>6828</v>
      </c>
      <c r="AO54936" t="s">
        <v>3065</v>
      </c>
      <c r="AQ54936">
        <f>IF(ISBLANK(AP54936), IFERROR(IF(VLOOKUP(AO54936, Ellens_additions!$A$2:$B$252, 2, FALSE) = "", "", VLOOKUP(AO54936, Ellens_additions!$A$2:$B$252, 2, FALSE)), 0), AP54936)</f>
        <v>0</v>
      </c>
    </row>
    <row r="54937" spans="1:43" ht="14.4" hidden="1" x14ac:dyDescent="0.3">
      <c r="A54937" t="s">
        <v>6829</v>
      </c>
      <c r="B54937">
        <v>4906620</v>
      </c>
      <c r="C54937" t="s">
        <v>135</v>
      </c>
      <c r="D54937" t="s">
        <v>136</v>
      </c>
      <c r="E54937" t="s">
        <v>344</v>
      </c>
      <c r="F54937" t="s">
        <v>1799</v>
      </c>
      <c r="H54937" t="s">
        <v>828</v>
      </c>
      <c r="I54937" t="s">
        <v>3064</v>
      </c>
      <c r="J54937" t="s">
        <v>140</v>
      </c>
      <c r="K54937">
        <v>156878.033</v>
      </c>
      <c r="L54937">
        <v>384424.59899999999</v>
      </c>
      <c r="M54937">
        <v>1</v>
      </c>
      <c r="N54937" t="s">
        <v>3065</v>
      </c>
      <c r="O54937" t="s">
        <v>3061</v>
      </c>
      <c r="P54937" t="s">
        <v>1380</v>
      </c>
      <c r="Q54937" t="s">
        <v>144</v>
      </c>
      <c r="S54937">
        <v>7</v>
      </c>
      <c r="T54937">
        <v>0</v>
      </c>
      <c r="V54937" t="s">
        <v>146</v>
      </c>
      <c r="W54937" t="s">
        <v>415</v>
      </c>
      <c r="X54937" t="s">
        <v>7</v>
      </c>
      <c r="Y54937" t="s">
        <v>3066</v>
      </c>
      <c r="Z54937" t="s">
        <v>3061</v>
      </c>
      <c r="AA54937" t="s">
        <v>1570</v>
      </c>
      <c r="AB54937">
        <v>80</v>
      </c>
      <c r="AC54937" t="s">
        <v>150</v>
      </c>
      <c r="AE54937" t="s">
        <v>2885</v>
      </c>
      <c r="AF54937" t="s">
        <v>1512</v>
      </c>
      <c r="AG54937" t="s">
        <v>3067</v>
      </c>
      <c r="AL54937" t="s">
        <v>6830</v>
      </c>
      <c r="AM54937" t="s">
        <v>6831</v>
      </c>
      <c r="AN54937" t="s">
        <v>6832</v>
      </c>
      <c r="AO54937" t="s">
        <v>3065</v>
      </c>
      <c r="AQ54937">
        <f>IF(ISBLANK(AP54937), IFERROR(IF(VLOOKUP(AO54937, Ellens_additions!$A$2:$B$252, 2, FALSE) = "", "", VLOOKUP(AO54937, Ellens_additions!$A$2:$B$252, 2, FALSE)), 0), AP54937)</f>
        <v>0</v>
      </c>
    </row>
    <row r="54938" spans="1:43" ht="14.4" hidden="1" x14ac:dyDescent="0.3">
      <c r="A54938" t="s">
        <v>6833</v>
      </c>
      <c r="B54938">
        <v>4906621</v>
      </c>
      <c r="C54938" t="s">
        <v>135</v>
      </c>
      <c r="D54938" t="s">
        <v>136</v>
      </c>
      <c r="E54938" t="s">
        <v>344</v>
      </c>
      <c r="F54938" t="s">
        <v>1799</v>
      </c>
      <c r="H54938" t="s">
        <v>1022</v>
      </c>
      <c r="I54938" t="s">
        <v>3064</v>
      </c>
      <c r="J54938" t="s">
        <v>140</v>
      </c>
      <c r="K54938">
        <v>156879.139</v>
      </c>
      <c r="L54938">
        <v>384427.522</v>
      </c>
      <c r="M54938">
        <v>1</v>
      </c>
      <c r="N54938" t="s">
        <v>3065</v>
      </c>
      <c r="O54938" t="s">
        <v>3061</v>
      </c>
      <c r="P54938" t="s">
        <v>1380</v>
      </c>
      <c r="Q54938" t="s">
        <v>144</v>
      </c>
      <c r="S54938">
        <v>7</v>
      </c>
      <c r="T54938">
        <v>0</v>
      </c>
      <c r="V54938" t="s">
        <v>146</v>
      </c>
      <c r="W54938" t="s">
        <v>415</v>
      </c>
      <c r="X54938" t="s">
        <v>7</v>
      </c>
      <c r="Y54938" t="s">
        <v>3066</v>
      </c>
      <c r="Z54938" t="s">
        <v>3061</v>
      </c>
      <c r="AA54938" t="s">
        <v>1570</v>
      </c>
      <c r="AB54938">
        <v>80</v>
      </c>
      <c r="AC54938" t="s">
        <v>150</v>
      </c>
      <c r="AE54938" t="s">
        <v>2885</v>
      </c>
      <c r="AF54938" t="s">
        <v>1512</v>
      </c>
      <c r="AG54938" t="s">
        <v>3067</v>
      </c>
      <c r="AL54938" t="s">
        <v>6834</v>
      </c>
      <c r="AM54938" t="s">
        <v>6835</v>
      </c>
      <c r="AN54938" t="s">
        <v>6836</v>
      </c>
      <c r="AO54938" t="s">
        <v>3065</v>
      </c>
      <c r="AQ54938">
        <f>IF(ISBLANK(AP54938), IFERROR(IF(VLOOKUP(AO54938, Ellens_additions!$A$2:$B$252, 2, FALSE) = "", "", VLOOKUP(AO54938, Ellens_additions!$A$2:$B$252, 2, FALSE)), 0), AP54938)</f>
        <v>0</v>
      </c>
    </row>
    <row r="54939" spans="1:43" ht="14.4" hidden="1" x14ac:dyDescent="0.3">
      <c r="A54939" t="s">
        <v>6837</v>
      </c>
      <c r="B54939">
        <v>4906622</v>
      </c>
      <c r="C54939" t="s">
        <v>135</v>
      </c>
      <c r="D54939" t="s">
        <v>136</v>
      </c>
      <c r="E54939" t="s">
        <v>344</v>
      </c>
      <c r="F54939" t="s">
        <v>1799</v>
      </c>
      <c r="H54939" t="s">
        <v>286</v>
      </c>
      <c r="I54939" t="s">
        <v>3064</v>
      </c>
      <c r="J54939" t="s">
        <v>140</v>
      </c>
      <c r="K54939">
        <v>156879.96599999999</v>
      </c>
      <c r="L54939">
        <v>384430.35499999998</v>
      </c>
      <c r="M54939">
        <v>1</v>
      </c>
      <c r="N54939" t="s">
        <v>3065</v>
      </c>
      <c r="O54939" t="s">
        <v>3061</v>
      </c>
      <c r="P54939" t="s">
        <v>1380</v>
      </c>
      <c r="Q54939" t="s">
        <v>144</v>
      </c>
      <c r="S54939">
        <v>7</v>
      </c>
      <c r="T54939">
        <v>0</v>
      </c>
      <c r="V54939" t="s">
        <v>146</v>
      </c>
      <c r="W54939" t="s">
        <v>415</v>
      </c>
      <c r="X54939" t="s">
        <v>7</v>
      </c>
      <c r="Y54939" t="s">
        <v>3066</v>
      </c>
      <c r="Z54939" t="s">
        <v>3061</v>
      </c>
      <c r="AA54939" t="s">
        <v>1570</v>
      </c>
      <c r="AB54939">
        <v>80</v>
      </c>
      <c r="AC54939" t="s">
        <v>150</v>
      </c>
      <c r="AE54939" t="s">
        <v>2885</v>
      </c>
      <c r="AF54939" t="s">
        <v>1512</v>
      </c>
      <c r="AG54939" t="s">
        <v>3067</v>
      </c>
      <c r="AL54939" t="s">
        <v>6838</v>
      </c>
      <c r="AM54939" t="s">
        <v>6839</v>
      </c>
      <c r="AN54939" t="s">
        <v>6840</v>
      </c>
      <c r="AO54939" t="s">
        <v>3065</v>
      </c>
      <c r="AQ54939">
        <f>IF(ISBLANK(AP54939), IFERROR(IF(VLOOKUP(AO54939, Ellens_additions!$A$2:$B$252, 2, FALSE) = "", "", VLOOKUP(AO54939, Ellens_additions!$A$2:$B$252, 2, FALSE)), 0), AP54939)</f>
        <v>0</v>
      </c>
    </row>
    <row r="54940" spans="1:43" ht="14.4" hidden="1" x14ac:dyDescent="0.3">
      <c r="A54940" t="s">
        <v>6841</v>
      </c>
      <c r="B54940">
        <v>4906625</v>
      </c>
      <c r="C54940" t="s">
        <v>135</v>
      </c>
      <c r="D54940" t="s">
        <v>136</v>
      </c>
      <c r="E54940" t="s">
        <v>344</v>
      </c>
      <c r="F54940" t="s">
        <v>1799</v>
      </c>
      <c r="H54940" t="s">
        <v>671</v>
      </c>
      <c r="I54940" t="s">
        <v>3064</v>
      </c>
      <c r="J54940" t="s">
        <v>140</v>
      </c>
      <c r="K54940">
        <v>156883.052</v>
      </c>
      <c r="L54940">
        <v>384439.09</v>
      </c>
      <c r="M54940">
        <v>1</v>
      </c>
      <c r="N54940" t="s">
        <v>3065</v>
      </c>
      <c r="O54940" t="s">
        <v>3061</v>
      </c>
      <c r="P54940" t="s">
        <v>1380</v>
      </c>
      <c r="Q54940" t="s">
        <v>144</v>
      </c>
      <c r="S54940">
        <v>7</v>
      </c>
      <c r="T54940">
        <v>0</v>
      </c>
      <c r="V54940" t="s">
        <v>146</v>
      </c>
      <c r="W54940" t="s">
        <v>415</v>
      </c>
      <c r="X54940" t="s">
        <v>7</v>
      </c>
      <c r="Y54940" t="s">
        <v>3066</v>
      </c>
      <c r="Z54940" t="s">
        <v>3061</v>
      </c>
      <c r="AA54940" t="s">
        <v>1570</v>
      </c>
      <c r="AB54940">
        <v>80</v>
      </c>
      <c r="AC54940" t="s">
        <v>150</v>
      </c>
      <c r="AE54940" t="s">
        <v>2885</v>
      </c>
      <c r="AF54940" t="s">
        <v>1512</v>
      </c>
      <c r="AG54940" t="s">
        <v>3067</v>
      </c>
      <c r="AL54940" t="s">
        <v>6842</v>
      </c>
      <c r="AM54940" t="s">
        <v>6843</v>
      </c>
      <c r="AN54940" t="s">
        <v>6844</v>
      </c>
      <c r="AO54940" t="s">
        <v>3065</v>
      </c>
      <c r="AQ54940">
        <f>IF(ISBLANK(AP54940), IFERROR(IF(VLOOKUP(AO54940, Ellens_additions!$A$2:$B$252, 2, FALSE) = "", "", VLOOKUP(AO54940, Ellens_additions!$A$2:$B$252, 2, FALSE)), 0), AP54940)</f>
        <v>0</v>
      </c>
    </row>
    <row r="54941" spans="1:43" ht="14.4" hidden="1" x14ac:dyDescent="0.3">
      <c r="A54941" t="s">
        <v>6845</v>
      </c>
      <c r="B54941">
        <v>4906627</v>
      </c>
      <c r="C54941" t="s">
        <v>135</v>
      </c>
      <c r="D54941" t="s">
        <v>136</v>
      </c>
      <c r="E54941" t="s">
        <v>344</v>
      </c>
      <c r="F54941" t="s">
        <v>1799</v>
      </c>
      <c r="H54941" t="s">
        <v>672</v>
      </c>
      <c r="I54941" t="s">
        <v>3064</v>
      </c>
      <c r="J54941" t="s">
        <v>140</v>
      </c>
      <c r="K54941">
        <v>156885.242</v>
      </c>
      <c r="L54941">
        <v>384444.93699999998</v>
      </c>
      <c r="M54941">
        <v>1</v>
      </c>
      <c r="N54941" t="s">
        <v>3065</v>
      </c>
      <c r="O54941" t="s">
        <v>3061</v>
      </c>
      <c r="P54941" t="s">
        <v>1380</v>
      </c>
      <c r="Q54941" t="s">
        <v>144</v>
      </c>
      <c r="S54941">
        <v>7</v>
      </c>
      <c r="T54941">
        <v>0</v>
      </c>
      <c r="V54941" t="s">
        <v>146</v>
      </c>
      <c r="W54941" t="s">
        <v>415</v>
      </c>
      <c r="X54941" t="s">
        <v>7</v>
      </c>
      <c r="Y54941" t="s">
        <v>3066</v>
      </c>
      <c r="Z54941" t="s">
        <v>3061</v>
      </c>
      <c r="AA54941" t="s">
        <v>1570</v>
      </c>
      <c r="AB54941">
        <v>80</v>
      </c>
      <c r="AC54941" t="s">
        <v>150</v>
      </c>
      <c r="AE54941" t="s">
        <v>2885</v>
      </c>
      <c r="AF54941" t="s">
        <v>1512</v>
      </c>
      <c r="AG54941" t="s">
        <v>3067</v>
      </c>
      <c r="AL54941" t="s">
        <v>6846</v>
      </c>
      <c r="AM54941" t="s">
        <v>6847</v>
      </c>
      <c r="AN54941" t="s">
        <v>6848</v>
      </c>
      <c r="AO54941" t="s">
        <v>3065</v>
      </c>
      <c r="AQ54941">
        <f>IF(ISBLANK(AP54941), IFERROR(IF(VLOOKUP(AO54941, Ellens_additions!$A$2:$B$252, 2, FALSE) = "", "", VLOOKUP(AO54941, Ellens_additions!$A$2:$B$252, 2, FALSE)), 0), AP54941)</f>
        <v>0</v>
      </c>
    </row>
    <row r="54942" spans="1:43" ht="14.4" hidden="1" x14ac:dyDescent="0.3">
      <c r="A54942" t="s">
        <v>6849</v>
      </c>
      <c r="B54942">
        <v>4906632</v>
      </c>
      <c r="C54942" t="s">
        <v>135</v>
      </c>
      <c r="D54942" t="s">
        <v>136</v>
      </c>
      <c r="E54942" t="s">
        <v>344</v>
      </c>
      <c r="F54942" t="s">
        <v>1785</v>
      </c>
      <c r="H54942" t="s">
        <v>320</v>
      </c>
      <c r="I54942" t="s">
        <v>3064</v>
      </c>
      <c r="J54942" t="s">
        <v>140</v>
      </c>
      <c r="K54942">
        <v>156632.90599999999</v>
      </c>
      <c r="L54942">
        <v>384679.21399999998</v>
      </c>
      <c r="M54942">
        <v>1</v>
      </c>
      <c r="N54942" t="s">
        <v>3132</v>
      </c>
      <c r="O54942" t="s">
        <v>1512</v>
      </c>
      <c r="P54942" t="s">
        <v>630</v>
      </c>
      <c r="Q54942" t="s">
        <v>144</v>
      </c>
      <c r="R54942" t="s">
        <v>145</v>
      </c>
      <c r="S54942">
        <v>22.5</v>
      </c>
      <c r="T54942">
        <v>50</v>
      </c>
      <c r="V54942" t="s">
        <v>146</v>
      </c>
      <c r="W54942" t="s">
        <v>184</v>
      </c>
      <c r="X54942" t="s">
        <v>7</v>
      </c>
      <c r="Y54942" t="s">
        <v>3133</v>
      </c>
      <c r="Z54942" t="s">
        <v>1512</v>
      </c>
      <c r="AA54942" t="s">
        <v>1541</v>
      </c>
      <c r="AB54942">
        <v>80</v>
      </c>
      <c r="AC54942" t="s">
        <v>150</v>
      </c>
      <c r="AE54942" t="s">
        <v>2885</v>
      </c>
      <c r="AF54942" t="s">
        <v>1512</v>
      </c>
      <c r="AG54942" t="s">
        <v>3067</v>
      </c>
      <c r="AL54942" t="s">
        <v>6850</v>
      </c>
      <c r="AM54942" t="s">
        <v>6851</v>
      </c>
      <c r="AN54942" t="s">
        <v>6852</v>
      </c>
      <c r="AO54942" t="s">
        <v>3132</v>
      </c>
      <c r="AQ54942">
        <f>IF(ISBLANK(AP54942), IFERROR(IF(VLOOKUP(AO54942, Ellens_additions!$A$2:$B$252, 2, FALSE) = "", "", VLOOKUP(AO54942, Ellens_additions!$A$2:$B$252, 2, FALSE)), 0), AP54942)</f>
        <v>0</v>
      </c>
    </row>
    <row r="54943" spans="1:43" ht="14.4" hidden="1" x14ac:dyDescent="0.3">
      <c r="A54943" t="s">
        <v>6853</v>
      </c>
      <c r="B54943">
        <v>4906633</v>
      </c>
      <c r="C54943" t="s">
        <v>135</v>
      </c>
      <c r="D54943" t="s">
        <v>136</v>
      </c>
      <c r="E54943" t="s">
        <v>344</v>
      </c>
      <c r="F54943" t="s">
        <v>1785</v>
      </c>
      <c r="H54943" t="s">
        <v>368</v>
      </c>
      <c r="I54943" t="s">
        <v>3064</v>
      </c>
      <c r="J54943" t="s">
        <v>140</v>
      </c>
      <c r="K54943">
        <v>156635.19500000001</v>
      </c>
      <c r="L54943">
        <v>384681.19199999998</v>
      </c>
      <c r="M54943">
        <v>1</v>
      </c>
      <c r="N54943" t="s">
        <v>3132</v>
      </c>
      <c r="O54943" t="s">
        <v>1512</v>
      </c>
      <c r="P54943" t="s">
        <v>630</v>
      </c>
      <c r="Q54943" t="s">
        <v>144</v>
      </c>
      <c r="R54943" t="s">
        <v>145</v>
      </c>
      <c r="S54943">
        <v>22.5</v>
      </c>
      <c r="T54943">
        <v>50</v>
      </c>
      <c r="V54943" t="s">
        <v>146</v>
      </c>
      <c r="W54943" t="s">
        <v>184</v>
      </c>
      <c r="X54943" t="s">
        <v>7</v>
      </c>
      <c r="Y54943" t="s">
        <v>3133</v>
      </c>
      <c r="Z54943" t="s">
        <v>1512</v>
      </c>
      <c r="AA54943" t="s">
        <v>1541</v>
      </c>
      <c r="AB54943">
        <v>80</v>
      </c>
      <c r="AC54943" t="s">
        <v>150</v>
      </c>
      <c r="AE54943" t="s">
        <v>2885</v>
      </c>
      <c r="AF54943" t="s">
        <v>1512</v>
      </c>
      <c r="AG54943" t="s">
        <v>3067</v>
      </c>
      <c r="AL54943" t="s">
        <v>6854</v>
      </c>
      <c r="AM54943" t="s">
        <v>6855</v>
      </c>
      <c r="AN54943" t="s">
        <v>6856</v>
      </c>
      <c r="AO54943" t="s">
        <v>3132</v>
      </c>
      <c r="AQ54943">
        <f>IF(ISBLANK(AP54943), IFERROR(IF(VLOOKUP(AO54943, Ellens_additions!$A$2:$B$252, 2, FALSE) = "", "", VLOOKUP(AO54943, Ellens_additions!$A$2:$B$252, 2, FALSE)), 0), AP54943)</f>
        <v>0</v>
      </c>
    </row>
    <row r="54944" spans="1:43" ht="14.4" hidden="1" x14ac:dyDescent="0.3">
      <c r="A54944" t="s">
        <v>6857</v>
      </c>
      <c r="B54944">
        <v>4906636</v>
      </c>
      <c r="C54944" t="s">
        <v>135</v>
      </c>
      <c r="D54944" t="s">
        <v>136</v>
      </c>
      <c r="E54944" t="s">
        <v>344</v>
      </c>
      <c r="F54944" t="s">
        <v>1785</v>
      </c>
      <c r="H54944" t="s">
        <v>689</v>
      </c>
      <c r="I54944" t="s">
        <v>3064</v>
      </c>
      <c r="J54944" t="s">
        <v>140</v>
      </c>
      <c r="K54944">
        <v>156642.30600000001</v>
      </c>
      <c r="L54944">
        <v>384687.26</v>
      </c>
      <c r="M54944">
        <v>1</v>
      </c>
      <c r="N54944" t="s">
        <v>3132</v>
      </c>
      <c r="O54944" t="s">
        <v>1512</v>
      </c>
      <c r="P54944" t="s">
        <v>630</v>
      </c>
      <c r="Q54944" t="s">
        <v>144</v>
      </c>
      <c r="R54944" t="s">
        <v>145</v>
      </c>
      <c r="S54944">
        <v>22.5</v>
      </c>
      <c r="T54944">
        <v>50</v>
      </c>
      <c r="V54944" t="s">
        <v>146</v>
      </c>
      <c r="W54944" t="s">
        <v>184</v>
      </c>
      <c r="X54944" t="s">
        <v>7</v>
      </c>
      <c r="Y54944" t="s">
        <v>3133</v>
      </c>
      <c r="Z54944" t="s">
        <v>1512</v>
      </c>
      <c r="AA54944" t="s">
        <v>1541</v>
      </c>
      <c r="AB54944">
        <v>80</v>
      </c>
      <c r="AC54944" t="s">
        <v>150</v>
      </c>
      <c r="AE54944" t="s">
        <v>2885</v>
      </c>
      <c r="AF54944" t="s">
        <v>1512</v>
      </c>
      <c r="AG54944" t="s">
        <v>3067</v>
      </c>
      <c r="AL54944" t="s">
        <v>6858</v>
      </c>
      <c r="AM54944" t="s">
        <v>6859</v>
      </c>
      <c r="AN54944" t="s">
        <v>6860</v>
      </c>
      <c r="AO54944" t="s">
        <v>3132</v>
      </c>
      <c r="AQ54944">
        <f>IF(ISBLANK(AP54944), IFERROR(IF(VLOOKUP(AO54944, Ellens_additions!$A$2:$B$252, 2, FALSE) = "", "", VLOOKUP(AO54944, Ellens_additions!$A$2:$B$252, 2, FALSE)), 0), AP54944)</f>
        <v>0</v>
      </c>
    </row>
    <row r="54945" spans="1:43" ht="14.4" hidden="1" x14ac:dyDescent="0.3">
      <c r="A54945" t="s">
        <v>6861</v>
      </c>
      <c r="B54945">
        <v>4906639</v>
      </c>
      <c r="C54945" t="s">
        <v>135</v>
      </c>
      <c r="D54945" t="s">
        <v>136</v>
      </c>
      <c r="E54945" t="s">
        <v>344</v>
      </c>
      <c r="F54945" t="s">
        <v>1785</v>
      </c>
      <c r="H54945" t="s">
        <v>674</v>
      </c>
      <c r="I54945" t="s">
        <v>3064</v>
      </c>
      <c r="J54945" t="s">
        <v>140</v>
      </c>
      <c r="K54945">
        <v>156649.25399999999</v>
      </c>
      <c r="L54945">
        <v>384693.37199999997</v>
      </c>
      <c r="M54945">
        <v>1</v>
      </c>
      <c r="N54945" t="s">
        <v>3132</v>
      </c>
      <c r="O54945" t="s">
        <v>1512</v>
      </c>
      <c r="P54945" t="s">
        <v>630</v>
      </c>
      <c r="Q54945" t="s">
        <v>144</v>
      </c>
      <c r="R54945" t="s">
        <v>145</v>
      </c>
      <c r="S54945">
        <v>22.5</v>
      </c>
      <c r="T54945">
        <v>50</v>
      </c>
      <c r="V54945" t="s">
        <v>146</v>
      </c>
      <c r="W54945" t="s">
        <v>184</v>
      </c>
      <c r="X54945" t="s">
        <v>7</v>
      </c>
      <c r="Y54945" t="s">
        <v>3133</v>
      </c>
      <c r="Z54945" t="s">
        <v>1512</v>
      </c>
      <c r="AA54945" t="s">
        <v>1541</v>
      </c>
      <c r="AB54945">
        <v>80</v>
      </c>
      <c r="AC54945" t="s">
        <v>150</v>
      </c>
      <c r="AE54945" t="s">
        <v>2885</v>
      </c>
      <c r="AF54945" t="s">
        <v>1512</v>
      </c>
      <c r="AG54945" t="s">
        <v>3067</v>
      </c>
      <c r="AL54945" t="s">
        <v>6862</v>
      </c>
      <c r="AM54945" t="s">
        <v>6863</v>
      </c>
      <c r="AN54945" t="s">
        <v>6864</v>
      </c>
      <c r="AO54945" t="s">
        <v>3132</v>
      </c>
      <c r="AQ54945">
        <f>IF(ISBLANK(AP54945), IFERROR(IF(VLOOKUP(AO54945, Ellens_additions!$A$2:$B$252, 2, FALSE) = "", "", VLOOKUP(AO54945, Ellens_additions!$A$2:$B$252, 2, FALSE)), 0), AP54945)</f>
        <v>0</v>
      </c>
    </row>
    <row r="54946" spans="1:43" ht="14.4" hidden="1" x14ac:dyDescent="0.3">
      <c r="A54946" t="s">
        <v>6865</v>
      </c>
      <c r="B54946">
        <v>4906642</v>
      </c>
      <c r="C54946" t="s">
        <v>135</v>
      </c>
      <c r="D54946" t="s">
        <v>136</v>
      </c>
      <c r="E54946" t="s">
        <v>344</v>
      </c>
      <c r="F54946" t="s">
        <v>1785</v>
      </c>
      <c r="H54946" t="s">
        <v>472</v>
      </c>
      <c r="I54946" t="s">
        <v>3064</v>
      </c>
      <c r="J54946" t="s">
        <v>140</v>
      </c>
      <c r="K54946">
        <v>156656.25399999999</v>
      </c>
      <c r="L54946">
        <v>384699.44300000003</v>
      </c>
      <c r="M54946">
        <v>1</v>
      </c>
      <c r="N54946" t="s">
        <v>3132</v>
      </c>
      <c r="O54946" t="s">
        <v>1512</v>
      </c>
      <c r="P54946" t="s">
        <v>630</v>
      </c>
      <c r="Q54946" t="s">
        <v>144</v>
      </c>
      <c r="R54946" t="s">
        <v>145</v>
      </c>
      <c r="S54946">
        <v>22.5</v>
      </c>
      <c r="T54946">
        <v>50</v>
      </c>
      <c r="V54946" t="s">
        <v>146</v>
      </c>
      <c r="W54946" t="s">
        <v>184</v>
      </c>
      <c r="X54946" t="s">
        <v>7</v>
      </c>
      <c r="Y54946" t="s">
        <v>3133</v>
      </c>
      <c r="Z54946" t="s">
        <v>1512</v>
      </c>
      <c r="AA54946" t="s">
        <v>1541</v>
      </c>
      <c r="AB54946">
        <v>80</v>
      </c>
      <c r="AC54946" t="s">
        <v>150</v>
      </c>
      <c r="AE54946" t="s">
        <v>2885</v>
      </c>
      <c r="AF54946" t="s">
        <v>1512</v>
      </c>
      <c r="AG54946" t="s">
        <v>3067</v>
      </c>
      <c r="AL54946" t="s">
        <v>6866</v>
      </c>
      <c r="AM54946" t="s">
        <v>6867</v>
      </c>
      <c r="AN54946" t="s">
        <v>6868</v>
      </c>
      <c r="AO54946" t="s">
        <v>3132</v>
      </c>
      <c r="AQ54946">
        <f>IF(ISBLANK(AP54946), IFERROR(IF(VLOOKUP(AO54946, Ellens_additions!$A$2:$B$252, 2, FALSE) = "", "", VLOOKUP(AO54946, Ellens_additions!$A$2:$B$252, 2, FALSE)), 0), AP54946)</f>
        <v>0</v>
      </c>
    </row>
    <row r="54947" spans="1:43" ht="14.4" hidden="1" x14ac:dyDescent="0.3">
      <c r="A54947" t="s">
        <v>6869</v>
      </c>
      <c r="B54947">
        <v>4906647</v>
      </c>
      <c r="C54947" t="s">
        <v>135</v>
      </c>
      <c r="D54947" t="s">
        <v>136</v>
      </c>
      <c r="E54947" t="s">
        <v>344</v>
      </c>
      <c r="F54947" t="s">
        <v>1785</v>
      </c>
      <c r="H54947" t="s">
        <v>3283</v>
      </c>
      <c r="I54947" t="s">
        <v>3064</v>
      </c>
      <c r="J54947" t="s">
        <v>140</v>
      </c>
      <c r="K54947">
        <v>156630.745</v>
      </c>
      <c r="L54947">
        <v>384672.11800000002</v>
      </c>
      <c r="M54947">
        <v>1</v>
      </c>
      <c r="N54947" t="s">
        <v>3132</v>
      </c>
      <c r="O54947" t="s">
        <v>1512</v>
      </c>
      <c r="P54947" t="s">
        <v>630</v>
      </c>
      <c r="Q54947" t="s">
        <v>144</v>
      </c>
      <c r="R54947" t="s">
        <v>145</v>
      </c>
      <c r="S54947">
        <v>22.5</v>
      </c>
      <c r="T54947">
        <v>50</v>
      </c>
      <c r="V54947" t="s">
        <v>146</v>
      </c>
      <c r="W54947" t="s">
        <v>184</v>
      </c>
      <c r="X54947" t="s">
        <v>7</v>
      </c>
      <c r="Y54947" t="s">
        <v>3133</v>
      </c>
      <c r="Z54947" t="s">
        <v>1512</v>
      </c>
      <c r="AA54947" t="s">
        <v>1541</v>
      </c>
      <c r="AB54947">
        <v>80</v>
      </c>
      <c r="AC54947" t="s">
        <v>150</v>
      </c>
      <c r="AE54947" t="s">
        <v>2885</v>
      </c>
      <c r="AF54947" t="s">
        <v>1512</v>
      </c>
      <c r="AG54947" t="s">
        <v>3067</v>
      </c>
      <c r="AL54947" t="s">
        <v>6870</v>
      </c>
      <c r="AM54947" t="s">
        <v>6871</v>
      </c>
      <c r="AN54947" t="s">
        <v>6872</v>
      </c>
      <c r="AO54947" t="s">
        <v>3132</v>
      </c>
      <c r="AQ54947">
        <f>IF(ISBLANK(AP54947), IFERROR(IF(VLOOKUP(AO54947, Ellens_additions!$A$2:$B$252, 2, FALSE) = "", "", VLOOKUP(AO54947, Ellens_additions!$A$2:$B$252, 2, FALSE)), 0), AP54947)</f>
        <v>0</v>
      </c>
    </row>
    <row r="54948" spans="1:43" ht="14.4" hidden="1" x14ac:dyDescent="0.3">
      <c r="A54948" t="s">
        <v>6873</v>
      </c>
      <c r="B54948">
        <v>4906654</v>
      </c>
      <c r="C54948" t="s">
        <v>135</v>
      </c>
      <c r="D54948" t="s">
        <v>136</v>
      </c>
      <c r="E54948" t="s">
        <v>344</v>
      </c>
      <c r="F54948" t="s">
        <v>1785</v>
      </c>
      <c r="H54948" t="s">
        <v>1238</v>
      </c>
      <c r="I54948" t="s">
        <v>3064</v>
      </c>
      <c r="J54948" t="s">
        <v>140</v>
      </c>
      <c r="K54948">
        <v>156646.95800000001</v>
      </c>
      <c r="L54948">
        <v>384686.30599999998</v>
      </c>
      <c r="M54948">
        <v>1</v>
      </c>
      <c r="N54948" t="s">
        <v>3132</v>
      </c>
      <c r="O54948" t="s">
        <v>1512</v>
      </c>
      <c r="P54948" t="s">
        <v>630</v>
      </c>
      <c r="Q54948" t="s">
        <v>144</v>
      </c>
      <c r="R54948" t="s">
        <v>145</v>
      </c>
      <c r="S54948">
        <v>22.5</v>
      </c>
      <c r="T54948">
        <v>50</v>
      </c>
      <c r="V54948" t="s">
        <v>146</v>
      </c>
      <c r="W54948" t="s">
        <v>184</v>
      </c>
      <c r="X54948" t="s">
        <v>7</v>
      </c>
      <c r="Y54948" t="s">
        <v>3133</v>
      </c>
      <c r="Z54948" t="s">
        <v>1512</v>
      </c>
      <c r="AA54948" t="s">
        <v>1541</v>
      </c>
      <c r="AB54948">
        <v>80</v>
      </c>
      <c r="AC54948" t="s">
        <v>150</v>
      </c>
      <c r="AE54948" t="s">
        <v>2885</v>
      </c>
      <c r="AF54948" t="s">
        <v>1512</v>
      </c>
      <c r="AG54948" t="s">
        <v>3067</v>
      </c>
      <c r="AL54948" t="s">
        <v>6874</v>
      </c>
      <c r="AM54948" t="s">
        <v>6875</v>
      </c>
      <c r="AN54948" t="s">
        <v>6876</v>
      </c>
      <c r="AO54948" t="s">
        <v>3132</v>
      </c>
      <c r="AQ54948">
        <f>IF(ISBLANK(AP54948), IFERROR(IF(VLOOKUP(AO54948, Ellens_additions!$A$2:$B$252, 2, FALSE) = "", "", VLOOKUP(AO54948, Ellens_additions!$A$2:$B$252, 2, FALSE)), 0), AP54948)</f>
        <v>0</v>
      </c>
    </row>
    <row r="54949" spans="1:43" ht="14.4" hidden="1" x14ac:dyDescent="0.3">
      <c r="A54949" t="s">
        <v>6877</v>
      </c>
      <c r="B54949">
        <v>4906655</v>
      </c>
      <c r="C54949" t="s">
        <v>135</v>
      </c>
      <c r="D54949" t="s">
        <v>136</v>
      </c>
      <c r="E54949" t="s">
        <v>344</v>
      </c>
      <c r="F54949" t="s">
        <v>1785</v>
      </c>
      <c r="H54949" t="s">
        <v>688</v>
      </c>
      <c r="I54949" t="s">
        <v>3064</v>
      </c>
      <c r="J54949" t="s">
        <v>140</v>
      </c>
      <c r="K54949">
        <v>156649.32800000001</v>
      </c>
      <c r="L54949">
        <v>384688.38799999998</v>
      </c>
      <c r="M54949">
        <v>1</v>
      </c>
      <c r="N54949" t="s">
        <v>3132</v>
      </c>
      <c r="O54949" t="s">
        <v>1512</v>
      </c>
      <c r="P54949" t="s">
        <v>630</v>
      </c>
      <c r="Q54949" t="s">
        <v>144</v>
      </c>
      <c r="R54949" t="s">
        <v>145</v>
      </c>
      <c r="S54949">
        <v>22.5</v>
      </c>
      <c r="T54949">
        <v>50</v>
      </c>
      <c r="V54949" t="s">
        <v>146</v>
      </c>
      <c r="W54949" t="s">
        <v>184</v>
      </c>
      <c r="X54949" t="s">
        <v>7</v>
      </c>
      <c r="Y54949" t="s">
        <v>3133</v>
      </c>
      <c r="Z54949" t="s">
        <v>1512</v>
      </c>
      <c r="AA54949" t="s">
        <v>1541</v>
      </c>
      <c r="AB54949">
        <v>80</v>
      </c>
      <c r="AC54949" t="s">
        <v>150</v>
      </c>
      <c r="AE54949" t="s">
        <v>2885</v>
      </c>
      <c r="AF54949" t="s">
        <v>1512</v>
      </c>
      <c r="AG54949" t="s">
        <v>3067</v>
      </c>
      <c r="AL54949" t="s">
        <v>6878</v>
      </c>
      <c r="AM54949" t="s">
        <v>6879</v>
      </c>
      <c r="AN54949" t="s">
        <v>6880</v>
      </c>
      <c r="AO54949" t="s">
        <v>3132</v>
      </c>
      <c r="AQ54949">
        <f>IF(ISBLANK(AP54949), IFERROR(IF(VLOOKUP(AO54949, Ellens_additions!$A$2:$B$252, 2, FALSE) = "", "", VLOOKUP(AO54949, Ellens_additions!$A$2:$B$252, 2, FALSE)), 0), AP54949)</f>
        <v>0</v>
      </c>
    </row>
    <row r="54950" spans="1:43" ht="14.4" hidden="1" x14ac:dyDescent="0.3">
      <c r="A54950" t="s">
        <v>6881</v>
      </c>
      <c r="B54950">
        <v>4906657</v>
      </c>
      <c r="C54950" t="s">
        <v>135</v>
      </c>
      <c r="D54950" t="s">
        <v>136</v>
      </c>
      <c r="E54950" t="s">
        <v>344</v>
      </c>
      <c r="F54950" t="s">
        <v>1785</v>
      </c>
      <c r="H54950" t="s">
        <v>3186</v>
      </c>
      <c r="I54950" t="s">
        <v>3064</v>
      </c>
      <c r="J54950" t="s">
        <v>140</v>
      </c>
      <c r="K54950">
        <v>156654</v>
      </c>
      <c r="L54950">
        <v>384692.42200000002</v>
      </c>
      <c r="M54950">
        <v>1</v>
      </c>
      <c r="N54950" t="s">
        <v>3132</v>
      </c>
      <c r="O54950" t="s">
        <v>1512</v>
      </c>
      <c r="P54950" t="s">
        <v>630</v>
      </c>
      <c r="Q54950" t="s">
        <v>144</v>
      </c>
      <c r="R54950" t="s">
        <v>145</v>
      </c>
      <c r="S54950">
        <v>22.5</v>
      </c>
      <c r="T54950">
        <v>50</v>
      </c>
      <c r="V54950" t="s">
        <v>146</v>
      </c>
      <c r="W54950" t="s">
        <v>184</v>
      </c>
      <c r="X54950" t="s">
        <v>7</v>
      </c>
      <c r="Y54950" t="s">
        <v>3133</v>
      </c>
      <c r="Z54950" t="s">
        <v>1512</v>
      </c>
      <c r="AA54950" t="s">
        <v>1541</v>
      </c>
      <c r="AB54950">
        <v>80</v>
      </c>
      <c r="AC54950" t="s">
        <v>150</v>
      </c>
      <c r="AE54950" t="s">
        <v>2885</v>
      </c>
      <c r="AF54950" t="s">
        <v>1512</v>
      </c>
      <c r="AG54950" t="s">
        <v>3067</v>
      </c>
      <c r="AL54950" t="s">
        <v>6882</v>
      </c>
      <c r="AM54950" t="s">
        <v>6883</v>
      </c>
      <c r="AN54950" t="s">
        <v>6884</v>
      </c>
      <c r="AO54950" t="s">
        <v>3132</v>
      </c>
      <c r="AQ54950">
        <f>IF(ISBLANK(AP54950), IFERROR(IF(VLOOKUP(AO54950, Ellens_additions!$A$2:$B$252, 2, FALSE) = "", "", VLOOKUP(AO54950, Ellens_additions!$A$2:$B$252, 2, FALSE)), 0), AP54950)</f>
        <v>0</v>
      </c>
    </row>
    <row r="54951" spans="1:43" ht="14.4" hidden="1" x14ac:dyDescent="0.3">
      <c r="A54951" t="s">
        <v>6885</v>
      </c>
      <c r="B54951">
        <v>4906659</v>
      </c>
      <c r="C54951" t="s">
        <v>135</v>
      </c>
      <c r="D54951" t="s">
        <v>136</v>
      </c>
      <c r="E54951" t="s">
        <v>344</v>
      </c>
      <c r="F54951" t="s">
        <v>1785</v>
      </c>
      <c r="H54951" t="s">
        <v>329</v>
      </c>
      <c r="I54951" t="s">
        <v>3064</v>
      </c>
      <c r="J54951" t="s">
        <v>140</v>
      </c>
      <c r="K54951">
        <v>156658.72099999999</v>
      </c>
      <c r="L54951">
        <v>384696.48800000001</v>
      </c>
      <c r="M54951">
        <v>1</v>
      </c>
      <c r="N54951" t="s">
        <v>3132</v>
      </c>
      <c r="O54951" t="s">
        <v>1512</v>
      </c>
      <c r="P54951" t="s">
        <v>630</v>
      </c>
      <c r="Q54951" t="s">
        <v>144</v>
      </c>
      <c r="R54951" t="s">
        <v>145</v>
      </c>
      <c r="S54951">
        <v>22.5</v>
      </c>
      <c r="T54951">
        <v>50</v>
      </c>
      <c r="V54951" t="s">
        <v>146</v>
      </c>
      <c r="W54951" t="s">
        <v>184</v>
      </c>
      <c r="X54951" t="s">
        <v>7</v>
      </c>
      <c r="Y54951" t="s">
        <v>3133</v>
      </c>
      <c r="Z54951" t="s">
        <v>1512</v>
      </c>
      <c r="AA54951" t="s">
        <v>1541</v>
      </c>
      <c r="AB54951">
        <v>80</v>
      </c>
      <c r="AC54951" t="s">
        <v>150</v>
      </c>
      <c r="AE54951" t="s">
        <v>2885</v>
      </c>
      <c r="AF54951" t="s">
        <v>1512</v>
      </c>
      <c r="AG54951" t="s">
        <v>3067</v>
      </c>
      <c r="AL54951" t="s">
        <v>6886</v>
      </c>
      <c r="AM54951" t="s">
        <v>6887</v>
      </c>
      <c r="AN54951" t="s">
        <v>6888</v>
      </c>
      <c r="AO54951" t="s">
        <v>3132</v>
      </c>
      <c r="AQ54951">
        <f>IF(ISBLANK(AP54951), IFERROR(IF(VLOOKUP(AO54951, Ellens_additions!$A$2:$B$252, 2, FALSE) = "", "", VLOOKUP(AO54951, Ellens_additions!$A$2:$B$252, 2, FALSE)), 0), AP54951)</f>
        <v>0</v>
      </c>
    </row>
    <row r="54952" spans="1:43" ht="14.4" hidden="1" x14ac:dyDescent="0.3">
      <c r="A54952" t="s">
        <v>6889</v>
      </c>
      <c r="B54952">
        <v>4906661</v>
      </c>
      <c r="C54952" t="s">
        <v>135</v>
      </c>
      <c r="D54952" t="s">
        <v>136</v>
      </c>
      <c r="E54952" t="s">
        <v>344</v>
      </c>
      <c r="F54952" t="s">
        <v>1785</v>
      </c>
      <c r="H54952" t="s">
        <v>330</v>
      </c>
      <c r="I54952" t="s">
        <v>3064</v>
      </c>
      <c r="J54952" t="s">
        <v>140</v>
      </c>
      <c r="K54952">
        <v>156663.473</v>
      </c>
      <c r="L54952">
        <v>384700.54</v>
      </c>
      <c r="M54952">
        <v>1</v>
      </c>
      <c r="N54952" t="s">
        <v>3132</v>
      </c>
      <c r="O54952" t="s">
        <v>1512</v>
      </c>
      <c r="P54952" t="s">
        <v>630</v>
      </c>
      <c r="Q54952" t="s">
        <v>144</v>
      </c>
      <c r="R54952" t="s">
        <v>145</v>
      </c>
      <c r="S54952">
        <v>22.5</v>
      </c>
      <c r="T54952">
        <v>50</v>
      </c>
      <c r="V54952" t="s">
        <v>146</v>
      </c>
      <c r="W54952" t="s">
        <v>184</v>
      </c>
      <c r="X54952" t="s">
        <v>7</v>
      </c>
      <c r="Y54952" t="s">
        <v>3133</v>
      </c>
      <c r="Z54952" t="s">
        <v>1512</v>
      </c>
      <c r="AA54952" t="s">
        <v>1541</v>
      </c>
      <c r="AB54952">
        <v>80</v>
      </c>
      <c r="AC54952" t="s">
        <v>150</v>
      </c>
      <c r="AE54952" t="s">
        <v>2885</v>
      </c>
      <c r="AF54952" t="s">
        <v>1512</v>
      </c>
      <c r="AG54952" t="s">
        <v>3067</v>
      </c>
      <c r="AL54952" t="s">
        <v>6890</v>
      </c>
      <c r="AM54952" t="s">
        <v>6891</v>
      </c>
      <c r="AN54952" t="s">
        <v>6892</v>
      </c>
      <c r="AO54952" t="s">
        <v>3132</v>
      </c>
      <c r="AQ54952">
        <f>IF(ISBLANK(AP54952), IFERROR(IF(VLOOKUP(AO54952, Ellens_additions!$A$2:$B$252, 2, FALSE) = "", "", VLOOKUP(AO54952, Ellens_additions!$A$2:$B$252, 2, FALSE)), 0), AP54952)</f>
        <v>0</v>
      </c>
    </row>
    <row r="54953" spans="1:43" ht="14.4" x14ac:dyDescent="0.3"/>
    <row r="54954" spans="1:43" ht="14.4" x14ac:dyDescent="0.3"/>
    <row r="54955" spans="1:43" ht="14.4" x14ac:dyDescent="0.3"/>
    <row r="54956" spans="1:43" ht="14.4" x14ac:dyDescent="0.3"/>
    <row r="54957" spans="1:43" ht="14.4" x14ac:dyDescent="0.3"/>
    <row r="54958" spans="1:43" ht="14.4" x14ac:dyDescent="0.3"/>
    <row r="54959" spans="1:43" ht="14.4" x14ac:dyDescent="0.3"/>
    <row r="54960" spans="1:43" ht="14.4" x14ac:dyDescent="0.3"/>
    <row r="54961" ht="14.4" x14ac:dyDescent="0.3"/>
    <row r="54962" ht="14.4" x14ac:dyDescent="0.3"/>
    <row r="54963" ht="14.4" x14ac:dyDescent="0.3"/>
    <row r="54964" ht="14.4" x14ac:dyDescent="0.3"/>
    <row r="54965" ht="14.4" x14ac:dyDescent="0.3"/>
    <row r="54966" ht="14.4" x14ac:dyDescent="0.3"/>
    <row r="54967" ht="14.4" x14ac:dyDescent="0.3"/>
    <row r="54968" ht="14.4" x14ac:dyDescent="0.3"/>
    <row r="54969" ht="14.4" x14ac:dyDescent="0.3"/>
    <row r="54970" ht="14.4" x14ac:dyDescent="0.3"/>
    <row r="54971" ht="14.4" x14ac:dyDescent="0.3"/>
    <row r="54972" ht="14.4" x14ac:dyDescent="0.3"/>
    <row r="54973" ht="14.4" x14ac:dyDescent="0.3"/>
    <row r="54974" ht="14.4" x14ac:dyDescent="0.3"/>
    <row r="54975" ht="14.4" x14ac:dyDescent="0.3"/>
    <row r="54976" ht="14.4" x14ac:dyDescent="0.3"/>
    <row r="54977" ht="14.4" x14ac:dyDescent="0.3"/>
    <row r="54978" ht="14.4" x14ac:dyDescent="0.3"/>
    <row r="54979" ht="14.4" x14ac:dyDescent="0.3"/>
    <row r="54980" ht="14.4" x14ac:dyDescent="0.3"/>
    <row r="54981" ht="14.4" x14ac:dyDescent="0.3"/>
    <row r="54982" ht="14.4" x14ac:dyDescent="0.3"/>
    <row r="54983" ht="14.4" x14ac:dyDescent="0.3"/>
    <row r="54984" ht="14.4" x14ac:dyDescent="0.3"/>
    <row r="54985" ht="14.4" x14ac:dyDescent="0.3"/>
    <row r="54986" ht="14.4" x14ac:dyDescent="0.3"/>
    <row r="54987" ht="14.4" x14ac:dyDescent="0.3"/>
    <row r="54988" ht="14.4" x14ac:dyDescent="0.3"/>
    <row r="54989" ht="14.4" x14ac:dyDescent="0.3"/>
    <row r="54990" ht="14.4" x14ac:dyDescent="0.3"/>
    <row r="54991" ht="14.4" x14ac:dyDescent="0.3"/>
    <row r="54992" ht="14.4" x14ac:dyDescent="0.3"/>
    <row r="54993" ht="14.4" x14ac:dyDescent="0.3"/>
    <row r="54994" ht="14.4" x14ac:dyDescent="0.3"/>
    <row r="54995" ht="14.4" x14ac:dyDescent="0.3"/>
    <row r="54996" ht="14.4" x14ac:dyDescent="0.3"/>
    <row r="54997" ht="14.4" x14ac:dyDescent="0.3"/>
    <row r="54998" ht="14.4" x14ac:dyDescent="0.3"/>
    <row r="54999" ht="14.4" x14ac:dyDescent="0.3"/>
    <row r="55000" ht="14.4" x14ac:dyDescent="0.3"/>
    <row r="55001" ht="14.4" x14ac:dyDescent="0.3"/>
    <row r="55002" ht="14.4" x14ac:dyDescent="0.3"/>
    <row r="55003" ht="14.4" x14ac:dyDescent="0.3"/>
    <row r="55004" ht="14.4" x14ac:dyDescent="0.3"/>
    <row r="55005" ht="14.4" x14ac:dyDescent="0.3"/>
    <row r="55006" ht="14.4" x14ac:dyDescent="0.3"/>
    <row r="55007" ht="14.4" x14ac:dyDescent="0.3"/>
    <row r="55008" ht="14.4" x14ac:dyDescent="0.3"/>
    <row r="55009" ht="14.4" x14ac:dyDescent="0.3"/>
    <row r="55010" ht="14.4" x14ac:dyDescent="0.3"/>
    <row r="55011" ht="14.4" x14ac:dyDescent="0.3"/>
    <row r="55012" ht="14.4" x14ac:dyDescent="0.3"/>
    <row r="55013" ht="14.4" x14ac:dyDescent="0.3"/>
    <row r="55014" ht="14.4" x14ac:dyDescent="0.3"/>
    <row r="55015" ht="14.4" x14ac:dyDescent="0.3"/>
    <row r="55016" ht="14.4" x14ac:dyDescent="0.3"/>
    <row r="55017" ht="14.4" x14ac:dyDescent="0.3"/>
    <row r="55018" ht="14.4" x14ac:dyDescent="0.3"/>
    <row r="55019" ht="14.4" x14ac:dyDescent="0.3"/>
    <row r="55020" ht="14.4" x14ac:dyDescent="0.3"/>
    <row r="55021" ht="14.4" x14ac:dyDescent="0.3"/>
    <row r="55022" ht="14.4" x14ac:dyDescent="0.3"/>
    <row r="55023" ht="14.4" x14ac:dyDescent="0.3"/>
    <row r="55024" ht="14.4" x14ac:dyDescent="0.3"/>
    <row r="55025" ht="14.4" x14ac:dyDescent="0.3"/>
    <row r="55026" ht="14.4" x14ac:dyDescent="0.3"/>
    <row r="55027" ht="14.4" x14ac:dyDescent="0.3"/>
    <row r="55028" ht="14.4" x14ac:dyDescent="0.3"/>
    <row r="55029" ht="14.4" x14ac:dyDescent="0.3"/>
    <row r="55030" ht="14.4" x14ac:dyDescent="0.3"/>
    <row r="55031" ht="14.4" x14ac:dyDescent="0.3"/>
    <row r="55032" ht="14.4" x14ac:dyDescent="0.3"/>
    <row r="55033" ht="14.4" x14ac:dyDescent="0.3"/>
    <row r="55034" ht="14.4" x14ac:dyDescent="0.3"/>
    <row r="55035" ht="14.4" x14ac:dyDescent="0.3"/>
    <row r="55036" ht="14.4" x14ac:dyDescent="0.3"/>
    <row r="55037" ht="14.4" x14ac:dyDescent="0.3"/>
    <row r="55038" ht="14.4" x14ac:dyDescent="0.3"/>
    <row r="55039" ht="14.4" x14ac:dyDescent="0.3"/>
    <row r="55040" ht="14.4" x14ac:dyDescent="0.3"/>
    <row r="55041" ht="14.4" x14ac:dyDescent="0.3"/>
    <row r="55042" ht="14.4" x14ac:dyDescent="0.3"/>
    <row r="55043" ht="14.4" x14ac:dyDescent="0.3"/>
    <row r="55044" ht="14.4" x14ac:dyDescent="0.3"/>
    <row r="55045" ht="14.4" x14ac:dyDescent="0.3"/>
    <row r="55046" ht="14.4" x14ac:dyDescent="0.3"/>
    <row r="55047" ht="14.4" x14ac:dyDescent="0.3"/>
    <row r="55048" ht="14.4" x14ac:dyDescent="0.3"/>
    <row r="55049" ht="14.4" x14ac:dyDescent="0.3"/>
    <row r="55050" ht="14.4" x14ac:dyDescent="0.3"/>
    <row r="55051" ht="14.4" x14ac:dyDescent="0.3"/>
    <row r="55052" ht="14.4" x14ac:dyDescent="0.3"/>
    <row r="55053" ht="14.4" x14ac:dyDescent="0.3"/>
    <row r="55054" ht="14.4" x14ac:dyDescent="0.3"/>
    <row r="55055" ht="14.4" x14ac:dyDescent="0.3"/>
    <row r="55056" ht="14.4" x14ac:dyDescent="0.3"/>
    <row r="55057" ht="14.4" x14ac:dyDescent="0.3"/>
    <row r="55058" ht="14.4" x14ac:dyDescent="0.3"/>
    <row r="55059" ht="14.4" x14ac:dyDescent="0.3"/>
    <row r="55060" ht="14.4" x14ac:dyDescent="0.3"/>
    <row r="55061" ht="14.4" x14ac:dyDescent="0.3"/>
    <row r="55062" ht="14.4" x14ac:dyDescent="0.3"/>
    <row r="55063" ht="14.4" x14ac:dyDescent="0.3"/>
    <row r="55064" ht="14.4" x14ac:dyDescent="0.3"/>
    <row r="55065" ht="14.4" x14ac:dyDescent="0.3"/>
    <row r="55066" ht="14.4" x14ac:dyDescent="0.3"/>
    <row r="55067" ht="14.4" x14ac:dyDescent="0.3"/>
    <row r="55068" ht="14.4" x14ac:dyDescent="0.3"/>
    <row r="55069" ht="14.4" x14ac:dyDescent="0.3"/>
    <row r="55070" ht="14.4" x14ac:dyDescent="0.3"/>
    <row r="55071" ht="14.4" x14ac:dyDescent="0.3"/>
    <row r="55072" ht="14.4" x14ac:dyDescent="0.3"/>
    <row r="55073" ht="14.4" x14ac:dyDescent="0.3"/>
    <row r="55074" ht="14.4" x14ac:dyDescent="0.3"/>
    <row r="55075" ht="14.4" x14ac:dyDescent="0.3"/>
    <row r="55076" ht="14.4" x14ac:dyDescent="0.3"/>
    <row r="55077" ht="14.4" x14ac:dyDescent="0.3"/>
    <row r="55078" ht="14.4" x14ac:dyDescent="0.3"/>
    <row r="55079" ht="14.4" x14ac:dyDescent="0.3"/>
    <row r="55080" ht="14.4" x14ac:dyDescent="0.3"/>
    <row r="55081" ht="14.4" x14ac:dyDescent="0.3"/>
    <row r="55082" ht="14.4" x14ac:dyDescent="0.3"/>
    <row r="55083" ht="14.4" x14ac:dyDescent="0.3"/>
    <row r="55084" ht="14.4" x14ac:dyDescent="0.3"/>
    <row r="55085" ht="14.4" x14ac:dyDescent="0.3"/>
    <row r="55086" ht="14.4" x14ac:dyDescent="0.3"/>
    <row r="55087" ht="14.4" x14ac:dyDescent="0.3"/>
    <row r="55088" ht="14.4" x14ac:dyDescent="0.3"/>
    <row r="55089" ht="14.4" x14ac:dyDescent="0.3"/>
    <row r="55090" ht="14.4" x14ac:dyDescent="0.3"/>
    <row r="55091" ht="14.4" x14ac:dyDescent="0.3"/>
    <row r="55092" ht="14.4" x14ac:dyDescent="0.3"/>
    <row r="55093" ht="14.4" x14ac:dyDescent="0.3"/>
    <row r="55094" ht="14.4" x14ac:dyDescent="0.3"/>
    <row r="55095" ht="14.4" x14ac:dyDescent="0.3"/>
    <row r="55096" ht="14.4" x14ac:dyDescent="0.3"/>
    <row r="55097" ht="14.4" x14ac:dyDescent="0.3"/>
    <row r="55098" ht="14.4" x14ac:dyDescent="0.3"/>
    <row r="55099" ht="14.4" x14ac:dyDescent="0.3"/>
    <row r="55100" ht="14.4" x14ac:dyDescent="0.3"/>
    <row r="55101" ht="14.4" x14ac:dyDescent="0.3"/>
    <row r="55102" ht="14.4" x14ac:dyDescent="0.3"/>
    <row r="55103" ht="14.4" x14ac:dyDescent="0.3"/>
    <row r="55104" ht="14.4" x14ac:dyDescent="0.3"/>
    <row r="55105" spans="1:43" ht="14.4" x14ac:dyDescent="0.3"/>
    <row r="55106" spans="1:43" ht="14.4" x14ac:dyDescent="0.3"/>
    <row r="55107" spans="1:43" ht="14.4" x14ac:dyDescent="0.3"/>
    <row r="55108" spans="1:43" ht="14.4" x14ac:dyDescent="0.3"/>
    <row r="55109" spans="1:43" ht="14.4" x14ac:dyDescent="0.3"/>
    <row r="55110" spans="1:43" ht="14.4" x14ac:dyDescent="0.3"/>
    <row r="55111" spans="1:43" ht="14.4" hidden="1" x14ac:dyDescent="0.3">
      <c r="A55111" t="s">
        <v>6893</v>
      </c>
      <c r="B55111">
        <v>4914177</v>
      </c>
      <c r="C55111" t="s">
        <v>538</v>
      </c>
      <c r="D55111" t="s">
        <v>563</v>
      </c>
      <c r="E55111" t="s">
        <v>3188</v>
      </c>
      <c r="F55111" t="s">
        <v>5887</v>
      </c>
      <c r="H55111" t="s">
        <v>377</v>
      </c>
      <c r="J55111" t="s">
        <v>140</v>
      </c>
      <c r="K55111">
        <v>164324.07</v>
      </c>
      <c r="L55111">
        <v>382886.84</v>
      </c>
      <c r="M55111">
        <v>1</v>
      </c>
      <c r="N55111" t="s">
        <v>1346</v>
      </c>
      <c r="O55111" t="s">
        <v>758</v>
      </c>
      <c r="P55111" t="s">
        <v>5663</v>
      </c>
      <c r="Q55111" t="s">
        <v>144</v>
      </c>
      <c r="S55111">
        <v>18</v>
      </c>
      <c r="T55111">
        <v>1462</v>
      </c>
      <c r="U55111">
        <v>80</v>
      </c>
      <c r="V55111" t="s">
        <v>146</v>
      </c>
      <c r="W55111" t="s">
        <v>147</v>
      </c>
      <c r="X55111" t="s">
        <v>7</v>
      </c>
      <c r="Y55111" t="s">
        <v>1006</v>
      </c>
      <c r="Z55111" t="s">
        <v>758</v>
      </c>
      <c r="AA55111" t="s">
        <v>1517</v>
      </c>
      <c r="AB55111">
        <v>0</v>
      </c>
      <c r="AE55111" t="s">
        <v>5617</v>
      </c>
      <c r="AF55111" t="s">
        <v>758</v>
      </c>
      <c r="AG55111" t="s">
        <v>6894</v>
      </c>
      <c r="AL55111" t="s">
        <v>6895</v>
      </c>
      <c r="AM55111" t="s">
        <v>6896</v>
      </c>
      <c r="AN55111" t="s">
        <v>6897</v>
      </c>
      <c r="AO55111" t="s">
        <v>1346</v>
      </c>
      <c r="AP55111" t="s">
        <v>158</v>
      </c>
      <c r="AQ55111" t="str">
        <f>IF(ISBLANK(AP55111), IFERROR(IF(VLOOKUP(AO55111, Ellens_additions!$A$2:$B$252, 2, FALSE) = "", "", VLOOKUP(AO55111, Ellens_additions!$A$2:$B$252, 2, FALSE)), 0), AP55111)</f>
        <v>3000</v>
      </c>
    </row>
    <row r="55112" spans="1:43" ht="14.4" hidden="1" x14ac:dyDescent="0.3">
      <c r="A55112" t="s">
        <v>6898</v>
      </c>
      <c r="B55112">
        <v>4914178</v>
      </c>
      <c r="C55112" t="s">
        <v>538</v>
      </c>
      <c r="D55112" t="s">
        <v>563</v>
      </c>
      <c r="E55112" t="s">
        <v>3188</v>
      </c>
      <c r="F55112" t="s">
        <v>5887</v>
      </c>
      <c r="H55112" t="s">
        <v>212</v>
      </c>
      <c r="J55112" t="s">
        <v>140</v>
      </c>
      <c r="K55112">
        <v>164383.70000000001</v>
      </c>
      <c r="L55112">
        <v>382878.26</v>
      </c>
      <c r="M55112">
        <v>1</v>
      </c>
      <c r="N55112" t="s">
        <v>1346</v>
      </c>
      <c r="O55112" t="s">
        <v>758</v>
      </c>
      <c r="P55112" t="s">
        <v>5663</v>
      </c>
      <c r="Q55112" t="s">
        <v>144</v>
      </c>
      <c r="S55112">
        <v>18</v>
      </c>
      <c r="T55112">
        <v>1462</v>
      </c>
      <c r="U55112">
        <v>80</v>
      </c>
      <c r="V55112" t="s">
        <v>146</v>
      </c>
      <c r="W55112" t="s">
        <v>147</v>
      </c>
      <c r="X55112" t="s">
        <v>7</v>
      </c>
      <c r="Y55112" t="s">
        <v>1006</v>
      </c>
      <c r="Z55112" t="s">
        <v>758</v>
      </c>
      <c r="AA55112" t="s">
        <v>1517</v>
      </c>
      <c r="AB55112">
        <v>0</v>
      </c>
      <c r="AE55112" t="s">
        <v>5617</v>
      </c>
      <c r="AF55112" t="s">
        <v>758</v>
      </c>
      <c r="AG55112" t="s">
        <v>6894</v>
      </c>
      <c r="AL55112" t="s">
        <v>6899</v>
      </c>
      <c r="AM55112" t="s">
        <v>6900</v>
      </c>
      <c r="AN55112" t="s">
        <v>6901</v>
      </c>
      <c r="AO55112" t="s">
        <v>1346</v>
      </c>
      <c r="AP55112" t="s">
        <v>158</v>
      </c>
      <c r="AQ55112" t="str">
        <f>IF(ISBLANK(AP55112), IFERROR(IF(VLOOKUP(AO55112, Ellens_additions!$A$2:$B$252, 2, FALSE) = "", "", VLOOKUP(AO55112, Ellens_additions!$A$2:$B$252, 2, FALSE)), 0), AP55112)</f>
        <v>3000</v>
      </c>
    </row>
    <row r="55113" spans="1:43" ht="14.4" x14ac:dyDescent="0.3"/>
    <row r="55114" spans="1:43" ht="14.4" x14ac:dyDescent="0.3"/>
    <row r="55115" spans="1:43" ht="14.4" x14ac:dyDescent="0.3"/>
    <row r="55116" spans="1:43" ht="14.4" x14ac:dyDescent="0.3"/>
    <row r="55117" spans="1:43" ht="14.4" x14ac:dyDescent="0.3"/>
    <row r="55118" spans="1:43" ht="14.4" x14ac:dyDescent="0.3"/>
    <row r="55119" spans="1:43" ht="14.4" x14ac:dyDescent="0.3"/>
    <row r="55120" spans="1:43" ht="14.4" x14ac:dyDescent="0.3"/>
    <row r="55121" spans="1:43" ht="14.4" x14ac:dyDescent="0.3"/>
    <row r="55122" spans="1:43" ht="14.4" x14ac:dyDescent="0.3"/>
    <row r="55123" spans="1:43" ht="14.4" x14ac:dyDescent="0.3"/>
    <row r="55124" spans="1:43" ht="14.4" x14ac:dyDescent="0.3"/>
    <row r="55125" spans="1:43" ht="14.4" x14ac:dyDescent="0.3"/>
    <row r="55126" spans="1:43" ht="14.4" x14ac:dyDescent="0.3"/>
    <row r="55127" spans="1:43" ht="14.4" x14ac:dyDescent="0.3"/>
    <row r="55128" spans="1:43" ht="14.4" x14ac:dyDescent="0.3"/>
    <row r="55129" spans="1:43" ht="14.4" x14ac:dyDescent="0.3"/>
    <row r="55130" spans="1:43" ht="14.4" x14ac:dyDescent="0.3"/>
    <row r="55131" spans="1:43" ht="14.4" x14ac:dyDescent="0.3"/>
    <row r="55132" spans="1:43" ht="14.4" x14ac:dyDescent="0.3"/>
    <row r="55133" spans="1:43" ht="14.4" x14ac:dyDescent="0.3"/>
    <row r="55134" spans="1:43" ht="14.4" x14ac:dyDescent="0.3"/>
    <row r="55135" spans="1:43" ht="14.4" x14ac:dyDescent="0.3"/>
    <row r="55136" spans="1:43" ht="14.4" hidden="1" x14ac:dyDescent="0.3">
      <c r="A55136" t="s">
        <v>6902</v>
      </c>
      <c r="B55136">
        <v>4914241</v>
      </c>
      <c r="C55136" t="s">
        <v>538</v>
      </c>
      <c r="D55136" t="s">
        <v>563</v>
      </c>
      <c r="E55136" t="s">
        <v>3188</v>
      </c>
      <c r="F55136" t="s">
        <v>3189</v>
      </c>
      <c r="H55136" t="s">
        <v>377</v>
      </c>
      <c r="J55136" t="s">
        <v>140</v>
      </c>
      <c r="K55136">
        <v>164259.44</v>
      </c>
      <c r="L55136">
        <v>382876.96</v>
      </c>
      <c r="N55136" t="s">
        <v>3190</v>
      </c>
      <c r="O55136" t="s">
        <v>1028</v>
      </c>
      <c r="P55136" t="s">
        <v>1029</v>
      </c>
      <c r="Q55136" t="s">
        <v>144</v>
      </c>
      <c r="S55136">
        <v>18</v>
      </c>
      <c r="T55136">
        <v>2000</v>
      </c>
      <c r="U55136">
        <v>80</v>
      </c>
      <c r="V55136" t="s">
        <v>146</v>
      </c>
      <c r="W55136" t="s">
        <v>147</v>
      </c>
      <c r="X55136" t="s">
        <v>7</v>
      </c>
      <c r="Y55136" t="s">
        <v>1006</v>
      </c>
      <c r="Z55136" t="s">
        <v>1028</v>
      </c>
      <c r="AA55136" t="s">
        <v>1030</v>
      </c>
      <c r="AB55136">
        <v>0</v>
      </c>
      <c r="AE55136" t="s">
        <v>3191</v>
      </c>
      <c r="AF55136" t="s">
        <v>1028</v>
      </c>
      <c r="AG55136" t="s">
        <v>1821</v>
      </c>
      <c r="AL55136" t="s">
        <v>6903</v>
      </c>
      <c r="AM55136" t="s">
        <v>6904</v>
      </c>
      <c r="AN55136" t="s">
        <v>6905</v>
      </c>
      <c r="AO55136" t="s">
        <v>3190</v>
      </c>
      <c r="AP55136" t="s">
        <v>158</v>
      </c>
      <c r="AQ55136" t="str">
        <f>IF(ISBLANK(AP55136), IFERROR(IF(VLOOKUP(AO55136, Ellens_additions!$A$2:$B$252, 2, FALSE) = "", "", VLOOKUP(AO55136, Ellens_additions!$A$2:$B$252, 2, FALSE)), 0), AP55136)</f>
        <v>3000</v>
      </c>
    </row>
    <row r="55137" spans="1:43" ht="14.4" hidden="1" x14ac:dyDescent="0.3">
      <c r="A55137" t="s">
        <v>6906</v>
      </c>
      <c r="B55137">
        <v>4914243</v>
      </c>
      <c r="C55137" t="s">
        <v>538</v>
      </c>
      <c r="D55137" t="s">
        <v>563</v>
      </c>
      <c r="E55137" t="s">
        <v>3188</v>
      </c>
      <c r="F55137" t="s">
        <v>3189</v>
      </c>
      <c r="H55137" t="s">
        <v>296</v>
      </c>
      <c r="J55137" t="s">
        <v>140</v>
      </c>
      <c r="K55137">
        <v>164252.49</v>
      </c>
      <c r="L55137">
        <v>382834.62</v>
      </c>
      <c r="N55137" t="s">
        <v>3190</v>
      </c>
      <c r="O55137" t="s">
        <v>1028</v>
      </c>
      <c r="P55137" t="s">
        <v>1029</v>
      </c>
      <c r="Q55137" t="s">
        <v>144</v>
      </c>
      <c r="S55137">
        <v>18</v>
      </c>
      <c r="T55137">
        <v>2000</v>
      </c>
      <c r="U55137">
        <v>80</v>
      </c>
      <c r="V55137" t="s">
        <v>146</v>
      </c>
      <c r="W55137" t="s">
        <v>147</v>
      </c>
      <c r="X55137" t="s">
        <v>7</v>
      </c>
      <c r="Y55137" t="s">
        <v>1006</v>
      </c>
      <c r="Z55137" t="s">
        <v>1028</v>
      </c>
      <c r="AA55137" t="s">
        <v>1030</v>
      </c>
      <c r="AB55137">
        <v>0</v>
      </c>
      <c r="AE55137" t="s">
        <v>3191</v>
      </c>
      <c r="AF55137" t="s">
        <v>1028</v>
      </c>
      <c r="AG55137" t="s">
        <v>1821</v>
      </c>
      <c r="AL55137" t="s">
        <v>6907</v>
      </c>
      <c r="AM55137" t="s">
        <v>6908</v>
      </c>
      <c r="AN55137" t="s">
        <v>6909</v>
      </c>
      <c r="AO55137" t="s">
        <v>3190</v>
      </c>
      <c r="AP55137" t="s">
        <v>158</v>
      </c>
      <c r="AQ55137" t="str">
        <f>IF(ISBLANK(AP55137), IFERROR(IF(VLOOKUP(AO55137, Ellens_additions!$A$2:$B$252, 2, FALSE) = "", "", VLOOKUP(AO55137, Ellens_additions!$A$2:$B$252, 2, FALSE)), 0), AP55137)</f>
        <v>3000</v>
      </c>
    </row>
    <row r="55138" spans="1:43" ht="14.4" hidden="1" x14ac:dyDescent="0.3">
      <c r="A55138" t="s">
        <v>6910</v>
      </c>
      <c r="B55138">
        <v>4914250</v>
      </c>
      <c r="C55138" t="s">
        <v>538</v>
      </c>
      <c r="D55138" t="s">
        <v>563</v>
      </c>
      <c r="E55138" t="s">
        <v>3188</v>
      </c>
      <c r="F55138" t="s">
        <v>3189</v>
      </c>
      <c r="H55138" t="s">
        <v>256</v>
      </c>
      <c r="J55138" t="s">
        <v>140</v>
      </c>
      <c r="K55138">
        <v>164346.88</v>
      </c>
      <c r="L55138">
        <v>382749.59</v>
      </c>
      <c r="N55138" t="s">
        <v>3190</v>
      </c>
      <c r="O55138" t="s">
        <v>1028</v>
      </c>
      <c r="P55138" t="s">
        <v>1029</v>
      </c>
      <c r="Q55138" t="s">
        <v>144</v>
      </c>
      <c r="S55138">
        <v>18</v>
      </c>
      <c r="T55138">
        <v>2000</v>
      </c>
      <c r="U55138">
        <v>80</v>
      </c>
      <c r="V55138" t="s">
        <v>146</v>
      </c>
      <c r="W55138" t="s">
        <v>147</v>
      </c>
      <c r="X55138" t="s">
        <v>7</v>
      </c>
      <c r="Y55138" t="s">
        <v>1006</v>
      </c>
      <c r="Z55138" t="s">
        <v>1028</v>
      </c>
      <c r="AA55138" t="s">
        <v>1030</v>
      </c>
      <c r="AB55138">
        <v>0</v>
      </c>
      <c r="AE55138" t="s">
        <v>3191</v>
      </c>
      <c r="AF55138" t="s">
        <v>1028</v>
      </c>
      <c r="AG55138" t="s">
        <v>1821</v>
      </c>
      <c r="AL55138" t="s">
        <v>6911</v>
      </c>
      <c r="AM55138" t="s">
        <v>6912</v>
      </c>
      <c r="AN55138" t="s">
        <v>6913</v>
      </c>
      <c r="AO55138" t="s">
        <v>3190</v>
      </c>
      <c r="AP55138" t="s">
        <v>158</v>
      </c>
      <c r="AQ55138" t="str">
        <f>IF(ISBLANK(AP55138), IFERROR(IF(VLOOKUP(AO55138, Ellens_additions!$A$2:$B$252, 2, FALSE) = "", "", VLOOKUP(AO55138, Ellens_additions!$A$2:$B$252, 2, FALSE)), 0), AP55138)</f>
        <v>3000</v>
      </c>
    </row>
    <row r="55139" spans="1:43" ht="14.4" hidden="1" x14ac:dyDescent="0.3">
      <c r="A55139" t="s">
        <v>6914</v>
      </c>
      <c r="B55139">
        <v>4914257</v>
      </c>
      <c r="C55139" t="s">
        <v>538</v>
      </c>
      <c r="D55139" t="s">
        <v>563</v>
      </c>
      <c r="E55139" t="s">
        <v>3188</v>
      </c>
      <c r="F55139" t="s">
        <v>5121</v>
      </c>
      <c r="H55139" t="s">
        <v>377</v>
      </c>
      <c r="J55139" t="s">
        <v>140</v>
      </c>
      <c r="K55139">
        <v>164384.66</v>
      </c>
      <c r="L55139">
        <v>382858.09</v>
      </c>
      <c r="N55139" t="s">
        <v>3190</v>
      </c>
      <c r="O55139" t="s">
        <v>1028</v>
      </c>
      <c r="P55139" t="s">
        <v>1029</v>
      </c>
      <c r="Q55139" t="s">
        <v>144</v>
      </c>
      <c r="S55139">
        <v>18</v>
      </c>
      <c r="T55139">
        <v>2000</v>
      </c>
      <c r="U55139">
        <v>80</v>
      </c>
      <c r="V55139" t="s">
        <v>146</v>
      </c>
      <c r="W55139" t="s">
        <v>147</v>
      </c>
      <c r="X55139" t="s">
        <v>7</v>
      </c>
      <c r="Y55139" t="s">
        <v>1006</v>
      </c>
      <c r="Z55139" t="s">
        <v>1028</v>
      </c>
      <c r="AA55139" t="s">
        <v>1030</v>
      </c>
      <c r="AB55139">
        <v>0</v>
      </c>
      <c r="AE55139" t="s">
        <v>3191</v>
      </c>
      <c r="AF55139" t="s">
        <v>1028</v>
      </c>
      <c r="AG55139" t="s">
        <v>1821</v>
      </c>
      <c r="AL55139" t="s">
        <v>6915</v>
      </c>
      <c r="AM55139" t="s">
        <v>6916</v>
      </c>
      <c r="AN55139" t="s">
        <v>6917</v>
      </c>
      <c r="AO55139" t="s">
        <v>3190</v>
      </c>
      <c r="AP55139" t="s">
        <v>158</v>
      </c>
      <c r="AQ55139" t="str">
        <f>IF(ISBLANK(AP55139), IFERROR(IF(VLOOKUP(AO55139, Ellens_additions!$A$2:$B$252, 2, FALSE) = "", "", VLOOKUP(AO55139, Ellens_additions!$A$2:$B$252, 2, FALSE)), 0), AP55139)</f>
        <v>3000</v>
      </c>
    </row>
    <row r="55140" spans="1:43" ht="14.4" hidden="1" x14ac:dyDescent="0.3">
      <c r="A55140" t="s">
        <v>6918</v>
      </c>
      <c r="B55140">
        <v>4914258</v>
      </c>
      <c r="C55140" t="s">
        <v>538</v>
      </c>
      <c r="D55140" t="s">
        <v>563</v>
      </c>
      <c r="E55140" t="s">
        <v>3188</v>
      </c>
      <c r="F55140" t="s">
        <v>5121</v>
      </c>
      <c r="H55140" t="s">
        <v>229</v>
      </c>
      <c r="J55140" t="s">
        <v>140</v>
      </c>
      <c r="K55140">
        <v>164379.26</v>
      </c>
      <c r="L55140">
        <v>382836.27</v>
      </c>
      <c r="N55140" t="s">
        <v>3190</v>
      </c>
      <c r="O55140" t="s">
        <v>1028</v>
      </c>
      <c r="P55140" t="s">
        <v>1029</v>
      </c>
      <c r="Q55140" t="s">
        <v>144</v>
      </c>
      <c r="S55140">
        <v>18</v>
      </c>
      <c r="T55140">
        <v>2000</v>
      </c>
      <c r="U55140">
        <v>80</v>
      </c>
      <c r="V55140" t="s">
        <v>146</v>
      </c>
      <c r="W55140" t="s">
        <v>147</v>
      </c>
      <c r="X55140" t="s">
        <v>7</v>
      </c>
      <c r="Y55140" t="s">
        <v>1006</v>
      </c>
      <c r="Z55140" t="s">
        <v>1028</v>
      </c>
      <c r="AA55140" t="s">
        <v>1030</v>
      </c>
      <c r="AB55140">
        <v>0</v>
      </c>
      <c r="AE55140" t="s">
        <v>3191</v>
      </c>
      <c r="AF55140" t="s">
        <v>1028</v>
      </c>
      <c r="AG55140" t="s">
        <v>1821</v>
      </c>
      <c r="AL55140" t="s">
        <v>6919</v>
      </c>
      <c r="AM55140" t="s">
        <v>6920</v>
      </c>
      <c r="AN55140" t="s">
        <v>6921</v>
      </c>
      <c r="AO55140" t="s">
        <v>3190</v>
      </c>
      <c r="AP55140" t="s">
        <v>158</v>
      </c>
      <c r="AQ55140" t="str">
        <f>IF(ISBLANK(AP55140), IFERROR(IF(VLOOKUP(AO55140, Ellens_additions!$A$2:$B$252, 2, FALSE) = "", "", VLOOKUP(AO55140, Ellens_additions!$A$2:$B$252, 2, FALSE)), 0), AP55140)</f>
        <v>3000</v>
      </c>
    </row>
    <row r="55141" spans="1:43" ht="14.4" hidden="1" x14ac:dyDescent="0.3">
      <c r="A55141" t="s">
        <v>6922</v>
      </c>
      <c r="B55141">
        <v>4914259</v>
      </c>
      <c r="C55141" t="s">
        <v>538</v>
      </c>
      <c r="D55141" t="s">
        <v>563</v>
      </c>
      <c r="E55141" t="s">
        <v>3188</v>
      </c>
      <c r="F55141" t="s">
        <v>5121</v>
      </c>
      <c r="H55141" t="s">
        <v>296</v>
      </c>
      <c r="J55141" t="s">
        <v>140</v>
      </c>
      <c r="K55141">
        <v>164376.46</v>
      </c>
      <c r="L55141">
        <v>382816.4</v>
      </c>
      <c r="N55141" t="s">
        <v>3190</v>
      </c>
      <c r="O55141" t="s">
        <v>1028</v>
      </c>
      <c r="P55141" t="s">
        <v>1029</v>
      </c>
      <c r="Q55141" t="s">
        <v>144</v>
      </c>
      <c r="S55141">
        <v>18</v>
      </c>
      <c r="T55141">
        <v>2000</v>
      </c>
      <c r="U55141">
        <v>80</v>
      </c>
      <c r="V55141" t="s">
        <v>146</v>
      </c>
      <c r="W55141" t="s">
        <v>147</v>
      </c>
      <c r="X55141" t="s">
        <v>7</v>
      </c>
      <c r="Y55141" t="s">
        <v>1006</v>
      </c>
      <c r="Z55141" t="s">
        <v>1028</v>
      </c>
      <c r="AA55141" t="s">
        <v>1030</v>
      </c>
      <c r="AB55141">
        <v>0</v>
      </c>
      <c r="AE55141" t="s">
        <v>3191</v>
      </c>
      <c r="AF55141" t="s">
        <v>1028</v>
      </c>
      <c r="AG55141" t="s">
        <v>1821</v>
      </c>
      <c r="AL55141" t="s">
        <v>6923</v>
      </c>
      <c r="AM55141" t="s">
        <v>6924</v>
      </c>
      <c r="AN55141" t="s">
        <v>6925</v>
      </c>
      <c r="AO55141" t="s">
        <v>3190</v>
      </c>
      <c r="AP55141" t="s">
        <v>158</v>
      </c>
      <c r="AQ55141" t="str">
        <f>IF(ISBLANK(AP55141), IFERROR(IF(VLOOKUP(AO55141, Ellens_additions!$A$2:$B$252, 2, FALSE) = "", "", VLOOKUP(AO55141, Ellens_additions!$A$2:$B$252, 2, FALSE)), 0), AP55141)</f>
        <v>3000</v>
      </c>
    </row>
    <row r="55142" spans="1:43" ht="14.4" hidden="1" x14ac:dyDescent="0.3">
      <c r="A55142" t="s">
        <v>6926</v>
      </c>
      <c r="B55142">
        <v>4914260</v>
      </c>
      <c r="C55142" t="s">
        <v>538</v>
      </c>
      <c r="D55142" t="s">
        <v>563</v>
      </c>
      <c r="E55142" t="s">
        <v>3188</v>
      </c>
      <c r="F55142" t="s">
        <v>5121</v>
      </c>
      <c r="H55142" t="s">
        <v>274</v>
      </c>
      <c r="J55142" t="s">
        <v>140</v>
      </c>
      <c r="K55142">
        <v>164372.78</v>
      </c>
      <c r="L55142">
        <v>382792.47</v>
      </c>
      <c r="N55142" t="s">
        <v>3190</v>
      </c>
      <c r="O55142" t="s">
        <v>1028</v>
      </c>
      <c r="P55142" t="s">
        <v>1029</v>
      </c>
      <c r="Q55142" t="s">
        <v>144</v>
      </c>
      <c r="S55142">
        <v>18</v>
      </c>
      <c r="T55142">
        <v>2000</v>
      </c>
      <c r="U55142">
        <v>80</v>
      </c>
      <c r="V55142" t="s">
        <v>146</v>
      </c>
      <c r="W55142" t="s">
        <v>147</v>
      </c>
      <c r="X55142" t="s">
        <v>7</v>
      </c>
      <c r="Y55142" t="s">
        <v>1006</v>
      </c>
      <c r="Z55142" t="s">
        <v>1028</v>
      </c>
      <c r="AA55142" t="s">
        <v>1030</v>
      </c>
      <c r="AB55142">
        <v>0</v>
      </c>
      <c r="AE55142" t="s">
        <v>3191</v>
      </c>
      <c r="AF55142" t="s">
        <v>1028</v>
      </c>
      <c r="AG55142" t="s">
        <v>1821</v>
      </c>
      <c r="AL55142" t="s">
        <v>6927</v>
      </c>
      <c r="AM55142" t="s">
        <v>6928</v>
      </c>
      <c r="AN55142" t="s">
        <v>6929</v>
      </c>
      <c r="AO55142" t="s">
        <v>3190</v>
      </c>
      <c r="AP55142" t="s">
        <v>158</v>
      </c>
      <c r="AQ55142" t="str">
        <f>IF(ISBLANK(AP55142), IFERROR(IF(VLOOKUP(AO55142, Ellens_additions!$A$2:$B$252, 2, FALSE) = "", "", VLOOKUP(AO55142, Ellens_additions!$A$2:$B$252, 2, FALSE)), 0), AP55142)</f>
        <v>3000</v>
      </c>
    </row>
    <row r="55143" spans="1:43" ht="14.4" hidden="1" x14ac:dyDescent="0.3">
      <c r="A55143" t="s">
        <v>6930</v>
      </c>
      <c r="B55143">
        <v>4914262</v>
      </c>
      <c r="C55143" t="s">
        <v>538</v>
      </c>
      <c r="D55143" t="s">
        <v>563</v>
      </c>
      <c r="E55143" t="s">
        <v>3188</v>
      </c>
      <c r="F55143" t="s">
        <v>5121</v>
      </c>
      <c r="H55143" t="s">
        <v>275</v>
      </c>
      <c r="J55143" t="s">
        <v>140</v>
      </c>
      <c r="K55143">
        <v>164367.01999999999</v>
      </c>
      <c r="L55143">
        <v>382753.93</v>
      </c>
      <c r="N55143" t="s">
        <v>3190</v>
      </c>
      <c r="O55143" t="s">
        <v>1028</v>
      </c>
      <c r="P55143" t="s">
        <v>1029</v>
      </c>
      <c r="Q55143" t="s">
        <v>144</v>
      </c>
      <c r="S55143">
        <v>18</v>
      </c>
      <c r="T55143">
        <v>2000</v>
      </c>
      <c r="U55143">
        <v>80</v>
      </c>
      <c r="V55143" t="s">
        <v>146</v>
      </c>
      <c r="W55143" t="s">
        <v>147</v>
      </c>
      <c r="X55143" t="s">
        <v>7</v>
      </c>
      <c r="Y55143" t="s">
        <v>1006</v>
      </c>
      <c r="Z55143" t="s">
        <v>1028</v>
      </c>
      <c r="AA55143" t="s">
        <v>1030</v>
      </c>
      <c r="AB55143">
        <v>0</v>
      </c>
      <c r="AE55143" t="s">
        <v>3191</v>
      </c>
      <c r="AF55143" t="s">
        <v>1028</v>
      </c>
      <c r="AG55143" t="s">
        <v>1821</v>
      </c>
      <c r="AL55143" t="s">
        <v>6931</v>
      </c>
      <c r="AM55143" t="s">
        <v>6932</v>
      </c>
      <c r="AN55143" t="s">
        <v>6933</v>
      </c>
      <c r="AO55143" t="s">
        <v>3190</v>
      </c>
      <c r="AP55143" t="s">
        <v>158</v>
      </c>
      <c r="AQ55143" t="str">
        <f>IF(ISBLANK(AP55143), IFERROR(IF(VLOOKUP(AO55143, Ellens_additions!$A$2:$B$252, 2, FALSE) = "", "", VLOOKUP(AO55143, Ellens_additions!$A$2:$B$252, 2, FALSE)), 0), AP55143)</f>
        <v>3000</v>
      </c>
    </row>
    <row r="55144" spans="1:43" ht="14.4" x14ac:dyDescent="0.3"/>
    <row r="55145" spans="1:43" ht="14.4" x14ac:dyDescent="0.3"/>
    <row r="55146" spans="1:43" ht="14.4" x14ac:dyDescent="0.3"/>
    <row r="55147" spans="1:43" ht="14.4" x14ac:dyDescent="0.3"/>
    <row r="55148" spans="1:43" ht="14.4" x14ac:dyDescent="0.3"/>
    <row r="55149" spans="1:43" ht="14.4" x14ac:dyDescent="0.3"/>
    <row r="55150" spans="1:43" ht="14.4" x14ac:dyDescent="0.3"/>
    <row r="55151" spans="1:43" ht="14.4" x14ac:dyDescent="0.3"/>
    <row r="55152" spans="1:43" ht="14.4" x14ac:dyDescent="0.3"/>
    <row r="55153" ht="14.4" x14ac:dyDescent="0.3"/>
    <row r="55154" ht="14.4" x14ac:dyDescent="0.3"/>
    <row r="55155" ht="14.4" x14ac:dyDescent="0.3"/>
    <row r="55156" ht="14.4" x14ac:dyDescent="0.3"/>
    <row r="55157" ht="14.4" x14ac:dyDescent="0.3"/>
    <row r="55158" ht="14.4" x14ac:dyDescent="0.3"/>
    <row r="55159" ht="14.4" x14ac:dyDescent="0.3"/>
    <row r="55160" ht="14.4" x14ac:dyDescent="0.3"/>
    <row r="55161" ht="14.4" x14ac:dyDescent="0.3"/>
    <row r="55162" ht="14.4" x14ac:dyDescent="0.3"/>
    <row r="55163" ht="14.4" x14ac:dyDescent="0.3"/>
    <row r="55164" ht="14.4" x14ac:dyDescent="0.3"/>
    <row r="55165" ht="14.4" x14ac:dyDescent="0.3"/>
    <row r="55166" ht="14.4" x14ac:dyDescent="0.3"/>
    <row r="55167" ht="14.4" x14ac:dyDescent="0.3"/>
    <row r="55168" ht="14.4" x14ac:dyDescent="0.3"/>
    <row r="55169" spans="1:43" ht="14.4" hidden="1" x14ac:dyDescent="0.3">
      <c r="A55169" t="s">
        <v>6934</v>
      </c>
      <c r="B55169">
        <v>4891401</v>
      </c>
      <c r="C55169" t="s">
        <v>842</v>
      </c>
      <c r="D55169" t="s">
        <v>843</v>
      </c>
      <c r="E55169" t="s">
        <v>846</v>
      </c>
      <c r="F55169" t="s">
        <v>2021</v>
      </c>
      <c r="H55169" t="s">
        <v>295</v>
      </c>
      <c r="J55169" t="s">
        <v>140</v>
      </c>
      <c r="K55169">
        <v>161079.50399999999</v>
      </c>
      <c r="L55169">
        <v>383807.56</v>
      </c>
      <c r="M55169">
        <v>1</v>
      </c>
      <c r="N55169" t="s">
        <v>871</v>
      </c>
      <c r="O55169" t="s">
        <v>585</v>
      </c>
      <c r="P55169" t="s">
        <v>1542</v>
      </c>
      <c r="Q55169" t="s">
        <v>761</v>
      </c>
      <c r="R55169" t="s">
        <v>145</v>
      </c>
      <c r="S55169">
        <v>36</v>
      </c>
      <c r="T55169">
        <v>3350</v>
      </c>
      <c r="V55169" t="s">
        <v>848</v>
      </c>
      <c r="W55169" t="s">
        <v>390</v>
      </c>
      <c r="X55169" t="s">
        <v>7</v>
      </c>
      <c r="Y55169" t="s">
        <v>1948</v>
      </c>
      <c r="Z55169" t="s">
        <v>1992</v>
      </c>
      <c r="AA55169" t="s">
        <v>1552</v>
      </c>
      <c r="AB55169">
        <v>100</v>
      </c>
      <c r="AC55169" t="s">
        <v>150</v>
      </c>
      <c r="AE55169" t="s">
        <v>1960</v>
      </c>
      <c r="AF55169" t="s">
        <v>391</v>
      </c>
      <c r="AG55169" t="s">
        <v>392</v>
      </c>
      <c r="AL55169" t="s">
        <v>6935</v>
      </c>
      <c r="AM55169" t="s">
        <v>6936</v>
      </c>
      <c r="AN55169" t="s">
        <v>6937</v>
      </c>
      <c r="AO55169" t="s">
        <v>871</v>
      </c>
      <c r="AQ55169" t="str">
        <f>IF(ISBLANK(AP55169), IFERROR(IF(VLOOKUP(AO55169, Ellens_additions!$A$2:$B$252, 2, FALSE) = "", "", VLOOKUP(AO55169, Ellens_additions!$A$2:$B$252, 2, FALSE)), 0), AP55169)</f>
        <v/>
      </c>
    </row>
    <row r="55170" spans="1:43" ht="14.4" x14ac:dyDescent="0.3"/>
    <row r="55171" spans="1:43" ht="14.4" x14ac:dyDescent="0.3"/>
    <row r="55172" spans="1:43" ht="14.4" x14ac:dyDescent="0.3"/>
    <row r="55173" spans="1:43" ht="14.4" x14ac:dyDescent="0.3"/>
    <row r="55174" spans="1:43" ht="14.4" x14ac:dyDescent="0.3"/>
    <row r="55175" spans="1:43" ht="14.4" x14ac:dyDescent="0.3"/>
    <row r="55176" spans="1:43" ht="14.4" x14ac:dyDescent="0.3"/>
    <row r="55177" spans="1:43" ht="14.4" x14ac:dyDescent="0.3"/>
    <row r="55178" spans="1:43" ht="14.4" x14ac:dyDescent="0.3"/>
    <row r="55179" spans="1:43" ht="14.4" x14ac:dyDescent="0.3"/>
    <row r="55180" spans="1:43" ht="14.4" x14ac:dyDescent="0.3"/>
    <row r="55181" spans="1:43" ht="14.4" x14ac:dyDescent="0.3"/>
    <row r="55182" spans="1:43" ht="14.4" x14ac:dyDescent="0.3"/>
    <row r="55183" spans="1:43" ht="14.4" x14ac:dyDescent="0.3"/>
    <row r="55184" spans="1:43" ht="14.4" x14ac:dyDescent="0.3"/>
    <row r="55185" ht="14.4" x14ac:dyDescent="0.3"/>
    <row r="55186" ht="14.4" x14ac:dyDescent="0.3"/>
    <row r="55187" ht="14.4" x14ac:dyDescent="0.3"/>
    <row r="55188" ht="14.4" x14ac:dyDescent="0.3"/>
    <row r="55189" ht="14.4" x14ac:dyDescent="0.3"/>
    <row r="55190" ht="14.4" x14ac:dyDescent="0.3"/>
    <row r="55191" ht="14.4" x14ac:dyDescent="0.3"/>
    <row r="55192" ht="14.4" x14ac:dyDescent="0.3"/>
    <row r="55193" ht="14.4" x14ac:dyDescent="0.3"/>
    <row r="55194" ht="14.4" x14ac:dyDescent="0.3"/>
    <row r="55195" ht="14.4" x14ac:dyDescent="0.3"/>
    <row r="55196" ht="14.4" x14ac:dyDescent="0.3"/>
    <row r="55197" ht="14.4" x14ac:dyDescent="0.3"/>
    <row r="55198" ht="14.4" x14ac:dyDescent="0.3"/>
    <row r="55199" ht="14.4" x14ac:dyDescent="0.3"/>
    <row r="55200" ht="14.4" x14ac:dyDescent="0.3"/>
    <row r="55201" ht="14.4" x14ac:dyDescent="0.3"/>
    <row r="55202" ht="14.4" x14ac:dyDescent="0.3"/>
    <row r="55203" ht="14.4" x14ac:dyDescent="0.3"/>
    <row r="55204" ht="14.4" x14ac:dyDescent="0.3"/>
    <row r="55205" ht="14.4" x14ac:dyDescent="0.3"/>
    <row r="55206" ht="14.4" x14ac:dyDescent="0.3"/>
    <row r="55207" ht="14.4" x14ac:dyDescent="0.3"/>
    <row r="55208" ht="14.4" x14ac:dyDescent="0.3"/>
    <row r="55209" ht="14.4" x14ac:dyDescent="0.3"/>
    <row r="55210" ht="14.4" x14ac:dyDescent="0.3"/>
    <row r="55211" ht="14.4" x14ac:dyDescent="0.3"/>
    <row r="55212" ht="14.4" x14ac:dyDescent="0.3"/>
    <row r="55213" ht="14.4" x14ac:dyDescent="0.3"/>
    <row r="55214" ht="14.4" x14ac:dyDescent="0.3"/>
    <row r="55215" ht="14.4" x14ac:dyDescent="0.3"/>
    <row r="55216" ht="14.4" x14ac:dyDescent="0.3"/>
    <row r="55217" ht="14.4" x14ac:dyDescent="0.3"/>
    <row r="55218" ht="14.4" x14ac:dyDescent="0.3"/>
    <row r="55219" ht="14.4" x14ac:dyDescent="0.3"/>
    <row r="55220" ht="14.4" x14ac:dyDescent="0.3"/>
    <row r="55221" ht="14.4" x14ac:dyDescent="0.3"/>
    <row r="55222" ht="14.4" x14ac:dyDescent="0.3"/>
    <row r="55223" ht="14.4" x14ac:dyDescent="0.3"/>
    <row r="55224" ht="14.4" x14ac:dyDescent="0.3"/>
    <row r="55225" ht="14.4" x14ac:dyDescent="0.3"/>
    <row r="55226" ht="14.4" x14ac:dyDescent="0.3"/>
    <row r="55227" ht="14.4" x14ac:dyDescent="0.3"/>
    <row r="55228" ht="14.4" x14ac:dyDescent="0.3"/>
    <row r="55229" ht="14.4" x14ac:dyDescent="0.3"/>
    <row r="55230" ht="14.4" x14ac:dyDescent="0.3"/>
    <row r="55231" ht="14.4" x14ac:dyDescent="0.3"/>
    <row r="55232" ht="14.4" x14ac:dyDescent="0.3"/>
    <row r="55233" ht="14.4" x14ac:dyDescent="0.3"/>
    <row r="55234" ht="14.4" x14ac:dyDescent="0.3"/>
    <row r="55235" ht="14.4" x14ac:dyDescent="0.3"/>
    <row r="55236" ht="14.4" x14ac:dyDescent="0.3"/>
    <row r="55237" ht="14.4" x14ac:dyDescent="0.3"/>
    <row r="55238" ht="14.4" x14ac:dyDescent="0.3"/>
    <row r="55239" ht="14.4" x14ac:dyDescent="0.3"/>
    <row r="55240" ht="14.4" x14ac:dyDescent="0.3"/>
    <row r="55241" ht="14.4" x14ac:dyDescent="0.3"/>
    <row r="55242" ht="14.4" x14ac:dyDescent="0.3"/>
    <row r="55243" ht="14.4" x14ac:dyDescent="0.3"/>
    <row r="55244" ht="14.4" x14ac:dyDescent="0.3"/>
    <row r="55245" ht="14.4" x14ac:dyDescent="0.3"/>
    <row r="55246" ht="14.4" x14ac:dyDescent="0.3"/>
    <row r="55247" ht="14.4" x14ac:dyDescent="0.3"/>
    <row r="55248" ht="14.4" x14ac:dyDescent="0.3"/>
    <row r="55249" ht="14.4" x14ac:dyDescent="0.3"/>
    <row r="55250" ht="14.4" x14ac:dyDescent="0.3"/>
    <row r="55251" ht="14.4" x14ac:dyDescent="0.3"/>
    <row r="55252" ht="14.4" x14ac:dyDescent="0.3"/>
    <row r="55253" ht="14.4" x14ac:dyDescent="0.3"/>
    <row r="55254" ht="14.4" x14ac:dyDescent="0.3"/>
    <row r="55255" ht="14.4" x14ac:dyDescent="0.3"/>
    <row r="55256" ht="14.4" x14ac:dyDescent="0.3"/>
    <row r="55257" ht="14.4" x14ac:dyDescent="0.3"/>
    <row r="55258" ht="14.4" x14ac:dyDescent="0.3"/>
    <row r="55259" ht="14.4" x14ac:dyDescent="0.3"/>
    <row r="55260" ht="14.4" x14ac:dyDescent="0.3"/>
    <row r="55261" ht="14.4" x14ac:dyDescent="0.3"/>
    <row r="55262" ht="14.4" x14ac:dyDescent="0.3"/>
    <row r="55263" ht="14.4" x14ac:dyDescent="0.3"/>
    <row r="55264" ht="14.4" x14ac:dyDescent="0.3"/>
    <row r="55265" spans="1:43" ht="14.4" x14ac:dyDescent="0.3"/>
    <row r="55266" spans="1:43" ht="14.4" x14ac:dyDescent="0.3"/>
    <row r="55267" spans="1:43" ht="14.4" x14ac:dyDescent="0.3"/>
    <row r="55268" spans="1:43" ht="14.4" x14ac:dyDescent="0.3"/>
    <row r="55269" spans="1:43" ht="14.4" x14ac:dyDescent="0.3"/>
    <row r="55270" spans="1:43" ht="14.4" x14ac:dyDescent="0.3"/>
    <row r="55271" spans="1:43" ht="14.4" x14ac:dyDescent="0.3"/>
    <row r="55272" spans="1:43" ht="14.4" x14ac:dyDescent="0.3"/>
    <row r="55273" spans="1:43" ht="14.4" x14ac:dyDescent="0.3"/>
    <row r="55274" spans="1:43" ht="14.4" x14ac:dyDescent="0.3"/>
    <row r="55275" spans="1:43" ht="14.4" hidden="1" x14ac:dyDescent="0.3">
      <c r="A55275" t="s">
        <v>6938</v>
      </c>
      <c r="B55275">
        <v>4891641</v>
      </c>
      <c r="C55275" t="s">
        <v>842</v>
      </c>
      <c r="D55275" t="s">
        <v>843</v>
      </c>
      <c r="E55275" t="s">
        <v>844</v>
      </c>
      <c r="F55275" t="s">
        <v>1853</v>
      </c>
      <c r="H55275" t="s">
        <v>229</v>
      </c>
      <c r="J55275" t="s">
        <v>140</v>
      </c>
      <c r="K55275">
        <v>161237.70000000001</v>
      </c>
      <c r="L55275">
        <v>383335.13</v>
      </c>
      <c r="M55275">
        <v>1</v>
      </c>
      <c r="N55275" t="s">
        <v>814</v>
      </c>
      <c r="O55275" t="s">
        <v>540</v>
      </c>
      <c r="P55275" t="s">
        <v>4567</v>
      </c>
      <c r="Q55275" t="s">
        <v>144</v>
      </c>
      <c r="S55275">
        <v>22</v>
      </c>
      <c r="T55275">
        <v>3000</v>
      </c>
      <c r="V55275" t="s">
        <v>146</v>
      </c>
      <c r="W55275" t="s">
        <v>273</v>
      </c>
      <c r="X55275" t="s">
        <v>7</v>
      </c>
      <c r="Y55275" t="s">
        <v>815</v>
      </c>
      <c r="Z55275" t="s">
        <v>540</v>
      </c>
      <c r="AA55275" t="s">
        <v>1026</v>
      </c>
      <c r="AB55275">
        <v>0</v>
      </c>
      <c r="AE55275" t="s">
        <v>816</v>
      </c>
      <c r="AF55275" t="s">
        <v>540</v>
      </c>
      <c r="AG55275" t="s">
        <v>1796</v>
      </c>
      <c r="AL55275" t="s">
        <v>6939</v>
      </c>
      <c r="AM55275" t="s">
        <v>6940</v>
      </c>
      <c r="AN55275" t="s">
        <v>6941</v>
      </c>
      <c r="AO55275" t="s">
        <v>814</v>
      </c>
      <c r="AQ55275" t="str">
        <f>IF(ISBLANK(AP55275), IFERROR(IF(VLOOKUP(AO55275, Ellens_additions!$A$2:$B$252, 2, FALSE) = "", "", VLOOKUP(AO55275, Ellens_additions!$A$2:$B$252, 2, FALSE)), 0), AP55275)</f>
        <v/>
      </c>
    </row>
    <row r="55276" spans="1:43" ht="14.4" x14ac:dyDescent="0.3"/>
    <row r="55277" spans="1:43" ht="14.4" x14ac:dyDescent="0.3"/>
    <row r="55278" spans="1:43" ht="14.4" x14ac:dyDescent="0.3"/>
    <row r="55279" spans="1:43" ht="14.4" x14ac:dyDescent="0.3"/>
    <row r="55280" spans="1:43" ht="14.4" x14ac:dyDescent="0.3"/>
    <row r="55281" ht="14.4" x14ac:dyDescent="0.3"/>
    <row r="55282" ht="14.4" x14ac:dyDescent="0.3"/>
    <row r="55283" ht="14.4" x14ac:dyDescent="0.3"/>
    <row r="55284" ht="14.4" x14ac:dyDescent="0.3"/>
    <row r="55285" ht="14.4" x14ac:dyDescent="0.3"/>
    <row r="55286" ht="14.4" x14ac:dyDescent="0.3"/>
    <row r="55287" ht="14.4" x14ac:dyDescent="0.3"/>
    <row r="55288" ht="14.4" x14ac:dyDescent="0.3"/>
    <row r="55289" ht="14.4" x14ac:dyDescent="0.3"/>
    <row r="55290" ht="14.4" x14ac:dyDescent="0.3"/>
    <row r="55291" ht="14.4" x14ac:dyDescent="0.3"/>
    <row r="55292" ht="14.4" x14ac:dyDescent="0.3"/>
    <row r="55293" ht="14.4" x14ac:dyDescent="0.3"/>
    <row r="55294" ht="14.4" x14ac:dyDescent="0.3"/>
    <row r="55295" ht="14.4" x14ac:dyDescent="0.3"/>
    <row r="55296" ht="14.4" x14ac:dyDescent="0.3"/>
    <row r="55297" ht="14.4" x14ac:dyDescent="0.3"/>
    <row r="55298" ht="14.4" x14ac:dyDescent="0.3"/>
    <row r="55299" ht="14.4" x14ac:dyDescent="0.3"/>
    <row r="55300" ht="14.4" x14ac:dyDescent="0.3"/>
    <row r="55301" ht="14.4" x14ac:dyDescent="0.3"/>
    <row r="55302" ht="14.4" x14ac:dyDescent="0.3"/>
    <row r="55303" ht="14.4" x14ac:dyDescent="0.3"/>
    <row r="55304" ht="14.4" x14ac:dyDescent="0.3"/>
    <row r="55305" ht="14.4" x14ac:dyDescent="0.3"/>
    <row r="55306" ht="14.4" x14ac:dyDescent="0.3"/>
    <row r="55307" ht="14.4" x14ac:dyDescent="0.3"/>
    <row r="55308" ht="14.4" x14ac:dyDescent="0.3"/>
    <row r="55309" ht="14.4" x14ac:dyDescent="0.3"/>
    <row r="55310" ht="14.4" x14ac:dyDescent="0.3"/>
    <row r="55311" ht="14.4" x14ac:dyDescent="0.3"/>
    <row r="55312" ht="14.4" x14ac:dyDescent="0.3"/>
    <row r="55313" spans="1:43" ht="14.4" x14ac:dyDescent="0.3"/>
    <row r="55314" spans="1:43" ht="14.4" x14ac:dyDescent="0.3"/>
    <row r="55315" spans="1:43" ht="14.4" x14ac:dyDescent="0.3"/>
    <row r="55316" spans="1:43" ht="14.4" x14ac:dyDescent="0.3"/>
    <row r="55317" spans="1:43" ht="14.4" x14ac:dyDescent="0.3"/>
    <row r="55318" spans="1:43" ht="14.4" x14ac:dyDescent="0.3"/>
    <row r="55319" spans="1:43" ht="14.4" x14ac:dyDescent="0.3"/>
    <row r="55320" spans="1:43" ht="14.4" x14ac:dyDescent="0.3"/>
    <row r="55321" spans="1:43" ht="14.4" x14ac:dyDescent="0.3"/>
    <row r="55322" spans="1:43" ht="14.4" hidden="1" x14ac:dyDescent="0.3">
      <c r="A55322" t="s">
        <v>6942</v>
      </c>
      <c r="B55322">
        <v>4891763</v>
      </c>
      <c r="C55322" t="s">
        <v>842</v>
      </c>
      <c r="D55322" t="s">
        <v>843</v>
      </c>
      <c r="E55322" t="s">
        <v>844</v>
      </c>
      <c r="F55322" t="s">
        <v>1962</v>
      </c>
      <c r="H55322" t="s">
        <v>160</v>
      </c>
      <c r="J55322" t="s">
        <v>140</v>
      </c>
      <c r="K55322">
        <v>161470.79800000001</v>
      </c>
      <c r="L55322">
        <v>382963.13500000001</v>
      </c>
      <c r="M55322">
        <v>1</v>
      </c>
      <c r="N55322" t="s">
        <v>2049</v>
      </c>
      <c r="O55322" t="s">
        <v>1802</v>
      </c>
      <c r="P55322" t="s">
        <v>3062</v>
      </c>
      <c r="Q55322" t="s">
        <v>761</v>
      </c>
      <c r="R55322" t="s">
        <v>145</v>
      </c>
      <c r="S55322">
        <v>36</v>
      </c>
      <c r="T55322">
        <v>0</v>
      </c>
      <c r="V55322" t="s">
        <v>848</v>
      </c>
      <c r="W55322" t="s">
        <v>415</v>
      </c>
      <c r="X55322" t="s">
        <v>7</v>
      </c>
      <c r="Y55322" t="s">
        <v>3250</v>
      </c>
      <c r="Z55322" t="s">
        <v>3251</v>
      </c>
      <c r="AA55322" t="s">
        <v>2973</v>
      </c>
      <c r="AB55322">
        <v>30</v>
      </c>
      <c r="AC55322" t="s">
        <v>150</v>
      </c>
      <c r="AE55322" t="s">
        <v>3252</v>
      </c>
      <c r="AF55322" t="s">
        <v>3251</v>
      </c>
      <c r="AG55322" t="s">
        <v>3253</v>
      </c>
      <c r="AL55322" t="s">
        <v>6943</v>
      </c>
      <c r="AM55322" t="s">
        <v>6944</v>
      </c>
      <c r="AN55322" t="s">
        <v>6945</v>
      </c>
      <c r="AO55322" t="s">
        <v>2049</v>
      </c>
      <c r="AQ55322" t="str">
        <f>IF(ISBLANK(AP55322), IFERROR(IF(VLOOKUP(AO55322, Ellens_additions!$A$2:$B$252, 2, FALSE) = "", "", VLOOKUP(AO55322, Ellens_additions!$A$2:$B$252, 2, FALSE)), 0), AP55322)</f>
        <v/>
      </c>
    </row>
    <row r="55323" spans="1:43" ht="14.4" hidden="1" x14ac:dyDescent="0.3">
      <c r="A55323" t="s">
        <v>6946</v>
      </c>
      <c r="B55323">
        <v>4891766</v>
      </c>
      <c r="C55323" t="s">
        <v>842</v>
      </c>
      <c r="D55323" t="s">
        <v>843</v>
      </c>
      <c r="E55323" t="s">
        <v>844</v>
      </c>
      <c r="F55323" t="s">
        <v>1962</v>
      </c>
      <c r="H55323" t="s">
        <v>257</v>
      </c>
      <c r="J55323" t="s">
        <v>140</v>
      </c>
      <c r="K55323">
        <v>161455.723</v>
      </c>
      <c r="L55323">
        <v>382953.97600000002</v>
      </c>
      <c r="M55323">
        <v>1</v>
      </c>
      <c r="N55323" t="s">
        <v>2049</v>
      </c>
      <c r="O55323" t="s">
        <v>1802</v>
      </c>
      <c r="P55323" t="s">
        <v>3062</v>
      </c>
      <c r="Q55323" t="s">
        <v>761</v>
      </c>
      <c r="R55323" t="s">
        <v>145</v>
      </c>
      <c r="S55323">
        <v>36</v>
      </c>
      <c r="T55323">
        <v>0</v>
      </c>
      <c r="V55323" t="s">
        <v>848</v>
      </c>
      <c r="W55323" t="s">
        <v>415</v>
      </c>
      <c r="X55323" t="s">
        <v>7</v>
      </c>
      <c r="Y55323" t="s">
        <v>3250</v>
      </c>
      <c r="Z55323" t="s">
        <v>3251</v>
      </c>
      <c r="AA55323" t="s">
        <v>2973</v>
      </c>
      <c r="AB55323">
        <v>30</v>
      </c>
      <c r="AC55323" t="s">
        <v>150</v>
      </c>
      <c r="AE55323" t="s">
        <v>3252</v>
      </c>
      <c r="AF55323" t="s">
        <v>3251</v>
      </c>
      <c r="AG55323" t="s">
        <v>3253</v>
      </c>
      <c r="AL55323" t="s">
        <v>6947</v>
      </c>
      <c r="AM55323" t="s">
        <v>6948</v>
      </c>
      <c r="AN55323" t="s">
        <v>6949</v>
      </c>
      <c r="AO55323" t="s">
        <v>2049</v>
      </c>
      <c r="AQ55323" t="str">
        <f>IF(ISBLANK(AP55323), IFERROR(IF(VLOOKUP(AO55323, Ellens_additions!$A$2:$B$252, 2, FALSE) = "", "", VLOOKUP(AO55323, Ellens_additions!$A$2:$B$252, 2, FALSE)), 0), AP55323)</f>
        <v/>
      </c>
    </row>
    <row r="55324" spans="1:43" ht="14.4" hidden="1" x14ac:dyDescent="0.3">
      <c r="A55324" t="s">
        <v>6950</v>
      </c>
      <c r="B55324">
        <v>4891768</v>
      </c>
      <c r="C55324" t="s">
        <v>842</v>
      </c>
      <c r="D55324" t="s">
        <v>843</v>
      </c>
      <c r="E55324" t="s">
        <v>844</v>
      </c>
      <c r="F55324" t="s">
        <v>1962</v>
      </c>
      <c r="H55324" t="s">
        <v>453</v>
      </c>
      <c r="J55324" t="s">
        <v>140</v>
      </c>
      <c r="K55324">
        <v>161445.76199999999</v>
      </c>
      <c r="L55324">
        <v>382947.78100000002</v>
      </c>
      <c r="M55324">
        <v>1</v>
      </c>
      <c r="N55324" t="s">
        <v>2049</v>
      </c>
      <c r="O55324" t="s">
        <v>1802</v>
      </c>
      <c r="P55324" t="s">
        <v>3062</v>
      </c>
      <c r="Q55324" t="s">
        <v>761</v>
      </c>
      <c r="R55324" t="s">
        <v>145</v>
      </c>
      <c r="S55324">
        <v>36</v>
      </c>
      <c r="T55324">
        <v>0</v>
      </c>
      <c r="V55324" t="s">
        <v>848</v>
      </c>
      <c r="W55324" t="s">
        <v>415</v>
      </c>
      <c r="X55324" t="s">
        <v>7</v>
      </c>
      <c r="Y55324" t="s">
        <v>3250</v>
      </c>
      <c r="Z55324" t="s">
        <v>3251</v>
      </c>
      <c r="AA55324" t="s">
        <v>2973</v>
      </c>
      <c r="AB55324">
        <v>30</v>
      </c>
      <c r="AC55324" t="s">
        <v>150</v>
      </c>
      <c r="AE55324" t="s">
        <v>3252</v>
      </c>
      <c r="AF55324" t="s">
        <v>3251</v>
      </c>
      <c r="AG55324" t="s">
        <v>3253</v>
      </c>
      <c r="AL55324" t="s">
        <v>6951</v>
      </c>
      <c r="AM55324" t="s">
        <v>6952</v>
      </c>
      <c r="AN55324" t="s">
        <v>6953</v>
      </c>
      <c r="AO55324" t="s">
        <v>2049</v>
      </c>
      <c r="AQ55324" t="str">
        <f>IF(ISBLANK(AP55324), IFERROR(IF(VLOOKUP(AO55324, Ellens_additions!$A$2:$B$252, 2, FALSE) = "", "", VLOOKUP(AO55324, Ellens_additions!$A$2:$B$252, 2, FALSE)), 0), AP55324)</f>
        <v/>
      </c>
    </row>
    <row r="55325" spans="1:43" ht="14.4" x14ac:dyDescent="0.3"/>
    <row r="55326" spans="1:43" ht="14.4" x14ac:dyDescent="0.3"/>
    <row r="55327" spans="1:43" ht="14.4" x14ac:dyDescent="0.3"/>
    <row r="55328" spans="1:43" ht="14.4" hidden="1" x14ac:dyDescent="0.3">
      <c r="A55328" t="s">
        <v>6954</v>
      </c>
      <c r="B55328">
        <v>4891780</v>
      </c>
      <c r="C55328" t="s">
        <v>842</v>
      </c>
      <c r="D55328" t="s">
        <v>843</v>
      </c>
      <c r="E55328" t="s">
        <v>844</v>
      </c>
      <c r="F55328" t="s">
        <v>1962</v>
      </c>
      <c r="H55328" t="s">
        <v>535</v>
      </c>
      <c r="J55328" t="s">
        <v>140</v>
      </c>
      <c r="K55328">
        <v>161496.41699999999</v>
      </c>
      <c r="L55328">
        <v>382958.47200000001</v>
      </c>
      <c r="M55328">
        <v>1</v>
      </c>
      <c r="N55328" t="s">
        <v>2026</v>
      </c>
      <c r="O55328" t="s">
        <v>1802</v>
      </c>
      <c r="P55328" t="s">
        <v>3062</v>
      </c>
      <c r="Q55328" t="s">
        <v>761</v>
      </c>
      <c r="R55328" t="s">
        <v>145</v>
      </c>
      <c r="S55328">
        <v>58</v>
      </c>
      <c r="T55328">
        <v>0</v>
      </c>
      <c r="V55328" t="s">
        <v>848</v>
      </c>
      <c r="W55328" t="s">
        <v>415</v>
      </c>
      <c r="X55328" t="s">
        <v>7</v>
      </c>
      <c r="Y55328" t="s">
        <v>3266</v>
      </c>
      <c r="Z55328" t="s">
        <v>3267</v>
      </c>
      <c r="AA55328" t="s">
        <v>1535</v>
      </c>
      <c r="AB55328">
        <v>30</v>
      </c>
      <c r="AC55328" t="s">
        <v>150</v>
      </c>
      <c r="AE55328" t="s">
        <v>550</v>
      </c>
      <c r="AF55328" t="s">
        <v>3267</v>
      </c>
      <c r="AG55328" t="s">
        <v>488</v>
      </c>
      <c r="AL55328" t="s">
        <v>6955</v>
      </c>
      <c r="AM55328" t="s">
        <v>6956</v>
      </c>
      <c r="AN55328" t="s">
        <v>6957</v>
      </c>
      <c r="AO55328" t="s">
        <v>2026</v>
      </c>
      <c r="AQ55328" t="str">
        <f>IF(ISBLANK(AP55328), IFERROR(IF(VLOOKUP(AO55328, Ellens_additions!$A$2:$B$252, 2, FALSE) = "", "", VLOOKUP(AO55328, Ellens_additions!$A$2:$B$252, 2, FALSE)), 0), AP55328)</f>
        <v/>
      </c>
    </row>
    <row r="55329" spans="1:43" ht="14.4" hidden="1" x14ac:dyDescent="0.3">
      <c r="A55329" t="s">
        <v>6958</v>
      </c>
      <c r="B55329">
        <v>4891782</v>
      </c>
      <c r="C55329" t="s">
        <v>842</v>
      </c>
      <c r="D55329" t="s">
        <v>843</v>
      </c>
      <c r="E55329" t="s">
        <v>844</v>
      </c>
      <c r="F55329" t="s">
        <v>1962</v>
      </c>
      <c r="H55329" t="s">
        <v>543</v>
      </c>
      <c r="J55329" t="s">
        <v>140</v>
      </c>
      <c r="K55329">
        <v>161498.44099999999</v>
      </c>
      <c r="L55329">
        <v>382955.58</v>
      </c>
      <c r="M55329">
        <v>1</v>
      </c>
      <c r="N55329" t="s">
        <v>2026</v>
      </c>
      <c r="O55329" t="s">
        <v>1802</v>
      </c>
      <c r="P55329" t="s">
        <v>3062</v>
      </c>
      <c r="Q55329" t="s">
        <v>761</v>
      </c>
      <c r="R55329" t="s">
        <v>145</v>
      </c>
      <c r="S55329">
        <v>58</v>
      </c>
      <c r="T55329">
        <v>0</v>
      </c>
      <c r="V55329" t="s">
        <v>848</v>
      </c>
      <c r="W55329" t="s">
        <v>415</v>
      </c>
      <c r="X55329" t="s">
        <v>7</v>
      </c>
      <c r="Y55329" t="s">
        <v>3266</v>
      </c>
      <c r="Z55329" t="s">
        <v>3267</v>
      </c>
      <c r="AA55329" t="s">
        <v>1535</v>
      </c>
      <c r="AB55329">
        <v>30</v>
      </c>
      <c r="AC55329" t="s">
        <v>150</v>
      </c>
      <c r="AE55329" t="s">
        <v>550</v>
      </c>
      <c r="AF55329" t="s">
        <v>3267</v>
      </c>
      <c r="AG55329" t="s">
        <v>488</v>
      </c>
      <c r="AL55329" t="s">
        <v>6959</v>
      </c>
      <c r="AM55329" t="s">
        <v>6960</v>
      </c>
      <c r="AN55329" t="s">
        <v>6961</v>
      </c>
      <c r="AO55329" t="s">
        <v>2026</v>
      </c>
      <c r="AQ55329" t="str">
        <f>IF(ISBLANK(AP55329), IFERROR(IF(VLOOKUP(AO55329, Ellens_additions!$A$2:$B$252, 2, FALSE) = "", "", VLOOKUP(AO55329, Ellens_additions!$A$2:$B$252, 2, FALSE)), 0), AP55329)</f>
        <v/>
      </c>
    </row>
    <row r="55330" spans="1:43" ht="14.4" hidden="1" x14ac:dyDescent="0.3">
      <c r="A55330" t="s">
        <v>6962</v>
      </c>
      <c r="B55330">
        <v>4891783</v>
      </c>
      <c r="C55330" t="s">
        <v>842</v>
      </c>
      <c r="D55330" t="s">
        <v>843</v>
      </c>
      <c r="E55330" t="s">
        <v>844</v>
      </c>
      <c r="F55330" t="s">
        <v>1962</v>
      </c>
      <c r="H55330" t="s">
        <v>450</v>
      </c>
      <c r="J55330" t="s">
        <v>140</v>
      </c>
      <c r="K55330">
        <v>161499.34299999999</v>
      </c>
      <c r="L55330">
        <v>382954.13500000001</v>
      </c>
      <c r="M55330">
        <v>1</v>
      </c>
      <c r="N55330" t="s">
        <v>2026</v>
      </c>
      <c r="O55330" t="s">
        <v>1802</v>
      </c>
      <c r="P55330" t="s">
        <v>3062</v>
      </c>
      <c r="Q55330" t="s">
        <v>761</v>
      </c>
      <c r="R55330" t="s">
        <v>145</v>
      </c>
      <c r="S55330">
        <v>58</v>
      </c>
      <c r="T55330">
        <v>0</v>
      </c>
      <c r="V55330" t="s">
        <v>848</v>
      </c>
      <c r="W55330" t="s">
        <v>415</v>
      </c>
      <c r="X55330" t="s">
        <v>7</v>
      </c>
      <c r="Y55330" t="s">
        <v>3266</v>
      </c>
      <c r="Z55330" t="s">
        <v>3267</v>
      </c>
      <c r="AA55330" t="s">
        <v>1535</v>
      </c>
      <c r="AB55330">
        <v>30</v>
      </c>
      <c r="AC55330" t="s">
        <v>150</v>
      </c>
      <c r="AE55330" t="s">
        <v>550</v>
      </c>
      <c r="AF55330" t="s">
        <v>3267</v>
      </c>
      <c r="AG55330" t="s">
        <v>488</v>
      </c>
      <c r="AL55330" t="s">
        <v>6963</v>
      </c>
      <c r="AM55330" t="s">
        <v>6964</v>
      </c>
      <c r="AN55330" t="s">
        <v>6965</v>
      </c>
      <c r="AO55330" t="s">
        <v>2026</v>
      </c>
      <c r="AQ55330" t="str">
        <f>IF(ISBLANK(AP55330), IFERROR(IF(VLOOKUP(AO55330, Ellens_additions!$A$2:$B$252, 2, FALSE) = "", "", VLOOKUP(AO55330, Ellens_additions!$A$2:$B$252, 2, FALSE)), 0), AP55330)</f>
        <v/>
      </c>
    </row>
    <row r="55331" spans="1:43" ht="14.4" x14ac:dyDescent="0.3"/>
    <row r="55332" spans="1:43" ht="14.4" x14ac:dyDescent="0.3"/>
    <row r="55333" spans="1:43" ht="14.4" x14ac:dyDescent="0.3"/>
    <row r="55334" spans="1:43" ht="14.4" x14ac:dyDescent="0.3"/>
    <row r="55335" spans="1:43" ht="14.4" x14ac:dyDescent="0.3"/>
    <row r="55336" spans="1:43" ht="14.4" x14ac:dyDescent="0.3"/>
    <row r="55337" spans="1:43" ht="14.4" x14ac:dyDescent="0.3"/>
    <row r="55338" spans="1:43" ht="14.4" x14ac:dyDescent="0.3"/>
    <row r="55339" spans="1:43" ht="14.4" hidden="1" x14ac:dyDescent="0.3">
      <c r="A55339" t="s">
        <v>6966</v>
      </c>
      <c r="B55339">
        <v>4891812</v>
      </c>
      <c r="C55339" t="s">
        <v>842</v>
      </c>
      <c r="D55339" t="s">
        <v>843</v>
      </c>
      <c r="E55339" t="s">
        <v>844</v>
      </c>
      <c r="F55339" t="s">
        <v>1962</v>
      </c>
      <c r="H55339" t="s">
        <v>139</v>
      </c>
      <c r="J55339" t="s">
        <v>140</v>
      </c>
      <c r="K55339">
        <v>161479.413</v>
      </c>
      <c r="L55339">
        <v>382969.59899999999</v>
      </c>
      <c r="M55339">
        <v>1</v>
      </c>
      <c r="N55339" t="s">
        <v>2049</v>
      </c>
      <c r="O55339" t="s">
        <v>1802</v>
      </c>
      <c r="P55339" t="s">
        <v>3062</v>
      </c>
      <c r="Q55339" t="s">
        <v>761</v>
      </c>
      <c r="R55339" t="s">
        <v>145</v>
      </c>
      <c r="S55339">
        <v>36</v>
      </c>
      <c r="T55339">
        <v>0</v>
      </c>
      <c r="V55339" t="s">
        <v>848</v>
      </c>
      <c r="W55339" t="s">
        <v>415</v>
      </c>
      <c r="X55339" t="s">
        <v>7</v>
      </c>
      <c r="Y55339" t="s">
        <v>3250</v>
      </c>
      <c r="Z55339" t="s">
        <v>1080</v>
      </c>
      <c r="AA55339" t="s">
        <v>1938</v>
      </c>
      <c r="AB55339">
        <v>30</v>
      </c>
      <c r="AC55339" t="s">
        <v>150</v>
      </c>
      <c r="AE55339" t="s">
        <v>3252</v>
      </c>
      <c r="AF55339" t="s">
        <v>1080</v>
      </c>
      <c r="AG55339" t="s">
        <v>1081</v>
      </c>
      <c r="AL55339" t="s">
        <v>6967</v>
      </c>
      <c r="AM55339" t="s">
        <v>6968</v>
      </c>
      <c r="AN55339" t="s">
        <v>6969</v>
      </c>
      <c r="AO55339" t="s">
        <v>2049</v>
      </c>
      <c r="AQ55339" t="str">
        <f>IF(ISBLANK(AP55339), IFERROR(IF(VLOOKUP(AO55339, Ellens_additions!$A$2:$B$252, 2, FALSE) = "", "", VLOOKUP(AO55339, Ellens_additions!$A$2:$B$252, 2, FALSE)), 0), AP55339)</f>
        <v/>
      </c>
    </row>
    <row r="55340" spans="1:43" ht="14.4" x14ac:dyDescent="0.3"/>
    <row r="55341" spans="1:43" ht="14.4" x14ac:dyDescent="0.3"/>
    <row r="55342" spans="1:43" ht="14.4" x14ac:dyDescent="0.3"/>
    <row r="55343" spans="1:43" ht="14.4" x14ac:dyDescent="0.3"/>
    <row r="55344" spans="1:43" ht="14.4" x14ac:dyDescent="0.3"/>
    <row r="55345" ht="14.4" x14ac:dyDescent="0.3"/>
    <row r="55346" ht="14.4" x14ac:dyDescent="0.3"/>
    <row r="55347" ht="14.4" x14ac:dyDescent="0.3"/>
    <row r="55348" ht="14.4" x14ac:dyDescent="0.3"/>
    <row r="55349" ht="14.4" x14ac:dyDescent="0.3"/>
    <row r="55350" ht="14.4" x14ac:dyDescent="0.3"/>
    <row r="55351" ht="14.4" x14ac:dyDescent="0.3"/>
    <row r="55352" ht="14.4" x14ac:dyDescent="0.3"/>
    <row r="55353" ht="14.4" x14ac:dyDescent="0.3"/>
    <row r="55354" ht="14.4" x14ac:dyDescent="0.3"/>
    <row r="55355" ht="14.4" x14ac:dyDescent="0.3"/>
    <row r="55356" ht="14.4" x14ac:dyDescent="0.3"/>
    <row r="55357" ht="14.4" x14ac:dyDescent="0.3"/>
    <row r="55358" ht="14.4" x14ac:dyDescent="0.3"/>
    <row r="55359" ht="14.4" x14ac:dyDescent="0.3"/>
    <row r="55360" ht="14.4" x14ac:dyDescent="0.3"/>
    <row r="55361" ht="14.4" x14ac:dyDescent="0.3"/>
    <row r="55362" ht="14.4" x14ac:dyDescent="0.3"/>
    <row r="55363" ht="14.4" x14ac:dyDescent="0.3"/>
    <row r="55364" ht="14.4" x14ac:dyDescent="0.3"/>
    <row r="55365" ht="14.4" x14ac:dyDescent="0.3"/>
    <row r="55366" ht="14.4" x14ac:dyDescent="0.3"/>
    <row r="55367" ht="14.4" x14ac:dyDescent="0.3"/>
    <row r="55368" ht="14.4" x14ac:dyDescent="0.3"/>
    <row r="55369" ht="14.4" x14ac:dyDescent="0.3"/>
    <row r="55370" ht="14.4" x14ac:dyDescent="0.3"/>
    <row r="55371" ht="14.4" x14ac:dyDescent="0.3"/>
    <row r="55372" ht="14.4" x14ac:dyDescent="0.3"/>
    <row r="55373" ht="14.4" x14ac:dyDescent="0.3"/>
    <row r="55374" ht="14.4" x14ac:dyDescent="0.3"/>
    <row r="55375" ht="14.4" x14ac:dyDescent="0.3"/>
    <row r="55376" ht="14.4" x14ac:dyDescent="0.3"/>
    <row r="55377" ht="14.4" x14ac:dyDescent="0.3"/>
    <row r="55378" ht="14.4" x14ac:dyDescent="0.3"/>
    <row r="55379" ht="14.4" x14ac:dyDescent="0.3"/>
    <row r="55380" ht="14.4" x14ac:dyDescent="0.3"/>
    <row r="55381" ht="14.4" x14ac:dyDescent="0.3"/>
    <row r="55382" ht="14.4" x14ac:dyDescent="0.3"/>
    <row r="55383" ht="14.4" x14ac:dyDescent="0.3"/>
    <row r="55384" ht="14.4" x14ac:dyDescent="0.3"/>
    <row r="55385" ht="14.4" x14ac:dyDescent="0.3"/>
    <row r="55386" ht="14.4" x14ac:dyDescent="0.3"/>
    <row r="55387" ht="14.4" x14ac:dyDescent="0.3"/>
    <row r="55388" ht="14.4" x14ac:dyDescent="0.3"/>
    <row r="55389" ht="14.4" x14ac:dyDescent="0.3"/>
    <row r="55390" ht="14.4" x14ac:dyDescent="0.3"/>
    <row r="55391" ht="14.4" x14ac:dyDescent="0.3"/>
    <row r="55392" ht="14.4" x14ac:dyDescent="0.3"/>
    <row r="55393" ht="14.4" x14ac:dyDescent="0.3"/>
    <row r="55394" ht="14.4" x14ac:dyDescent="0.3"/>
    <row r="55395" ht="14.4" x14ac:dyDescent="0.3"/>
    <row r="55396" ht="14.4" x14ac:dyDescent="0.3"/>
    <row r="55397" ht="14.4" x14ac:dyDescent="0.3"/>
    <row r="55398" ht="14.4" x14ac:dyDescent="0.3"/>
    <row r="55399" ht="14.4" x14ac:dyDescent="0.3"/>
    <row r="55400" ht="14.4" x14ac:dyDescent="0.3"/>
    <row r="55401" ht="14.4" x14ac:dyDescent="0.3"/>
    <row r="55402" ht="14.4" x14ac:dyDescent="0.3"/>
    <row r="55403" ht="14.4" x14ac:dyDescent="0.3"/>
    <row r="55404" ht="14.4" x14ac:dyDescent="0.3"/>
    <row r="55405" ht="14.4" x14ac:dyDescent="0.3"/>
    <row r="55406" ht="14.4" x14ac:dyDescent="0.3"/>
    <row r="55407" ht="14.4" x14ac:dyDescent="0.3"/>
    <row r="55408" ht="14.4" x14ac:dyDescent="0.3"/>
    <row r="55409" ht="14.4" x14ac:dyDescent="0.3"/>
    <row r="55410" ht="14.4" x14ac:dyDescent="0.3"/>
    <row r="55411" ht="14.4" x14ac:dyDescent="0.3"/>
    <row r="55412" ht="14.4" x14ac:dyDescent="0.3"/>
    <row r="55413" ht="14.4" x14ac:dyDescent="0.3"/>
    <row r="55414" ht="14.4" x14ac:dyDescent="0.3"/>
    <row r="55415" ht="14.4" x14ac:dyDescent="0.3"/>
    <row r="55416" ht="14.4" x14ac:dyDescent="0.3"/>
    <row r="55417" ht="14.4" x14ac:dyDescent="0.3"/>
    <row r="55418" ht="14.4" x14ac:dyDescent="0.3"/>
    <row r="55419" ht="14.4" x14ac:dyDescent="0.3"/>
    <row r="55420" ht="14.4" x14ac:dyDescent="0.3"/>
    <row r="55421" ht="14.4" x14ac:dyDescent="0.3"/>
    <row r="55422" ht="14.4" x14ac:dyDescent="0.3"/>
    <row r="55423" ht="14.4" x14ac:dyDescent="0.3"/>
    <row r="55424" ht="14.4" x14ac:dyDescent="0.3"/>
    <row r="55425" ht="14.4" x14ac:dyDescent="0.3"/>
    <row r="55426" ht="14.4" x14ac:dyDescent="0.3"/>
    <row r="55427" ht="14.4" x14ac:dyDescent="0.3"/>
    <row r="55428" ht="14.4" x14ac:dyDescent="0.3"/>
    <row r="55429" ht="14.4" x14ac:dyDescent="0.3"/>
    <row r="55430" ht="14.4" x14ac:dyDescent="0.3"/>
    <row r="55431" ht="14.4" x14ac:dyDescent="0.3"/>
    <row r="55432" ht="14.4" x14ac:dyDescent="0.3"/>
    <row r="55433" ht="14.4" x14ac:dyDescent="0.3"/>
    <row r="55434" ht="14.4" x14ac:dyDescent="0.3"/>
    <row r="55435" ht="14.4" x14ac:dyDescent="0.3"/>
    <row r="55436" ht="14.4" x14ac:dyDescent="0.3"/>
    <row r="55437" ht="14.4" x14ac:dyDescent="0.3"/>
    <row r="55438" ht="14.4" x14ac:dyDescent="0.3"/>
    <row r="55439" ht="14.4" x14ac:dyDescent="0.3"/>
    <row r="55440" ht="14.4" x14ac:dyDescent="0.3"/>
    <row r="55441" ht="14.4" x14ac:dyDescent="0.3"/>
    <row r="55442" ht="14.4" x14ac:dyDescent="0.3"/>
    <row r="55443" ht="14.4" x14ac:dyDescent="0.3"/>
    <row r="55444" ht="14.4" x14ac:dyDescent="0.3"/>
    <row r="55445" ht="14.4" x14ac:dyDescent="0.3"/>
    <row r="55446" ht="14.4" x14ac:dyDescent="0.3"/>
    <row r="55447" ht="14.4" x14ac:dyDescent="0.3"/>
    <row r="55448" ht="14.4" x14ac:dyDescent="0.3"/>
    <row r="55449" ht="14.4" x14ac:dyDescent="0.3"/>
    <row r="55450" ht="14.4" x14ac:dyDescent="0.3"/>
    <row r="55451" ht="14.4" x14ac:dyDescent="0.3"/>
    <row r="55452" ht="14.4" x14ac:dyDescent="0.3"/>
    <row r="55453" ht="14.4" x14ac:dyDescent="0.3"/>
    <row r="55454" ht="14.4" x14ac:dyDescent="0.3"/>
    <row r="55455" ht="14.4" x14ac:dyDescent="0.3"/>
    <row r="55456" ht="14.4" x14ac:dyDescent="0.3"/>
    <row r="55457" ht="14.4" x14ac:dyDescent="0.3"/>
    <row r="55458" ht="14.4" x14ac:dyDescent="0.3"/>
    <row r="55459" ht="14.4" x14ac:dyDescent="0.3"/>
    <row r="55460" ht="14.4" x14ac:dyDescent="0.3"/>
    <row r="55461" ht="14.4" x14ac:dyDescent="0.3"/>
    <row r="55462" ht="14.4" x14ac:dyDescent="0.3"/>
    <row r="55463" ht="14.4" x14ac:dyDescent="0.3"/>
    <row r="55464" ht="14.4" x14ac:dyDescent="0.3"/>
    <row r="55465" ht="14.4" x14ac:dyDescent="0.3"/>
    <row r="55466" ht="14.4" x14ac:dyDescent="0.3"/>
    <row r="55467" ht="14.4" x14ac:dyDescent="0.3"/>
    <row r="55468" ht="14.4" x14ac:dyDescent="0.3"/>
    <row r="55469" ht="14.4" x14ac:dyDescent="0.3"/>
    <row r="55470" ht="14.4" x14ac:dyDescent="0.3"/>
    <row r="55471" ht="14.4" x14ac:dyDescent="0.3"/>
    <row r="55472" ht="14.4" x14ac:dyDescent="0.3"/>
    <row r="55473" ht="14.4" x14ac:dyDescent="0.3"/>
    <row r="55474" ht="14.4" x14ac:dyDescent="0.3"/>
    <row r="55475" ht="14.4" x14ac:dyDescent="0.3"/>
    <row r="55476" ht="14.4" x14ac:dyDescent="0.3"/>
    <row r="55477" ht="14.4" x14ac:dyDescent="0.3"/>
    <row r="55478" ht="14.4" x14ac:dyDescent="0.3"/>
    <row r="55479" ht="14.4" x14ac:dyDescent="0.3"/>
    <row r="55480" ht="14.4" x14ac:dyDescent="0.3"/>
    <row r="55481" ht="14.4" x14ac:dyDescent="0.3"/>
    <row r="55482" ht="14.4" x14ac:dyDescent="0.3"/>
    <row r="55483" ht="14.4" x14ac:dyDescent="0.3"/>
    <row r="55484" ht="14.4" x14ac:dyDescent="0.3"/>
    <row r="55485" ht="14.4" x14ac:dyDescent="0.3"/>
    <row r="55486" ht="14.4" x14ac:dyDescent="0.3"/>
    <row r="55487" ht="14.4" x14ac:dyDescent="0.3"/>
    <row r="55488" ht="14.4" x14ac:dyDescent="0.3"/>
    <row r="55489" ht="14.4" x14ac:dyDescent="0.3"/>
    <row r="55490" ht="14.4" x14ac:dyDescent="0.3"/>
    <row r="55491" ht="14.4" x14ac:dyDescent="0.3"/>
    <row r="55492" ht="14.4" x14ac:dyDescent="0.3"/>
    <row r="55493" ht="14.4" x14ac:dyDescent="0.3"/>
    <row r="55494" ht="14.4" x14ac:dyDescent="0.3"/>
    <row r="55495" ht="14.4" x14ac:dyDescent="0.3"/>
    <row r="55496" ht="14.4" x14ac:dyDescent="0.3"/>
    <row r="55497" ht="14.4" x14ac:dyDescent="0.3"/>
    <row r="55498" ht="14.4" x14ac:dyDescent="0.3"/>
    <row r="55499" ht="14.4" x14ac:dyDescent="0.3"/>
    <row r="55500" ht="14.4" x14ac:dyDescent="0.3"/>
    <row r="55501" ht="14.4" x14ac:dyDescent="0.3"/>
    <row r="55502" ht="14.4" x14ac:dyDescent="0.3"/>
    <row r="55503" ht="14.4" x14ac:dyDescent="0.3"/>
    <row r="55504" ht="14.4" x14ac:dyDescent="0.3"/>
    <row r="55505" ht="14.4" x14ac:dyDescent="0.3"/>
    <row r="55506" ht="14.4" x14ac:dyDescent="0.3"/>
    <row r="55507" ht="14.4" x14ac:dyDescent="0.3"/>
    <row r="55508" ht="14.4" x14ac:dyDescent="0.3"/>
    <row r="55509" ht="14.4" x14ac:dyDescent="0.3"/>
    <row r="55510" ht="14.4" x14ac:dyDescent="0.3"/>
    <row r="55511" ht="14.4" x14ac:dyDescent="0.3"/>
    <row r="55512" ht="14.4" x14ac:dyDescent="0.3"/>
    <row r="55513" ht="14.4" x14ac:dyDescent="0.3"/>
    <row r="55514" ht="14.4" x14ac:dyDescent="0.3"/>
    <row r="55515" ht="14.4" x14ac:dyDescent="0.3"/>
    <row r="55516" ht="14.4" x14ac:dyDescent="0.3"/>
    <row r="55517" ht="14.4" x14ac:dyDescent="0.3"/>
    <row r="55518" ht="14.4" x14ac:dyDescent="0.3"/>
    <row r="55519" ht="14.4" x14ac:dyDescent="0.3"/>
    <row r="55520" ht="14.4" x14ac:dyDescent="0.3"/>
    <row r="55521" ht="14.4" x14ac:dyDescent="0.3"/>
    <row r="55522" ht="14.4" x14ac:dyDescent="0.3"/>
    <row r="55523" ht="14.4" x14ac:dyDescent="0.3"/>
    <row r="55524" ht="14.4" x14ac:dyDescent="0.3"/>
    <row r="55525" ht="14.4" x14ac:dyDescent="0.3"/>
    <row r="55526" ht="14.4" x14ac:dyDescent="0.3"/>
    <row r="55527" ht="14.4" x14ac:dyDescent="0.3"/>
    <row r="55528" ht="14.4" x14ac:dyDescent="0.3"/>
    <row r="55529" ht="14.4" x14ac:dyDescent="0.3"/>
    <row r="55530" ht="14.4" x14ac:dyDescent="0.3"/>
    <row r="55531" ht="14.4" x14ac:dyDescent="0.3"/>
    <row r="55532" ht="14.4" x14ac:dyDescent="0.3"/>
    <row r="55533" ht="14.4" x14ac:dyDescent="0.3"/>
    <row r="55534" ht="14.4" x14ac:dyDescent="0.3"/>
    <row r="55535" ht="14.4" x14ac:dyDescent="0.3"/>
    <row r="55536" ht="14.4" x14ac:dyDescent="0.3"/>
    <row r="55537" ht="14.4" x14ac:dyDescent="0.3"/>
    <row r="55538" ht="14.4" x14ac:dyDescent="0.3"/>
    <row r="55539" ht="14.4" x14ac:dyDescent="0.3"/>
    <row r="55540" ht="14.4" x14ac:dyDescent="0.3"/>
    <row r="55541" ht="14.4" x14ac:dyDescent="0.3"/>
    <row r="55542" ht="14.4" x14ac:dyDescent="0.3"/>
    <row r="55543" ht="14.4" x14ac:dyDescent="0.3"/>
    <row r="55544" ht="14.4" x14ac:dyDescent="0.3"/>
    <row r="55545" ht="14.4" x14ac:dyDescent="0.3"/>
    <row r="55546" ht="14.4" x14ac:dyDescent="0.3"/>
    <row r="55547" ht="14.4" x14ac:dyDescent="0.3"/>
    <row r="55548" ht="14.4" x14ac:dyDescent="0.3"/>
    <row r="55549" ht="14.4" x14ac:dyDescent="0.3"/>
    <row r="55550" ht="14.4" x14ac:dyDescent="0.3"/>
    <row r="55551" ht="14.4" x14ac:dyDescent="0.3"/>
    <row r="55552" ht="14.4" x14ac:dyDescent="0.3"/>
    <row r="55553" ht="14.4" x14ac:dyDescent="0.3"/>
    <row r="55554" ht="14.4" x14ac:dyDescent="0.3"/>
    <row r="55555" ht="14.4" x14ac:dyDescent="0.3"/>
    <row r="55556" ht="14.4" x14ac:dyDescent="0.3"/>
    <row r="55557" ht="14.4" x14ac:dyDescent="0.3"/>
    <row r="55558" ht="14.4" x14ac:dyDescent="0.3"/>
    <row r="55559" ht="14.4" x14ac:dyDescent="0.3"/>
    <row r="55560" ht="14.4" x14ac:dyDescent="0.3"/>
    <row r="55561" ht="14.4" x14ac:dyDescent="0.3"/>
    <row r="55562" ht="14.4" x14ac:dyDescent="0.3"/>
    <row r="55563" ht="14.4" x14ac:dyDescent="0.3"/>
    <row r="55564" ht="14.4" x14ac:dyDescent="0.3"/>
    <row r="55565" ht="14.4" x14ac:dyDescent="0.3"/>
    <row r="55566" ht="14.4" x14ac:dyDescent="0.3"/>
    <row r="55567" ht="14.4" x14ac:dyDescent="0.3"/>
    <row r="55568" ht="14.4" x14ac:dyDescent="0.3"/>
    <row r="55569" ht="14.4" x14ac:dyDescent="0.3"/>
    <row r="55570" ht="14.4" x14ac:dyDescent="0.3"/>
    <row r="55571" ht="14.4" x14ac:dyDescent="0.3"/>
    <row r="55572" ht="14.4" x14ac:dyDescent="0.3"/>
    <row r="55573" ht="14.4" x14ac:dyDescent="0.3"/>
    <row r="55574" ht="14.4" x14ac:dyDescent="0.3"/>
    <row r="55575" ht="14.4" x14ac:dyDescent="0.3"/>
    <row r="55576" ht="14.4" x14ac:dyDescent="0.3"/>
    <row r="55577" ht="14.4" x14ac:dyDescent="0.3"/>
    <row r="55578" ht="14.4" x14ac:dyDescent="0.3"/>
    <row r="55579" ht="14.4" x14ac:dyDescent="0.3"/>
    <row r="55580" ht="14.4" x14ac:dyDescent="0.3"/>
    <row r="55581" ht="14.4" x14ac:dyDescent="0.3"/>
    <row r="55582" ht="14.4" x14ac:dyDescent="0.3"/>
    <row r="55583" ht="14.4" x14ac:dyDescent="0.3"/>
    <row r="55584" ht="14.4" x14ac:dyDescent="0.3"/>
    <row r="55585" ht="14.4" x14ac:dyDescent="0.3"/>
    <row r="55586" ht="14.4" x14ac:dyDescent="0.3"/>
    <row r="55587" ht="14.4" x14ac:dyDescent="0.3"/>
    <row r="55588" ht="14.4" x14ac:dyDescent="0.3"/>
    <row r="55589" ht="14.4" x14ac:dyDescent="0.3"/>
    <row r="55590" ht="14.4" x14ac:dyDescent="0.3"/>
    <row r="55591" ht="14.4" x14ac:dyDescent="0.3"/>
    <row r="55592" ht="14.4" x14ac:dyDescent="0.3"/>
    <row r="55593" ht="14.4" x14ac:dyDescent="0.3"/>
    <row r="55594" ht="14.4" x14ac:dyDescent="0.3"/>
    <row r="55595" ht="14.4" x14ac:dyDescent="0.3"/>
    <row r="55596" ht="14.4" x14ac:dyDescent="0.3"/>
    <row r="55597" ht="14.4" x14ac:dyDescent="0.3"/>
    <row r="55598" ht="14.4" x14ac:dyDescent="0.3"/>
    <row r="55599" ht="14.4" x14ac:dyDescent="0.3"/>
    <row r="55600" ht="14.4" x14ac:dyDescent="0.3"/>
    <row r="55601" ht="14.4" x14ac:dyDescent="0.3"/>
    <row r="55602" ht="14.4" x14ac:dyDescent="0.3"/>
    <row r="55603" ht="14.4" x14ac:dyDescent="0.3"/>
    <row r="55604" ht="14.4" x14ac:dyDescent="0.3"/>
    <row r="55605" ht="14.4" x14ac:dyDescent="0.3"/>
    <row r="55606" ht="14.4" x14ac:dyDescent="0.3"/>
    <row r="55607" ht="14.4" x14ac:dyDescent="0.3"/>
    <row r="55608" ht="14.4" x14ac:dyDescent="0.3"/>
    <row r="55609" ht="14.4" x14ac:dyDescent="0.3"/>
    <row r="55610" ht="14.4" x14ac:dyDescent="0.3"/>
    <row r="55611" ht="14.4" x14ac:dyDescent="0.3"/>
    <row r="55612" ht="14.4" x14ac:dyDescent="0.3"/>
    <row r="55613" ht="14.4" x14ac:dyDescent="0.3"/>
    <row r="55614" ht="14.4" x14ac:dyDescent="0.3"/>
    <row r="55615" ht="14.4" x14ac:dyDescent="0.3"/>
    <row r="55616" ht="14.4" x14ac:dyDescent="0.3"/>
    <row r="55617" ht="14.4" x14ac:dyDescent="0.3"/>
    <row r="55618" ht="14.4" x14ac:dyDescent="0.3"/>
    <row r="55619" ht="14.4" x14ac:dyDescent="0.3"/>
    <row r="55620" ht="14.4" x14ac:dyDescent="0.3"/>
    <row r="55621" ht="14.4" x14ac:dyDescent="0.3"/>
    <row r="55622" ht="14.4" x14ac:dyDescent="0.3"/>
    <row r="55623" ht="14.4" x14ac:dyDescent="0.3"/>
    <row r="55624" ht="14.4" x14ac:dyDescent="0.3"/>
    <row r="55625" ht="14.4" x14ac:dyDescent="0.3"/>
    <row r="55626" ht="14.4" x14ac:dyDescent="0.3"/>
    <row r="55627" ht="14.4" x14ac:dyDescent="0.3"/>
    <row r="55628" ht="14.4" x14ac:dyDescent="0.3"/>
    <row r="55629" ht="14.4" x14ac:dyDescent="0.3"/>
    <row r="55630" ht="14.4" x14ac:dyDescent="0.3"/>
    <row r="55631" ht="14.4" x14ac:dyDescent="0.3"/>
    <row r="55632" ht="14.4" x14ac:dyDescent="0.3"/>
    <row r="55633" ht="14.4" x14ac:dyDescent="0.3"/>
    <row r="55634" ht="14.4" x14ac:dyDescent="0.3"/>
    <row r="55635" ht="14.4" x14ac:dyDescent="0.3"/>
    <row r="55636" ht="14.4" x14ac:dyDescent="0.3"/>
    <row r="55637" ht="14.4" x14ac:dyDescent="0.3"/>
    <row r="55638" ht="14.4" x14ac:dyDescent="0.3"/>
    <row r="55639" ht="14.4" x14ac:dyDescent="0.3"/>
    <row r="55640" ht="14.4" x14ac:dyDescent="0.3"/>
    <row r="55641" ht="14.4" x14ac:dyDescent="0.3"/>
    <row r="55642" ht="14.4" x14ac:dyDescent="0.3"/>
    <row r="55643" ht="14.4" x14ac:dyDescent="0.3"/>
    <row r="55644" ht="14.4" x14ac:dyDescent="0.3"/>
    <row r="55645" ht="14.4" x14ac:dyDescent="0.3"/>
    <row r="55646" ht="14.4" x14ac:dyDescent="0.3"/>
    <row r="55647" ht="14.4" x14ac:dyDescent="0.3"/>
    <row r="55648" ht="14.4" x14ac:dyDescent="0.3"/>
    <row r="55649" ht="14.4" x14ac:dyDescent="0.3"/>
    <row r="55650" ht="14.4" x14ac:dyDescent="0.3"/>
    <row r="55651" ht="14.4" x14ac:dyDescent="0.3"/>
    <row r="55652" ht="14.4" x14ac:dyDescent="0.3"/>
    <row r="55653" ht="14.4" x14ac:dyDescent="0.3"/>
    <row r="55654" ht="14.4" x14ac:dyDescent="0.3"/>
    <row r="55655" ht="14.4" x14ac:dyDescent="0.3"/>
    <row r="55656" ht="14.4" x14ac:dyDescent="0.3"/>
    <row r="55657" ht="14.4" x14ac:dyDescent="0.3"/>
    <row r="55658" ht="14.4" x14ac:dyDescent="0.3"/>
    <row r="55659" ht="14.4" x14ac:dyDescent="0.3"/>
    <row r="55660" ht="14.4" x14ac:dyDescent="0.3"/>
    <row r="55661" ht="14.4" x14ac:dyDescent="0.3"/>
    <row r="55662" ht="14.4" x14ac:dyDescent="0.3"/>
    <row r="55663" ht="14.4" x14ac:dyDescent="0.3"/>
    <row r="55664" ht="14.4" x14ac:dyDescent="0.3"/>
    <row r="55665" ht="14.4" x14ac:dyDescent="0.3"/>
    <row r="55666" ht="14.4" x14ac:dyDescent="0.3"/>
    <row r="55667" ht="14.4" x14ac:dyDescent="0.3"/>
    <row r="55668" ht="14.4" x14ac:dyDescent="0.3"/>
    <row r="55669" ht="14.4" x14ac:dyDescent="0.3"/>
    <row r="55670" ht="14.4" x14ac:dyDescent="0.3"/>
    <row r="55671" ht="14.4" x14ac:dyDescent="0.3"/>
    <row r="55672" ht="14.4" x14ac:dyDescent="0.3"/>
    <row r="55673" ht="14.4" x14ac:dyDescent="0.3"/>
    <row r="55674" ht="14.4" x14ac:dyDescent="0.3"/>
    <row r="55675" ht="14.4" x14ac:dyDescent="0.3"/>
    <row r="55676" ht="14.4" x14ac:dyDescent="0.3"/>
    <row r="55677" ht="14.4" x14ac:dyDescent="0.3"/>
    <row r="55678" ht="14.4" x14ac:dyDescent="0.3"/>
    <row r="55679" ht="14.4" x14ac:dyDescent="0.3"/>
    <row r="55680" ht="14.4" x14ac:dyDescent="0.3"/>
    <row r="55681" ht="14.4" x14ac:dyDescent="0.3"/>
    <row r="55682" ht="14.4" x14ac:dyDescent="0.3"/>
    <row r="55683" ht="14.4" x14ac:dyDescent="0.3"/>
    <row r="55684" ht="14.4" x14ac:dyDescent="0.3"/>
    <row r="55685" ht="14.4" x14ac:dyDescent="0.3"/>
    <row r="55686" ht="14.4" x14ac:dyDescent="0.3"/>
    <row r="55687" ht="14.4" x14ac:dyDescent="0.3"/>
    <row r="55688" ht="14.4" x14ac:dyDescent="0.3"/>
    <row r="55689" ht="14.4" x14ac:dyDescent="0.3"/>
    <row r="55690" ht="14.4" x14ac:dyDescent="0.3"/>
    <row r="55691" ht="14.4" x14ac:dyDescent="0.3"/>
    <row r="55692" ht="14.4" x14ac:dyDescent="0.3"/>
    <row r="55693" ht="14.4" x14ac:dyDescent="0.3"/>
    <row r="55694" ht="14.4" x14ac:dyDescent="0.3"/>
    <row r="55695" ht="14.4" x14ac:dyDescent="0.3"/>
    <row r="55696" ht="14.4" x14ac:dyDescent="0.3"/>
    <row r="55697" ht="14.4" x14ac:dyDescent="0.3"/>
    <row r="55698" ht="14.4" x14ac:dyDescent="0.3"/>
    <row r="55699" ht="14.4" x14ac:dyDescent="0.3"/>
    <row r="55700" ht="14.4" x14ac:dyDescent="0.3"/>
    <row r="55701" ht="14.4" x14ac:dyDescent="0.3"/>
    <row r="55702" ht="14.4" x14ac:dyDescent="0.3"/>
    <row r="55703" ht="14.4" x14ac:dyDescent="0.3"/>
    <row r="55704" ht="14.4" x14ac:dyDescent="0.3"/>
    <row r="55705" ht="14.4" x14ac:dyDescent="0.3"/>
    <row r="55706" ht="14.4" x14ac:dyDescent="0.3"/>
    <row r="55707" ht="14.4" x14ac:dyDescent="0.3"/>
    <row r="55708" ht="14.4" x14ac:dyDescent="0.3"/>
    <row r="55709" ht="14.4" x14ac:dyDescent="0.3"/>
    <row r="55710" ht="14.4" x14ac:dyDescent="0.3"/>
    <row r="55711" ht="14.4" x14ac:dyDescent="0.3"/>
    <row r="55712" ht="14.4" x14ac:dyDescent="0.3"/>
    <row r="55713" ht="14.4" x14ac:dyDescent="0.3"/>
    <row r="55714" ht="14.4" x14ac:dyDescent="0.3"/>
    <row r="55715" ht="14.4" x14ac:dyDescent="0.3"/>
    <row r="55716" ht="14.4" x14ac:dyDescent="0.3"/>
    <row r="55717" ht="14.4" x14ac:dyDescent="0.3"/>
    <row r="55718" ht="14.4" x14ac:dyDescent="0.3"/>
    <row r="55719" ht="14.4" x14ac:dyDescent="0.3"/>
    <row r="55720" ht="14.4" x14ac:dyDescent="0.3"/>
    <row r="55721" ht="14.4" x14ac:dyDescent="0.3"/>
    <row r="55722" ht="14.4" x14ac:dyDescent="0.3"/>
    <row r="55723" ht="14.4" x14ac:dyDescent="0.3"/>
    <row r="55724" ht="14.4" x14ac:dyDescent="0.3"/>
    <row r="55725" ht="14.4" x14ac:dyDescent="0.3"/>
    <row r="55726" ht="14.4" x14ac:dyDescent="0.3"/>
    <row r="55727" ht="14.4" x14ac:dyDescent="0.3"/>
    <row r="55728" ht="14.4" x14ac:dyDescent="0.3"/>
    <row r="55729" ht="14.4" x14ac:dyDescent="0.3"/>
    <row r="55730" ht="14.4" x14ac:dyDescent="0.3"/>
    <row r="55731" ht="14.4" x14ac:dyDescent="0.3"/>
    <row r="55732" ht="14.4" x14ac:dyDescent="0.3"/>
    <row r="55733" ht="14.4" x14ac:dyDescent="0.3"/>
    <row r="55734" ht="14.4" x14ac:dyDescent="0.3"/>
    <row r="55735" ht="14.4" x14ac:dyDescent="0.3"/>
    <row r="55736" ht="14.4" x14ac:dyDescent="0.3"/>
    <row r="55737" ht="14.4" x14ac:dyDescent="0.3"/>
    <row r="55738" ht="14.4" x14ac:dyDescent="0.3"/>
    <row r="55739" ht="14.4" x14ac:dyDescent="0.3"/>
    <row r="55740" ht="14.4" x14ac:dyDescent="0.3"/>
    <row r="55741" ht="14.4" x14ac:dyDescent="0.3"/>
    <row r="55742" ht="14.4" x14ac:dyDescent="0.3"/>
    <row r="55743" ht="14.4" x14ac:dyDescent="0.3"/>
    <row r="55744" ht="14.4" x14ac:dyDescent="0.3"/>
    <row r="55745" ht="14.4" x14ac:dyDescent="0.3"/>
    <row r="55746" ht="14.4" x14ac:dyDescent="0.3"/>
    <row r="55747" ht="14.4" x14ac:dyDescent="0.3"/>
    <row r="55748" ht="14.4" x14ac:dyDescent="0.3"/>
    <row r="55749" ht="14.4" x14ac:dyDescent="0.3"/>
    <row r="55750" ht="14.4" x14ac:dyDescent="0.3"/>
    <row r="55751" ht="14.4" x14ac:dyDescent="0.3"/>
    <row r="55752" ht="14.4" x14ac:dyDescent="0.3"/>
    <row r="55753" ht="14.4" x14ac:dyDescent="0.3"/>
    <row r="55754" ht="14.4" x14ac:dyDescent="0.3"/>
    <row r="55755" ht="14.4" x14ac:dyDescent="0.3"/>
    <row r="55756" ht="14.4" x14ac:dyDescent="0.3"/>
    <row r="55757" ht="14.4" x14ac:dyDescent="0.3"/>
    <row r="55758" ht="14.4" x14ac:dyDescent="0.3"/>
    <row r="55759" ht="14.4" x14ac:dyDescent="0.3"/>
    <row r="55760" ht="14.4" x14ac:dyDescent="0.3"/>
    <row r="55761" ht="14.4" x14ac:dyDescent="0.3"/>
    <row r="55762" ht="14.4" x14ac:dyDescent="0.3"/>
    <row r="55763" ht="14.4" x14ac:dyDescent="0.3"/>
    <row r="55764" ht="14.4" x14ac:dyDescent="0.3"/>
    <row r="55765" ht="14.4" x14ac:dyDescent="0.3"/>
    <row r="55766" ht="14.4" x14ac:dyDescent="0.3"/>
    <row r="55767" ht="14.4" x14ac:dyDescent="0.3"/>
    <row r="55768" ht="14.4" x14ac:dyDescent="0.3"/>
    <row r="55769" ht="14.4" x14ac:dyDescent="0.3"/>
    <row r="55770" ht="14.4" x14ac:dyDescent="0.3"/>
    <row r="55771" ht="14.4" x14ac:dyDescent="0.3"/>
    <row r="55772" ht="14.4" x14ac:dyDescent="0.3"/>
    <row r="55773" ht="14.4" x14ac:dyDescent="0.3"/>
    <row r="55774" ht="14.4" x14ac:dyDescent="0.3"/>
    <row r="55775" ht="14.4" x14ac:dyDescent="0.3"/>
    <row r="55776" ht="14.4" x14ac:dyDescent="0.3"/>
    <row r="55777" ht="14.4" x14ac:dyDescent="0.3"/>
    <row r="55778" ht="14.4" x14ac:dyDescent="0.3"/>
    <row r="55779" ht="14.4" x14ac:dyDescent="0.3"/>
    <row r="55780" ht="14.4" x14ac:dyDescent="0.3"/>
    <row r="55781" ht="14.4" x14ac:dyDescent="0.3"/>
    <row r="55782" ht="14.4" x14ac:dyDescent="0.3"/>
    <row r="55783" ht="14.4" x14ac:dyDescent="0.3"/>
    <row r="55784" ht="14.4" x14ac:dyDescent="0.3"/>
    <row r="55785" ht="14.4" x14ac:dyDescent="0.3"/>
    <row r="55786" ht="14.4" x14ac:dyDescent="0.3"/>
    <row r="55787" ht="14.4" x14ac:dyDescent="0.3"/>
    <row r="55788" ht="14.4" x14ac:dyDescent="0.3"/>
    <row r="55789" ht="14.4" x14ac:dyDescent="0.3"/>
    <row r="55790" ht="14.4" x14ac:dyDescent="0.3"/>
    <row r="55791" ht="14.4" x14ac:dyDescent="0.3"/>
    <row r="55792" ht="14.4" x14ac:dyDescent="0.3"/>
    <row r="55793" ht="14.4" x14ac:dyDescent="0.3"/>
    <row r="55794" ht="14.4" x14ac:dyDescent="0.3"/>
    <row r="55795" ht="14.4" x14ac:dyDescent="0.3"/>
    <row r="55796" ht="14.4" x14ac:dyDescent="0.3"/>
    <row r="55797" ht="14.4" x14ac:dyDescent="0.3"/>
    <row r="55798" ht="14.4" x14ac:dyDescent="0.3"/>
    <row r="55799" ht="14.4" x14ac:dyDescent="0.3"/>
    <row r="55800" ht="14.4" x14ac:dyDescent="0.3"/>
    <row r="55801" ht="14.4" x14ac:dyDescent="0.3"/>
    <row r="55802" ht="14.4" x14ac:dyDescent="0.3"/>
    <row r="55803" ht="14.4" x14ac:dyDescent="0.3"/>
    <row r="55804" ht="14.4" x14ac:dyDescent="0.3"/>
    <row r="55805" ht="14.4" x14ac:dyDescent="0.3"/>
    <row r="55806" ht="14.4" x14ac:dyDescent="0.3"/>
    <row r="55807" ht="14.4" x14ac:dyDescent="0.3"/>
    <row r="55808" ht="14.4" x14ac:dyDescent="0.3"/>
    <row r="55809" ht="14.4" x14ac:dyDescent="0.3"/>
    <row r="55810" ht="14.4" x14ac:dyDescent="0.3"/>
    <row r="55811" ht="14.4" x14ac:dyDescent="0.3"/>
    <row r="55812" ht="14.4" x14ac:dyDescent="0.3"/>
    <row r="55813" ht="14.4" x14ac:dyDescent="0.3"/>
    <row r="55814" ht="14.4" x14ac:dyDescent="0.3"/>
    <row r="55815" ht="14.4" x14ac:dyDescent="0.3"/>
    <row r="55816" ht="14.4" x14ac:dyDescent="0.3"/>
    <row r="55817" ht="14.4" x14ac:dyDescent="0.3"/>
    <row r="55818" ht="14.4" x14ac:dyDescent="0.3"/>
    <row r="55819" ht="14.4" x14ac:dyDescent="0.3"/>
    <row r="55820" ht="14.4" x14ac:dyDescent="0.3"/>
    <row r="55821" ht="14.4" x14ac:dyDescent="0.3"/>
    <row r="55822" ht="14.4" x14ac:dyDescent="0.3"/>
    <row r="55823" ht="14.4" x14ac:dyDescent="0.3"/>
    <row r="55824" ht="14.4" x14ac:dyDescent="0.3"/>
    <row r="55825" ht="14.4" x14ac:dyDescent="0.3"/>
    <row r="55826" ht="14.4" x14ac:dyDescent="0.3"/>
    <row r="55827" ht="14.4" x14ac:dyDescent="0.3"/>
    <row r="55828" ht="14.4" x14ac:dyDescent="0.3"/>
    <row r="55829" ht="14.4" x14ac:dyDescent="0.3"/>
    <row r="55830" ht="14.4" x14ac:dyDescent="0.3"/>
    <row r="55831" ht="14.4" x14ac:dyDescent="0.3"/>
    <row r="55832" ht="14.4" x14ac:dyDescent="0.3"/>
    <row r="55833" ht="14.4" x14ac:dyDescent="0.3"/>
    <row r="55834" ht="14.4" x14ac:dyDescent="0.3"/>
    <row r="55835" ht="14.4" x14ac:dyDescent="0.3"/>
    <row r="55836" ht="14.4" x14ac:dyDescent="0.3"/>
    <row r="55837" ht="14.4" x14ac:dyDescent="0.3"/>
    <row r="55838" ht="14.4" x14ac:dyDescent="0.3"/>
    <row r="55839" ht="14.4" x14ac:dyDescent="0.3"/>
    <row r="55840" ht="14.4" x14ac:dyDescent="0.3"/>
    <row r="55841" ht="14.4" x14ac:dyDescent="0.3"/>
    <row r="55842" ht="14.4" x14ac:dyDescent="0.3"/>
    <row r="55843" ht="14.4" x14ac:dyDescent="0.3"/>
    <row r="55844" ht="14.4" x14ac:dyDescent="0.3"/>
    <row r="55845" ht="14.4" x14ac:dyDescent="0.3"/>
    <row r="55846" ht="14.4" x14ac:dyDescent="0.3"/>
    <row r="55847" ht="14.4" x14ac:dyDescent="0.3"/>
    <row r="55848" ht="14.4" x14ac:dyDescent="0.3"/>
    <row r="55849" ht="14.4" x14ac:dyDescent="0.3"/>
    <row r="55850" ht="14.4" x14ac:dyDescent="0.3"/>
    <row r="55851" ht="14.4" x14ac:dyDescent="0.3"/>
    <row r="55852" ht="14.4" x14ac:dyDescent="0.3"/>
    <row r="55853" ht="14.4" x14ac:dyDescent="0.3"/>
    <row r="55854" ht="14.4" x14ac:dyDescent="0.3"/>
    <row r="55855" ht="14.4" x14ac:dyDescent="0.3"/>
    <row r="55856" ht="14.4" x14ac:dyDescent="0.3"/>
    <row r="55857" ht="14.4" x14ac:dyDescent="0.3"/>
    <row r="55858" ht="14.4" x14ac:dyDescent="0.3"/>
    <row r="55859" ht="14.4" x14ac:dyDescent="0.3"/>
    <row r="55860" ht="14.4" x14ac:dyDescent="0.3"/>
    <row r="55861" ht="14.4" x14ac:dyDescent="0.3"/>
    <row r="55862" ht="14.4" x14ac:dyDescent="0.3"/>
    <row r="55863" ht="14.4" x14ac:dyDescent="0.3"/>
    <row r="55864" ht="14.4" x14ac:dyDescent="0.3"/>
    <row r="55865" ht="14.4" x14ac:dyDescent="0.3"/>
    <row r="55866" ht="14.4" x14ac:dyDescent="0.3"/>
    <row r="55867" ht="14.4" x14ac:dyDescent="0.3"/>
    <row r="55868" ht="14.4" x14ac:dyDescent="0.3"/>
    <row r="55869" ht="14.4" x14ac:dyDescent="0.3"/>
    <row r="55870" ht="14.4" x14ac:dyDescent="0.3"/>
    <row r="55871" ht="14.4" x14ac:dyDescent="0.3"/>
    <row r="55872" ht="14.4" x14ac:dyDescent="0.3"/>
    <row r="55873" ht="14.4" x14ac:dyDescent="0.3"/>
    <row r="55874" ht="14.4" x14ac:dyDescent="0.3"/>
    <row r="55875" ht="14.4" x14ac:dyDescent="0.3"/>
    <row r="55876" ht="14.4" x14ac:dyDescent="0.3"/>
    <row r="55877" ht="14.4" x14ac:dyDescent="0.3"/>
    <row r="55878" ht="14.4" x14ac:dyDescent="0.3"/>
    <row r="55879" ht="14.4" x14ac:dyDescent="0.3"/>
    <row r="55880" ht="14.4" x14ac:dyDescent="0.3"/>
    <row r="55881" ht="14.4" x14ac:dyDescent="0.3"/>
    <row r="55882" ht="14.4" x14ac:dyDescent="0.3"/>
    <row r="55883" ht="14.4" x14ac:dyDescent="0.3"/>
    <row r="55884" ht="14.4" x14ac:dyDescent="0.3"/>
    <row r="55885" ht="14.4" x14ac:dyDescent="0.3"/>
    <row r="55886" ht="14.4" x14ac:dyDescent="0.3"/>
    <row r="55887" ht="14.4" x14ac:dyDescent="0.3"/>
    <row r="55888" ht="14.4" x14ac:dyDescent="0.3"/>
    <row r="55889" ht="14.4" x14ac:dyDescent="0.3"/>
    <row r="55890" ht="14.4" x14ac:dyDescent="0.3"/>
    <row r="55891" ht="14.4" x14ac:dyDescent="0.3"/>
    <row r="55892" ht="14.4" x14ac:dyDescent="0.3"/>
    <row r="55893" ht="14.4" x14ac:dyDescent="0.3"/>
    <row r="55894" ht="14.4" x14ac:dyDescent="0.3"/>
    <row r="55895" ht="14.4" x14ac:dyDescent="0.3"/>
    <row r="55896" ht="14.4" x14ac:dyDescent="0.3"/>
    <row r="55897" ht="14.4" x14ac:dyDescent="0.3"/>
    <row r="55898" ht="14.4" x14ac:dyDescent="0.3"/>
    <row r="55899" ht="14.4" x14ac:dyDescent="0.3"/>
    <row r="55900" ht="14.4" x14ac:dyDescent="0.3"/>
    <row r="55901" ht="14.4" x14ac:dyDescent="0.3"/>
    <row r="55902" ht="14.4" x14ac:dyDescent="0.3"/>
    <row r="55903" ht="14.4" x14ac:dyDescent="0.3"/>
    <row r="55904" ht="14.4" x14ac:dyDescent="0.3"/>
    <row r="55905" ht="14.4" x14ac:dyDescent="0.3"/>
    <row r="55906" ht="14.4" x14ac:dyDescent="0.3"/>
    <row r="55907" ht="14.4" x14ac:dyDescent="0.3"/>
    <row r="55908" ht="14.4" x14ac:dyDescent="0.3"/>
    <row r="55909" ht="14.4" x14ac:dyDescent="0.3"/>
    <row r="55910" ht="14.4" x14ac:dyDescent="0.3"/>
    <row r="55911" ht="14.4" x14ac:dyDescent="0.3"/>
    <row r="55912" ht="14.4" x14ac:dyDescent="0.3"/>
    <row r="55913" ht="14.4" x14ac:dyDescent="0.3"/>
    <row r="55914" ht="14.4" x14ac:dyDescent="0.3"/>
    <row r="55915" ht="14.4" x14ac:dyDescent="0.3"/>
    <row r="55916" ht="14.4" x14ac:dyDescent="0.3"/>
    <row r="55917" ht="14.4" x14ac:dyDescent="0.3"/>
    <row r="55918" ht="14.4" x14ac:dyDescent="0.3"/>
    <row r="55919" ht="14.4" x14ac:dyDescent="0.3"/>
    <row r="55920" ht="14.4" x14ac:dyDescent="0.3"/>
    <row r="55921" ht="14.4" x14ac:dyDescent="0.3"/>
    <row r="55922" ht="14.4" x14ac:dyDescent="0.3"/>
    <row r="55923" ht="14.4" x14ac:dyDescent="0.3"/>
    <row r="55924" ht="14.4" x14ac:dyDescent="0.3"/>
    <row r="55925" ht="14.4" x14ac:dyDescent="0.3"/>
    <row r="55926" ht="14.4" x14ac:dyDescent="0.3"/>
    <row r="55927" ht="14.4" x14ac:dyDescent="0.3"/>
    <row r="55928" ht="14.4" x14ac:dyDescent="0.3"/>
    <row r="55929" ht="14.4" x14ac:dyDescent="0.3"/>
    <row r="55930" ht="14.4" x14ac:dyDescent="0.3"/>
    <row r="55931" ht="14.4" x14ac:dyDescent="0.3"/>
    <row r="55932" ht="14.4" x14ac:dyDescent="0.3"/>
    <row r="55933" ht="14.4" x14ac:dyDescent="0.3"/>
    <row r="55934" ht="14.4" x14ac:dyDescent="0.3"/>
    <row r="55935" ht="14.4" x14ac:dyDescent="0.3"/>
    <row r="55936" ht="14.4" x14ac:dyDescent="0.3"/>
    <row r="55937" ht="14.4" x14ac:dyDescent="0.3"/>
    <row r="55938" ht="14.4" x14ac:dyDescent="0.3"/>
    <row r="55939" ht="14.4" x14ac:dyDescent="0.3"/>
    <row r="55940" ht="14.4" x14ac:dyDescent="0.3"/>
    <row r="55941" ht="14.4" x14ac:dyDescent="0.3"/>
    <row r="55942" ht="14.4" x14ac:dyDescent="0.3"/>
    <row r="55943" ht="14.4" x14ac:dyDescent="0.3"/>
    <row r="55944" ht="14.4" x14ac:dyDescent="0.3"/>
    <row r="55945" ht="14.4" x14ac:dyDescent="0.3"/>
    <row r="55946" ht="14.4" x14ac:dyDescent="0.3"/>
    <row r="55947" ht="14.4" x14ac:dyDescent="0.3"/>
    <row r="55948" ht="14.4" x14ac:dyDescent="0.3"/>
    <row r="55949" ht="14.4" x14ac:dyDescent="0.3"/>
    <row r="55950" ht="14.4" x14ac:dyDescent="0.3"/>
    <row r="55951" ht="14.4" x14ac:dyDescent="0.3"/>
    <row r="55952" ht="14.4" x14ac:dyDescent="0.3"/>
    <row r="55953" spans="1:43" ht="14.4" x14ac:dyDescent="0.3"/>
    <row r="55954" spans="1:43" ht="14.4" x14ac:dyDescent="0.3"/>
    <row r="55955" spans="1:43" ht="14.4" x14ac:dyDescent="0.3"/>
    <row r="55956" spans="1:43" ht="14.4" x14ac:dyDescent="0.3"/>
    <row r="55957" spans="1:43" ht="14.4" x14ac:dyDescent="0.3"/>
    <row r="55958" spans="1:43" ht="14.4" x14ac:dyDescent="0.3"/>
    <row r="55959" spans="1:43" ht="14.4" x14ac:dyDescent="0.3"/>
    <row r="55960" spans="1:43" ht="14.4" x14ac:dyDescent="0.3"/>
    <row r="55961" spans="1:43" ht="14.4" x14ac:dyDescent="0.3"/>
    <row r="55962" spans="1:43" ht="14.4" hidden="1" x14ac:dyDescent="0.3">
      <c r="A55962" t="s">
        <v>6970</v>
      </c>
      <c r="B55962">
        <v>4892144</v>
      </c>
      <c r="C55962" t="s">
        <v>842</v>
      </c>
      <c r="D55962" t="s">
        <v>843</v>
      </c>
      <c r="E55962" t="s">
        <v>864</v>
      </c>
      <c r="F55962" t="s">
        <v>959</v>
      </c>
      <c r="H55962" t="s">
        <v>377</v>
      </c>
      <c r="J55962" t="s">
        <v>140</v>
      </c>
      <c r="K55962">
        <v>161071</v>
      </c>
      <c r="L55962">
        <v>383288.8</v>
      </c>
      <c r="M55962">
        <v>1</v>
      </c>
      <c r="N55962" t="s">
        <v>3289</v>
      </c>
      <c r="O55962" t="s">
        <v>1544</v>
      </c>
      <c r="P55962" t="s">
        <v>1986</v>
      </c>
      <c r="Q55962" t="s">
        <v>144</v>
      </c>
      <c r="S55962">
        <v>27</v>
      </c>
      <c r="T55962">
        <v>0</v>
      </c>
      <c r="V55962" t="s">
        <v>146</v>
      </c>
      <c r="W55962" t="s">
        <v>415</v>
      </c>
      <c r="X55962" t="s">
        <v>7</v>
      </c>
      <c r="Y55962" t="s">
        <v>3290</v>
      </c>
      <c r="Z55962" t="s">
        <v>1544</v>
      </c>
      <c r="AA55962" t="s">
        <v>752</v>
      </c>
      <c r="AB55962">
        <v>0</v>
      </c>
      <c r="AC55962" t="s">
        <v>150</v>
      </c>
      <c r="AE55962" t="s">
        <v>1460</v>
      </c>
      <c r="AF55962" t="s">
        <v>1018</v>
      </c>
      <c r="AG55962" t="s">
        <v>757</v>
      </c>
      <c r="AL55962" t="s">
        <v>6971</v>
      </c>
      <c r="AM55962" t="s">
        <v>6972</v>
      </c>
      <c r="AN55962" t="s">
        <v>6973</v>
      </c>
      <c r="AO55962" t="s">
        <v>3289</v>
      </c>
      <c r="AQ55962">
        <f>IF(ISBLANK(AP55962), IFERROR(IF(VLOOKUP(AO55962, Ellens_additions!$A$2:$B$252, 2, FALSE) = "", "", VLOOKUP(AO55962, Ellens_additions!$A$2:$B$252, 2, FALSE)), 0), AP55962)</f>
        <v>0</v>
      </c>
    </row>
    <row r="55963" spans="1:43" ht="14.4" hidden="1" x14ac:dyDescent="0.3">
      <c r="A55963" t="s">
        <v>6974</v>
      </c>
      <c r="B55963">
        <v>4892146</v>
      </c>
      <c r="C55963" t="s">
        <v>842</v>
      </c>
      <c r="D55963" t="s">
        <v>843</v>
      </c>
      <c r="E55963" t="s">
        <v>864</v>
      </c>
      <c r="F55963" t="s">
        <v>959</v>
      </c>
      <c r="H55963" t="s">
        <v>296</v>
      </c>
      <c r="J55963" t="s">
        <v>140</v>
      </c>
      <c r="K55963">
        <v>161066.42000000001</v>
      </c>
      <c r="L55963">
        <v>383284.88</v>
      </c>
      <c r="M55963">
        <v>1</v>
      </c>
      <c r="N55963" t="s">
        <v>3289</v>
      </c>
      <c r="O55963" t="s">
        <v>1544</v>
      </c>
      <c r="P55963" t="s">
        <v>1986</v>
      </c>
      <c r="Q55963" t="s">
        <v>144</v>
      </c>
      <c r="S55963">
        <v>27</v>
      </c>
      <c r="T55963">
        <v>0</v>
      </c>
      <c r="V55963" t="s">
        <v>146</v>
      </c>
      <c r="W55963" t="s">
        <v>415</v>
      </c>
      <c r="X55963" t="s">
        <v>7</v>
      </c>
      <c r="Y55963" t="s">
        <v>3290</v>
      </c>
      <c r="Z55963" t="s">
        <v>1544</v>
      </c>
      <c r="AA55963" t="s">
        <v>752</v>
      </c>
      <c r="AB55963">
        <v>0</v>
      </c>
      <c r="AE55963" t="s">
        <v>1460</v>
      </c>
      <c r="AF55963" t="s">
        <v>1544</v>
      </c>
      <c r="AG55963" t="s">
        <v>1090</v>
      </c>
      <c r="AL55963" t="s">
        <v>6975</v>
      </c>
      <c r="AM55963" t="s">
        <v>6976</v>
      </c>
      <c r="AN55963" t="s">
        <v>6977</v>
      </c>
      <c r="AO55963" t="s">
        <v>3289</v>
      </c>
      <c r="AQ55963">
        <f>IF(ISBLANK(AP55963), IFERROR(IF(VLOOKUP(AO55963, Ellens_additions!$A$2:$B$252, 2, FALSE) = "", "", VLOOKUP(AO55963, Ellens_additions!$A$2:$B$252, 2, FALSE)), 0), AP55963)</f>
        <v>0</v>
      </c>
    </row>
    <row r="55964" spans="1:43" ht="14.4" hidden="1" x14ac:dyDescent="0.3">
      <c r="A55964" t="s">
        <v>6978</v>
      </c>
      <c r="B55964">
        <v>4892147</v>
      </c>
      <c r="C55964" t="s">
        <v>842</v>
      </c>
      <c r="D55964" t="s">
        <v>843</v>
      </c>
      <c r="E55964" t="s">
        <v>864</v>
      </c>
      <c r="F55964" t="s">
        <v>959</v>
      </c>
      <c r="H55964" t="s">
        <v>274</v>
      </c>
      <c r="J55964" t="s">
        <v>140</v>
      </c>
      <c r="K55964">
        <v>161063.51</v>
      </c>
      <c r="L55964">
        <v>383282.5</v>
      </c>
      <c r="M55964">
        <v>1</v>
      </c>
      <c r="N55964" t="s">
        <v>3289</v>
      </c>
      <c r="O55964" t="s">
        <v>1544</v>
      </c>
      <c r="P55964" t="s">
        <v>1986</v>
      </c>
      <c r="Q55964" t="s">
        <v>144</v>
      </c>
      <c r="S55964">
        <v>27</v>
      </c>
      <c r="T55964">
        <v>0</v>
      </c>
      <c r="V55964" t="s">
        <v>146</v>
      </c>
      <c r="W55964" t="s">
        <v>415</v>
      </c>
      <c r="X55964" t="s">
        <v>7</v>
      </c>
      <c r="Y55964" t="s">
        <v>3290</v>
      </c>
      <c r="Z55964" t="s">
        <v>1876</v>
      </c>
      <c r="AA55964" t="s">
        <v>5508</v>
      </c>
      <c r="AB55964">
        <v>0</v>
      </c>
      <c r="AE55964" t="s">
        <v>1460</v>
      </c>
      <c r="AF55964" t="s">
        <v>1544</v>
      </c>
      <c r="AG55964" t="s">
        <v>1090</v>
      </c>
      <c r="AL55964" t="s">
        <v>6979</v>
      </c>
      <c r="AM55964" t="s">
        <v>6980</v>
      </c>
      <c r="AN55964" t="s">
        <v>6981</v>
      </c>
      <c r="AO55964" t="s">
        <v>3289</v>
      </c>
      <c r="AQ55964">
        <f>IF(ISBLANK(AP55964), IFERROR(IF(VLOOKUP(AO55964, Ellens_additions!$A$2:$B$252, 2, FALSE) = "", "", VLOOKUP(AO55964, Ellens_additions!$A$2:$B$252, 2, FALSE)), 0), AP55964)</f>
        <v>0</v>
      </c>
    </row>
    <row r="55965" spans="1:43" ht="14.4" hidden="1" x14ac:dyDescent="0.3">
      <c r="A55965" t="s">
        <v>6982</v>
      </c>
      <c r="B55965">
        <v>4892149</v>
      </c>
      <c r="C55965" t="s">
        <v>842</v>
      </c>
      <c r="D55965" t="s">
        <v>843</v>
      </c>
      <c r="E55965" t="s">
        <v>864</v>
      </c>
      <c r="F55965" t="s">
        <v>959</v>
      </c>
      <c r="H55965" t="s">
        <v>275</v>
      </c>
      <c r="J55965" t="s">
        <v>140</v>
      </c>
      <c r="K55965">
        <v>161068.23000000001</v>
      </c>
      <c r="L55965">
        <v>383282.09</v>
      </c>
      <c r="M55965">
        <v>1</v>
      </c>
      <c r="N55965" t="s">
        <v>3289</v>
      </c>
      <c r="O55965" t="s">
        <v>1544</v>
      </c>
      <c r="P55965" t="s">
        <v>1986</v>
      </c>
      <c r="Q55965" t="s">
        <v>144</v>
      </c>
      <c r="S55965">
        <v>27</v>
      </c>
      <c r="T55965">
        <v>0</v>
      </c>
      <c r="V55965" t="s">
        <v>146</v>
      </c>
      <c r="W55965" t="s">
        <v>415</v>
      </c>
      <c r="X55965" t="s">
        <v>7</v>
      </c>
      <c r="Y55965" t="s">
        <v>3290</v>
      </c>
      <c r="Z55965" t="s">
        <v>1544</v>
      </c>
      <c r="AA55965" t="s">
        <v>752</v>
      </c>
      <c r="AB55965">
        <v>0</v>
      </c>
      <c r="AE55965" t="s">
        <v>1460</v>
      </c>
      <c r="AF55965" t="s">
        <v>1544</v>
      </c>
      <c r="AG55965" t="s">
        <v>1090</v>
      </c>
      <c r="AL55965" t="s">
        <v>6983</v>
      </c>
      <c r="AM55965" t="s">
        <v>6984</v>
      </c>
      <c r="AN55965" t="s">
        <v>6985</v>
      </c>
      <c r="AO55965" t="s">
        <v>3289</v>
      </c>
      <c r="AQ55965">
        <f>IF(ISBLANK(AP55965), IFERROR(IF(VLOOKUP(AO55965, Ellens_additions!$A$2:$B$252, 2, FALSE) = "", "", VLOOKUP(AO55965, Ellens_additions!$A$2:$B$252, 2, FALSE)), 0), AP55965)</f>
        <v>0</v>
      </c>
    </row>
    <row r="55966" spans="1:43" ht="14.4" hidden="1" x14ac:dyDescent="0.3">
      <c r="A55966" t="s">
        <v>6986</v>
      </c>
      <c r="B55966">
        <v>4892150</v>
      </c>
      <c r="C55966" t="s">
        <v>842</v>
      </c>
      <c r="D55966" t="s">
        <v>843</v>
      </c>
      <c r="E55966" t="s">
        <v>864</v>
      </c>
      <c r="F55966" t="s">
        <v>959</v>
      </c>
      <c r="H55966" t="s">
        <v>251</v>
      </c>
      <c r="J55966" t="s">
        <v>140</v>
      </c>
      <c r="K55966">
        <v>161073.82999999999</v>
      </c>
      <c r="L55966">
        <v>383281.1</v>
      </c>
      <c r="M55966">
        <v>1</v>
      </c>
      <c r="N55966" t="s">
        <v>3289</v>
      </c>
      <c r="O55966" t="s">
        <v>1544</v>
      </c>
      <c r="P55966" t="s">
        <v>1986</v>
      </c>
      <c r="Q55966" t="s">
        <v>144</v>
      </c>
      <c r="S55966">
        <v>27</v>
      </c>
      <c r="T55966">
        <v>0</v>
      </c>
      <c r="V55966" t="s">
        <v>146</v>
      </c>
      <c r="W55966" t="s">
        <v>415</v>
      </c>
      <c r="X55966" t="s">
        <v>7</v>
      </c>
      <c r="Y55966" t="s">
        <v>3290</v>
      </c>
      <c r="Z55966" t="s">
        <v>1544</v>
      </c>
      <c r="AA55966" t="s">
        <v>752</v>
      </c>
      <c r="AB55966">
        <v>0</v>
      </c>
      <c r="AE55966" t="s">
        <v>1460</v>
      </c>
      <c r="AF55966" t="s">
        <v>1544</v>
      </c>
      <c r="AG55966" t="s">
        <v>1090</v>
      </c>
      <c r="AL55966" t="s">
        <v>6987</v>
      </c>
      <c r="AM55966" t="s">
        <v>6988</v>
      </c>
      <c r="AN55966" t="s">
        <v>6989</v>
      </c>
      <c r="AO55966" t="s">
        <v>3289</v>
      </c>
      <c r="AQ55966">
        <f>IF(ISBLANK(AP55966), IFERROR(IF(VLOOKUP(AO55966, Ellens_additions!$A$2:$B$252, 2, FALSE) = "", "", VLOOKUP(AO55966, Ellens_additions!$A$2:$B$252, 2, FALSE)), 0), AP55966)</f>
        <v>0</v>
      </c>
    </row>
    <row r="55967" spans="1:43" ht="14.4" hidden="1" x14ac:dyDescent="0.3">
      <c r="A55967" t="s">
        <v>6990</v>
      </c>
      <c r="B55967">
        <v>4892151</v>
      </c>
      <c r="C55967" t="s">
        <v>842</v>
      </c>
      <c r="D55967" t="s">
        <v>843</v>
      </c>
      <c r="E55967" t="s">
        <v>864</v>
      </c>
      <c r="F55967" t="s">
        <v>959</v>
      </c>
      <c r="H55967" t="s">
        <v>303</v>
      </c>
      <c r="J55967" t="s">
        <v>140</v>
      </c>
      <c r="K55967">
        <v>161070.94</v>
      </c>
      <c r="L55967">
        <v>383278.69</v>
      </c>
      <c r="M55967">
        <v>1</v>
      </c>
      <c r="N55967" t="s">
        <v>3289</v>
      </c>
      <c r="O55967" t="s">
        <v>1544</v>
      </c>
      <c r="P55967" t="s">
        <v>1986</v>
      </c>
      <c r="Q55967" t="s">
        <v>144</v>
      </c>
      <c r="S55967">
        <v>27</v>
      </c>
      <c r="T55967">
        <v>0</v>
      </c>
      <c r="V55967" t="s">
        <v>146</v>
      </c>
      <c r="W55967" t="s">
        <v>415</v>
      </c>
      <c r="X55967" t="s">
        <v>7</v>
      </c>
      <c r="Y55967" t="s">
        <v>3290</v>
      </c>
      <c r="Z55967" t="s">
        <v>1544</v>
      </c>
      <c r="AA55967" t="s">
        <v>752</v>
      </c>
      <c r="AB55967">
        <v>0</v>
      </c>
      <c r="AE55967" t="s">
        <v>1460</v>
      </c>
      <c r="AF55967" t="s">
        <v>1544</v>
      </c>
      <c r="AG55967" t="s">
        <v>1090</v>
      </c>
      <c r="AL55967" t="s">
        <v>6991</v>
      </c>
      <c r="AM55967" t="s">
        <v>6992</v>
      </c>
      <c r="AN55967" t="s">
        <v>6993</v>
      </c>
      <c r="AO55967" t="s">
        <v>3289</v>
      </c>
      <c r="AQ55967">
        <f>IF(ISBLANK(AP55967), IFERROR(IF(VLOOKUP(AO55967, Ellens_additions!$A$2:$B$252, 2, FALSE) = "", "", VLOOKUP(AO55967, Ellens_additions!$A$2:$B$252, 2, FALSE)), 0), AP55967)</f>
        <v>0</v>
      </c>
    </row>
    <row r="55968" spans="1:43" ht="14.4" hidden="1" x14ac:dyDescent="0.3">
      <c r="A55968" t="s">
        <v>6994</v>
      </c>
      <c r="B55968">
        <v>4892152</v>
      </c>
      <c r="C55968" t="s">
        <v>842</v>
      </c>
      <c r="D55968" t="s">
        <v>843</v>
      </c>
      <c r="E55968" t="s">
        <v>864</v>
      </c>
      <c r="F55968" t="s">
        <v>959</v>
      </c>
      <c r="H55968" t="s">
        <v>255</v>
      </c>
      <c r="J55968" t="s">
        <v>140</v>
      </c>
      <c r="K55968">
        <v>161073.38</v>
      </c>
      <c r="L55968">
        <v>383275.76</v>
      </c>
      <c r="M55968">
        <v>1</v>
      </c>
      <c r="N55968" t="s">
        <v>3289</v>
      </c>
      <c r="O55968" t="s">
        <v>1544</v>
      </c>
      <c r="P55968" t="s">
        <v>1986</v>
      </c>
      <c r="Q55968" t="s">
        <v>144</v>
      </c>
      <c r="S55968">
        <v>27</v>
      </c>
      <c r="T55968">
        <v>0</v>
      </c>
      <c r="V55968" t="s">
        <v>146</v>
      </c>
      <c r="W55968" t="s">
        <v>415</v>
      </c>
      <c r="X55968" t="s">
        <v>7</v>
      </c>
      <c r="Y55968" t="s">
        <v>3290</v>
      </c>
      <c r="Z55968" t="s">
        <v>1544</v>
      </c>
      <c r="AA55968" t="s">
        <v>752</v>
      </c>
      <c r="AB55968">
        <v>0</v>
      </c>
      <c r="AE55968" t="s">
        <v>1460</v>
      </c>
      <c r="AF55968" t="s">
        <v>1544</v>
      </c>
      <c r="AG55968" t="s">
        <v>1090</v>
      </c>
      <c r="AL55968" t="s">
        <v>6995</v>
      </c>
      <c r="AM55968" t="s">
        <v>6996</v>
      </c>
      <c r="AN55968" t="s">
        <v>6997</v>
      </c>
      <c r="AO55968" t="s">
        <v>3289</v>
      </c>
      <c r="AQ55968">
        <f>IF(ISBLANK(AP55968), IFERROR(IF(VLOOKUP(AO55968, Ellens_additions!$A$2:$B$252, 2, FALSE) = "", "", VLOOKUP(AO55968, Ellens_additions!$A$2:$B$252, 2, FALSE)), 0), AP55968)</f>
        <v>0</v>
      </c>
    </row>
    <row r="55969" ht="14.4" x14ac:dyDescent="0.3"/>
    <row r="55970" ht="14.4" x14ac:dyDescent="0.3"/>
    <row r="55971" ht="14.4" x14ac:dyDescent="0.3"/>
    <row r="55972" ht="14.4" x14ac:dyDescent="0.3"/>
    <row r="55973" ht="14.4" x14ac:dyDescent="0.3"/>
    <row r="55974" ht="14.4" x14ac:dyDescent="0.3"/>
    <row r="55975" ht="14.4" x14ac:dyDescent="0.3"/>
    <row r="55976" ht="14.4" x14ac:dyDescent="0.3"/>
    <row r="55977" ht="14.4" x14ac:dyDescent="0.3"/>
    <row r="55978" ht="14.4" x14ac:dyDescent="0.3"/>
    <row r="55979" ht="14.4" x14ac:dyDescent="0.3"/>
    <row r="55980" ht="14.4" x14ac:dyDescent="0.3"/>
    <row r="55981" ht="14.4" x14ac:dyDescent="0.3"/>
    <row r="55982" ht="14.4" x14ac:dyDescent="0.3"/>
    <row r="55983" ht="14.4" x14ac:dyDescent="0.3"/>
    <row r="55984" ht="14.4" x14ac:dyDescent="0.3"/>
    <row r="55985" spans="1:43" ht="14.4" x14ac:dyDescent="0.3"/>
    <row r="55986" spans="1:43" ht="14.4" x14ac:dyDescent="0.3"/>
    <row r="55987" spans="1:43" ht="14.4" x14ac:dyDescent="0.3"/>
    <row r="55988" spans="1:43" ht="14.4" x14ac:dyDescent="0.3"/>
    <row r="55989" spans="1:43" ht="14.4" x14ac:dyDescent="0.3"/>
    <row r="55990" spans="1:43" ht="14.4" x14ac:dyDescent="0.3"/>
    <row r="55991" spans="1:43" ht="14.4" x14ac:dyDescent="0.3"/>
    <row r="55992" spans="1:43" ht="14.4" x14ac:dyDescent="0.3"/>
    <row r="55993" spans="1:43" ht="14.4" x14ac:dyDescent="0.3"/>
    <row r="55994" spans="1:43" ht="14.4" hidden="1" x14ac:dyDescent="0.3">
      <c r="A55994" t="s">
        <v>5165</v>
      </c>
      <c r="B55994">
        <v>4892268</v>
      </c>
      <c r="C55994" t="s">
        <v>842</v>
      </c>
      <c r="D55994" t="s">
        <v>843</v>
      </c>
      <c r="E55994" t="s">
        <v>864</v>
      </c>
      <c r="F55994" t="s">
        <v>1084</v>
      </c>
      <c r="H55994" t="s">
        <v>408</v>
      </c>
      <c r="J55994" t="s">
        <v>140</v>
      </c>
      <c r="K55994">
        <v>161061.65100000001</v>
      </c>
      <c r="L55994">
        <v>383434.67200000002</v>
      </c>
      <c r="M55994">
        <v>3</v>
      </c>
      <c r="N55994" t="s">
        <v>2049</v>
      </c>
      <c r="O55994" t="s">
        <v>3295</v>
      </c>
      <c r="P55994" t="s">
        <v>770</v>
      </c>
      <c r="Q55994" t="s">
        <v>761</v>
      </c>
      <c r="R55994" t="s">
        <v>145</v>
      </c>
      <c r="S55994">
        <v>36</v>
      </c>
      <c r="T55994">
        <v>0</v>
      </c>
      <c r="V55994" t="s">
        <v>848</v>
      </c>
      <c r="W55994" t="s">
        <v>415</v>
      </c>
      <c r="X55994" t="s">
        <v>7</v>
      </c>
      <c r="Y55994" t="s">
        <v>3296</v>
      </c>
      <c r="Z55994" t="s">
        <v>736</v>
      </c>
      <c r="AA55994" t="s">
        <v>519</v>
      </c>
      <c r="AB55994">
        <v>0</v>
      </c>
      <c r="AC55994" t="s">
        <v>3297</v>
      </c>
      <c r="AE55994" t="s">
        <v>1496</v>
      </c>
      <c r="AF55994" t="s">
        <v>736</v>
      </c>
      <c r="AG55994" t="s">
        <v>519</v>
      </c>
      <c r="AL55994" t="s">
        <v>5166</v>
      </c>
      <c r="AM55994" t="s">
        <v>5167</v>
      </c>
      <c r="AN55994" t="s">
        <v>5168</v>
      </c>
      <c r="AO55994" t="s">
        <v>2049</v>
      </c>
      <c r="AQ55994" t="str">
        <f>IF(ISBLANK(AP55994), IFERROR(IF(VLOOKUP(AO55994, Ellens_additions!$A$2:$B$252, 2, FALSE) = "", "", VLOOKUP(AO55994, Ellens_additions!$A$2:$B$252, 2, FALSE)), 0), AP55994)</f>
        <v/>
      </c>
    </row>
    <row r="55995" spans="1:43" ht="14.4" hidden="1" x14ac:dyDescent="0.3">
      <c r="A55995" t="s">
        <v>5165</v>
      </c>
      <c r="B55995">
        <v>4892270</v>
      </c>
      <c r="C55995" t="s">
        <v>842</v>
      </c>
      <c r="D55995" t="s">
        <v>843</v>
      </c>
      <c r="E55995" t="s">
        <v>864</v>
      </c>
      <c r="F55995" t="s">
        <v>1084</v>
      </c>
      <c r="H55995" t="s">
        <v>408</v>
      </c>
      <c r="J55995" t="s">
        <v>140</v>
      </c>
      <c r="K55995">
        <v>161061.65100000001</v>
      </c>
      <c r="L55995">
        <v>383434.67200000002</v>
      </c>
      <c r="M55995">
        <v>2</v>
      </c>
      <c r="N55995" t="s">
        <v>1261</v>
      </c>
      <c r="O55995" t="s">
        <v>1548</v>
      </c>
      <c r="P55995" t="s">
        <v>3301</v>
      </c>
      <c r="Q55995" t="s">
        <v>761</v>
      </c>
      <c r="R55995" t="s">
        <v>145</v>
      </c>
      <c r="S55995">
        <v>58</v>
      </c>
      <c r="T55995">
        <v>5150</v>
      </c>
      <c r="V55995" t="s">
        <v>848</v>
      </c>
      <c r="W55995" t="s">
        <v>415</v>
      </c>
      <c r="X55995" t="s">
        <v>7</v>
      </c>
      <c r="Y55995" t="s">
        <v>3296</v>
      </c>
      <c r="Z55995" t="s">
        <v>736</v>
      </c>
      <c r="AA55995" t="s">
        <v>519</v>
      </c>
      <c r="AB55995">
        <v>0</v>
      </c>
      <c r="AC55995" t="s">
        <v>3297</v>
      </c>
      <c r="AE55995" t="s">
        <v>1496</v>
      </c>
      <c r="AF55995" t="s">
        <v>736</v>
      </c>
      <c r="AG55995" t="s">
        <v>519</v>
      </c>
      <c r="AL55995" t="s">
        <v>5166</v>
      </c>
      <c r="AM55995" t="s">
        <v>5167</v>
      </c>
      <c r="AN55995" t="s">
        <v>5168</v>
      </c>
      <c r="AO55995" t="s">
        <v>1261</v>
      </c>
      <c r="AP55995" t="s">
        <v>158</v>
      </c>
      <c r="AQ55995" t="str">
        <f>IF(ISBLANK(AP55995), IFERROR(IF(VLOOKUP(AO55995, Ellens_additions!$A$2:$B$252, 2, FALSE) = "", "", VLOOKUP(AO55995, Ellens_additions!$A$2:$B$252, 2, FALSE)), 0), AP55995)</f>
        <v>3000</v>
      </c>
    </row>
    <row r="55996" spans="1:43" ht="14.4" hidden="1" x14ac:dyDescent="0.3">
      <c r="A55996" t="s">
        <v>3302</v>
      </c>
      <c r="B55996">
        <v>4892275</v>
      </c>
      <c r="C55996" t="s">
        <v>842</v>
      </c>
      <c r="D55996" t="s">
        <v>843</v>
      </c>
      <c r="E55996" t="s">
        <v>864</v>
      </c>
      <c r="F55996" t="s">
        <v>1084</v>
      </c>
      <c r="H55996" t="s">
        <v>262</v>
      </c>
      <c r="J55996" t="s">
        <v>140</v>
      </c>
      <c r="K55996">
        <v>161070.764</v>
      </c>
      <c r="L55996">
        <v>383441.087</v>
      </c>
      <c r="M55996">
        <v>2</v>
      </c>
      <c r="N55996" t="s">
        <v>1856</v>
      </c>
      <c r="O55996" t="s">
        <v>216</v>
      </c>
      <c r="P55996" t="s">
        <v>3303</v>
      </c>
      <c r="Q55996" t="s">
        <v>761</v>
      </c>
      <c r="R55996" t="s">
        <v>145</v>
      </c>
      <c r="S55996">
        <v>58</v>
      </c>
      <c r="T55996">
        <v>0</v>
      </c>
      <c r="V55996" t="s">
        <v>848</v>
      </c>
      <c r="W55996" t="s">
        <v>415</v>
      </c>
      <c r="X55996" t="s">
        <v>7</v>
      </c>
      <c r="Y55996" t="s">
        <v>3296</v>
      </c>
      <c r="Z55996" t="s">
        <v>736</v>
      </c>
      <c r="AA55996" t="s">
        <v>519</v>
      </c>
      <c r="AB55996">
        <v>0</v>
      </c>
      <c r="AC55996" t="s">
        <v>3297</v>
      </c>
      <c r="AE55996" t="s">
        <v>1496</v>
      </c>
      <c r="AF55996" t="s">
        <v>736</v>
      </c>
      <c r="AG55996" t="s">
        <v>519</v>
      </c>
      <c r="AL55996" t="s">
        <v>3304</v>
      </c>
      <c r="AM55996" t="s">
        <v>3305</v>
      </c>
      <c r="AN55996" t="s">
        <v>3306</v>
      </c>
      <c r="AO55996" t="s">
        <v>1856</v>
      </c>
      <c r="AQ55996" t="str">
        <f>IF(ISBLANK(AP55996), IFERROR(IF(VLOOKUP(AO55996, Ellens_additions!$A$2:$B$252, 2, FALSE) = "", "", VLOOKUP(AO55996, Ellens_additions!$A$2:$B$252, 2, FALSE)), 0), AP55996)</f>
        <v/>
      </c>
    </row>
    <row r="55997" spans="1:43" ht="14.4" hidden="1" x14ac:dyDescent="0.3">
      <c r="A55997" t="s">
        <v>3302</v>
      </c>
      <c r="B55997">
        <v>4892276</v>
      </c>
      <c r="C55997" t="s">
        <v>842</v>
      </c>
      <c r="D55997" t="s">
        <v>843</v>
      </c>
      <c r="E55997" t="s">
        <v>864</v>
      </c>
      <c r="F55997" t="s">
        <v>1084</v>
      </c>
      <c r="H55997" t="s">
        <v>262</v>
      </c>
      <c r="J55997" t="s">
        <v>140</v>
      </c>
      <c r="K55997">
        <v>161070.764</v>
      </c>
      <c r="L55997">
        <v>383441.087</v>
      </c>
      <c r="M55997">
        <v>3</v>
      </c>
      <c r="N55997" t="s">
        <v>871</v>
      </c>
      <c r="O55997" t="s">
        <v>216</v>
      </c>
      <c r="P55997" t="s">
        <v>3303</v>
      </c>
      <c r="Q55997" t="s">
        <v>761</v>
      </c>
      <c r="R55997" t="s">
        <v>145</v>
      </c>
      <c r="S55997">
        <v>36</v>
      </c>
      <c r="T55997">
        <v>3350</v>
      </c>
      <c r="V55997" t="s">
        <v>848</v>
      </c>
      <c r="W55997" t="s">
        <v>415</v>
      </c>
      <c r="X55997" t="s">
        <v>7</v>
      </c>
      <c r="Y55997" t="s">
        <v>3296</v>
      </c>
      <c r="Z55997" t="s">
        <v>736</v>
      </c>
      <c r="AA55997" t="s">
        <v>519</v>
      </c>
      <c r="AB55997">
        <v>0</v>
      </c>
      <c r="AC55997" t="s">
        <v>3297</v>
      </c>
      <c r="AE55997" t="s">
        <v>1496</v>
      </c>
      <c r="AF55997" t="s">
        <v>736</v>
      </c>
      <c r="AG55997" t="s">
        <v>519</v>
      </c>
      <c r="AL55997" t="s">
        <v>3304</v>
      </c>
      <c r="AM55997" t="s">
        <v>3305</v>
      </c>
      <c r="AN55997" t="s">
        <v>3306</v>
      </c>
      <c r="AO55997" t="s">
        <v>871</v>
      </c>
      <c r="AQ55997" t="str">
        <f>IF(ISBLANK(AP55997), IFERROR(IF(VLOOKUP(AO55997, Ellens_additions!$A$2:$B$252, 2, FALSE) = "", "", VLOOKUP(AO55997, Ellens_additions!$A$2:$B$252, 2, FALSE)), 0), AP55997)</f>
        <v/>
      </c>
    </row>
    <row r="55998" spans="1:43" ht="14.4" hidden="1" x14ac:dyDescent="0.3">
      <c r="A55998" t="s">
        <v>3307</v>
      </c>
      <c r="B55998">
        <v>4892282</v>
      </c>
      <c r="C55998" t="s">
        <v>842</v>
      </c>
      <c r="D55998" t="s">
        <v>843</v>
      </c>
      <c r="E55998" t="s">
        <v>864</v>
      </c>
      <c r="F55998" t="s">
        <v>1084</v>
      </c>
      <c r="H55998" t="s">
        <v>300</v>
      </c>
      <c r="J55998" t="s">
        <v>140</v>
      </c>
      <c r="K55998">
        <v>161065.02600000001</v>
      </c>
      <c r="L55998">
        <v>383448.44799999997</v>
      </c>
      <c r="M55998">
        <v>3</v>
      </c>
      <c r="N55998" t="s">
        <v>871</v>
      </c>
      <c r="O55998" t="s">
        <v>216</v>
      </c>
      <c r="P55998" t="s">
        <v>3303</v>
      </c>
      <c r="Q55998" t="s">
        <v>761</v>
      </c>
      <c r="R55998" t="s">
        <v>145</v>
      </c>
      <c r="S55998">
        <v>36</v>
      </c>
      <c r="T55998">
        <v>3350</v>
      </c>
      <c r="V55998" t="s">
        <v>848</v>
      </c>
      <c r="W55998" t="s">
        <v>415</v>
      </c>
      <c r="X55998" t="s">
        <v>7</v>
      </c>
      <c r="Y55998" t="s">
        <v>3296</v>
      </c>
      <c r="Z55998" t="s">
        <v>736</v>
      </c>
      <c r="AA55998" t="s">
        <v>519</v>
      </c>
      <c r="AB55998">
        <v>0</v>
      </c>
      <c r="AC55998" t="s">
        <v>3297</v>
      </c>
      <c r="AE55998" t="s">
        <v>1496</v>
      </c>
      <c r="AF55998" t="s">
        <v>736</v>
      </c>
      <c r="AG55998" t="s">
        <v>519</v>
      </c>
      <c r="AL55998" t="s">
        <v>3308</v>
      </c>
      <c r="AM55998" t="s">
        <v>3309</v>
      </c>
      <c r="AN55998" t="s">
        <v>3310</v>
      </c>
      <c r="AO55998" t="s">
        <v>871</v>
      </c>
      <c r="AQ55998" t="str">
        <f>IF(ISBLANK(AP55998), IFERROR(IF(VLOOKUP(AO55998, Ellens_additions!$A$2:$B$252, 2, FALSE) = "", "", VLOOKUP(AO55998, Ellens_additions!$A$2:$B$252, 2, FALSE)), 0), AP55998)</f>
        <v/>
      </c>
    </row>
    <row r="55999" spans="1:43" ht="14.4" hidden="1" x14ac:dyDescent="0.3">
      <c r="A55999" t="s">
        <v>3311</v>
      </c>
      <c r="B55999">
        <v>4892284</v>
      </c>
      <c r="C55999" t="s">
        <v>842</v>
      </c>
      <c r="D55999" t="s">
        <v>843</v>
      </c>
      <c r="E55999" t="s">
        <v>864</v>
      </c>
      <c r="F55999" t="s">
        <v>1084</v>
      </c>
      <c r="H55999" t="s">
        <v>753</v>
      </c>
      <c r="J55999" t="s">
        <v>140</v>
      </c>
      <c r="K55999">
        <v>161076.09700000001</v>
      </c>
      <c r="L55999">
        <v>383447.098</v>
      </c>
      <c r="M55999">
        <v>2</v>
      </c>
      <c r="N55999" t="s">
        <v>1856</v>
      </c>
      <c r="O55999" t="s">
        <v>216</v>
      </c>
      <c r="P55999" t="s">
        <v>3303</v>
      </c>
      <c r="Q55999" t="s">
        <v>761</v>
      </c>
      <c r="R55999" t="s">
        <v>145</v>
      </c>
      <c r="S55999">
        <v>58</v>
      </c>
      <c r="T55999">
        <v>0</v>
      </c>
      <c r="V55999" t="s">
        <v>848</v>
      </c>
      <c r="W55999" t="s">
        <v>415</v>
      </c>
      <c r="X55999" t="s">
        <v>7</v>
      </c>
      <c r="Y55999" t="s">
        <v>3296</v>
      </c>
      <c r="Z55999" t="s">
        <v>736</v>
      </c>
      <c r="AA55999" t="s">
        <v>519</v>
      </c>
      <c r="AB55999">
        <v>0</v>
      </c>
      <c r="AC55999" t="s">
        <v>3297</v>
      </c>
      <c r="AE55999" t="s">
        <v>1496</v>
      </c>
      <c r="AF55999" t="s">
        <v>736</v>
      </c>
      <c r="AG55999" t="s">
        <v>519</v>
      </c>
      <c r="AL55999" t="s">
        <v>3312</v>
      </c>
      <c r="AM55999" t="s">
        <v>3313</v>
      </c>
      <c r="AN55999" t="s">
        <v>3314</v>
      </c>
      <c r="AO55999" t="s">
        <v>1856</v>
      </c>
      <c r="AQ55999" t="str">
        <f>IF(ISBLANK(AP55999), IFERROR(IF(VLOOKUP(AO55999, Ellens_additions!$A$2:$B$252, 2, FALSE) = "", "", VLOOKUP(AO55999, Ellens_additions!$A$2:$B$252, 2, FALSE)), 0), AP55999)</f>
        <v/>
      </c>
    </row>
    <row r="56000" spans="1:43" ht="14.4" hidden="1" x14ac:dyDescent="0.3">
      <c r="A56000" t="s">
        <v>3311</v>
      </c>
      <c r="B56000">
        <v>4892285</v>
      </c>
      <c r="C56000" t="s">
        <v>842</v>
      </c>
      <c r="D56000" t="s">
        <v>843</v>
      </c>
      <c r="E56000" t="s">
        <v>864</v>
      </c>
      <c r="F56000" t="s">
        <v>1084</v>
      </c>
      <c r="H56000" t="s">
        <v>753</v>
      </c>
      <c r="J56000" t="s">
        <v>140</v>
      </c>
      <c r="K56000">
        <v>161076.09700000001</v>
      </c>
      <c r="L56000">
        <v>383447.098</v>
      </c>
      <c r="M56000">
        <v>3</v>
      </c>
      <c r="N56000" t="s">
        <v>871</v>
      </c>
      <c r="O56000" t="s">
        <v>216</v>
      </c>
      <c r="P56000" t="s">
        <v>3303</v>
      </c>
      <c r="Q56000" t="s">
        <v>761</v>
      </c>
      <c r="R56000" t="s">
        <v>145</v>
      </c>
      <c r="S56000">
        <v>36</v>
      </c>
      <c r="T56000">
        <v>3350</v>
      </c>
      <c r="V56000" t="s">
        <v>848</v>
      </c>
      <c r="W56000" t="s">
        <v>415</v>
      </c>
      <c r="X56000" t="s">
        <v>7</v>
      </c>
      <c r="Y56000" t="s">
        <v>3296</v>
      </c>
      <c r="Z56000" t="s">
        <v>736</v>
      </c>
      <c r="AA56000" t="s">
        <v>519</v>
      </c>
      <c r="AB56000">
        <v>0</v>
      </c>
      <c r="AC56000" t="s">
        <v>3297</v>
      </c>
      <c r="AE56000" t="s">
        <v>1496</v>
      </c>
      <c r="AF56000" t="s">
        <v>736</v>
      </c>
      <c r="AG56000" t="s">
        <v>519</v>
      </c>
      <c r="AL56000" t="s">
        <v>3312</v>
      </c>
      <c r="AM56000" t="s">
        <v>3313</v>
      </c>
      <c r="AN56000" t="s">
        <v>3314</v>
      </c>
      <c r="AO56000" t="s">
        <v>871</v>
      </c>
      <c r="AQ56000" t="str">
        <f>IF(ISBLANK(AP56000), IFERROR(IF(VLOOKUP(AO56000, Ellens_additions!$A$2:$B$252, 2, FALSE) = "", "", VLOOKUP(AO56000, Ellens_additions!$A$2:$B$252, 2, FALSE)), 0), AP56000)</f>
        <v/>
      </c>
    </row>
    <row r="56001" spans="1:43" ht="14.4" hidden="1" x14ac:dyDescent="0.3">
      <c r="A56001" t="s">
        <v>6998</v>
      </c>
      <c r="B56001">
        <v>4892286</v>
      </c>
      <c r="C56001" t="s">
        <v>842</v>
      </c>
      <c r="D56001" t="s">
        <v>843</v>
      </c>
      <c r="E56001" t="s">
        <v>864</v>
      </c>
      <c r="F56001" t="s">
        <v>1084</v>
      </c>
      <c r="H56001" t="s">
        <v>464</v>
      </c>
      <c r="J56001" t="s">
        <v>140</v>
      </c>
      <c r="K56001">
        <v>161081.22700000001</v>
      </c>
      <c r="L56001">
        <v>383451.62199999997</v>
      </c>
      <c r="M56001">
        <v>1</v>
      </c>
      <c r="N56001" t="s">
        <v>1856</v>
      </c>
      <c r="O56001" t="s">
        <v>216</v>
      </c>
      <c r="P56001" t="s">
        <v>3303</v>
      </c>
      <c r="Q56001" t="s">
        <v>761</v>
      </c>
      <c r="R56001" t="s">
        <v>145</v>
      </c>
      <c r="S56001">
        <v>58</v>
      </c>
      <c r="T56001">
        <v>0</v>
      </c>
      <c r="V56001" t="s">
        <v>848</v>
      </c>
      <c r="W56001" t="s">
        <v>415</v>
      </c>
      <c r="X56001" t="s">
        <v>7</v>
      </c>
      <c r="Y56001" t="s">
        <v>3296</v>
      </c>
      <c r="Z56001" t="s">
        <v>736</v>
      </c>
      <c r="AA56001" t="s">
        <v>519</v>
      </c>
      <c r="AB56001">
        <v>0</v>
      </c>
      <c r="AC56001" t="s">
        <v>3297</v>
      </c>
      <c r="AE56001" t="s">
        <v>1496</v>
      </c>
      <c r="AF56001" t="s">
        <v>736</v>
      </c>
      <c r="AG56001" t="s">
        <v>519</v>
      </c>
      <c r="AL56001" t="s">
        <v>6999</v>
      </c>
      <c r="AM56001" t="s">
        <v>7000</v>
      </c>
      <c r="AN56001" t="s">
        <v>7001</v>
      </c>
      <c r="AO56001" t="s">
        <v>1856</v>
      </c>
      <c r="AQ56001" t="str">
        <f>IF(ISBLANK(AP56001), IFERROR(IF(VLOOKUP(AO56001, Ellens_additions!$A$2:$B$252, 2, FALSE) = "", "", VLOOKUP(AO56001, Ellens_additions!$A$2:$B$252, 2, FALSE)), 0), AP56001)</f>
        <v/>
      </c>
    </row>
    <row r="56002" spans="1:43" ht="14.4" hidden="1" x14ac:dyDescent="0.3">
      <c r="A56002" t="s">
        <v>6998</v>
      </c>
      <c r="B56002">
        <v>4892287</v>
      </c>
      <c r="C56002" t="s">
        <v>842</v>
      </c>
      <c r="D56002" t="s">
        <v>843</v>
      </c>
      <c r="E56002" t="s">
        <v>864</v>
      </c>
      <c r="F56002" t="s">
        <v>1084</v>
      </c>
      <c r="H56002" t="s">
        <v>464</v>
      </c>
      <c r="J56002" t="s">
        <v>140</v>
      </c>
      <c r="K56002">
        <v>161081.22700000001</v>
      </c>
      <c r="L56002">
        <v>383451.62199999997</v>
      </c>
      <c r="M56002">
        <v>2</v>
      </c>
      <c r="N56002" t="s">
        <v>1856</v>
      </c>
      <c r="O56002" t="s">
        <v>216</v>
      </c>
      <c r="P56002" t="s">
        <v>3303</v>
      </c>
      <c r="Q56002" t="s">
        <v>761</v>
      </c>
      <c r="R56002" t="s">
        <v>145</v>
      </c>
      <c r="S56002">
        <v>58</v>
      </c>
      <c r="T56002">
        <v>0</v>
      </c>
      <c r="V56002" t="s">
        <v>848</v>
      </c>
      <c r="W56002" t="s">
        <v>415</v>
      </c>
      <c r="X56002" t="s">
        <v>7</v>
      </c>
      <c r="Y56002" t="s">
        <v>3296</v>
      </c>
      <c r="Z56002" t="s">
        <v>736</v>
      </c>
      <c r="AA56002" t="s">
        <v>519</v>
      </c>
      <c r="AB56002">
        <v>0</v>
      </c>
      <c r="AC56002" t="s">
        <v>3297</v>
      </c>
      <c r="AE56002" t="s">
        <v>1496</v>
      </c>
      <c r="AF56002" t="s">
        <v>736</v>
      </c>
      <c r="AG56002" t="s">
        <v>519</v>
      </c>
      <c r="AL56002" t="s">
        <v>6999</v>
      </c>
      <c r="AM56002" t="s">
        <v>7000</v>
      </c>
      <c r="AN56002" t="s">
        <v>7001</v>
      </c>
      <c r="AO56002" t="s">
        <v>1856</v>
      </c>
      <c r="AQ56002" t="str">
        <f>IF(ISBLANK(AP56002), IFERROR(IF(VLOOKUP(AO56002, Ellens_additions!$A$2:$B$252, 2, FALSE) = "", "", VLOOKUP(AO56002, Ellens_additions!$A$2:$B$252, 2, FALSE)), 0), AP56002)</f>
        <v/>
      </c>
    </row>
    <row r="56003" spans="1:43" ht="14.4" hidden="1" x14ac:dyDescent="0.3">
      <c r="A56003" t="s">
        <v>6998</v>
      </c>
      <c r="B56003">
        <v>4892288</v>
      </c>
      <c r="C56003" t="s">
        <v>842</v>
      </c>
      <c r="D56003" t="s">
        <v>843</v>
      </c>
      <c r="E56003" t="s">
        <v>864</v>
      </c>
      <c r="F56003" t="s">
        <v>1084</v>
      </c>
      <c r="H56003" t="s">
        <v>464</v>
      </c>
      <c r="J56003" t="s">
        <v>140</v>
      </c>
      <c r="K56003">
        <v>161081.22700000001</v>
      </c>
      <c r="L56003">
        <v>383451.62199999997</v>
      </c>
      <c r="M56003">
        <v>3</v>
      </c>
      <c r="N56003" t="s">
        <v>871</v>
      </c>
      <c r="O56003" t="s">
        <v>216</v>
      </c>
      <c r="P56003" t="s">
        <v>3303</v>
      </c>
      <c r="Q56003" t="s">
        <v>761</v>
      </c>
      <c r="R56003" t="s">
        <v>145</v>
      </c>
      <c r="S56003">
        <v>36</v>
      </c>
      <c r="T56003">
        <v>3350</v>
      </c>
      <c r="V56003" t="s">
        <v>848</v>
      </c>
      <c r="W56003" t="s">
        <v>415</v>
      </c>
      <c r="X56003" t="s">
        <v>7</v>
      </c>
      <c r="Y56003" t="s">
        <v>3296</v>
      </c>
      <c r="Z56003" t="s">
        <v>736</v>
      </c>
      <c r="AA56003" t="s">
        <v>519</v>
      </c>
      <c r="AB56003">
        <v>0</v>
      </c>
      <c r="AC56003" t="s">
        <v>3297</v>
      </c>
      <c r="AE56003" t="s">
        <v>1496</v>
      </c>
      <c r="AF56003" t="s">
        <v>736</v>
      </c>
      <c r="AG56003" t="s">
        <v>519</v>
      </c>
      <c r="AL56003" t="s">
        <v>6999</v>
      </c>
      <c r="AM56003" t="s">
        <v>7000</v>
      </c>
      <c r="AN56003" t="s">
        <v>7001</v>
      </c>
      <c r="AO56003" t="s">
        <v>871</v>
      </c>
      <c r="AQ56003" t="str">
        <f>IF(ISBLANK(AP56003), IFERROR(IF(VLOOKUP(AO56003, Ellens_additions!$A$2:$B$252, 2, FALSE) = "", "", VLOOKUP(AO56003, Ellens_additions!$A$2:$B$252, 2, FALSE)), 0), AP56003)</f>
        <v/>
      </c>
    </row>
    <row r="56004" spans="1:43" ht="14.4" hidden="1" x14ac:dyDescent="0.3">
      <c r="A56004" t="s">
        <v>3315</v>
      </c>
      <c r="B56004">
        <v>4892289</v>
      </c>
      <c r="C56004" t="s">
        <v>842</v>
      </c>
      <c r="D56004" t="s">
        <v>843</v>
      </c>
      <c r="E56004" t="s">
        <v>864</v>
      </c>
      <c r="F56004" t="s">
        <v>1084</v>
      </c>
      <c r="H56004" t="s">
        <v>302</v>
      </c>
      <c r="J56004" t="s">
        <v>140</v>
      </c>
      <c r="K56004">
        <v>161079</v>
      </c>
      <c r="L56004">
        <v>383454.66100000002</v>
      </c>
      <c r="M56004">
        <v>1</v>
      </c>
      <c r="N56004" t="s">
        <v>1856</v>
      </c>
      <c r="O56004" t="s">
        <v>216</v>
      </c>
      <c r="P56004" t="s">
        <v>3303</v>
      </c>
      <c r="Q56004" t="s">
        <v>761</v>
      </c>
      <c r="R56004" t="s">
        <v>145</v>
      </c>
      <c r="S56004">
        <v>58</v>
      </c>
      <c r="T56004">
        <v>0</v>
      </c>
      <c r="V56004" t="s">
        <v>848</v>
      </c>
      <c r="W56004" t="s">
        <v>415</v>
      </c>
      <c r="X56004" t="s">
        <v>7</v>
      </c>
      <c r="Y56004" t="s">
        <v>3296</v>
      </c>
      <c r="Z56004" t="s">
        <v>736</v>
      </c>
      <c r="AA56004" t="s">
        <v>519</v>
      </c>
      <c r="AB56004">
        <v>0</v>
      </c>
      <c r="AC56004" t="s">
        <v>3297</v>
      </c>
      <c r="AE56004" t="s">
        <v>1496</v>
      </c>
      <c r="AF56004" t="s">
        <v>736</v>
      </c>
      <c r="AG56004" t="s">
        <v>519</v>
      </c>
      <c r="AL56004" t="s">
        <v>3316</v>
      </c>
      <c r="AM56004" t="s">
        <v>3317</v>
      </c>
      <c r="AN56004" t="s">
        <v>3318</v>
      </c>
      <c r="AO56004" t="s">
        <v>1856</v>
      </c>
      <c r="AQ56004" t="str">
        <f>IF(ISBLANK(AP56004), IFERROR(IF(VLOOKUP(AO56004, Ellens_additions!$A$2:$B$252, 2, FALSE) = "", "", VLOOKUP(AO56004, Ellens_additions!$A$2:$B$252, 2, FALSE)), 0), AP56004)</f>
        <v/>
      </c>
    </row>
    <row r="56005" spans="1:43" ht="14.4" hidden="1" x14ac:dyDescent="0.3">
      <c r="A56005" t="s">
        <v>3315</v>
      </c>
      <c r="B56005">
        <v>4892290</v>
      </c>
      <c r="C56005" t="s">
        <v>842</v>
      </c>
      <c r="D56005" t="s">
        <v>843</v>
      </c>
      <c r="E56005" t="s">
        <v>864</v>
      </c>
      <c r="F56005" t="s">
        <v>1084</v>
      </c>
      <c r="H56005" t="s">
        <v>302</v>
      </c>
      <c r="J56005" t="s">
        <v>140</v>
      </c>
      <c r="K56005">
        <v>161079</v>
      </c>
      <c r="L56005">
        <v>383454.66100000002</v>
      </c>
      <c r="M56005">
        <v>2</v>
      </c>
      <c r="N56005" t="s">
        <v>1856</v>
      </c>
      <c r="O56005" t="s">
        <v>216</v>
      </c>
      <c r="P56005" t="s">
        <v>3303</v>
      </c>
      <c r="Q56005" t="s">
        <v>761</v>
      </c>
      <c r="R56005" t="s">
        <v>145</v>
      </c>
      <c r="S56005">
        <v>58</v>
      </c>
      <c r="T56005">
        <v>0</v>
      </c>
      <c r="V56005" t="s">
        <v>848</v>
      </c>
      <c r="W56005" t="s">
        <v>415</v>
      </c>
      <c r="X56005" t="s">
        <v>7</v>
      </c>
      <c r="Y56005" t="s">
        <v>3296</v>
      </c>
      <c r="Z56005" t="s">
        <v>736</v>
      </c>
      <c r="AA56005" t="s">
        <v>519</v>
      </c>
      <c r="AB56005">
        <v>0</v>
      </c>
      <c r="AC56005" t="s">
        <v>3297</v>
      </c>
      <c r="AE56005" t="s">
        <v>1496</v>
      </c>
      <c r="AF56005" t="s">
        <v>736</v>
      </c>
      <c r="AG56005" t="s">
        <v>519</v>
      </c>
      <c r="AL56005" t="s">
        <v>3316</v>
      </c>
      <c r="AM56005" t="s">
        <v>3317</v>
      </c>
      <c r="AN56005" t="s">
        <v>3318</v>
      </c>
      <c r="AO56005" t="s">
        <v>1856</v>
      </c>
      <c r="AQ56005" t="str">
        <f>IF(ISBLANK(AP56005), IFERROR(IF(VLOOKUP(AO56005, Ellens_additions!$A$2:$B$252, 2, FALSE) = "", "", VLOOKUP(AO56005, Ellens_additions!$A$2:$B$252, 2, FALSE)), 0), AP56005)</f>
        <v/>
      </c>
    </row>
    <row r="56006" spans="1:43" ht="14.4" hidden="1" x14ac:dyDescent="0.3">
      <c r="A56006" t="s">
        <v>5173</v>
      </c>
      <c r="B56006">
        <v>4892295</v>
      </c>
      <c r="C56006" t="s">
        <v>842</v>
      </c>
      <c r="D56006" t="s">
        <v>843</v>
      </c>
      <c r="E56006" t="s">
        <v>864</v>
      </c>
      <c r="F56006" t="s">
        <v>1084</v>
      </c>
      <c r="H56006" t="s">
        <v>139</v>
      </c>
      <c r="J56006" t="s">
        <v>140</v>
      </c>
      <c r="K56006">
        <v>161070.967</v>
      </c>
      <c r="L56006">
        <v>383466.68099999998</v>
      </c>
      <c r="M56006">
        <v>1</v>
      </c>
      <c r="N56006" t="s">
        <v>1856</v>
      </c>
      <c r="O56006" t="s">
        <v>216</v>
      </c>
      <c r="P56006" t="s">
        <v>3303</v>
      </c>
      <c r="Q56006" t="s">
        <v>761</v>
      </c>
      <c r="R56006" t="s">
        <v>145</v>
      </c>
      <c r="S56006">
        <v>58</v>
      </c>
      <c r="T56006">
        <v>0</v>
      </c>
      <c r="V56006" t="s">
        <v>848</v>
      </c>
      <c r="W56006" t="s">
        <v>415</v>
      </c>
      <c r="X56006" t="s">
        <v>7</v>
      </c>
      <c r="Y56006" t="s">
        <v>3296</v>
      </c>
      <c r="Z56006" t="s">
        <v>736</v>
      </c>
      <c r="AA56006" t="s">
        <v>519</v>
      </c>
      <c r="AB56006">
        <v>0</v>
      </c>
      <c r="AC56006" t="s">
        <v>3297</v>
      </c>
      <c r="AE56006" t="s">
        <v>1496</v>
      </c>
      <c r="AF56006" t="s">
        <v>736</v>
      </c>
      <c r="AG56006" t="s">
        <v>519</v>
      </c>
      <c r="AL56006" t="s">
        <v>5174</v>
      </c>
      <c r="AM56006" t="s">
        <v>5175</v>
      </c>
      <c r="AN56006" t="s">
        <v>5176</v>
      </c>
      <c r="AO56006" t="s">
        <v>1856</v>
      </c>
      <c r="AQ56006" t="str">
        <f>IF(ISBLANK(AP56006), IFERROR(IF(VLOOKUP(AO56006, Ellens_additions!$A$2:$B$252, 2, FALSE) = "", "", VLOOKUP(AO56006, Ellens_additions!$A$2:$B$252, 2, FALSE)), 0), AP56006)</f>
        <v/>
      </c>
    </row>
    <row r="56007" spans="1:43" ht="14.4" hidden="1" x14ac:dyDescent="0.3">
      <c r="A56007" t="s">
        <v>5173</v>
      </c>
      <c r="B56007">
        <v>4892297</v>
      </c>
      <c r="C56007" t="s">
        <v>842</v>
      </c>
      <c r="D56007" t="s">
        <v>843</v>
      </c>
      <c r="E56007" t="s">
        <v>864</v>
      </c>
      <c r="F56007" t="s">
        <v>1084</v>
      </c>
      <c r="H56007" t="s">
        <v>139</v>
      </c>
      <c r="J56007" t="s">
        <v>140</v>
      </c>
      <c r="K56007">
        <v>161070.967</v>
      </c>
      <c r="L56007">
        <v>383466.68099999998</v>
      </c>
      <c r="M56007">
        <v>3</v>
      </c>
      <c r="N56007" t="s">
        <v>871</v>
      </c>
      <c r="O56007" t="s">
        <v>216</v>
      </c>
      <c r="P56007" t="s">
        <v>3303</v>
      </c>
      <c r="Q56007" t="s">
        <v>761</v>
      </c>
      <c r="R56007" t="s">
        <v>145</v>
      </c>
      <c r="S56007">
        <v>36</v>
      </c>
      <c r="T56007">
        <v>3350</v>
      </c>
      <c r="V56007" t="s">
        <v>848</v>
      </c>
      <c r="W56007" t="s">
        <v>415</v>
      </c>
      <c r="X56007" t="s">
        <v>7</v>
      </c>
      <c r="Y56007" t="s">
        <v>3296</v>
      </c>
      <c r="Z56007" t="s">
        <v>736</v>
      </c>
      <c r="AA56007" t="s">
        <v>519</v>
      </c>
      <c r="AB56007">
        <v>0</v>
      </c>
      <c r="AC56007" t="s">
        <v>3297</v>
      </c>
      <c r="AE56007" t="s">
        <v>1496</v>
      </c>
      <c r="AF56007" t="s">
        <v>736</v>
      </c>
      <c r="AG56007" t="s">
        <v>519</v>
      </c>
      <c r="AL56007" t="s">
        <v>5174</v>
      </c>
      <c r="AM56007" t="s">
        <v>5175</v>
      </c>
      <c r="AN56007" t="s">
        <v>5176</v>
      </c>
      <c r="AO56007" t="s">
        <v>871</v>
      </c>
      <c r="AQ56007" t="str">
        <f>IF(ISBLANK(AP56007), IFERROR(IF(VLOOKUP(AO56007, Ellens_additions!$A$2:$B$252, 2, FALSE) = "", "", VLOOKUP(AO56007, Ellens_additions!$A$2:$B$252, 2, FALSE)), 0), AP56007)</f>
        <v/>
      </c>
    </row>
    <row r="56008" spans="1:43" ht="14.4" hidden="1" x14ac:dyDescent="0.3">
      <c r="A56008" t="s">
        <v>3323</v>
      </c>
      <c r="B56008">
        <v>4892298</v>
      </c>
      <c r="C56008" t="s">
        <v>842</v>
      </c>
      <c r="D56008" t="s">
        <v>843</v>
      </c>
      <c r="E56008" t="s">
        <v>864</v>
      </c>
      <c r="F56008" t="s">
        <v>1084</v>
      </c>
      <c r="H56008" t="s">
        <v>301</v>
      </c>
      <c r="J56008" t="s">
        <v>140</v>
      </c>
      <c r="K56008">
        <v>161070.427</v>
      </c>
      <c r="L56008">
        <v>383452.09499999997</v>
      </c>
      <c r="M56008">
        <v>1</v>
      </c>
      <c r="N56008" t="s">
        <v>1856</v>
      </c>
      <c r="O56008" t="s">
        <v>216</v>
      </c>
      <c r="P56008" t="s">
        <v>3303</v>
      </c>
      <c r="Q56008" t="s">
        <v>761</v>
      </c>
      <c r="R56008" t="s">
        <v>145</v>
      </c>
      <c r="S56008">
        <v>58</v>
      </c>
      <c r="T56008">
        <v>0</v>
      </c>
      <c r="V56008" t="s">
        <v>848</v>
      </c>
      <c r="W56008" t="s">
        <v>415</v>
      </c>
      <c r="X56008" t="s">
        <v>7</v>
      </c>
      <c r="Y56008" t="s">
        <v>3296</v>
      </c>
      <c r="Z56008" t="s">
        <v>736</v>
      </c>
      <c r="AA56008" t="s">
        <v>519</v>
      </c>
      <c r="AB56008">
        <v>0</v>
      </c>
      <c r="AC56008" t="s">
        <v>3297</v>
      </c>
      <c r="AE56008" t="s">
        <v>1496</v>
      </c>
      <c r="AF56008" t="s">
        <v>736</v>
      </c>
      <c r="AG56008" t="s">
        <v>519</v>
      </c>
      <c r="AL56008" t="s">
        <v>3324</v>
      </c>
      <c r="AM56008" t="s">
        <v>3325</v>
      </c>
      <c r="AN56008" t="s">
        <v>3326</v>
      </c>
      <c r="AO56008" t="s">
        <v>1856</v>
      </c>
      <c r="AQ56008" t="str">
        <f>IF(ISBLANK(AP56008), IFERROR(IF(VLOOKUP(AO56008, Ellens_additions!$A$2:$B$252, 2, FALSE) = "", "", VLOOKUP(AO56008, Ellens_additions!$A$2:$B$252, 2, FALSE)), 0), AP56008)</f>
        <v/>
      </c>
    </row>
    <row r="56009" spans="1:43" ht="14.4" x14ac:dyDescent="0.3"/>
    <row r="56010" spans="1:43" ht="14.4" x14ac:dyDescent="0.3"/>
    <row r="56011" spans="1:43" ht="14.4" x14ac:dyDescent="0.3"/>
    <row r="56012" spans="1:43" ht="14.4" x14ac:dyDescent="0.3"/>
    <row r="56013" spans="1:43" ht="14.4" x14ac:dyDescent="0.3"/>
    <row r="56014" spans="1:43" ht="14.4" x14ac:dyDescent="0.3"/>
    <row r="56015" spans="1:43" ht="14.4" x14ac:dyDescent="0.3"/>
    <row r="56016" spans="1:43" ht="14.4" x14ac:dyDescent="0.3"/>
    <row r="56017" spans="1:43" ht="14.4" x14ac:dyDescent="0.3"/>
    <row r="56018" spans="1:43" ht="14.4" x14ac:dyDescent="0.3"/>
    <row r="56019" spans="1:43" ht="14.4" x14ac:dyDescent="0.3"/>
    <row r="56020" spans="1:43" ht="14.4" x14ac:dyDescent="0.3"/>
    <row r="56021" spans="1:43" ht="14.4" x14ac:dyDescent="0.3"/>
    <row r="56022" spans="1:43" ht="14.4" x14ac:dyDescent="0.3"/>
    <row r="56023" spans="1:43" ht="14.4" x14ac:dyDescent="0.3"/>
    <row r="56024" spans="1:43" ht="14.4" x14ac:dyDescent="0.3"/>
    <row r="56025" spans="1:43" ht="14.4" x14ac:dyDescent="0.3"/>
    <row r="56026" spans="1:43" ht="14.4" x14ac:dyDescent="0.3"/>
    <row r="56027" spans="1:43" ht="14.4" x14ac:dyDescent="0.3"/>
    <row r="56028" spans="1:43" ht="14.4" hidden="1" x14ac:dyDescent="0.3">
      <c r="A56028" t="s">
        <v>7002</v>
      </c>
      <c r="B56028">
        <v>4892360</v>
      </c>
      <c r="C56028" t="s">
        <v>842</v>
      </c>
      <c r="D56028" t="s">
        <v>843</v>
      </c>
      <c r="E56028" t="s">
        <v>844</v>
      </c>
      <c r="F56028" t="s">
        <v>1962</v>
      </c>
      <c r="H56028" t="s">
        <v>557</v>
      </c>
      <c r="J56028" t="s">
        <v>140</v>
      </c>
      <c r="K56028">
        <v>161518.54999999999</v>
      </c>
      <c r="L56028">
        <v>382932.56699999998</v>
      </c>
      <c r="M56028">
        <v>1</v>
      </c>
      <c r="N56028" t="s">
        <v>871</v>
      </c>
      <c r="O56028" t="s">
        <v>1074</v>
      </c>
      <c r="P56028" t="s">
        <v>180</v>
      </c>
      <c r="Q56028" t="s">
        <v>761</v>
      </c>
      <c r="R56028" t="s">
        <v>145</v>
      </c>
      <c r="S56028">
        <v>36</v>
      </c>
      <c r="T56028">
        <v>3350</v>
      </c>
      <c r="V56028" t="s">
        <v>848</v>
      </c>
      <c r="W56028" t="s">
        <v>415</v>
      </c>
      <c r="X56028" t="s">
        <v>7</v>
      </c>
      <c r="Y56028" t="s">
        <v>1376</v>
      </c>
      <c r="Z56028" t="s">
        <v>3267</v>
      </c>
      <c r="AA56028" t="s">
        <v>1535</v>
      </c>
      <c r="AB56028">
        <v>80</v>
      </c>
      <c r="AC56028" t="s">
        <v>150</v>
      </c>
      <c r="AE56028" t="s">
        <v>550</v>
      </c>
      <c r="AF56028" t="s">
        <v>3267</v>
      </c>
      <c r="AG56028" t="s">
        <v>488</v>
      </c>
      <c r="AL56028" t="s">
        <v>7003</v>
      </c>
      <c r="AM56028" t="s">
        <v>7004</v>
      </c>
      <c r="AN56028" t="s">
        <v>7005</v>
      </c>
      <c r="AO56028" t="s">
        <v>871</v>
      </c>
      <c r="AQ56028" t="str">
        <f>IF(ISBLANK(AP56028), IFERROR(IF(VLOOKUP(AO56028, Ellens_additions!$A$2:$B$252, 2, FALSE) = "", "", VLOOKUP(AO56028, Ellens_additions!$A$2:$B$252, 2, FALSE)), 0), AP56028)</f>
        <v/>
      </c>
    </row>
    <row r="56029" spans="1:43" ht="14.4" x14ac:dyDescent="0.3"/>
    <row r="56030" spans="1:43" ht="14.4" x14ac:dyDescent="0.3"/>
    <row r="56031" spans="1:43" ht="14.4" x14ac:dyDescent="0.3"/>
    <row r="56032" spans="1:43" ht="14.4" x14ac:dyDescent="0.3"/>
    <row r="56033" ht="14.4" x14ac:dyDescent="0.3"/>
    <row r="56034" ht="14.4" x14ac:dyDescent="0.3"/>
    <row r="56035" ht="14.4" x14ac:dyDescent="0.3"/>
    <row r="56036" ht="14.4" x14ac:dyDescent="0.3"/>
    <row r="56037" ht="14.4" x14ac:dyDescent="0.3"/>
    <row r="56038" ht="14.4" x14ac:dyDescent="0.3"/>
    <row r="56039" ht="14.4" x14ac:dyDescent="0.3"/>
    <row r="56040" ht="14.4" x14ac:dyDescent="0.3"/>
    <row r="56041" ht="14.4" x14ac:dyDescent="0.3"/>
    <row r="56042" ht="14.4" x14ac:dyDescent="0.3"/>
    <row r="56043" ht="14.4" x14ac:dyDescent="0.3"/>
    <row r="56044" ht="14.4" x14ac:dyDescent="0.3"/>
    <row r="56045" ht="14.4" x14ac:dyDescent="0.3"/>
    <row r="56046" ht="14.4" x14ac:dyDescent="0.3"/>
    <row r="56047" ht="14.4" x14ac:dyDescent="0.3"/>
    <row r="56048" ht="14.4" x14ac:dyDescent="0.3"/>
    <row r="56049" ht="14.4" x14ac:dyDescent="0.3"/>
    <row r="56050" ht="14.4" x14ac:dyDescent="0.3"/>
    <row r="56051" ht="14.4" x14ac:dyDescent="0.3"/>
    <row r="56052" ht="14.4" x14ac:dyDescent="0.3"/>
    <row r="56053" ht="14.4" x14ac:dyDescent="0.3"/>
    <row r="56054" ht="14.4" x14ac:dyDescent="0.3"/>
    <row r="56055" ht="14.4" x14ac:dyDescent="0.3"/>
    <row r="56056" ht="14.4" x14ac:dyDescent="0.3"/>
    <row r="56057" ht="14.4" x14ac:dyDescent="0.3"/>
    <row r="56058" ht="14.4" x14ac:dyDescent="0.3"/>
    <row r="56059" ht="14.4" x14ac:dyDescent="0.3"/>
    <row r="56060" ht="14.4" x14ac:dyDescent="0.3"/>
    <row r="56061" ht="14.4" x14ac:dyDescent="0.3"/>
    <row r="56062" ht="14.4" x14ac:dyDescent="0.3"/>
    <row r="56063" ht="14.4" x14ac:dyDescent="0.3"/>
    <row r="56064" ht="14.4" x14ac:dyDescent="0.3"/>
    <row r="56065" ht="14.4" x14ac:dyDescent="0.3"/>
    <row r="56066" ht="14.4" x14ac:dyDescent="0.3"/>
    <row r="56067" ht="14.4" x14ac:dyDescent="0.3"/>
    <row r="56068" ht="14.4" x14ac:dyDescent="0.3"/>
    <row r="56069" ht="14.4" x14ac:dyDescent="0.3"/>
    <row r="56070" ht="14.4" x14ac:dyDescent="0.3"/>
    <row r="56071" ht="14.4" x14ac:dyDescent="0.3"/>
    <row r="56072" ht="14.4" x14ac:dyDescent="0.3"/>
    <row r="56073" ht="14.4" x14ac:dyDescent="0.3"/>
    <row r="56074" ht="14.4" x14ac:dyDescent="0.3"/>
    <row r="56075" ht="14.4" x14ac:dyDescent="0.3"/>
    <row r="56076" ht="14.4" x14ac:dyDescent="0.3"/>
    <row r="56077" ht="14.4" x14ac:dyDescent="0.3"/>
    <row r="56078" ht="14.4" x14ac:dyDescent="0.3"/>
    <row r="56079" ht="14.4" x14ac:dyDescent="0.3"/>
    <row r="56080" ht="14.4" x14ac:dyDescent="0.3"/>
    <row r="56081" ht="14.4" x14ac:dyDescent="0.3"/>
    <row r="56082" ht="14.4" x14ac:dyDescent="0.3"/>
    <row r="56083" ht="14.4" x14ac:dyDescent="0.3"/>
    <row r="56084" ht="14.4" x14ac:dyDescent="0.3"/>
    <row r="56085" ht="14.4" x14ac:dyDescent="0.3"/>
    <row r="56086" ht="14.4" x14ac:dyDescent="0.3"/>
    <row r="56087" ht="14.4" x14ac:dyDescent="0.3"/>
    <row r="56088" ht="14.4" x14ac:dyDescent="0.3"/>
    <row r="56089" ht="14.4" x14ac:dyDescent="0.3"/>
    <row r="56090" ht="14.4" x14ac:dyDescent="0.3"/>
    <row r="56091" ht="14.4" x14ac:dyDescent="0.3"/>
    <row r="56092" ht="14.4" x14ac:dyDescent="0.3"/>
    <row r="56093" ht="14.4" x14ac:dyDescent="0.3"/>
    <row r="56094" ht="14.4" x14ac:dyDescent="0.3"/>
    <row r="56095" ht="14.4" x14ac:dyDescent="0.3"/>
    <row r="56096" ht="14.4" x14ac:dyDescent="0.3"/>
    <row r="56097" ht="14.4" x14ac:dyDescent="0.3"/>
    <row r="56098" ht="14.4" x14ac:dyDescent="0.3"/>
    <row r="56099" ht="14.4" x14ac:dyDescent="0.3"/>
    <row r="56100" ht="14.4" x14ac:dyDescent="0.3"/>
    <row r="56101" ht="14.4" x14ac:dyDescent="0.3"/>
    <row r="56102" ht="14.4" x14ac:dyDescent="0.3"/>
    <row r="56103" ht="14.4" x14ac:dyDescent="0.3"/>
    <row r="56104" ht="14.4" x14ac:dyDescent="0.3"/>
    <row r="56105" ht="14.4" x14ac:dyDescent="0.3"/>
    <row r="56106" ht="14.4" x14ac:dyDescent="0.3"/>
    <row r="56107" ht="14.4" x14ac:dyDescent="0.3"/>
    <row r="56108" ht="14.4" x14ac:dyDescent="0.3"/>
    <row r="56109" ht="14.4" x14ac:dyDescent="0.3"/>
    <row r="56110" ht="14.4" x14ac:dyDescent="0.3"/>
    <row r="56111" ht="14.4" x14ac:dyDescent="0.3"/>
    <row r="56112" ht="14.4" x14ac:dyDescent="0.3"/>
    <row r="56113" ht="14.4" x14ac:dyDescent="0.3"/>
    <row r="56114" ht="14.4" x14ac:dyDescent="0.3"/>
    <row r="56115" ht="14.4" x14ac:dyDescent="0.3"/>
    <row r="56116" ht="14.4" x14ac:dyDescent="0.3"/>
    <row r="56117" ht="14.4" x14ac:dyDescent="0.3"/>
    <row r="56118" ht="14.4" x14ac:dyDescent="0.3"/>
    <row r="56119" ht="14.4" x14ac:dyDescent="0.3"/>
    <row r="56120" ht="14.4" x14ac:dyDescent="0.3"/>
    <row r="56121" ht="14.4" x14ac:dyDescent="0.3"/>
    <row r="56122" ht="14.4" x14ac:dyDescent="0.3"/>
    <row r="56123" ht="14.4" x14ac:dyDescent="0.3"/>
    <row r="56124" ht="14.4" x14ac:dyDescent="0.3"/>
    <row r="56125" ht="14.4" x14ac:dyDescent="0.3"/>
    <row r="56126" ht="14.4" x14ac:dyDescent="0.3"/>
    <row r="56127" ht="14.4" x14ac:dyDescent="0.3"/>
    <row r="56128" ht="14.4" x14ac:dyDescent="0.3"/>
    <row r="56129" ht="14.4" x14ac:dyDescent="0.3"/>
    <row r="56130" ht="14.4" x14ac:dyDescent="0.3"/>
    <row r="56131" ht="14.4" x14ac:dyDescent="0.3"/>
    <row r="56132" ht="14.4" x14ac:dyDescent="0.3"/>
    <row r="56133" ht="14.4" x14ac:dyDescent="0.3"/>
    <row r="56134" ht="14.4" x14ac:dyDescent="0.3"/>
    <row r="56135" ht="14.4" x14ac:dyDescent="0.3"/>
    <row r="56136" ht="14.4" x14ac:dyDescent="0.3"/>
    <row r="56137" ht="14.4" x14ac:dyDescent="0.3"/>
    <row r="56138" ht="14.4" x14ac:dyDescent="0.3"/>
    <row r="56139" ht="14.4" x14ac:dyDescent="0.3"/>
    <row r="56140" ht="14.4" x14ac:dyDescent="0.3"/>
    <row r="56141" ht="14.4" x14ac:dyDescent="0.3"/>
    <row r="56142" ht="14.4" x14ac:dyDescent="0.3"/>
    <row r="56143" ht="14.4" x14ac:dyDescent="0.3"/>
    <row r="56144" ht="14.4" x14ac:dyDescent="0.3"/>
    <row r="56145" ht="14.4" x14ac:dyDescent="0.3"/>
    <row r="56146" ht="14.4" x14ac:dyDescent="0.3"/>
    <row r="56147" ht="14.4" x14ac:dyDescent="0.3"/>
    <row r="56148" ht="14.4" x14ac:dyDescent="0.3"/>
    <row r="56149" ht="14.4" x14ac:dyDescent="0.3"/>
    <row r="56150" ht="14.4" x14ac:dyDescent="0.3"/>
    <row r="56151" ht="14.4" x14ac:dyDescent="0.3"/>
    <row r="56152" ht="14.4" x14ac:dyDescent="0.3"/>
    <row r="56153" ht="14.4" x14ac:dyDescent="0.3"/>
    <row r="56154" ht="14.4" x14ac:dyDescent="0.3"/>
    <row r="56155" ht="14.4" x14ac:dyDescent="0.3"/>
    <row r="56156" ht="14.4" x14ac:dyDescent="0.3"/>
    <row r="56157" ht="14.4" x14ac:dyDescent="0.3"/>
    <row r="56158" ht="14.4" x14ac:dyDescent="0.3"/>
    <row r="56159" ht="14.4" x14ac:dyDescent="0.3"/>
    <row r="56160" ht="14.4" x14ac:dyDescent="0.3"/>
    <row r="56161" ht="14.4" x14ac:dyDescent="0.3"/>
    <row r="56162" ht="14.4" x14ac:dyDescent="0.3"/>
    <row r="56163" ht="14.4" x14ac:dyDescent="0.3"/>
    <row r="56164" ht="14.4" x14ac:dyDescent="0.3"/>
    <row r="56165" ht="14.4" x14ac:dyDescent="0.3"/>
    <row r="56166" ht="14.4" x14ac:dyDescent="0.3"/>
    <row r="56167" ht="14.4" x14ac:dyDescent="0.3"/>
    <row r="56168" ht="14.4" x14ac:dyDescent="0.3"/>
    <row r="56169" ht="14.4" x14ac:dyDescent="0.3"/>
    <row r="56170" ht="14.4" x14ac:dyDescent="0.3"/>
    <row r="56171" ht="14.4" x14ac:dyDescent="0.3"/>
    <row r="56172" ht="14.4" x14ac:dyDescent="0.3"/>
    <row r="56173" ht="14.4" x14ac:dyDescent="0.3"/>
    <row r="56174" ht="14.4" x14ac:dyDescent="0.3"/>
    <row r="56175" ht="14.4" x14ac:dyDescent="0.3"/>
    <row r="56176" ht="14.4" x14ac:dyDescent="0.3"/>
    <row r="56177" ht="14.4" x14ac:dyDescent="0.3"/>
    <row r="56178" ht="14.4" x14ac:dyDescent="0.3"/>
    <row r="56179" ht="14.4" x14ac:dyDescent="0.3"/>
    <row r="56180" ht="14.4" x14ac:dyDescent="0.3"/>
    <row r="56181" ht="14.4" x14ac:dyDescent="0.3"/>
    <row r="56182" ht="14.4" x14ac:dyDescent="0.3"/>
    <row r="56183" ht="14.4" x14ac:dyDescent="0.3"/>
    <row r="56184" ht="14.4" x14ac:dyDescent="0.3"/>
    <row r="56185" ht="14.4" x14ac:dyDescent="0.3"/>
    <row r="56186" ht="14.4" x14ac:dyDescent="0.3"/>
    <row r="56187" ht="14.4" x14ac:dyDescent="0.3"/>
    <row r="56188" ht="14.4" x14ac:dyDescent="0.3"/>
    <row r="56189" ht="14.4" x14ac:dyDescent="0.3"/>
    <row r="56190" ht="14.4" x14ac:dyDescent="0.3"/>
    <row r="56191" ht="14.4" x14ac:dyDescent="0.3"/>
    <row r="56192" ht="14.4" x14ac:dyDescent="0.3"/>
    <row r="56193" ht="14.4" x14ac:dyDescent="0.3"/>
    <row r="56194" ht="14.4" x14ac:dyDescent="0.3"/>
    <row r="56195" ht="14.4" x14ac:dyDescent="0.3"/>
    <row r="56196" ht="14.4" x14ac:dyDescent="0.3"/>
    <row r="56197" ht="14.4" x14ac:dyDescent="0.3"/>
    <row r="56198" ht="14.4" x14ac:dyDescent="0.3"/>
    <row r="56199" ht="14.4" x14ac:dyDescent="0.3"/>
    <row r="56200" ht="14.4" x14ac:dyDescent="0.3"/>
    <row r="56201" ht="14.4" x14ac:dyDescent="0.3"/>
    <row r="56202" ht="14.4" x14ac:dyDescent="0.3"/>
    <row r="56203" ht="14.4" x14ac:dyDescent="0.3"/>
    <row r="56204" ht="14.4" x14ac:dyDescent="0.3"/>
    <row r="56205" ht="14.4" x14ac:dyDescent="0.3"/>
    <row r="56206" ht="14.4" x14ac:dyDescent="0.3"/>
    <row r="56207" ht="14.4" x14ac:dyDescent="0.3"/>
    <row r="56208" ht="14.4" x14ac:dyDescent="0.3"/>
    <row r="56209" ht="14.4" x14ac:dyDescent="0.3"/>
    <row r="56210" ht="14.4" x14ac:dyDescent="0.3"/>
    <row r="56211" ht="14.4" x14ac:dyDescent="0.3"/>
    <row r="56212" ht="14.4" x14ac:dyDescent="0.3"/>
    <row r="56213" ht="14.4" x14ac:dyDescent="0.3"/>
    <row r="56214" ht="14.4" x14ac:dyDescent="0.3"/>
    <row r="56215" ht="14.4" x14ac:dyDescent="0.3"/>
    <row r="56216" ht="14.4" x14ac:dyDescent="0.3"/>
    <row r="56217" ht="14.4" x14ac:dyDescent="0.3"/>
    <row r="56218" ht="14.4" x14ac:dyDescent="0.3"/>
    <row r="56219" ht="14.4" x14ac:dyDescent="0.3"/>
    <row r="56220" ht="14.4" x14ac:dyDescent="0.3"/>
    <row r="56221" ht="14.4" x14ac:dyDescent="0.3"/>
    <row r="56222" ht="14.4" x14ac:dyDescent="0.3"/>
    <row r="56223" ht="14.4" x14ac:dyDescent="0.3"/>
    <row r="56224" ht="14.4" x14ac:dyDescent="0.3"/>
    <row r="56225" ht="14.4" x14ac:dyDescent="0.3"/>
    <row r="56226" ht="14.4" x14ac:dyDescent="0.3"/>
    <row r="56227" ht="14.4" x14ac:dyDescent="0.3"/>
    <row r="56228" ht="14.4" x14ac:dyDescent="0.3"/>
    <row r="56229" ht="14.4" x14ac:dyDescent="0.3"/>
    <row r="56230" ht="14.4" x14ac:dyDescent="0.3"/>
    <row r="56231" ht="14.4" x14ac:dyDescent="0.3"/>
    <row r="56232" ht="14.4" x14ac:dyDescent="0.3"/>
    <row r="56233" ht="14.4" x14ac:dyDescent="0.3"/>
    <row r="56234" ht="14.4" x14ac:dyDescent="0.3"/>
    <row r="56235" ht="14.4" x14ac:dyDescent="0.3"/>
    <row r="56236" ht="14.4" x14ac:dyDescent="0.3"/>
    <row r="56237" ht="14.4" x14ac:dyDescent="0.3"/>
    <row r="56238" ht="14.4" x14ac:dyDescent="0.3"/>
    <row r="56239" ht="14.4" x14ac:dyDescent="0.3"/>
    <row r="56240" ht="14.4" x14ac:dyDescent="0.3"/>
    <row r="56241" ht="14.4" x14ac:dyDescent="0.3"/>
    <row r="56242" ht="14.4" x14ac:dyDescent="0.3"/>
    <row r="56243" ht="14.4" x14ac:dyDescent="0.3"/>
    <row r="56244" ht="14.4" x14ac:dyDescent="0.3"/>
    <row r="56245" ht="14.4" x14ac:dyDescent="0.3"/>
    <row r="56246" ht="14.4" x14ac:dyDescent="0.3"/>
    <row r="56247" ht="14.4" x14ac:dyDescent="0.3"/>
    <row r="56248" ht="14.4" x14ac:dyDescent="0.3"/>
    <row r="56249" ht="14.4" x14ac:dyDescent="0.3"/>
    <row r="56250" ht="14.4" x14ac:dyDescent="0.3"/>
    <row r="56251" ht="14.4" x14ac:dyDescent="0.3"/>
    <row r="56252" ht="14.4" x14ac:dyDescent="0.3"/>
    <row r="56253" ht="14.4" x14ac:dyDescent="0.3"/>
    <row r="56254" ht="14.4" x14ac:dyDescent="0.3"/>
    <row r="56255" ht="14.4" x14ac:dyDescent="0.3"/>
    <row r="56256" ht="14.4" x14ac:dyDescent="0.3"/>
    <row r="56257" ht="14.4" x14ac:dyDescent="0.3"/>
    <row r="56258" ht="14.4" x14ac:dyDescent="0.3"/>
    <row r="56259" ht="14.4" x14ac:dyDescent="0.3"/>
    <row r="56260" ht="14.4" x14ac:dyDescent="0.3"/>
    <row r="56261" ht="14.4" x14ac:dyDescent="0.3"/>
    <row r="56262" ht="14.4" x14ac:dyDescent="0.3"/>
    <row r="56263" ht="14.4" x14ac:dyDescent="0.3"/>
    <row r="56264" ht="14.4" x14ac:dyDescent="0.3"/>
    <row r="56265" ht="14.4" x14ac:dyDescent="0.3"/>
    <row r="56266" ht="14.4" x14ac:dyDescent="0.3"/>
    <row r="56267" ht="14.4" x14ac:dyDescent="0.3"/>
    <row r="56268" ht="14.4" x14ac:dyDescent="0.3"/>
    <row r="56269" ht="14.4" x14ac:dyDescent="0.3"/>
    <row r="56270" ht="14.4" x14ac:dyDescent="0.3"/>
    <row r="56271" ht="14.4" x14ac:dyDescent="0.3"/>
    <row r="56272" ht="14.4" x14ac:dyDescent="0.3"/>
    <row r="56273" spans="1:43" ht="14.4" x14ac:dyDescent="0.3"/>
    <row r="56274" spans="1:43" ht="14.4" x14ac:dyDescent="0.3"/>
    <row r="56275" spans="1:43" ht="14.4" x14ac:dyDescent="0.3"/>
    <row r="56276" spans="1:43" ht="14.4" x14ac:dyDescent="0.3"/>
    <row r="56277" spans="1:43" ht="14.4" x14ac:dyDescent="0.3"/>
    <row r="56278" spans="1:43" ht="14.4" x14ac:dyDescent="0.3"/>
    <row r="56279" spans="1:43" ht="14.4" x14ac:dyDescent="0.3"/>
    <row r="56280" spans="1:43" ht="14.4" x14ac:dyDescent="0.3"/>
    <row r="56281" spans="1:43" ht="14.4" x14ac:dyDescent="0.3"/>
    <row r="56282" spans="1:43" ht="14.4" x14ac:dyDescent="0.3"/>
    <row r="56283" spans="1:43" ht="14.4" x14ac:dyDescent="0.3"/>
    <row r="56284" spans="1:43" ht="14.4" x14ac:dyDescent="0.3"/>
    <row r="56285" spans="1:43" ht="14.4" hidden="1" x14ac:dyDescent="0.3">
      <c r="A56285" t="s">
        <v>7006</v>
      </c>
      <c r="B56285">
        <v>4907659</v>
      </c>
      <c r="C56285" t="s">
        <v>135</v>
      </c>
      <c r="D56285" t="s">
        <v>136</v>
      </c>
      <c r="E56285" t="s">
        <v>369</v>
      </c>
      <c r="F56285" t="s">
        <v>3336</v>
      </c>
      <c r="H56285" t="s">
        <v>262</v>
      </c>
      <c r="J56285" t="s">
        <v>140</v>
      </c>
      <c r="K56285">
        <v>157234.28</v>
      </c>
      <c r="L56285">
        <v>382656.2</v>
      </c>
      <c r="M56285">
        <v>1</v>
      </c>
      <c r="N56285" t="s">
        <v>3337</v>
      </c>
      <c r="O56285" t="s">
        <v>1244</v>
      </c>
      <c r="P56285" t="s">
        <v>1555</v>
      </c>
      <c r="Q56285" t="s">
        <v>144</v>
      </c>
      <c r="R56285" t="s">
        <v>145</v>
      </c>
      <c r="S56285">
        <v>291</v>
      </c>
      <c r="T56285">
        <v>8488</v>
      </c>
      <c r="V56285" t="s">
        <v>146</v>
      </c>
      <c r="W56285" t="s">
        <v>184</v>
      </c>
      <c r="X56285" t="s">
        <v>7</v>
      </c>
      <c r="Y56285" t="s">
        <v>3338</v>
      </c>
      <c r="Z56285" t="s">
        <v>1244</v>
      </c>
      <c r="AA56285" t="s">
        <v>3339</v>
      </c>
      <c r="AB56285">
        <v>60</v>
      </c>
      <c r="AE56285" t="s">
        <v>1960</v>
      </c>
      <c r="AF56285" t="s">
        <v>1244</v>
      </c>
      <c r="AG56285" t="s">
        <v>3340</v>
      </c>
      <c r="AL56285" t="s">
        <v>7007</v>
      </c>
      <c r="AM56285" t="s">
        <v>7008</v>
      </c>
      <c r="AN56285" t="s">
        <v>7009</v>
      </c>
      <c r="AO56285" t="s">
        <v>3337</v>
      </c>
      <c r="AQ56285" t="str">
        <f>IF(ISBLANK(AP56285), IFERROR(IF(VLOOKUP(AO56285, Ellens_additions!$A$2:$B$252, 2, FALSE) = "", "", VLOOKUP(AO56285, Ellens_additions!$A$2:$B$252, 2, FALSE)), 0), AP56285)</f>
        <v/>
      </c>
    </row>
    <row r="56286" spans="1:43" ht="14.4" hidden="1" x14ac:dyDescent="0.3">
      <c r="A56286" t="s">
        <v>7010</v>
      </c>
      <c r="B56286">
        <v>4907661</v>
      </c>
      <c r="C56286" t="s">
        <v>135</v>
      </c>
      <c r="D56286" t="s">
        <v>136</v>
      </c>
      <c r="E56286" t="s">
        <v>369</v>
      </c>
      <c r="F56286" t="s">
        <v>3336</v>
      </c>
      <c r="H56286" t="s">
        <v>408</v>
      </c>
      <c r="J56286" t="s">
        <v>140</v>
      </c>
      <c r="K56286">
        <v>157230.70000000001</v>
      </c>
      <c r="L56286">
        <v>382734.89</v>
      </c>
      <c r="M56286">
        <v>1</v>
      </c>
      <c r="N56286" t="s">
        <v>3337</v>
      </c>
      <c r="O56286" t="s">
        <v>1244</v>
      </c>
      <c r="P56286" t="s">
        <v>1555</v>
      </c>
      <c r="Q56286" t="s">
        <v>144</v>
      </c>
      <c r="R56286" t="s">
        <v>145</v>
      </c>
      <c r="S56286">
        <v>291</v>
      </c>
      <c r="T56286">
        <v>8488</v>
      </c>
      <c r="V56286" t="s">
        <v>146</v>
      </c>
      <c r="W56286" t="s">
        <v>184</v>
      </c>
      <c r="X56286" t="s">
        <v>7</v>
      </c>
      <c r="Y56286" t="s">
        <v>3338</v>
      </c>
      <c r="Z56286" t="s">
        <v>1244</v>
      </c>
      <c r="AA56286" t="s">
        <v>3339</v>
      </c>
      <c r="AB56286">
        <v>60</v>
      </c>
      <c r="AE56286" t="s">
        <v>1960</v>
      </c>
      <c r="AF56286" t="s">
        <v>1244</v>
      </c>
      <c r="AG56286" t="s">
        <v>3340</v>
      </c>
      <c r="AL56286" t="s">
        <v>7011</v>
      </c>
      <c r="AM56286" t="s">
        <v>7012</v>
      </c>
      <c r="AN56286" t="s">
        <v>7013</v>
      </c>
      <c r="AO56286" t="s">
        <v>3337</v>
      </c>
      <c r="AQ56286" t="str">
        <f>IF(ISBLANK(AP56286), IFERROR(IF(VLOOKUP(AO56286, Ellens_additions!$A$2:$B$252, 2, FALSE) = "", "", VLOOKUP(AO56286, Ellens_additions!$A$2:$B$252, 2, FALSE)), 0), AP56286)</f>
        <v/>
      </c>
    </row>
    <row r="56287" spans="1:43" ht="14.4" x14ac:dyDescent="0.3"/>
    <row r="56288" spans="1:43" ht="14.4" x14ac:dyDescent="0.3"/>
    <row r="56289" ht="14.4" x14ac:dyDescent="0.3"/>
    <row r="56290" ht="14.4" x14ac:dyDescent="0.3"/>
    <row r="56291" ht="14.4" x14ac:dyDescent="0.3"/>
    <row r="56292" ht="14.4" x14ac:dyDescent="0.3"/>
    <row r="56293" ht="14.4" x14ac:dyDescent="0.3"/>
    <row r="56294" ht="14.4" x14ac:dyDescent="0.3"/>
    <row r="56295" ht="14.4" x14ac:dyDescent="0.3"/>
    <row r="56296" ht="14.4" x14ac:dyDescent="0.3"/>
    <row r="56297" ht="14.4" x14ac:dyDescent="0.3"/>
    <row r="56298" ht="14.4" x14ac:dyDescent="0.3"/>
    <row r="56299" ht="14.4" x14ac:dyDescent="0.3"/>
    <row r="56300" ht="14.4" x14ac:dyDescent="0.3"/>
    <row r="56301" ht="14.4" x14ac:dyDescent="0.3"/>
    <row r="56302" ht="14.4" x14ac:dyDescent="0.3"/>
    <row r="56303" ht="14.4" x14ac:dyDescent="0.3"/>
    <row r="56304" ht="14.4" x14ac:dyDescent="0.3"/>
    <row r="56305" ht="14.4" x14ac:dyDescent="0.3"/>
    <row r="56306" ht="14.4" x14ac:dyDescent="0.3"/>
    <row r="56307" ht="14.4" x14ac:dyDescent="0.3"/>
    <row r="56308" ht="14.4" x14ac:dyDescent="0.3"/>
    <row r="56309" ht="14.4" x14ac:dyDescent="0.3"/>
    <row r="56310" ht="14.4" x14ac:dyDescent="0.3"/>
    <row r="56311" ht="14.4" x14ac:dyDescent="0.3"/>
    <row r="56312" ht="14.4" x14ac:dyDescent="0.3"/>
    <row r="56313" ht="14.4" x14ac:dyDescent="0.3"/>
    <row r="56314" ht="14.4" x14ac:dyDescent="0.3"/>
    <row r="56315" ht="14.4" x14ac:dyDescent="0.3"/>
    <row r="56316" ht="14.4" x14ac:dyDescent="0.3"/>
    <row r="56317" ht="14.4" x14ac:dyDescent="0.3"/>
    <row r="56318" ht="14.4" x14ac:dyDescent="0.3"/>
    <row r="56319" ht="14.4" x14ac:dyDescent="0.3"/>
    <row r="56320" ht="14.4" x14ac:dyDescent="0.3"/>
    <row r="56321" ht="14.4" x14ac:dyDescent="0.3"/>
    <row r="56322" ht="14.4" x14ac:dyDescent="0.3"/>
    <row r="56323" ht="14.4" x14ac:dyDescent="0.3"/>
    <row r="56324" ht="14.4" x14ac:dyDescent="0.3"/>
    <row r="56325" ht="14.4" x14ac:dyDescent="0.3"/>
    <row r="56326" ht="14.4" x14ac:dyDescent="0.3"/>
    <row r="56327" ht="14.4" x14ac:dyDescent="0.3"/>
    <row r="56328" ht="14.4" x14ac:dyDescent="0.3"/>
    <row r="56329" ht="14.4" x14ac:dyDescent="0.3"/>
    <row r="56330" ht="14.4" x14ac:dyDescent="0.3"/>
    <row r="56331" ht="14.4" x14ac:dyDescent="0.3"/>
    <row r="56332" ht="14.4" x14ac:dyDescent="0.3"/>
    <row r="56333" ht="14.4" x14ac:dyDescent="0.3"/>
    <row r="56334" ht="14.4" x14ac:dyDescent="0.3"/>
    <row r="56335" ht="14.4" x14ac:dyDescent="0.3"/>
    <row r="56336" ht="14.4" x14ac:dyDescent="0.3"/>
    <row r="56337" ht="14.4" x14ac:dyDescent="0.3"/>
    <row r="56338" ht="14.4" x14ac:dyDescent="0.3"/>
    <row r="56339" ht="14.4" x14ac:dyDescent="0.3"/>
    <row r="56340" ht="14.4" x14ac:dyDescent="0.3"/>
    <row r="56341" ht="14.4" x14ac:dyDescent="0.3"/>
    <row r="56342" ht="14.4" x14ac:dyDescent="0.3"/>
    <row r="56343" ht="14.4" x14ac:dyDescent="0.3"/>
    <row r="56344" ht="14.4" x14ac:dyDescent="0.3"/>
    <row r="56345" ht="14.4" x14ac:dyDescent="0.3"/>
    <row r="56346" ht="14.4" x14ac:dyDescent="0.3"/>
    <row r="56347" ht="14.4" x14ac:dyDescent="0.3"/>
    <row r="56348" ht="14.4" x14ac:dyDescent="0.3"/>
    <row r="56349" ht="14.4" x14ac:dyDescent="0.3"/>
    <row r="56350" ht="14.4" x14ac:dyDescent="0.3"/>
    <row r="56351" ht="14.4" x14ac:dyDescent="0.3"/>
    <row r="56352" ht="14.4" x14ac:dyDescent="0.3"/>
    <row r="56353" ht="14.4" x14ac:dyDescent="0.3"/>
    <row r="56354" ht="14.4" x14ac:dyDescent="0.3"/>
    <row r="56355" ht="14.4" x14ac:dyDescent="0.3"/>
    <row r="56356" ht="14.4" x14ac:dyDescent="0.3"/>
    <row r="56357" ht="14.4" x14ac:dyDescent="0.3"/>
    <row r="56358" ht="14.4" x14ac:dyDescent="0.3"/>
    <row r="56359" ht="14.4" x14ac:dyDescent="0.3"/>
    <row r="56360" ht="14.4" x14ac:dyDescent="0.3"/>
    <row r="56361" ht="14.4" x14ac:dyDescent="0.3"/>
    <row r="56362" ht="14.4" x14ac:dyDescent="0.3"/>
    <row r="56363" ht="14.4" x14ac:dyDescent="0.3"/>
    <row r="56364" ht="14.4" x14ac:dyDescent="0.3"/>
    <row r="56365" ht="14.4" x14ac:dyDescent="0.3"/>
    <row r="56366" ht="14.4" x14ac:dyDescent="0.3"/>
    <row r="56367" ht="14.4" x14ac:dyDescent="0.3"/>
    <row r="56368" ht="14.4" x14ac:dyDescent="0.3"/>
    <row r="56369" ht="14.4" x14ac:dyDescent="0.3"/>
    <row r="56370" ht="14.4" x14ac:dyDescent="0.3"/>
    <row r="56371" ht="14.4" x14ac:dyDescent="0.3"/>
    <row r="56372" ht="14.4" x14ac:dyDescent="0.3"/>
    <row r="56373" ht="14.4" x14ac:dyDescent="0.3"/>
    <row r="56374" ht="14.4" x14ac:dyDescent="0.3"/>
    <row r="56375" ht="14.4" x14ac:dyDescent="0.3"/>
    <row r="56376" ht="14.4" x14ac:dyDescent="0.3"/>
    <row r="56377" ht="14.4" x14ac:dyDescent="0.3"/>
    <row r="56378" ht="14.4" x14ac:dyDescent="0.3"/>
    <row r="56379" ht="14.4" x14ac:dyDescent="0.3"/>
    <row r="56380" ht="14.4" x14ac:dyDescent="0.3"/>
    <row r="56381" ht="14.4" x14ac:dyDescent="0.3"/>
    <row r="56382" ht="14.4" x14ac:dyDescent="0.3"/>
    <row r="56383" ht="14.4" x14ac:dyDescent="0.3"/>
    <row r="56384" ht="14.4" x14ac:dyDescent="0.3"/>
    <row r="56385" ht="14.4" x14ac:dyDescent="0.3"/>
    <row r="56386" ht="14.4" x14ac:dyDescent="0.3"/>
    <row r="56387" ht="14.4" x14ac:dyDescent="0.3"/>
    <row r="56388" ht="14.4" x14ac:dyDescent="0.3"/>
    <row r="56389" ht="14.4" x14ac:dyDescent="0.3"/>
    <row r="56390" ht="14.4" x14ac:dyDescent="0.3"/>
    <row r="56391" ht="14.4" x14ac:dyDescent="0.3"/>
    <row r="56392" ht="14.4" x14ac:dyDescent="0.3"/>
    <row r="56393" ht="14.4" x14ac:dyDescent="0.3"/>
    <row r="56394" ht="14.4" x14ac:dyDescent="0.3"/>
    <row r="56395" ht="14.4" x14ac:dyDescent="0.3"/>
    <row r="56396" ht="14.4" x14ac:dyDescent="0.3"/>
    <row r="56397" ht="14.4" x14ac:dyDescent="0.3"/>
    <row r="56398" ht="14.4" x14ac:dyDescent="0.3"/>
    <row r="56399" ht="14.4" x14ac:dyDescent="0.3"/>
    <row r="56400" ht="14.4" x14ac:dyDescent="0.3"/>
    <row r="56401" ht="14.4" x14ac:dyDescent="0.3"/>
    <row r="56402" ht="14.4" x14ac:dyDescent="0.3"/>
    <row r="56403" ht="14.4" x14ac:dyDescent="0.3"/>
    <row r="56404" ht="14.4" x14ac:dyDescent="0.3"/>
    <row r="56405" ht="14.4" x14ac:dyDescent="0.3"/>
    <row r="56406" ht="14.4" x14ac:dyDescent="0.3"/>
    <row r="56407" ht="14.4" x14ac:dyDescent="0.3"/>
    <row r="56408" ht="14.4" x14ac:dyDescent="0.3"/>
    <row r="56409" ht="14.4" x14ac:dyDescent="0.3"/>
    <row r="56410" ht="14.4" x14ac:dyDescent="0.3"/>
    <row r="56411" ht="14.4" x14ac:dyDescent="0.3"/>
    <row r="56412" ht="14.4" x14ac:dyDescent="0.3"/>
    <row r="56413" ht="14.4" x14ac:dyDescent="0.3"/>
    <row r="56414" ht="14.4" x14ac:dyDescent="0.3"/>
    <row r="56415" ht="14.4" x14ac:dyDescent="0.3"/>
    <row r="56416" ht="14.4" x14ac:dyDescent="0.3"/>
    <row r="56417" ht="14.4" x14ac:dyDescent="0.3"/>
    <row r="56418" ht="14.4" x14ac:dyDescent="0.3"/>
    <row r="56419" ht="14.4" x14ac:dyDescent="0.3"/>
    <row r="56420" ht="14.4" x14ac:dyDescent="0.3"/>
    <row r="56421" ht="14.4" x14ac:dyDescent="0.3"/>
    <row r="56422" ht="14.4" x14ac:dyDescent="0.3"/>
    <row r="56423" ht="14.4" x14ac:dyDescent="0.3"/>
    <row r="56424" ht="14.4" x14ac:dyDescent="0.3"/>
    <row r="56425" ht="14.4" x14ac:dyDescent="0.3"/>
    <row r="56426" ht="14.4" x14ac:dyDescent="0.3"/>
    <row r="56427" ht="14.4" x14ac:dyDescent="0.3"/>
    <row r="56428" ht="14.4" x14ac:dyDescent="0.3"/>
    <row r="56429" ht="14.4" x14ac:dyDescent="0.3"/>
    <row r="56430" ht="14.4" x14ac:dyDescent="0.3"/>
    <row r="56431" ht="14.4" x14ac:dyDescent="0.3"/>
    <row r="56432" ht="14.4" x14ac:dyDescent="0.3"/>
    <row r="56433" ht="14.4" x14ac:dyDescent="0.3"/>
    <row r="56434" ht="14.4" x14ac:dyDescent="0.3"/>
    <row r="56435" ht="14.4" x14ac:dyDescent="0.3"/>
    <row r="56436" ht="14.4" x14ac:dyDescent="0.3"/>
    <row r="56437" ht="14.4" x14ac:dyDescent="0.3"/>
    <row r="56438" ht="14.4" x14ac:dyDescent="0.3"/>
    <row r="56439" ht="14.4" x14ac:dyDescent="0.3"/>
    <row r="56440" ht="14.4" x14ac:dyDescent="0.3"/>
    <row r="56441" ht="14.4" x14ac:dyDescent="0.3"/>
    <row r="56442" ht="14.4" x14ac:dyDescent="0.3"/>
    <row r="56443" ht="14.4" x14ac:dyDescent="0.3"/>
    <row r="56444" ht="14.4" x14ac:dyDescent="0.3"/>
    <row r="56445" ht="14.4" x14ac:dyDescent="0.3"/>
    <row r="56446" ht="14.4" x14ac:dyDescent="0.3"/>
    <row r="56447" ht="14.4" x14ac:dyDescent="0.3"/>
    <row r="56448" ht="14.4" x14ac:dyDescent="0.3"/>
    <row r="56449" ht="14.4" x14ac:dyDescent="0.3"/>
    <row r="56450" ht="14.4" x14ac:dyDescent="0.3"/>
    <row r="56451" ht="14.4" x14ac:dyDescent="0.3"/>
    <row r="56452" ht="14.4" x14ac:dyDescent="0.3"/>
    <row r="56453" ht="14.4" x14ac:dyDescent="0.3"/>
    <row r="56454" ht="14.4" x14ac:dyDescent="0.3"/>
    <row r="56455" ht="14.4" x14ac:dyDescent="0.3"/>
    <row r="56456" ht="14.4" x14ac:dyDescent="0.3"/>
    <row r="56457" ht="14.4" x14ac:dyDescent="0.3"/>
    <row r="56458" ht="14.4" x14ac:dyDescent="0.3"/>
    <row r="56459" ht="14.4" x14ac:dyDescent="0.3"/>
    <row r="56460" ht="14.4" x14ac:dyDescent="0.3"/>
    <row r="56461" ht="14.4" x14ac:dyDescent="0.3"/>
    <row r="56462" ht="14.4" x14ac:dyDescent="0.3"/>
    <row r="56463" ht="14.4" x14ac:dyDescent="0.3"/>
    <row r="56464" ht="14.4" x14ac:dyDescent="0.3"/>
    <row r="56465" ht="14.4" x14ac:dyDescent="0.3"/>
    <row r="56466" ht="14.4" x14ac:dyDescent="0.3"/>
    <row r="56467" ht="14.4" x14ac:dyDescent="0.3"/>
    <row r="56468" ht="14.4" x14ac:dyDescent="0.3"/>
    <row r="56469" ht="14.4" x14ac:dyDescent="0.3"/>
    <row r="56470" ht="14.4" x14ac:dyDescent="0.3"/>
    <row r="56471" ht="14.4" x14ac:dyDescent="0.3"/>
    <row r="56472" ht="14.4" x14ac:dyDescent="0.3"/>
    <row r="56473" ht="14.4" x14ac:dyDescent="0.3"/>
    <row r="56474" ht="14.4" x14ac:dyDescent="0.3"/>
    <row r="56475" ht="14.4" x14ac:dyDescent="0.3"/>
    <row r="56476" ht="14.4" x14ac:dyDescent="0.3"/>
    <row r="56477" ht="14.4" x14ac:dyDescent="0.3"/>
    <row r="56478" ht="14.4" x14ac:dyDescent="0.3"/>
    <row r="56479" ht="14.4" x14ac:dyDescent="0.3"/>
    <row r="56480" ht="14.4" x14ac:dyDescent="0.3"/>
    <row r="56481" ht="14.4" x14ac:dyDescent="0.3"/>
    <row r="56482" ht="14.4" x14ac:dyDescent="0.3"/>
    <row r="56483" ht="14.4" x14ac:dyDescent="0.3"/>
    <row r="56484" ht="14.4" x14ac:dyDescent="0.3"/>
    <row r="56485" ht="14.4" x14ac:dyDescent="0.3"/>
    <row r="56486" ht="14.4" x14ac:dyDescent="0.3"/>
    <row r="56487" ht="14.4" x14ac:dyDescent="0.3"/>
    <row r="56488" ht="14.4" x14ac:dyDescent="0.3"/>
    <row r="56489" ht="14.4" x14ac:dyDescent="0.3"/>
    <row r="56490" ht="14.4" x14ac:dyDescent="0.3"/>
    <row r="56491" ht="14.4" x14ac:dyDescent="0.3"/>
    <row r="56492" ht="14.4" x14ac:dyDescent="0.3"/>
    <row r="56493" ht="14.4" x14ac:dyDescent="0.3"/>
    <row r="56494" ht="14.4" x14ac:dyDescent="0.3"/>
    <row r="56495" ht="14.4" x14ac:dyDescent="0.3"/>
    <row r="56496" ht="14.4" x14ac:dyDescent="0.3"/>
    <row r="56497" ht="14.4" x14ac:dyDescent="0.3"/>
    <row r="56498" ht="14.4" x14ac:dyDescent="0.3"/>
    <row r="56499" ht="14.4" x14ac:dyDescent="0.3"/>
    <row r="56500" ht="14.4" x14ac:dyDescent="0.3"/>
    <row r="56501" ht="14.4" x14ac:dyDescent="0.3"/>
    <row r="56502" ht="14.4" x14ac:dyDescent="0.3"/>
    <row r="56503" ht="14.4" x14ac:dyDescent="0.3"/>
    <row r="56504" ht="14.4" x14ac:dyDescent="0.3"/>
    <row r="56505" ht="14.4" x14ac:dyDescent="0.3"/>
    <row r="56506" ht="14.4" x14ac:dyDescent="0.3"/>
    <row r="56507" ht="14.4" x14ac:dyDescent="0.3"/>
    <row r="56508" ht="14.4" x14ac:dyDescent="0.3"/>
    <row r="56509" ht="14.4" x14ac:dyDescent="0.3"/>
    <row r="56510" ht="14.4" x14ac:dyDescent="0.3"/>
    <row r="56511" ht="14.4" x14ac:dyDescent="0.3"/>
    <row r="56512" ht="14.4" x14ac:dyDescent="0.3"/>
    <row r="56513" ht="14.4" x14ac:dyDescent="0.3"/>
    <row r="56514" ht="14.4" x14ac:dyDescent="0.3"/>
    <row r="56515" ht="14.4" x14ac:dyDescent="0.3"/>
    <row r="56516" ht="14.4" x14ac:dyDescent="0.3"/>
    <row r="56517" ht="14.4" x14ac:dyDescent="0.3"/>
    <row r="56518" ht="14.4" x14ac:dyDescent="0.3"/>
    <row r="56519" ht="14.4" x14ac:dyDescent="0.3"/>
    <row r="56520" ht="14.4" x14ac:dyDescent="0.3"/>
    <row r="56521" ht="14.4" x14ac:dyDescent="0.3"/>
    <row r="56522" ht="14.4" x14ac:dyDescent="0.3"/>
    <row r="56523" ht="14.4" x14ac:dyDescent="0.3"/>
    <row r="56524" ht="14.4" x14ac:dyDescent="0.3"/>
    <row r="56525" ht="14.4" x14ac:dyDescent="0.3"/>
    <row r="56526" ht="14.4" x14ac:dyDescent="0.3"/>
    <row r="56527" ht="14.4" x14ac:dyDescent="0.3"/>
    <row r="56528" ht="14.4" x14ac:dyDescent="0.3"/>
    <row r="56529" spans="1:43" ht="14.4" x14ac:dyDescent="0.3"/>
    <row r="56530" spans="1:43" ht="14.4" x14ac:dyDescent="0.3"/>
    <row r="56531" spans="1:43" ht="14.4" x14ac:dyDescent="0.3"/>
    <row r="56532" spans="1:43" ht="14.4" x14ac:dyDescent="0.3"/>
    <row r="56533" spans="1:43" ht="14.4" x14ac:dyDescent="0.3"/>
    <row r="56534" spans="1:43" ht="14.4" x14ac:dyDescent="0.3"/>
    <row r="56535" spans="1:43" ht="14.4" x14ac:dyDescent="0.3"/>
    <row r="56536" spans="1:43" ht="14.4" x14ac:dyDescent="0.3"/>
    <row r="56537" spans="1:43" ht="14.4" x14ac:dyDescent="0.3"/>
    <row r="56538" spans="1:43" ht="14.4" hidden="1" x14ac:dyDescent="0.3">
      <c r="A56538" t="s">
        <v>7014</v>
      </c>
      <c r="B56538">
        <v>4892428</v>
      </c>
      <c r="C56538" t="s">
        <v>842</v>
      </c>
      <c r="D56538" t="s">
        <v>843</v>
      </c>
      <c r="E56538" t="s">
        <v>864</v>
      </c>
      <c r="F56538" t="s">
        <v>1084</v>
      </c>
      <c r="H56538" t="s">
        <v>513</v>
      </c>
      <c r="J56538" t="s">
        <v>140</v>
      </c>
      <c r="K56538">
        <v>161054.57800000001</v>
      </c>
      <c r="L56538">
        <v>383335.72700000001</v>
      </c>
      <c r="M56538">
        <v>1</v>
      </c>
      <c r="N56538" t="s">
        <v>3346</v>
      </c>
      <c r="O56538" t="s">
        <v>542</v>
      </c>
      <c r="P56538" t="s">
        <v>801</v>
      </c>
      <c r="Q56538" t="s">
        <v>3347</v>
      </c>
      <c r="R56538" t="s">
        <v>145</v>
      </c>
      <c r="S56538">
        <v>35</v>
      </c>
      <c r="T56538">
        <v>2200</v>
      </c>
      <c r="V56538" t="s">
        <v>183</v>
      </c>
      <c r="W56538" t="s">
        <v>415</v>
      </c>
      <c r="X56538" t="s">
        <v>7</v>
      </c>
      <c r="Y56538" t="s">
        <v>3348</v>
      </c>
      <c r="Z56538" t="s">
        <v>736</v>
      </c>
      <c r="AA56538" t="s">
        <v>519</v>
      </c>
      <c r="AB56538">
        <v>50</v>
      </c>
      <c r="AC56538" t="s">
        <v>150</v>
      </c>
      <c r="AE56538" t="s">
        <v>1249</v>
      </c>
      <c r="AF56538" t="s">
        <v>736</v>
      </c>
      <c r="AG56538" t="s">
        <v>1523</v>
      </c>
      <c r="AL56538" t="s">
        <v>7015</v>
      </c>
      <c r="AM56538" t="s">
        <v>7016</v>
      </c>
      <c r="AN56538" t="s">
        <v>7017</v>
      </c>
      <c r="AO56538" t="s">
        <v>3346</v>
      </c>
      <c r="AQ56538">
        <f>IF(ISBLANK(AP56538), IFERROR(IF(VLOOKUP(AO56538, Ellens_additions!$A$2:$B$252, 2, FALSE) = "", "", VLOOKUP(AO56538, Ellens_additions!$A$2:$B$252, 2, FALSE)), 0), AP56538)</f>
        <v>0</v>
      </c>
    </row>
    <row r="56539" spans="1:43" ht="14.4" hidden="1" x14ac:dyDescent="0.3">
      <c r="A56539" t="s">
        <v>7018</v>
      </c>
      <c r="B56539">
        <v>4892429</v>
      </c>
      <c r="C56539" t="s">
        <v>842</v>
      </c>
      <c r="D56539" t="s">
        <v>843</v>
      </c>
      <c r="E56539" t="s">
        <v>864</v>
      </c>
      <c r="F56539" t="s">
        <v>1084</v>
      </c>
      <c r="H56539" t="s">
        <v>351</v>
      </c>
      <c r="J56539" t="s">
        <v>140</v>
      </c>
      <c r="K56539">
        <v>161055.321</v>
      </c>
      <c r="L56539">
        <v>383337.88799999998</v>
      </c>
      <c r="M56539">
        <v>1</v>
      </c>
      <c r="N56539" t="s">
        <v>3346</v>
      </c>
      <c r="O56539" t="s">
        <v>542</v>
      </c>
      <c r="P56539" t="s">
        <v>801</v>
      </c>
      <c r="Q56539" t="s">
        <v>3347</v>
      </c>
      <c r="R56539" t="s">
        <v>145</v>
      </c>
      <c r="S56539">
        <v>35</v>
      </c>
      <c r="T56539">
        <v>2200</v>
      </c>
      <c r="V56539" t="s">
        <v>183</v>
      </c>
      <c r="W56539" t="s">
        <v>415</v>
      </c>
      <c r="X56539" t="s">
        <v>7</v>
      </c>
      <c r="Y56539" t="s">
        <v>3348</v>
      </c>
      <c r="Z56539" t="s">
        <v>736</v>
      </c>
      <c r="AA56539" t="s">
        <v>519</v>
      </c>
      <c r="AB56539">
        <v>50</v>
      </c>
      <c r="AC56539" t="s">
        <v>150</v>
      </c>
      <c r="AE56539" t="s">
        <v>1249</v>
      </c>
      <c r="AF56539" t="s">
        <v>736</v>
      </c>
      <c r="AG56539" t="s">
        <v>1523</v>
      </c>
      <c r="AL56539" t="s">
        <v>7019</v>
      </c>
      <c r="AM56539" t="s">
        <v>7020</v>
      </c>
      <c r="AN56539" t="s">
        <v>7021</v>
      </c>
      <c r="AO56539" t="s">
        <v>3346</v>
      </c>
      <c r="AQ56539">
        <f>IF(ISBLANK(AP56539), IFERROR(IF(VLOOKUP(AO56539, Ellens_additions!$A$2:$B$252, 2, FALSE) = "", "", VLOOKUP(AO56539, Ellens_additions!$A$2:$B$252, 2, FALSE)), 0), AP56539)</f>
        <v>0</v>
      </c>
    </row>
    <row r="56540" spans="1:43" ht="14.4" hidden="1" x14ac:dyDescent="0.3">
      <c r="A56540" t="s">
        <v>7022</v>
      </c>
      <c r="B56540">
        <v>4892432</v>
      </c>
      <c r="C56540" t="s">
        <v>842</v>
      </c>
      <c r="D56540" t="s">
        <v>843</v>
      </c>
      <c r="E56540" t="s">
        <v>864</v>
      </c>
      <c r="F56540" t="s">
        <v>1084</v>
      </c>
      <c r="H56540" t="s">
        <v>409</v>
      </c>
      <c r="J56540" t="s">
        <v>140</v>
      </c>
      <c r="K56540">
        <v>161057.34599999999</v>
      </c>
      <c r="L56540">
        <v>383344.304</v>
      </c>
      <c r="M56540">
        <v>1</v>
      </c>
      <c r="N56540" t="s">
        <v>3346</v>
      </c>
      <c r="O56540" t="s">
        <v>542</v>
      </c>
      <c r="P56540" t="s">
        <v>801</v>
      </c>
      <c r="Q56540" t="s">
        <v>3347</v>
      </c>
      <c r="R56540" t="s">
        <v>145</v>
      </c>
      <c r="S56540">
        <v>35</v>
      </c>
      <c r="T56540">
        <v>2200</v>
      </c>
      <c r="V56540" t="s">
        <v>183</v>
      </c>
      <c r="W56540" t="s">
        <v>415</v>
      </c>
      <c r="X56540" t="s">
        <v>7</v>
      </c>
      <c r="Y56540" t="s">
        <v>3348</v>
      </c>
      <c r="Z56540" t="s">
        <v>736</v>
      </c>
      <c r="AA56540" t="s">
        <v>519</v>
      </c>
      <c r="AB56540">
        <v>50</v>
      </c>
      <c r="AC56540" t="s">
        <v>150</v>
      </c>
      <c r="AE56540" t="s">
        <v>1249</v>
      </c>
      <c r="AF56540" t="s">
        <v>736</v>
      </c>
      <c r="AG56540" t="s">
        <v>1523</v>
      </c>
      <c r="AL56540" t="s">
        <v>7023</v>
      </c>
      <c r="AM56540" t="s">
        <v>7024</v>
      </c>
      <c r="AN56540" t="s">
        <v>7025</v>
      </c>
      <c r="AO56540" t="s">
        <v>3346</v>
      </c>
      <c r="AQ56540">
        <f>IF(ISBLANK(AP56540), IFERROR(IF(VLOOKUP(AO56540, Ellens_additions!$A$2:$B$252, 2, FALSE) = "", "", VLOOKUP(AO56540, Ellens_additions!$A$2:$B$252, 2, FALSE)), 0), AP56540)</f>
        <v>0</v>
      </c>
    </row>
    <row r="56541" spans="1:43" ht="14.4" hidden="1" x14ac:dyDescent="0.3">
      <c r="A56541" t="s">
        <v>7026</v>
      </c>
      <c r="B56541">
        <v>4892436</v>
      </c>
      <c r="C56541" t="s">
        <v>842</v>
      </c>
      <c r="D56541" t="s">
        <v>843</v>
      </c>
      <c r="E56541" t="s">
        <v>864</v>
      </c>
      <c r="F56541" t="s">
        <v>1084</v>
      </c>
      <c r="H56541" t="s">
        <v>610</v>
      </c>
      <c r="J56541" t="s">
        <v>140</v>
      </c>
      <c r="K56541">
        <v>161060.18100000001</v>
      </c>
      <c r="L56541">
        <v>383353.08299999998</v>
      </c>
      <c r="M56541">
        <v>1</v>
      </c>
      <c r="N56541" t="s">
        <v>3346</v>
      </c>
      <c r="O56541" t="s">
        <v>542</v>
      </c>
      <c r="P56541" t="s">
        <v>801</v>
      </c>
      <c r="Q56541" t="s">
        <v>3347</v>
      </c>
      <c r="R56541" t="s">
        <v>145</v>
      </c>
      <c r="S56541">
        <v>35</v>
      </c>
      <c r="T56541">
        <v>2200</v>
      </c>
      <c r="V56541" t="s">
        <v>183</v>
      </c>
      <c r="W56541" t="s">
        <v>415</v>
      </c>
      <c r="X56541" t="s">
        <v>7</v>
      </c>
      <c r="Y56541" t="s">
        <v>3348</v>
      </c>
      <c r="Z56541" t="s">
        <v>736</v>
      </c>
      <c r="AA56541" t="s">
        <v>519</v>
      </c>
      <c r="AB56541">
        <v>50</v>
      </c>
      <c r="AC56541" t="s">
        <v>150</v>
      </c>
      <c r="AE56541" t="s">
        <v>1249</v>
      </c>
      <c r="AF56541" t="s">
        <v>736</v>
      </c>
      <c r="AG56541" t="s">
        <v>1523</v>
      </c>
      <c r="AL56541" t="s">
        <v>7027</v>
      </c>
      <c r="AM56541" t="s">
        <v>7028</v>
      </c>
      <c r="AN56541" t="s">
        <v>7029</v>
      </c>
      <c r="AO56541" t="s">
        <v>3346</v>
      </c>
      <c r="AQ56541">
        <f>IF(ISBLANK(AP56541), IFERROR(IF(VLOOKUP(AO56541, Ellens_additions!$A$2:$B$252, 2, FALSE) = "", "", VLOOKUP(AO56541, Ellens_additions!$A$2:$B$252, 2, FALSE)), 0), AP56541)</f>
        <v>0</v>
      </c>
    </row>
    <row r="56542" spans="1:43" ht="14.4" hidden="1" x14ac:dyDescent="0.3">
      <c r="A56542" t="s">
        <v>7030</v>
      </c>
      <c r="B56542">
        <v>4892437</v>
      </c>
      <c r="C56542" t="s">
        <v>842</v>
      </c>
      <c r="D56542" t="s">
        <v>843</v>
      </c>
      <c r="E56542" t="s">
        <v>864</v>
      </c>
      <c r="F56542" t="s">
        <v>1084</v>
      </c>
      <c r="H56542" t="s">
        <v>352</v>
      </c>
      <c r="J56542" t="s">
        <v>140</v>
      </c>
      <c r="K56542">
        <v>161060.924</v>
      </c>
      <c r="L56542">
        <v>383355.446</v>
      </c>
      <c r="M56542">
        <v>1</v>
      </c>
      <c r="N56542" t="s">
        <v>3346</v>
      </c>
      <c r="O56542" t="s">
        <v>542</v>
      </c>
      <c r="P56542" t="s">
        <v>801</v>
      </c>
      <c r="Q56542" t="s">
        <v>3347</v>
      </c>
      <c r="R56542" t="s">
        <v>145</v>
      </c>
      <c r="S56542">
        <v>35</v>
      </c>
      <c r="T56542">
        <v>2200</v>
      </c>
      <c r="V56542" t="s">
        <v>183</v>
      </c>
      <c r="W56542" t="s">
        <v>415</v>
      </c>
      <c r="X56542" t="s">
        <v>7</v>
      </c>
      <c r="Y56542" t="s">
        <v>3348</v>
      </c>
      <c r="Z56542" t="s">
        <v>736</v>
      </c>
      <c r="AA56542" t="s">
        <v>519</v>
      </c>
      <c r="AB56542">
        <v>50</v>
      </c>
      <c r="AC56542" t="s">
        <v>150</v>
      </c>
      <c r="AE56542" t="s">
        <v>1249</v>
      </c>
      <c r="AF56542" t="s">
        <v>736</v>
      </c>
      <c r="AG56542" t="s">
        <v>1523</v>
      </c>
      <c r="AL56542" t="s">
        <v>7031</v>
      </c>
      <c r="AM56542" t="s">
        <v>7032</v>
      </c>
      <c r="AN56542" t="s">
        <v>7033</v>
      </c>
      <c r="AO56542" t="s">
        <v>3346</v>
      </c>
      <c r="AQ56542">
        <f>IF(ISBLANK(AP56542), IFERROR(IF(VLOOKUP(AO56542, Ellens_additions!$A$2:$B$252, 2, FALSE) = "", "", VLOOKUP(AO56542, Ellens_additions!$A$2:$B$252, 2, FALSE)), 0), AP56542)</f>
        <v>0</v>
      </c>
    </row>
    <row r="56543" spans="1:43" ht="14.4" x14ac:dyDescent="0.3"/>
    <row r="56544" spans="1:43" ht="14.4" x14ac:dyDescent="0.3"/>
    <row r="56545" spans="1:43" ht="14.4" x14ac:dyDescent="0.3"/>
    <row r="56546" spans="1:43" ht="14.4" x14ac:dyDescent="0.3"/>
    <row r="56547" spans="1:43" ht="14.4" x14ac:dyDescent="0.3"/>
    <row r="56548" spans="1:43" ht="14.4" x14ac:dyDescent="0.3"/>
    <row r="56549" spans="1:43" ht="14.4" x14ac:dyDescent="0.3"/>
    <row r="56550" spans="1:43" ht="14.4" x14ac:dyDescent="0.3"/>
    <row r="56551" spans="1:43" ht="14.4" x14ac:dyDescent="0.3"/>
    <row r="56552" spans="1:43" ht="14.4" x14ac:dyDescent="0.3"/>
    <row r="56553" spans="1:43" ht="14.4" x14ac:dyDescent="0.3"/>
    <row r="56554" spans="1:43" ht="14.4" x14ac:dyDescent="0.3"/>
    <row r="56555" spans="1:43" ht="14.4" x14ac:dyDescent="0.3"/>
    <row r="56556" spans="1:43" ht="14.4" hidden="1" x14ac:dyDescent="0.3">
      <c r="A56556" t="s">
        <v>7034</v>
      </c>
      <c r="B56556">
        <v>4892482</v>
      </c>
      <c r="C56556" t="s">
        <v>842</v>
      </c>
      <c r="D56556" t="s">
        <v>843</v>
      </c>
      <c r="E56556" t="s">
        <v>844</v>
      </c>
      <c r="F56556" t="s">
        <v>2027</v>
      </c>
      <c r="H56556" t="s">
        <v>482</v>
      </c>
      <c r="J56556" t="s">
        <v>140</v>
      </c>
      <c r="K56556">
        <v>161574.62</v>
      </c>
      <c r="L56556">
        <v>383161.49</v>
      </c>
      <c r="M56556">
        <v>1</v>
      </c>
      <c r="N56556" t="s">
        <v>382</v>
      </c>
      <c r="O56556" t="s">
        <v>664</v>
      </c>
      <c r="P56556" t="s">
        <v>397</v>
      </c>
      <c r="Q56556" t="s">
        <v>358</v>
      </c>
      <c r="R56556" t="s">
        <v>145</v>
      </c>
      <c r="S56556">
        <v>35</v>
      </c>
      <c r="T56556">
        <v>3300</v>
      </c>
      <c r="V56556" t="s">
        <v>359</v>
      </c>
      <c r="W56556" t="s">
        <v>415</v>
      </c>
      <c r="X56556" t="s">
        <v>7</v>
      </c>
      <c r="Y56556" t="s">
        <v>3365</v>
      </c>
      <c r="Z56556" t="s">
        <v>575</v>
      </c>
      <c r="AA56556" t="s">
        <v>1939</v>
      </c>
      <c r="AB56556">
        <v>90</v>
      </c>
      <c r="AC56556" t="s">
        <v>150</v>
      </c>
      <c r="AE56556" t="s">
        <v>3366</v>
      </c>
      <c r="AF56556" t="s">
        <v>575</v>
      </c>
      <c r="AG56556" t="s">
        <v>1939</v>
      </c>
      <c r="AL56556" t="s">
        <v>7035</v>
      </c>
      <c r="AM56556" t="s">
        <v>7036</v>
      </c>
      <c r="AN56556" t="s">
        <v>7037</v>
      </c>
      <c r="AO56556" t="s">
        <v>382</v>
      </c>
      <c r="AQ56556" t="str">
        <f>IF(ISBLANK(AP56556), IFERROR(IF(VLOOKUP(AO56556, Ellens_additions!$A$2:$B$252, 2, FALSE) = "", "", VLOOKUP(AO56556, Ellens_additions!$A$2:$B$252, 2, FALSE)), 0), AP56556)</f>
        <v/>
      </c>
    </row>
    <row r="56557" spans="1:43" ht="14.4" hidden="1" x14ac:dyDescent="0.3">
      <c r="A56557" t="s">
        <v>7038</v>
      </c>
      <c r="B56557">
        <v>4892484</v>
      </c>
      <c r="C56557" t="s">
        <v>842</v>
      </c>
      <c r="D56557" t="s">
        <v>843</v>
      </c>
      <c r="E56557" t="s">
        <v>844</v>
      </c>
      <c r="F56557" t="s">
        <v>2027</v>
      </c>
      <c r="H56557" t="s">
        <v>301</v>
      </c>
      <c r="J56557" t="s">
        <v>140</v>
      </c>
      <c r="K56557">
        <v>161551.35</v>
      </c>
      <c r="L56557">
        <v>383149.99</v>
      </c>
      <c r="M56557">
        <v>1</v>
      </c>
      <c r="N56557" t="s">
        <v>382</v>
      </c>
      <c r="O56557" t="s">
        <v>441</v>
      </c>
      <c r="P56557" t="s">
        <v>395</v>
      </c>
      <c r="Q56557" t="s">
        <v>358</v>
      </c>
      <c r="R56557" t="s">
        <v>145</v>
      </c>
      <c r="S56557">
        <v>35</v>
      </c>
      <c r="T56557">
        <v>3300</v>
      </c>
      <c r="V56557" t="s">
        <v>359</v>
      </c>
      <c r="W56557" t="s">
        <v>415</v>
      </c>
      <c r="X56557" t="s">
        <v>7</v>
      </c>
      <c r="Y56557" t="s">
        <v>3365</v>
      </c>
      <c r="Z56557" t="s">
        <v>575</v>
      </c>
      <c r="AA56557" t="s">
        <v>1939</v>
      </c>
      <c r="AB56557">
        <v>90</v>
      </c>
      <c r="AC56557" t="s">
        <v>150</v>
      </c>
      <c r="AE56557" t="s">
        <v>3366</v>
      </c>
      <c r="AF56557" t="s">
        <v>575</v>
      </c>
      <c r="AG56557" t="s">
        <v>1939</v>
      </c>
      <c r="AL56557" t="s">
        <v>7039</v>
      </c>
      <c r="AM56557" t="s">
        <v>7040</v>
      </c>
      <c r="AN56557" t="s">
        <v>7041</v>
      </c>
      <c r="AO56557" t="s">
        <v>382</v>
      </c>
      <c r="AQ56557" t="str">
        <f>IF(ISBLANK(AP56557), IFERROR(IF(VLOOKUP(AO56557, Ellens_additions!$A$2:$B$252, 2, FALSE) = "", "", VLOOKUP(AO56557, Ellens_additions!$A$2:$B$252, 2, FALSE)), 0), AP56557)</f>
        <v/>
      </c>
    </row>
    <row r="56558" spans="1:43" ht="14.4" hidden="1" x14ac:dyDescent="0.3">
      <c r="A56558" t="s">
        <v>7042</v>
      </c>
      <c r="B56558">
        <v>4892486</v>
      </c>
      <c r="C56558" t="s">
        <v>842</v>
      </c>
      <c r="D56558" t="s">
        <v>843</v>
      </c>
      <c r="E56558" t="s">
        <v>844</v>
      </c>
      <c r="F56558" t="s">
        <v>2027</v>
      </c>
      <c r="H56558" t="s">
        <v>302</v>
      </c>
      <c r="J56558" t="s">
        <v>140</v>
      </c>
      <c r="K56558">
        <v>161563.83499999999</v>
      </c>
      <c r="L56558">
        <v>383161.80800000002</v>
      </c>
      <c r="M56558">
        <v>1</v>
      </c>
      <c r="N56558" t="s">
        <v>382</v>
      </c>
      <c r="O56558" t="s">
        <v>1518</v>
      </c>
      <c r="P56558" t="s">
        <v>526</v>
      </c>
      <c r="Q56558" t="s">
        <v>358</v>
      </c>
      <c r="R56558" t="s">
        <v>145</v>
      </c>
      <c r="S56558">
        <v>35</v>
      </c>
      <c r="T56558">
        <v>3300</v>
      </c>
      <c r="V56558" t="s">
        <v>359</v>
      </c>
      <c r="W56558" t="s">
        <v>415</v>
      </c>
      <c r="X56558" t="s">
        <v>7</v>
      </c>
      <c r="Y56558" t="s">
        <v>3365</v>
      </c>
      <c r="Z56558" t="s">
        <v>575</v>
      </c>
      <c r="AA56558" t="s">
        <v>1939</v>
      </c>
      <c r="AB56558">
        <v>90</v>
      </c>
      <c r="AC56558" t="s">
        <v>150</v>
      </c>
      <c r="AE56558" t="s">
        <v>3366</v>
      </c>
      <c r="AF56558" t="s">
        <v>575</v>
      </c>
      <c r="AG56558" t="s">
        <v>1939</v>
      </c>
      <c r="AL56558" t="s">
        <v>7043</v>
      </c>
      <c r="AM56558" t="s">
        <v>7044</v>
      </c>
      <c r="AN56558" t="s">
        <v>7045</v>
      </c>
      <c r="AO56558" t="s">
        <v>382</v>
      </c>
      <c r="AQ56558" t="str">
        <f>IF(ISBLANK(AP56558), IFERROR(IF(VLOOKUP(AO56558, Ellens_additions!$A$2:$B$252, 2, FALSE) = "", "", VLOOKUP(AO56558, Ellens_additions!$A$2:$B$252, 2, FALSE)), 0), AP56558)</f>
        <v/>
      </c>
    </row>
    <row r="56559" spans="1:43" ht="14.4" hidden="1" x14ac:dyDescent="0.3">
      <c r="A56559" t="s">
        <v>7046</v>
      </c>
      <c r="B56559">
        <v>4892487</v>
      </c>
      <c r="C56559" t="s">
        <v>842</v>
      </c>
      <c r="D56559" t="s">
        <v>843</v>
      </c>
      <c r="E56559" t="s">
        <v>844</v>
      </c>
      <c r="F56559" t="s">
        <v>2027</v>
      </c>
      <c r="H56559" t="s">
        <v>483</v>
      </c>
      <c r="J56559" t="s">
        <v>140</v>
      </c>
      <c r="K56559">
        <v>161546.51</v>
      </c>
      <c r="L56559">
        <v>383167.67</v>
      </c>
      <c r="M56559">
        <v>1</v>
      </c>
      <c r="N56559" t="s">
        <v>382</v>
      </c>
      <c r="O56559" t="s">
        <v>1871</v>
      </c>
      <c r="P56559" t="s">
        <v>1787</v>
      </c>
      <c r="Q56559" t="s">
        <v>358</v>
      </c>
      <c r="R56559" t="s">
        <v>145</v>
      </c>
      <c r="S56559">
        <v>35</v>
      </c>
      <c r="T56559">
        <v>3300</v>
      </c>
      <c r="V56559" t="s">
        <v>359</v>
      </c>
      <c r="W56559" t="s">
        <v>415</v>
      </c>
      <c r="X56559" t="s">
        <v>7</v>
      </c>
      <c r="Y56559" t="s">
        <v>3365</v>
      </c>
      <c r="Z56559" t="s">
        <v>575</v>
      </c>
      <c r="AA56559" t="s">
        <v>1939</v>
      </c>
      <c r="AB56559">
        <v>90</v>
      </c>
      <c r="AC56559" t="s">
        <v>150</v>
      </c>
      <c r="AE56559" t="s">
        <v>3366</v>
      </c>
      <c r="AF56559" t="s">
        <v>575</v>
      </c>
      <c r="AG56559" t="s">
        <v>1939</v>
      </c>
      <c r="AL56559" t="s">
        <v>7047</v>
      </c>
      <c r="AM56559" t="s">
        <v>7048</v>
      </c>
      <c r="AN56559" t="s">
        <v>7049</v>
      </c>
      <c r="AO56559" t="s">
        <v>382</v>
      </c>
      <c r="AQ56559" t="str">
        <f>IF(ISBLANK(AP56559), IFERROR(IF(VLOOKUP(AO56559, Ellens_additions!$A$2:$B$252, 2, FALSE) = "", "", VLOOKUP(AO56559, Ellens_additions!$A$2:$B$252, 2, FALSE)), 0), AP56559)</f>
        <v/>
      </c>
    </row>
    <row r="56560" spans="1:43" ht="14.4" hidden="1" x14ac:dyDescent="0.3">
      <c r="A56560" t="s">
        <v>3370</v>
      </c>
      <c r="B56560">
        <v>4892490</v>
      </c>
      <c r="C56560" t="s">
        <v>842</v>
      </c>
      <c r="D56560" t="s">
        <v>843</v>
      </c>
      <c r="E56560" t="s">
        <v>844</v>
      </c>
      <c r="F56560" t="s">
        <v>1959</v>
      </c>
      <c r="H56560" t="s">
        <v>817</v>
      </c>
      <c r="J56560" t="s">
        <v>140</v>
      </c>
      <c r="K56560">
        <v>161597.97899999999</v>
      </c>
      <c r="L56560">
        <v>383173.12900000002</v>
      </c>
      <c r="M56560">
        <v>1</v>
      </c>
      <c r="N56560" t="s">
        <v>1246</v>
      </c>
      <c r="O56560" t="s">
        <v>845</v>
      </c>
      <c r="P56560" t="s">
        <v>1378</v>
      </c>
      <c r="Q56560" t="s">
        <v>761</v>
      </c>
      <c r="R56560" t="s">
        <v>145</v>
      </c>
      <c r="S56560">
        <v>18</v>
      </c>
      <c r="T56560">
        <v>0</v>
      </c>
      <c r="V56560" t="s">
        <v>848</v>
      </c>
      <c r="W56560" t="s">
        <v>415</v>
      </c>
      <c r="X56560" t="s">
        <v>7</v>
      </c>
      <c r="Y56560" t="s">
        <v>3371</v>
      </c>
      <c r="Z56560" t="s">
        <v>1549</v>
      </c>
      <c r="AA56560" t="s">
        <v>1857</v>
      </c>
      <c r="AB56560">
        <v>30</v>
      </c>
      <c r="AC56560" t="s">
        <v>150</v>
      </c>
      <c r="AE56560" t="s">
        <v>3252</v>
      </c>
      <c r="AF56560" t="s">
        <v>1549</v>
      </c>
      <c r="AG56560" t="s">
        <v>1851</v>
      </c>
      <c r="AL56560" t="s">
        <v>3372</v>
      </c>
      <c r="AM56560" t="s">
        <v>3373</v>
      </c>
      <c r="AN56560" t="s">
        <v>3374</v>
      </c>
      <c r="AO56560" t="s">
        <v>1246</v>
      </c>
      <c r="AQ56560" t="str">
        <f>IF(ISBLANK(AP56560), IFERROR(IF(VLOOKUP(AO56560, Ellens_additions!$A$2:$B$252, 2, FALSE) = "", "", VLOOKUP(AO56560, Ellens_additions!$A$2:$B$252, 2, FALSE)), 0), AP56560)</f>
        <v/>
      </c>
    </row>
    <row r="56561" spans="1:43" ht="14.4" hidden="1" x14ac:dyDescent="0.3">
      <c r="A56561" t="s">
        <v>3370</v>
      </c>
      <c r="B56561">
        <v>4892491</v>
      </c>
      <c r="C56561" t="s">
        <v>842</v>
      </c>
      <c r="D56561" t="s">
        <v>843</v>
      </c>
      <c r="E56561" t="s">
        <v>844</v>
      </c>
      <c r="F56561" t="s">
        <v>1959</v>
      </c>
      <c r="H56561" t="s">
        <v>817</v>
      </c>
      <c r="J56561" t="s">
        <v>140</v>
      </c>
      <c r="K56561">
        <v>161597.97899999999</v>
      </c>
      <c r="L56561">
        <v>383173.12900000002</v>
      </c>
      <c r="M56561">
        <v>1</v>
      </c>
      <c r="N56561" t="s">
        <v>1246</v>
      </c>
      <c r="O56561" t="s">
        <v>845</v>
      </c>
      <c r="P56561" t="s">
        <v>1378</v>
      </c>
      <c r="Q56561" t="s">
        <v>761</v>
      </c>
      <c r="R56561" t="s">
        <v>145</v>
      </c>
      <c r="S56561">
        <v>18</v>
      </c>
      <c r="T56561">
        <v>0</v>
      </c>
      <c r="V56561" t="s">
        <v>848</v>
      </c>
      <c r="W56561" t="s">
        <v>415</v>
      </c>
      <c r="X56561" t="s">
        <v>27</v>
      </c>
      <c r="Y56561" t="s">
        <v>3371</v>
      </c>
      <c r="Z56561" t="s">
        <v>1549</v>
      </c>
      <c r="AA56561" t="s">
        <v>1857</v>
      </c>
      <c r="AB56561">
        <v>30</v>
      </c>
      <c r="AC56561" t="s">
        <v>150</v>
      </c>
      <c r="AE56561" t="s">
        <v>3252</v>
      </c>
      <c r="AF56561" t="s">
        <v>1549</v>
      </c>
      <c r="AG56561" t="s">
        <v>1851</v>
      </c>
      <c r="AL56561" t="s">
        <v>3372</v>
      </c>
      <c r="AM56561" t="s">
        <v>3373</v>
      </c>
      <c r="AN56561" t="s">
        <v>3374</v>
      </c>
      <c r="AO56561" t="s">
        <v>1246</v>
      </c>
      <c r="AQ56561" t="str">
        <f>IF(ISBLANK(AP56561), IFERROR(IF(VLOOKUP(AO56561, Ellens_additions!$A$2:$B$252, 2, FALSE) = "", "", VLOOKUP(AO56561, Ellens_additions!$A$2:$B$252, 2, FALSE)), 0), AP56561)</f>
        <v/>
      </c>
    </row>
    <row r="56562" spans="1:43" ht="14.4" hidden="1" x14ac:dyDescent="0.3">
      <c r="A56562" t="s">
        <v>3370</v>
      </c>
      <c r="B56562">
        <v>4892492</v>
      </c>
      <c r="C56562" t="s">
        <v>842</v>
      </c>
      <c r="D56562" t="s">
        <v>843</v>
      </c>
      <c r="E56562" t="s">
        <v>844</v>
      </c>
      <c r="F56562" t="s">
        <v>1959</v>
      </c>
      <c r="H56562" t="s">
        <v>817</v>
      </c>
      <c r="J56562" t="s">
        <v>140</v>
      </c>
      <c r="K56562">
        <v>161597.97899999999</v>
      </c>
      <c r="L56562">
        <v>383173.12900000002</v>
      </c>
      <c r="M56562">
        <v>1</v>
      </c>
      <c r="N56562" t="s">
        <v>1246</v>
      </c>
      <c r="O56562" t="s">
        <v>845</v>
      </c>
      <c r="P56562" t="s">
        <v>1378</v>
      </c>
      <c r="Q56562" t="s">
        <v>761</v>
      </c>
      <c r="R56562" t="s">
        <v>145</v>
      </c>
      <c r="S56562">
        <v>18</v>
      </c>
      <c r="T56562">
        <v>0</v>
      </c>
      <c r="V56562" t="s">
        <v>848</v>
      </c>
      <c r="W56562" t="s">
        <v>415</v>
      </c>
      <c r="X56562" t="s">
        <v>25</v>
      </c>
      <c r="Y56562" t="s">
        <v>3371</v>
      </c>
      <c r="Z56562" t="s">
        <v>1549</v>
      </c>
      <c r="AA56562" t="s">
        <v>1857</v>
      </c>
      <c r="AB56562">
        <v>30</v>
      </c>
      <c r="AC56562" t="s">
        <v>150</v>
      </c>
      <c r="AE56562" t="s">
        <v>3252</v>
      </c>
      <c r="AF56562" t="s">
        <v>1549</v>
      </c>
      <c r="AG56562" t="s">
        <v>1851</v>
      </c>
      <c r="AL56562" t="s">
        <v>3372</v>
      </c>
      <c r="AM56562" t="s">
        <v>3373</v>
      </c>
      <c r="AN56562" t="s">
        <v>3374</v>
      </c>
      <c r="AO56562" t="s">
        <v>1246</v>
      </c>
      <c r="AQ56562" t="str">
        <f>IF(ISBLANK(AP56562), IFERROR(IF(VLOOKUP(AO56562, Ellens_additions!$A$2:$B$252, 2, FALSE) = "", "", VLOOKUP(AO56562, Ellens_additions!$A$2:$B$252, 2, FALSE)), 0), AP56562)</f>
        <v/>
      </c>
    </row>
    <row r="56563" spans="1:43" ht="14.4" hidden="1" x14ac:dyDescent="0.3">
      <c r="A56563" t="s">
        <v>3370</v>
      </c>
      <c r="B56563">
        <v>4892493</v>
      </c>
      <c r="C56563" t="s">
        <v>842</v>
      </c>
      <c r="D56563" t="s">
        <v>843</v>
      </c>
      <c r="E56563" t="s">
        <v>844</v>
      </c>
      <c r="F56563" t="s">
        <v>1959</v>
      </c>
      <c r="H56563" t="s">
        <v>817</v>
      </c>
      <c r="J56563" t="s">
        <v>140</v>
      </c>
      <c r="K56563">
        <v>161597.97899999999</v>
      </c>
      <c r="L56563">
        <v>383173.12900000002</v>
      </c>
      <c r="M56563">
        <v>1</v>
      </c>
      <c r="N56563" t="s">
        <v>1246</v>
      </c>
      <c r="O56563" t="s">
        <v>845</v>
      </c>
      <c r="P56563" t="s">
        <v>1378</v>
      </c>
      <c r="Q56563" t="s">
        <v>761</v>
      </c>
      <c r="R56563" t="s">
        <v>145</v>
      </c>
      <c r="S56563">
        <v>18</v>
      </c>
      <c r="T56563">
        <v>0</v>
      </c>
      <c r="V56563" t="s">
        <v>848</v>
      </c>
      <c r="W56563" t="s">
        <v>415</v>
      </c>
      <c r="X56563" t="s">
        <v>23</v>
      </c>
      <c r="Y56563" t="s">
        <v>3371</v>
      </c>
      <c r="Z56563" t="s">
        <v>1549</v>
      </c>
      <c r="AA56563" t="s">
        <v>1857</v>
      </c>
      <c r="AB56563">
        <v>30</v>
      </c>
      <c r="AC56563" t="s">
        <v>150</v>
      </c>
      <c r="AE56563" t="s">
        <v>3252</v>
      </c>
      <c r="AF56563" t="s">
        <v>1549</v>
      </c>
      <c r="AG56563" t="s">
        <v>1851</v>
      </c>
      <c r="AL56563" t="s">
        <v>3372</v>
      </c>
      <c r="AM56563" t="s">
        <v>3373</v>
      </c>
      <c r="AN56563" t="s">
        <v>3374</v>
      </c>
      <c r="AO56563" t="s">
        <v>1246</v>
      </c>
      <c r="AQ56563" t="str">
        <f>IF(ISBLANK(AP56563), IFERROR(IF(VLOOKUP(AO56563, Ellens_additions!$A$2:$B$252, 2, FALSE) = "", "", VLOOKUP(AO56563, Ellens_additions!$A$2:$B$252, 2, FALSE)), 0), AP56563)</f>
        <v/>
      </c>
    </row>
    <row r="56564" spans="1:43" ht="14.4" hidden="1" x14ac:dyDescent="0.3">
      <c r="A56564" t="s">
        <v>3370</v>
      </c>
      <c r="B56564">
        <v>4892500</v>
      </c>
      <c r="C56564" t="s">
        <v>842</v>
      </c>
      <c r="D56564" t="s">
        <v>843</v>
      </c>
      <c r="E56564" t="s">
        <v>844</v>
      </c>
      <c r="F56564" t="s">
        <v>1959</v>
      </c>
      <c r="H56564" t="s">
        <v>817</v>
      </c>
      <c r="J56564" t="s">
        <v>140</v>
      </c>
      <c r="K56564">
        <v>161597.97899999999</v>
      </c>
      <c r="L56564">
        <v>383173.12900000002</v>
      </c>
      <c r="M56564">
        <v>1</v>
      </c>
      <c r="N56564" t="s">
        <v>1246</v>
      </c>
      <c r="O56564" t="s">
        <v>845</v>
      </c>
      <c r="P56564" t="s">
        <v>1378</v>
      </c>
      <c r="Q56564" t="s">
        <v>761</v>
      </c>
      <c r="R56564" t="s">
        <v>145</v>
      </c>
      <c r="S56564">
        <v>18</v>
      </c>
      <c r="T56564">
        <v>0</v>
      </c>
      <c r="V56564" t="s">
        <v>848</v>
      </c>
      <c r="W56564" t="s">
        <v>415</v>
      </c>
      <c r="X56564" t="s">
        <v>29</v>
      </c>
      <c r="Y56564" t="s">
        <v>3371</v>
      </c>
      <c r="Z56564" t="s">
        <v>1549</v>
      </c>
      <c r="AA56564" t="s">
        <v>1857</v>
      </c>
      <c r="AB56564">
        <v>30</v>
      </c>
      <c r="AC56564" t="s">
        <v>150</v>
      </c>
      <c r="AE56564" t="s">
        <v>3252</v>
      </c>
      <c r="AF56564" t="s">
        <v>1549</v>
      </c>
      <c r="AG56564" t="s">
        <v>1851</v>
      </c>
      <c r="AL56564" t="s">
        <v>3372</v>
      </c>
      <c r="AM56564" t="s">
        <v>3373</v>
      </c>
      <c r="AN56564" t="s">
        <v>3374</v>
      </c>
      <c r="AO56564" t="s">
        <v>1246</v>
      </c>
      <c r="AQ56564" t="str">
        <f>IF(ISBLANK(AP56564), IFERROR(IF(VLOOKUP(AO56564, Ellens_additions!$A$2:$B$252, 2, FALSE) = "", "", VLOOKUP(AO56564, Ellens_additions!$A$2:$B$252, 2, FALSE)), 0), AP56564)</f>
        <v/>
      </c>
    </row>
    <row r="56565" spans="1:43" ht="14.4" x14ac:dyDescent="0.3"/>
    <row r="56566" spans="1:43" ht="14.4" hidden="1" x14ac:dyDescent="0.3">
      <c r="A56566" t="s">
        <v>7050</v>
      </c>
      <c r="B56566">
        <v>4892505</v>
      </c>
      <c r="C56566" t="s">
        <v>842</v>
      </c>
      <c r="D56566" t="s">
        <v>843</v>
      </c>
      <c r="E56566" t="s">
        <v>844</v>
      </c>
      <c r="F56566" t="s">
        <v>2027</v>
      </c>
      <c r="H56566" t="s">
        <v>381</v>
      </c>
      <c r="J56566" t="s">
        <v>140</v>
      </c>
      <c r="K56566">
        <v>161556.054</v>
      </c>
      <c r="L56566">
        <v>383190.973</v>
      </c>
      <c r="M56566">
        <v>1</v>
      </c>
      <c r="N56566" t="s">
        <v>382</v>
      </c>
      <c r="O56566" t="s">
        <v>1518</v>
      </c>
      <c r="P56566" t="s">
        <v>526</v>
      </c>
      <c r="Q56566" t="s">
        <v>358</v>
      </c>
      <c r="R56566" t="s">
        <v>145</v>
      </c>
      <c r="S56566">
        <v>35</v>
      </c>
      <c r="T56566">
        <v>3300</v>
      </c>
      <c r="V56566" t="s">
        <v>359</v>
      </c>
      <c r="W56566" t="s">
        <v>415</v>
      </c>
      <c r="X56566" t="s">
        <v>7</v>
      </c>
      <c r="Y56566" t="s">
        <v>3365</v>
      </c>
      <c r="Z56566" t="s">
        <v>575</v>
      </c>
      <c r="AA56566" t="s">
        <v>1939</v>
      </c>
      <c r="AB56566">
        <v>90</v>
      </c>
      <c r="AC56566" t="s">
        <v>150</v>
      </c>
      <c r="AE56566" t="s">
        <v>3366</v>
      </c>
      <c r="AF56566" t="s">
        <v>575</v>
      </c>
      <c r="AG56566" t="s">
        <v>1939</v>
      </c>
      <c r="AL56566" t="s">
        <v>7051</v>
      </c>
      <c r="AM56566" t="s">
        <v>7052</v>
      </c>
      <c r="AN56566" t="s">
        <v>7053</v>
      </c>
      <c r="AO56566" t="s">
        <v>382</v>
      </c>
      <c r="AQ56566" t="str">
        <f>IF(ISBLANK(AP56566), IFERROR(IF(VLOOKUP(AO56566, Ellens_additions!$A$2:$B$252, 2, FALSE) = "", "", VLOOKUP(AO56566, Ellens_additions!$A$2:$B$252, 2, FALSE)), 0), AP56566)</f>
        <v/>
      </c>
    </row>
    <row r="56567" spans="1:43" ht="14.4" x14ac:dyDescent="0.3"/>
    <row r="56568" spans="1:43" ht="14.4" x14ac:dyDescent="0.3"/>
    <row r="56569" spans="1:43" ht="14.4" x14ac:dyDescent="0.3"/>
    <row r="56570" spans="1:43" ht="14.4" x14ac:dyDescent="0.3"/>
    <row r="56571" spans="1:43" ht="14.4" x14ac:dyDescent="0.3"/>
    <row r="56572" spans="1:43" ht="14.4" x14ac:dyDescent="0.3"/>
    <row r="56573" spans="1:43" ht="14.4" x14ac:dyDescent="0.3"/>
    <row r="56574" spans="1:43" ht="14.4" x14ac:dyDescent="0.3"/>
    <row r="56575" spans="1:43" ht="14.4" x14ac:dyDescent="0.3"/>
    <row r="56576" spans="1:43" ht="14.4" x14ac:dyDescent="0.3"/>
    <row r="56577" ht="14.4" x14ac:dyDescent="0.3"/>
    <row r="56578" ht="14.4" x14ac:dyDescent="0.3"/>
    <row r="56579" ht="14.4" x14ac:dyDescent="0.3"/>
    <row r="56580" ht="14.4" x14ac:dyDescent="0.3"/>
    <row r="56581" ht="14.4" x14ac:dyDescent="0.3"/>
    <row r="56582" ht="14.4" x14ac:dyDescent="0.3"/>
    <row r="56583" ht="14.4" x14ac:dyDescent="0.3"/>
    <row r="56584" ht="14.4" x14ac:dyDescent="0.3"/>
    <row r="56585" ht="14.4" x14ac:dyDescent="0.3"/>
    <row r="56586" ht="14.4" x14ac:dyDescent="0.3"/>
    <row r="56587" ht="14.4" x14ac:dyDescent="0.3"/>
    <row r="56588" ht="14.4" x14ac:dyDescent="0.3"/>
    <row r="56589" ht="14.4" x14ac:dyDescent="0.3"/>
    <row r="56590" ht="14.4" x14ac:dyDescent="0.3"/>
    <row r="56591" ht="14.4" x14ac:dyDescent="0.3"/>
    <row r="56592" ht="14.4" x14ac:dyDescent="0.3"/>
    <row r="56593" spans="1:43" ht="14.4" x14ac:dyDescent="0.3"/>
    <row r="56594" spans="1:43" ht="14.4" x14ac:dyDescent="0.3"/>
    <row r="56595" spans="1:43" ht="14.4" x14ac:dyDescent="0.3"/>
    <row r="56596" spans="1:43" ht="14.4" x14ac:dyDescent="0.3"/>
    <row r="56597" spans="1:43" ht="14.4" x14ac:dyDescent="0.3"/>
    <row r="56598" spans="1:43" ht="14.4" x14ac:dyDescent="0.3"/>
    <row r="56599" spans="1:43" ht="14.4" x14ac:dyDescent="0.3"/>
    <row r="56600" spans="1:43" ht="14.4" x14ac:dyDescent="0.3"/>
    <row r="56601" spans="1:43" ht="14.4" x14ac:dyDescent="0.3"/>
    <row r="56602" spans="1:43" ht="14.4" x14ac:dyDescent="0.3"/>
    <row r="56603" spans="1:43" ht="14.4" x14ac:dyDescent="0.3"/>
    <row r="56604" spans="1:43" ht="14.4" x14ac:dyDescent="0.3"/>
    <row r="56605" spans="1:43" ht="14.4" hidden="1" x14ac:dyDescent="0.3">
      <c r="A56605" t="s">
        <v>7054</v>
      </c>
      <c r="B56605">
        <v>4892624</v>
      </c>
      <c r="C56605" t="s">
        <v>842</v>
      </c>
      <c r="D56605" t="s">
        <v>843</v>
      </c>
      <c r="E56605" t="s">
        <v>844</v>
      </c>
      <c r="F56605" t="s">
        <v>1962</v>
      </c>
      <c r="H56605" t="s">
        <v>657</v>
      </c>
      <c r="I56605" t="s">
        <v>2029</v>
      </c>
      <c r="J56605" t="s">
        <v>140</v>
      </c>
      <c r="K56605">
        <v>161556.70600000001</v>
      </c>
      <c r="L56605">
        <v>382910.34299999999</v>
      </c>
      <c r="M56605">
        <v>1</v>
      </c>
      <c r="N56605" t="s">
        <v>3376</v>
      </c>
      <c r="O56605" t="s">
        <v>1859</v>
      </c>
      <c r="P56605" t="s">
        <v>7055</v>
      </c>
      <c r="S56605">
        <v>5</v>
      </c>
      <c r="T56605">
        <v>250</v>
      </c>
      <c r="V56605" t="s">
        <v>3377</v>
      </c>
      <c r="W56605" t="s">
        <v>415</v>
      </c>
      <c r="X56605" t="s">
        <v>7</v>
      </c>
      <c r="Y56605" t="s">
        <v>3378</v>
      </c>
      <c r="Z56605" t="s">
        <v>2024</v>
      </c>
      <c r="AA56605" t="s">
        <v>2025</v>
      </c>
      <c r="AB56605">
        <v>100</v>
      </c>
      <c r="AC56605" t="s">
        <v>150</v>
      </c>
      <c r="AE56605" t="s">
        <v>3381</v>
      </c>
      <c r="AF56605" t="s">
        <v>2024</v>
      </c>
      <c r="AG56605" t="s">
        <v>2025</v>
      </c>
      <c r="AL56605" t="s">
        <v>7056</v>
      </c>
      <c r="AM56605" t="s">
        <v>7057</v>
      </c>
      <c r="AN56605" t="s">
        <v>7058</v>
      </c>
      <c r="AO56605" t="s">
        <v>3376</v>
      </c>
      <c r="AQ56605">
        <f>IF(ISBLANK(AP56605), IFERROR(IF(VLOOKUP(AO56605, Ellens_additions!$A$2:$B$252, 2, FALSE) = "", "", VLOOKUP(AO56605, Ellens_additions!$A$2:$B$252, 2, FALSE)), 0), AP56605)</f>
        <v>0</v>
      </c>
    </row>
    <row r="56606" spans="1:43" ht="14.4" hidden="1" x14ac:dyDescent="0.3">
      <c r="A56606" t="s">
        <v>7059</v>
      </c>
      <c r="B56606">
        <v>4892625</v>
      </c>
      <c r="C56606" t="s">
        <v>842</v>
      </c>
      <c r="D56606" t="s">
        <v>843</v>
      </c>
      <c r="E56606" t="s">
        <v>844</v>
      </c>
      <c r="F56606" t="s">
        <v>1962</v>
      </c>
      <c r="H56606" t="s">
        <v>818</v>
      </c>
      <c r="I56606" t="s">
        <v>2029</v>
      </c>
      <c r="J56606" t="s">
        <v>140</v>
      </c>
      <c r="K56606">
        <v>161569.394</v>
      </c>
      <c r="L56606">
        <v>382916.35100000002</v>
      </c>
      <c r="M56606">
        <v>1</v>
      </c>
      <c r="N56606" t="s">
        <v>5215</v>
      </c>
      <c r="O56606" t="s">
        <v>364</v>
      </c>
      <c r="P56606" t="s">
        <v>525</v>
      </c>
      <c r="Q56606" t="s">
        <v>264</v>
      </c>
      <c r="R56606" t="s">
        <v>145</v>
      </c>
      <c r="S56606">
        <v>5</v>
      </c>
      <c r="T56606">
        <v>250</v>
      </c>
      <c r="V56606" t="s">
        <v>5216</v>
      </c>
      <c r="W56606" t="s">
        <v>415</v>
      </c>
      <c r="X56606" t="s">
        <v>7</v>
      </c>
      <c r="Y56606" t="s">
        <v>3378</v>
      </c>
      <c r="Z56606" t="s">
        <v>2024</v>
      </c>
      <c r="AA56606" t="s">
        <v>2025</v>
      </c>
      <c r="AB56606">
        <v>100</v>
      </c>
      <c r="AC56606" t="s">
        <v>150</v>
      </c>
      <c r="AE56606" t="s">
        <v>3381</v>
      </c>
      <c r="AF56606" t="s">
        <v>2024</v>
      </c>
      <c r="AG56606" t="s">
        <v>2025</v>
      </c>
      <c r="AL56606" t="s">
        <v>7060</v>
      </c>
      <c r="AM56606" t="s">
        <v>7061</v>
      </c>
      <c r="AN56606" t="s">
        <v>7062</v>
      </c>
      <c r="AO56606" t="s">
        <v>5215</v>
      </c>
      <c r="AQ56606">
        <f>IF(ISBLANK(AP56606), IFERROR(IF(VLOOKUP(AO56606, Ellens_additions!$A$2:$B$252, 2, FALSE) = "", "", VLOOKUP(AO56606, Ellens_additions!$A$2:$B$252, 2, FALSE)), 0), AP56606)</f>
        <v>0</v>
      </c>
    </row>
    <row r="56607" spans="1:43" ht="14.4" hidden="1" x14ac:dyDescent="0.3">
      <c r="A56607" t="s">
        <v>7063</v>
      </c>
      <c r="B56607">
        <v>4892626</v>
      </c>
      <c r="C56607" t="s">
        <v>842</v>
      </c>
      <c r="D56607" t="s">
        <v>843</v>
      </c>
      <c r="E56607" t="s">
        <v>844</v>
      </c>
      <c r="F56607" t="s">
        <v>1962</v>
      </c>
      <c r="H56607" t="s">
        <v>308</v>
      </c>
      <c r="I56607" t="s">
        <v>2029</v>
      </c>
      <c r="J56607" t="s">
        <v>140</v>
      </c>
      <c r="K56607">
        <v>161561.61199999999</v>
      </c>
      <c r="L56607">
        <v>382926.92800000001</v>
      </c>
      <c r="M56607">
        <v>1</v>
      </c>
      <c r="N56607" t="s">
        <v>3376</v>
      </c>
      <c r="O56607" t="s">
        <v>364</v>
      </c>
      <c r="P56607" t="s">
        <v>490</v>
      </c>
      <c r="S56607">
        <v>5</v>
      </c>
      <c r="T56607">
        <v>250</v>
      </c>
      <c r="V56607" t="s">
        <v>3377</v>
      </c>
      <c r="W56607" t="s">
        <v>415</v>
      </c>
      <c r="X56607" t="s">
        <v>7</v>
      </c>
      <c r="Y56607" t="s">
        <v>3378</v>
      </c>
      <c r="Z56607" t="s">
        <v>2024</v>
      </c>
      <c r="AA56607" t="s">
        <v>2025</v>
      </c>
      <c r="AB56607">
        <v>100</v>
      </c>
      <c r="AC56607" t="s">
        <v>150</v>
      </c>
      <c r="AE56607" t="s">
        <v>3381</v>
      </c>
      <c r="AF56607" t="s">
        <v>2024</v>
      </c>
      <c r="AG56607" t="s">
        <v>2025</v>
      </c>
      <c r="AL56607" t="s">
        <v>7064</v>
      </c>
      <c r="AM56607" t="s">
        <v>7065</v>
      </c>
      <c r="AN56607" t="s">
        <v>7066</v>
      </c>
      <c r="AO56607" t="s">
        <v>3376</v>
      </c>
      <c r="AQ56607">
        <f>IF(ISBLANK(AP56607), IFERROR(IF(VLOOKUP(AO56607, Ellens_additions!$A$2:$B$252, 2, FALSE) = "", "", VLOOKUP(AO56607, Ellens_additions!$A$2:$B$252, 2, FALSE)), 0), AP56607)</f>
        <v>0</v>
      </c>
    </row>
    <row r="56608" spans="1:43" ht="14.4" hidden="1" x14ac:dyDescent="0.3">
      <c r="A56608" t="s">
        <v>7067</v>
      </c>
      <c r="B56608">
        <v>4892628</v>
      </c>
      <c r="C56608" t="s">
        <v>842</v>
      </c>
      <c r="D56608" t="s">
        <v>843</v>
      </c>
      <c r="E56608" t="s">
        <v>844</v>
      </c>
      <c r="F56608" t="s">
        <v>1962</v>
      </c>
      <c r="H56608" t="s">
        <v>1013</v>
      </c>
      <c r="I56608" t="s">
        <v>2029</v>
      </c>
      <c r="J56608" t="s">
        <v>140</v>
      </c>
      <c r="K56608">
        <v>161577.30300000001</v>
      </c>
      <c r="L56608">
        <v>382928.11300000001</v>
      </c>
      <c r="M56608">
        <v>1</v>
      </c>
      <c r="N56608" t="s">
        <v>7068</v>
      </c>
      <c r="O56608" t="s">
        <v>364</v>
      </c>
      <c r="P56608" t="s">
        <v>522</v>
      </c>
      <c r="Q56608" t="s">
        <v>264</v>
      </c>
      <c r="S56608">
        <v>5</v>
      </c>
      <c r="T56608">
        <v>250</v>
      </c>
      <c r="V56608" t="s">
        <v>3377</v>
      </c>
      <c r="W56608" t="s">
        <v>415</v>
      </c>
      <c r="X56608" t="s">
        <v>7</v>
      </c>
      <c r="Y56608" t="s">
        <v>3378</v>
      </c>
      <c r="Z56608" t="s">
        <v>1039</v>
      </c>
      <c r="AA56608" t="s">
        <v>1040</v>
      </c>
      <c r="AB56608">
        <v>100</v>
      </c>
      <c r="AC56608" t="s">
        <v>150</v>
      </c>
      <c r="AE56608" t="s">
        <v>3381</v>
      </c>
      <c r="AF56608" t="s">
        <v>2024</v>
      </c>
      <c r="AG56608" t="s">
        <v>2025</v>
      </c>
      <c r="AL56608" t="s">
        <v>7069</v>
      </c>
      <c r="AM56608" t="s">
        <v>7070</v>
      </c>
      <c r="AN56608" t="s">
        <v>7071</v>
      </c>
      <c r="AO56608" t="s">
        <v>7068</v>
      </c>
      <c r="AQ56608">
        <f>IF(ISBLANK(AP56608), IFERROR(IF(VLOOKUP(AO56608, Ellens_additions!$A$2:$B$252, 2, FALSE) = "", "", VLOOKUP(AO56608, Ellens_additions!$A$2:$B$252, 2, FALSE)), 0), AP56608)</f>
        <v>0</v>
      </c>
    </row>
    <row r="56609" spans="1:43" ht="14.4" hidden="1" x14ac:dyDescent="0.3">
      <c r="A56609" t="s">
        <v>7072</v>
      </c>
      <c r="B56609">
        <v>4892630</v>
      </c>
      <c r="C56609" t="s">
        <v>842</v>
      </c>
      <c r="D56609" t="s">
        <v>843</v>
      </c>
      <c r="E56609" t="s">
        <v>844</v>
      </c>
      <c r="F56609" t="s">
        <v>1962</v>
      </c>
      <c r="H56609" t="s">
        <v>388</v>
      </c>
      <c r="I56609" t="s">
        <v>2029</v>
      </c>
      <c r="J56609" t="s">
        <v>140</v>
      </c>
      <c r="K56609">
        <v>161556.19899999999</v>
      </c>
      <c r="L56609">
        <v>382930.48200000002</v>
      </c>
      <c r="M56609">
        <v>1</v>
      </c>
      <c r="N56609" t="s">
        <v>297</v>
      </c>
      <c r="O56609" t="s">
        <v>1073</v>
      </c>
      <c r="P56609" t="s">
        <v>491</v>
      </c>
      <c r="Q56609" t="s">
        <v>181</v>
      </c>
      <c r="R56609" t="s">
        <v>182</v>
      </c>
      <c r="S56609">
        <v>70</v>
      </c>
      <c r="T56609">
        <v>6600</v>
      </c>
      <c r="V56609" t="s">
        <v>183</v>
      </c>
      <c r="W56609" t="s">
        <v>415</v>
      </c>
      <c r="X56609" t="s">
        <v>7</v>
      </c>
      <c r="Y56609" t="s">
        <v>5221</v>
      </c>
      <c r="Z56609" t="s">
        <v>2024</v>
      </c>
      <c r="AA56609" t="s">
        <v>2025</v>
      </c>
      <c r="AB56609">
        <v>0</v>
      </c>
      <c r="AC56609" t="s">
        <v>150</v>
      </c>
      <c r="AE56609" t="s">
        <v>1496</v>
      </c>
      <c r="AF56609" t="s">
        <v>2024</v>
      </c>
      <c r="AG56609" t="s">
        <v>2025</v>
      </c>
      <c r="AL56609" t="s">
        <v>7073</v>
      </c>
      <c r="AM56609" t="s">
        <v>7074</v>
      </c>
      <c r="AN56609" t="s">
        <v>7075</v>
      </c>
      <c r="AO56609" t="s">
        <v>297</v>
      </c>
      <c r="AQ56609">
        <f>IF(ISBLANK(AP56609), IFERROR(IF(VLOOKUP(AO56609, Ellens_additions!$A$2:$B$252, 2, FALSE) = "", "", VLOOKUP(AO56609, Ellens_additions!$A$2:$B$252, 2, FALSE)), 0), AP56609)</f>
        <v>2000</v>
      </c>
    </row>
    <row r="56610" spans="1:43" ht="14.4" hidden="1" x14ac:dyDescent="0.3">
      <c r="A56610" t="s">
        <v>7076</v>
      </c>
      <c r="B56610">
        <v>4892632</v>
      </c>
      <c r="C56610" t="s">
        <v>842</v>
      </c>
      <c r="D56610" t="s">
        <v>843</v>
      </c>
      <c r="E56610" t="s">
        <v>844</v>
      </c>
      <c r="F56610" t="s">
        <v>1962</v>
      </c>
      <c r="H56610" t="s">
        <v>197</v>
      </c>
      <c r="I56610" t="s">
        <v>2029</v>
      </c>
      <c r="J56610" t="s">
        <v>140</v>
      </c>
      <c r="K56610">
        <v>161562.712</v>
      </c>
      <c r="L56610">
        <v>382936.23599999998</v>
      </c>
      <c r="M56610">
        <v>1</v>
      </c>
      <c r="N56610" t="s">
        <v>297</v>
      </c>
      <c r="O56610" t="s">
        <v>1073</v>
      </c>
      <c r="P56610" t="s">
        <v>491</v>
      </c>
      <c r="Q56610" t="s">
        <v>181</v>
      </c>
      <c r="R56610" t="s">
        <v>182</v>
      </c>
      <c r="S56610">
        <v>70</v>
      </c>
      <c r="T56610">
        <v>6600</v>
      </c>
      <c r="V56610" t="s">
        <v>183</v>
      </c>
      <c r="W56610" t="s">
        <v>415</v>
      </c>
      <c r="X56610" t="s">
        <v>7</v>
      </c>
      <c r="Y56610" t="s">
        <v>5221</v>
      </c>
      <c r="Z56610" t="s">
        <v>2024</v>
      </c>
      <c r="AA56610" t="s">
        <v>2025</v>
      </c>
      <c r="AB56610">
        <v>0</v>
      </c>
      <c r="AC56610" t="s">
        <v>150</v>
      </c>
      <c r="AE56610" t="s">
        <v>1496</v>
      </c>
      <c r="AF56610" t="s">
        <v>2024</v>
      </c>
      <c r="AG56610" t="s">
        <v>2025</v>
      </c>
      <c r="AL56610" t="s">
        <v>7077</v>
      </c>
      <c r="AM56610" t="s">
        <v>7078</v>
      </c>
      <c r="AN56610" t="s">
        <v>7079</v>
      </c>
      <c r="AO56610" t="s">
        <v>297</v>
      </c>
      <c r="AQ56610">
        <f>IF(ISBLANK(AP56610), IFERROR(IF(VLOOKUP(AO56610, Ellens_additions!$A$2:$B$252, 2, FALSE) = "", "", VLOOKUP(AO56610, Ellens_additions!$A$2:$B$252, 2, FALSE)), 0), AP56610)</f>
        <v>2000</v>
      </c>
    </row>
    <row r="56611" spans="1:43" ht="14.4" x14ac:dyDescent="0.3"/>
    <row r="56612" spans="1:43" ht="14.4" x14ac:dyDescent="0.3"/>
    <row r="56613" spans="1:43" ht="14.4" x14ac:dyDescent="0.3"/>
    <row r="56614" spans="1:43" ht="14.4" x14ac:dyDescent="0.3"/>
    <row r="56615" spans="1:43" ht="14.4" x14ac:dyDescent="0.3"/>
    <row r="56616" spans="1:43" ht="14.4" x14ac:dyDescent="0.3"/>
    <row r="56617" spans="1:43" ht="14.4" x14ac:dyDescent="0.3"/>
    <row r="56618" spans="1:43" ht="14.4" x14ac:dyDescent="0.3"/>
    <row r="56619" spans="1:43" ht="14.4" x14ac:dyDescent="0.3"/>
    <row r="56620" spans="1:43" ht="14.4" x14ac:dyDescent="0.3"/>
    <row r="56621" spans="1:43" ht="14.4" x14ac:dyDescent="0.3"/>
    <row r="56622" spans="1:43" ht="14.4" x14ac:dyDescent="0.3"/>
    <row r="56623" spans="1:43" ht="14.4" x14ac:dyDescent="0.3"/>
    <row r="56624" spans="1:43" ht="14.4" x14ac:dyDescent="0.3"/>
    <row r="56625" ht="14.4" x14ac:dyDescent="0.3"/>
    <row r="56626" ht="14.4" x14ac:dyDescent="0.3"/>
    <row r="56627" ht="14.4" x14ac:dyDescent="0.3"/>
    <row r="56628" ht="14.4" x14ac:dyDescent="0.3"/>
    <row r="56629" ht="14.4" x14ac:dyDescent="0.3"/>
    <row r="56630" ht="14.4" x14ac:dyDescent="0.3"/>
    <row r="56631" ht="14.4" x14ac:dyDescent="0.3"/>
    <row r="56632" ht="14.4" x14ac:dyDescent="0.3"/>
    <row r="56633" ht="14.4" x14ac:dyDescent="0.3"/>
    <row r="56634" ht="14.4" x14ac:dyDescent="0.3"/>
    <row r="56635" ht="14.4" x14ac:dyDescent="0.3"/>
    <row r="56636" ht="14.4" x14ac:dyDescent="0.3"/>
    <row r="56637" ht="14.4" x14ac:dyDescent="0.3"/>
    <row r="56638" ht="14.4" x14ac:dyDescent="0.3"/>
    <row r="56639" ht="14.4" x14ac:dyDescent="0.3"/>
    <row r="56640" ht="14.4" x14ac:dyDescent="0.3"/>
    <row r="56641" ht="14.4" x14ac:dyDescent="0.3"/>
    <row r="56642" ht="14.4" x14ac:dyDescent="0.3"/>
    <row r="56643" ht="14.4" x14ac:dyDescent="0.3"/>
    <row r="56644" ht="14.4" x14ac:dyDescent="0.3"/>
    <row r="56645" ht="14.4" x14ac:dyDescent="0.3"/>
    <row r="56646" ht="14.4" x14ac:dyDescent="0.3"/>
    <row r="56647" ht="14.4" x14ac:dyDescent="0.3"/>
    <row r="56648" ht="14.4" x14ac:dyDescent="0.3"/>
    <row r="56649" ht="14.4" x14ac:dyDescent="0.3"/>
    <row r="56650" ht="14.4" x14ac:dyDescent="0.3"/>
    <row r="56651" ht="14.4" x14ac:dyDescent="0.3"/>
    <row r="56652" ht="14.4" x14ac:dyDescent="0.3"/>
    <row r="56653" ht="14.4" x14ac:dyDescent="0.3"/>
    <row r="56654" ht="14.4" x14ac:dyDescent="0.3"/>
    <row r="56655" ht="14.4" x14ac:dyDescent="0.3"/>
    <row r="56656" ht="14.4" x14ac:dyDescent="0.3"/>
    <row r="56657" ht="14.4" x14ac:dyDescent="0.3"/>
    <row r="56658" ht="14.4" x14ac:dyDescent="0.3"/>
    <row r="56659" ht="14.4" x14ac:dyDescent="0.3"/>
    <row r="56660" ht="14.4" x14ac:dyDescent="0.3"/>
    <row r="56661" ht="14.4" x14ac:dyDescent="0.3"/>
    <row r="56662" ht="14.4" x14ac:dyDescent="0.3"/>
    <row r="56663" ht="14.4" x14ac:dyDescent="0.3"/>
    <row r="56664" ht="14.4" x14ac:dyDescent="0.3"/>
    <row r="56665" ht="14.4" x14ac:dyDescent="0.3"/>
    <row r="56666" ht="14.4" x14ac:dyDescent="0.3"/>
    <row r="56667" ht="14.4" x14ac:dyDescent="0.3"/>
    <row r="56668" ht="14.4" x14ac:dyDescent="0.3"/>
    <row r="56669" ht="14.4" x14ac:dyDescent="0.3"/>
    <row r="56670" ht="14.4" x14ac:dyDescent="0.3"/>
    <row r="56671" ht="14.4" x14ac:dyDescent="0.3"/>
    <row r="56672" ht="14.4" x14ac:dyDescent="0.3"/>
    <row r="56673" ht="14.4" x14ac:dyDescent="0.3"/>
    <row r="56674" ht="14.4" x14ac:dyDescent="0.3"/>
    <row r="56675" ht="14.4" x14ac:dyDescent="0.3"/>
    <row r="56676" ht="14.4" x14ac:dyDescent="0.3"/>
    <row r="56677" ht="14.4" x14ac:dyDescent="0.3"/>
    <row r="56678" ht="14.4" x14ac:dyDescent="0.3"/>
    <row r="56679" ht="14.4" x14ac:dyDescent="0.3"/>
    <row r="56680" ht="14.4" x14ac:dyDescent="0.3"/>
    <row r="56681" ht="14.4" x14ac:dyDescent="0.3"/>
    <row r="56682" ht="14.4" x14ac:dyDescent="0.3"/>
    <row r="56683" ht="14.4" x14ac:dyDescent="0.3"/>
    <row r="56684" ht="14.4" x14ac:dyDescent="0.3"/>
    <row r="56685" ht="14.4" x14ac:dyDescent="0.3"/>
    <row r="56686" ht="14.4" x14ac:dyDescent="0.3"/>
    <row r="56687" ht="14.4" x14ac:dyDescent="0.3"/>
    <row r="56688" ht="14.4" x14ac:dyDescent="0.3"/>
    <row r="56689" ht="14.4" x14ac:dyDescent="0.3"/>
    <row r="56690" ht="14.4" x14ac:dyDescent="0.3"/>
    <row r="56691" ht="14.4" x14ac:dyDescent="0.3"/>
    <row r="56692" ht="14.4" x14ac:dyDescent="0.3"/>
    <row r="56693" ht="14.4" x14ac:dyDescent="0.3"/>
    <row r="56694" ht="14.4" x14ac:dyDescent="0.3"/>
    <row r="56695" ht="14.4" x14ac:dyDescent="0.3"/>
    <row r="56696" ht="14.4" x14ac:dyDescent="0.3"/>
    <row r="56697" ht="14.4" x14ac:dyDescent="0.3"/>
    <row r="56698" ht="14.4" x14ac:dyDescent="0.3"/>
    <row r="56699" ht="14.4" x14ac:dyDescent="0.3"/>
    <row r="56700" ht="14.4" x14ac:dyDescent="0.3"/>
    <row r="56701" ht="14.4" x14ac:dyDescent="0.3"/>
    <row r="56702" ht="14.4" x14ac:dyDescent="0.3"/>
    <row r="56703" ht="14.4" x14ac:dyDescent="0.3"/>
    <row r="56704" ht="14.4" x14ac:dyDescent="0.3"/>
    <row r="56705" ht="14.4" x14ac:dyDescent="0.3"/>
    <row r="56706" ht="14.4" x14ac:dyDescent="0.3"/>
    <row r="56707" ht="14.4" x14ac:dyDescent="0.3"/>
    <row r="56708" ht="14.4" x14ac:dyDescent="0.3"/>
    <row r="56709" ht="14.4" x14ac:dyDescent="0.3"/>
    <row r="56710" ht="14.4" x14ac:dyDescent="0.3"/>
    <row r="56711" ht="14.4" x14ac:dyDescent="0.3"/>
    <row r="56712" ht="14.4" x14ac:dyDescent="0.3"/>
    <row r="56713" ht="14.4" x14ac:dyDescent="0.3"/>
    <row r="56714" ht="14.4" x14ac:dyDescent="0.3"/>
    <row r="56715" ht="14.4" x14ac:dyDescent="0.3"/>
    <row r="56716" ht="14.4" x14ac:dyDescent="0.3"/>
    <row r="56717" ht="14.4" x14ac:dyDescent="0.3"/>
    <row r="56718" ht="14.4" x14ac:dyDescent="0.3"/>
    <row r="56719" ht="14.4" x14ac:dyDescent="0.3"/>
    <row r="56720" ht="14.4" x14ac:dyDescent="0.3"/>
    <row r="56721" ht="14.4" x14ac:dyDescent="0.3"/>
    <row r="56722" ht="14.4" x14ac:dyDescent="0.3"/>
    <row r="56723" ht="14.4" x14ac:dyDescent="0.3"/>
    <row r="56724" ht="14.4" x14ac:dyDescent="0.3"/>
    <row r="56725" ht="14.4" x14ac:dyDescent="0.3"/>
    <row r="56726" ht="14.4" x14ac:dyDescent="0.3"/>
    <row r="56727" ht="14.4" x14ac:dyDescent="0.3"/>
    <row r="56728" ht="14.4" x14ac:dyDescent="0.3"/>
    <row r="56729" ht="14.4" x14ac:dyDescent="0.3"/>
    <row r="56730" ht="14.4" x14ac:dyDescent="0.3"/>
    <row r="56731" ht="14.4" x14ac:dyDescent="0.3"/>
    <row r="56732" ht="14.4" x14ac:dyDescent="0.3"/>
    <row r="56733" ht="14.4" x14ac:dyDescent="0.3"/>
    <row r="56734" ht="14.4" x14ac:dyDescent="0.3"/>
    <row r="56735" ht="14.4" x14ac:dyDescent="0.3"/>
    <row r="56736" ht="14.4" x14ac:dyDescent="0.3"/>
    <row r="56737" ht="14.4" x14ac:dyDescent="0.3"/>
    <row r="56738" ht="14.4" x14ac:dyDescent="0.3"/>
    <row r="56739" ht="14.4" x14ac:dyDescent="0.3"/>
    <row r="56740" ht="14.4" x14ac:dyDescent="0.3"/>
    <row r="56741" ht="14.4" x14ac:dyDescent="0.3"/>
    <row r="56742" ht="14.4" x14ac:dyDescent="0.3"/>
    <row r="56743" ht="14.4" x14ac:dyDescent="0.3"/>
    <row r="56744" ht="14.4" x14ac:dyDescent="0.3"/>
    <row r="56745" ht="14.4" x14ac:dyDescent="0.3"/>
    <row r="56746" ht="14.4" x14ac:dyDescent="0.3"/>
    <row r="56747" ht="14.4" x14ac:dyDescent="0.3"/>
    <row r="56748" ht="14.4" x14ac:dyDescent="0.3"/>
    <row r="56749" ht="14.4" x14ac:dyDescent="0.3"/>
    <row r="56750" ht="14.4" x14ac:dyDescent="0.3"/>
    <row r="56751" ht="14.4" x14ac:dyDescent="0.3"/>
    <row r="56752" ht="14.4" x14ac:dyDescent="0.3"/>
    <row r="56753" ht="14.4" x14ac:dyDescent="0.3"/>
    <row r="56754" ht="14.4" x14ac:dyDescent="0.3"/>
    <row r="56755" ht="14.4" x14ac:dyDescent="0.3"/>
    <row r="56756" ht="14.4" x14ac:dyDescent="0.3"/>
    <row r="56757" ht="14.4" x14ac:dyDescent="0.3"/>
    <row r="56758" ht="14.4" x14ac:dyDescent="0.3"/>
    <row r="56759" ht="14.4" x14ac:dyDescent="0.3"/>
    <row r="56760" ht="14.4" x14ac:dyDescent="0.3"/>
    <row r="56761" ht="14.4" x14ac:dyDescent="0.3"/>
    <row r="56762" ht="14.4" x14ac:dyDescent="0.3"/>
    <row r="56763" ht="14.4" x14ac:dyDescent="0.3"/>
    <row r="56764" ht="14.4" x14ac:dyDescent="0.3"/>
    <row r="56765" ht="14.4" x14ac:dyDescent="0.3"/>
    <row r="56766" ht="14.4" x14ac:dyDescent="0.3"/>
    <row r="56767" ht="14.4" x14ac:dyDescent="0.3"/>
    <row r="56768" ht="14.4" x14ac:dyDescent="0.3"/>
    <row r="56769" ht="14.4" x14ac:dyDescent="0.3"/>
    <row r="56770" ht="14.4" x14ac:dyDescent="0.3"/>
    <row r="56771" ht="14.4" x14ac:dyDescent="0.3"/>
    <row r="56772" ht="14.4" x14ac:dyDescent="0.3"/>
    <row r="56773" ht="14.4" x14ac:dyDescent="0.3"/>
    <row r="56774" ht="14.4" x14ac:dyDescent="0.3"/>
    <row r="56775" ht="14.4" x14ac:dyDescent="0.3"/>
    <row r="56776" ht="14.4" x14ac:dyDescent="0.3"/>
    <row r="56777" ht="14.4" x14ac:dyDescent="0.3"/>
    <row r="56778" ht="14.4" x14ac:dyDescent="0.3"/>
    <row r="56779" ht="14.4" x14ac:dyDescent="0.3"/>
    <row r="56780" ht="14.4" x14ac:dyDescent="0.3"/>
    <row r="56781" ht="14.4" x14ac:dyDescent="0.3"/>
    <row r="56782" ht="14.4" x14ac:dyDescent="0.3"/>
    <row r="56783" ht="14.4" x14ac:dyDescent="0.3"/>
    <row r="56784" ht="14.4" x14ac:dyDescent="0.3"/>
    <row r="56785" ht="14.4" x14ac:dyDescent="0.3"/>
    <row r="56786" ht="14.4" x14ac:dyDescent="0.3"/>
    <row r="56787" ht="14.4" x14ac:dyDescent="0.3"/>
    <row r="56788" ht="14.4" x14ac:dyDescent="0.3"/>
    <row r="56789" ht="14.4" x14ac:dyDescent="0.3"/>
    <row r="56790" ht="14.4" x14ac:dyDescent="0.3"/>
    <row r="56791" ht="14.4" x14ac:dyDescent="0.3"/>
    <row r="56792" ht="14.4" x14ac:dyDescent="0.3"/>
    <row r="56793" ht="14.4" x14ac:dyDescent="0.3"/>
    <row r="56794" ht="14.4" x14ac:dyDescent="0.3"/>
    <row r="56795" ht="14.4" x14ac:dyDescent="0.3"/>
    <row r="56796" ht="14.4" x14ac:dyDescent="0.3"/>
    <row r="56797" ht="14.4" x14ac:dyDescent="0.3"/>
    <row r="56798" ht="14.4" x14ac:dyDescent="0.3"/>
    <row r="56799" ht="14.4" x14ac:dyDescent="0.3"/>
    <row r="56800" ht="14.4" x14ac:dyDescent="0.3"/>
    <row r="56801" ht="14.4" x14ac:dyDescent="0.3"/>
    <row r="56802" ht="14.4" x14ac:dyDescent="0.3"/>
    <row r="56803" ht="14.4" x14ac:dyDescent="0.3"/>
    <row r="56804" ht="14.4" x14ac:dyDescent="0.3"/>
    <row r="56805" ht="14.4" x14ac:dyDescent="0.3"/>
    <row r="56806" ht="14.4" x14ac:dyDescent="0.3"/>
    <row r="56807" ht="14.4" x14ac:dyDescent="0.3"/>
    <row r="56808" ht="14.4" x14ac:dyDescent="0.3"/>
    <row r="56809" ht="14.4" x14ac:dyDescent="0.3"/>
    <row r="56810" ht="14.4" x14ac:dyDescent="0.3"/>
    <row r="56811" ht="14.4" x14ac:dyDescent="0.3"/>
    <row r="56812" ht="14.4" x14ac:dyDescent="0.3"/>
    <row r="56813" ht="14.4" x14ac:dyDescent="0.3"/>
    <row r="56814" ht="14.4" x14ac:dyDescent="0.3"/>
    <row r="56815" ht="14.4" x14ac:dyDescent="0.3"/>
    <row r="56816" ht="14.4" x14ac:dyDescent="0.3"/>
    <row r="56817" ht="14.4" x14ac:dyDescent="0.3"/>
    <row r="56818" ht="14.4" x14ac:dyDescent="0.3"/>
    <row r="56819" ht="14.4" x14ac:dyDescent="0.3"/>
    <row r="56820" ht="14.4" x14ac:dyDescent="0.3"/>
    <row r="56821" ht="14.4" x14ac:dyDescent="0.3"/>
    <row r="56822" ht="14.4" x14ac:dyDescent="0.3"/>
    <row r="56823" ht="14.4" x14ac:dyDescent="0.3"/>
    <row r="56824" ht="14.4" x14ac:dyDescent="0.3"/>
    <row r="56825" ht="14.4" x14ac:dyDescent="0.3"/>
    <row r="56826" ht="14.4" x14ac:dyDescent="0.3"/>
    <row r="56827" ht="14.4" x14ac:dyDescent="0.3"/>
    <row r="56828" ht="14.4" x14ac:dyDescent="0.3"/>
    <row r="56829" ht="14.4" x14ac:dyDescent="0.3"/>
    <row r="56830" ht="14.4" x14ac:dyDescent="0.3"/>
    <row r="56831" ht="14.4" x14ac:dyDescent="0.3"/>
    <row r="56832" ht="14.4" x14ac:dyDescent="0.3"/>
    <row r="56833" ht="14.4" x14ac:dyDescent="0.3"/>
    <row r="56834" ht="14.4" x14ac:dyDescent="0.3"/>
    <row r="56835" ht="14.4" x14ac:dyDescent="0.3"/>
    <row r="56836" ht="14.4" x14ac:dyDescent="0.3"/>
    <row r="56837" ht="14.4" x14ac:dyDescent="0.3"/>
    <row r="56838" ht="14.4" x14ac:dyDescent="0.3"/>
    <row r="56839" ht="14.4" x14ac:dyDescent="0.3"/>
    <row r="56840" ht="14.4" x14ac:dyDescent="0.3"/>
    <row r="56841" ht="14.4" x14ac:dyDescent="0.3"/>
    <row r="56842" ht="14.4" x14ac:dyDescent="0.3"/>
    <row r="56843" ht="14.4" x14ac:dyDescent="0.3"/>
    <row r="56844" ht="14.4" x14ac:dyDescent="0.3"/>
    <row r="56845" ht="14.4" x14ac:dyDescent="0.3"/>
    <row r="56846" ht="14.4" x14ac:dyDescent="0.3"/>
    <row r="56847" ht="14.4" x14ac:dyDescent="0.3"/>
    <row r="56848" ht="14.4" x14ac:dyDescent="0.3"/>
    <row r="56849" ht="14.4" x14ac:dyDescent="0.3"/>
    <row r="56850" ht="14.4" x14ac:dyDescent="0.3"/>
    <row r="56851" ht="14.4" x14ac:dyDescent="0.3"/>
    <row r="56852" ht="14.4" x14ac:dyDescent="0.3"/>
    <row r="56853" ht="14.4" x14ac:dyDescent="0.3"/>
    <row r="56854" ht="14.4" x14ac:dyDescent="0.3"/>
    <row r="56855" ht="14.4" x14ac:dyDescent="0.3"/>
    <row r="56856" ht="14.4" x14ac:dyDescent="0.3"/>
    <row r="56857" ht="14.4" x14ac:dyDescent="0.3"/>
    <row r="56858" ht="14.4" x14ac:dyDescent="0.3"/>
    <row r="56859" ht="14.4" x14ac:dyDescent="0.3"/>
    <row r="56860" ht="14.4" x14ac:dyDescent="0.3"/>
    <row r="56861" ht="14.4" x14ac:dyDescent="0.3"/>
    <row r="56862" ht="14.4" x14ac:dyDescent="0.3"/>
    <row r="56863" ht="14.4" x14ac:dyDescent="0.3"/>
    <row r="56864" ht="14.4" x14ac:dyDescent="0.3"/>
    <row r="56865" ht="14.4" x14ac:dyDescent="0.3"/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5A68-A2F2-4641-8216-88570B595511}">
  <dimension ref="A1:L15"/>
  <sheetViews>
    <sheetView workbookViewId="0"/>
  </sheetViews>
  <sheetFormatPr defaultRowHeight="14.4" x14ac:dyDescent="0.3"/>
  <cols>
    <col min="1" max="1" width="12.88671875" customWidth="1"/>
    <col min="2" max="2" width="8" customWidth="1"/>
    <col min="5" max="10" width="9.21875" bestFit="1" customWidth="1"/>
  </cols>
  <sheetData>
    <row r="1" spans="1:12" ht="18" x14ac:dyDescent="0.35">
      <c r="A1" s="25" t="s">
        <v>7081</v>
      </c>
      <c r="B1" s="26"/>
      <c r="C1" s="26"/>
      <c r="D1" s="27">
        <v>1800</v>
      </c>
      <c r="E1" s="28">
        <v>2200</v>
      </c>
      <c r="F1" s="28">
        <v>2000</v>
      </c>
      <c r="G1" s="28">
        <v>2700</v>
      </c>
      <c r="H1" s="28">
        <v>3000</v>
      </c>
      <c r="I1" s="28">
        <v>4000</v>
      </c>
      <c r="J1" s="28" t="s">
        <v>7082</v>
      </c>
      <c r="K1" s="26"/>
      <c r="L1" s="26"/>
    </row>
    <row r="2" spans="1:12" ht="15.6" x14ac:dyDescent="0.3">
      <c r="A2" s="26"/>
      <c r="B2" s="26"/>
      <c r="C2" s="29" t="s">
        <v>7083</v>
      </c>
      <c r="D2" s="30">
        <v>5</v>
      </c>
      <c r="E2" s="30">
        <v>5</v>
      </c>
      <c r="F2" s="30">
        <v>5</v>
      </c>
      <c r="G2" s="30">
        <v>4</v>
      </c>
      <c r="H2" s="30">
        <v>3</v>
      </c>
      <c r="I2" s="30">
        <v>2</v>
      </c>
      <c r="J2" s="30">
        <v>1</v>
      </c>
      <c r="K2" s="26"/>
      <c r="L2" s="26"/>
    </row>
    <row r="3" spans="1:12" ht="15.6" x14ac:dyDescent="0.3">
      <c r="A3" s="26"/>
      <c r="B3" s="26"/>
      <c r="C3" s="31" t="s">
        <v>7084</v>
      </c>
      <c r="D3" s="32">
        <v>2</v>
      </c>
      <c r="E3" s="32">
        <v>2</v>
      </c>
      <c r="F3" s="32">
        <v>2</v>
      </c>
      <c r="G3" s="32">
        <v>3</v>
      </c>
      <c r="H3" s="32">
        <v>3</v>
      </c>
      <c r="I3" s="32">
        <v>4</v>
      </c>
      <c r="J3" s="32">
        <v>5</v>
      </c>
      <c r="K3" s="26"/>
      <c r="L3" s="26"/>
    </row>
    <row r="4" spans="1:12" ht="15.6" x14ac:dyDescent="0.3">
      <c r="A4" s="26"/>
      <c r="B4" s="26"/>
      <c r="C4" s="31" t="s">
        <v>7085</v>
      </c>
      <c r="D4" s="32">
        <v>4</v>
      </c>
      <c r="E4" s="32">
        <v>4.3333329999999997</v>
      </c>
      <c r="F4" s="32">
        <v>4.3333329999999997</v>
      </c>
      <c r="G4" s="32">
        <v>4.3333329999999997</v>
      </c>
      <c r="H4" s="32">
        <v>4</v>
      </c>
      <c r="I4" s="32">
        <v>3.3333330000000001</v>
      </c>
      <c r="J4" s="32">
        <v>2.3333330000000001</v>
      </c>
      <c r="K4" s="26"/>
      <c r="L4" s="26"/>
    </row>
    <row r="5" spans="1:12" ht="15.6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18" x14ac:dyDescent="0.35">
      <c r="A6" s="25" t="s">
        <v>7086</v>
      </c>
      <c r="B6" s="26"/>
      <c r="C6" s="26"/>
      <c r="D6" s="33" t="s">
        <v>7087</v>
      </c>
      <c r="E6" s="34" t="s">
        <v>7088</v>
      </c>
      <c r="F6" s="34" t="s">
        <v>7089</v>
      </c>
      <c r="G6" s="34" t="s">
        <v>7090</v>
      </c>
      <c r="H6" s="34" t="s">
        <v>7091</v>
      </c>
      <c r="I6" s="35" t="s">
        <v>7092</v>
      </c>
      <c r="J6" s="26"/>
      <c r="K6" s="26"/>
      <c r="L6" s="26"/>
    </row>
    <row r="7" spans="1:12" ht="15.6" x14ac:dyDescent="0.3">
      <c r="A7" s="26"/>
      <c r="B7" s="26"/>
      <c r="C7" s="29" t="s">
        <v>7083</v>
      </c>
      <c r="D7" s="30">
        <v>5</v>
      </c>
      <c r="E7" s="30">
        <v>5</v>
      </c>
      <c r="F7" s="30">
        <v>4</v>
      </c>
      <c r="G7" s="30">
        <v>3</v>
      </c>
      <c r="H7" s="30">
        <v>2</v>
      </c>
      <c r="I7" s="30">
        <v>1</v>
      </c>
      <c r="J7" s="26"/>
      <c r="K7" s="26"/>
      <c r="L7" s="26"/>
    </row>
    <row r="8" spans="1:12" ht="15.6" x14ac:dyDescent="0.3">
      <c r="A8" s="26"/>
      <c r="B8" s="26"/>
      <c r="C8" s="31" t="s">
        <v>7084</v>
      </c>
      <c r="D8" s="32">
        <v>1</v>
      </c>
      <c r="E8" s="32">
        <v>2</v>
      </c>
      <c r="F8" s="32">
        <v>3</v>
      </c>
      <c r="G8" s="32">
        <v>3</v>
      </c>
      <c r="H8" s="32">
        <v>4</v>
      </c>
      <c r="I8" s="32">
        <v>5</v>
      </c>
      <c r="J8" s="26"/>
      <c r="K8" s="26"/>
      <c r="L8" s="26"/>
    </row>
    <row r="9" spans="1:12" ht="15.6" x14ac:dyDescent="0.3">
      <c r="A9" s="26"/>
      <c r="B9" s="26"/>
      <c r="C9" s="31" t="s">
        <v>7085</v>
      </c>
      <c r="D9" s="32">
        <v>3</v>
      </c>
      <c r="E9" s="32">
        <v>3</v>
      </c>
      <c r="F9" s="32">
        <v>2.3333330000000001</v>
      </c>
      <c r="G9" s="32">
        <v>2</v>
      </c>
      <c r="H9" s="32">
        <v>2.3333330000000001</v>
      </c>
      <c r="I9" s="32">
        <v>2.6666669999999999</v>
      </c>
      <c r="J9" s="26"/>
      <c r="K9" s="26"/>
      <c r="L9" s="26"/>
    </row>
    <row r="10" spans="1:12" ht="15.6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spans="1:12" ht="18" x14ac:dyDescent="0.35">
      <c r="A11" s="25" t="s">
        <v>7093</v>
      </c>
      <c r="B11" s="26"/>
      <c r="C11" s="26"/>
      <c r="D11" s="33">
        <v>1</v>
      </c>
      <c r="E11" s="34">
        <v>5</v>
      </c>
      <c r="F11" s="34">
        <v>10</v>
      </c>
      <c r="G11" s="34">
        <v>20</v>
      </c>
      <c r="H11" s="34">
        <v>50</v>
      </c>
      <c r="I11" s="35" t="s">
        <v>7094</v>
      </c>
      <c r="J11" s="26"/>
      <c r="K11" s="26"/>
      <c r="L11" s="26"/>
    </row>
    <row r="12" spans="1:12" ht="15.6" x14ac:dyDescent="0.3">
      <c r="A12" s="26"/>
      <c r="B12" s="26"/>
      <c r="C12" s="29" t="s">
        <v>7083</v>
      </c>
      <c r="D12" s="30">
        <v>5</v>
      </c>
      <c r="E12" s="30">
        <v>4</v>
      </c>
      <c r="F12" s="30">
        <v>3</v>
      </c>
      <c r="G12" s="30">
        <v>2</v>
      </c>
      <c r="H12" s="30">
        <v>1</v>
      </c>
      <c r="I12" s="30">
        <v>1</v>
      </c>
      <c r="J12" s="26"/>
      <c r="K12" s="26"/>
      <c r="L12" s="26"/>
    </row>
    <row r="13" spans="1:12" ht="15.6" x14ac:dyDescent="0.3">
      <c r="A13" s="26"/>
      <c r="B13" s="26"/>
      <c r="C13" s="31" t="s">
        <v>7084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26"/>
      <c r="K13" s="26"/>
      <c r="L13" s="26"/>
    </row>
    <row r="14" spans="1:12" ht="15.6" x14ac:dyDescent="0.3">
      <c r="A14" s="26"/>
      <c r="B14" s="26"/>
      <c r="C14" s="31" t="s">
        <v>7085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26"/>
      <c r="K14" s="26"/>
      <c r="L14" s="26"/>
    </row>
    <row r="15" spans="1:12" ht="15.6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6957-3A0A-4ACD-AF5D-DE6BF41D184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0C3D-F391-4767-B5A6-AD824FC3717E}">
  <dimension ref="A1:C252"/>
  <sheetViews>
    <sheetView workbookViewId="0">
      <selection activeCell="B15" sqref="B15"/>
    </sheetView>
  </sheetViews>
  <sheetFormatPr defaultColWidth="8.88671875" defaultRowHeight="14.4" x14ac:dyDescent="0.3"/>
  <cols>
    <col min="1" max="1" width="48.88671875" bestFit="1" customWidth="1"/>
    <col min="2" max="2" width="14.88671875" bestFit="1" customWidth="1"/>
  </cols>
  <sheetData>
    <row r="1" spans="1:2" x14ac:dyDescent="0.3">
      <c r="A1" s="1" t="s">
        <v>7095</v>
      </c>
      <c r="B1" s="2" t="s">
        <v>7096</v>
      </c>
    </row>
    <row r="2" spans="1:2" x14ac:dyDescent="0.3">
      <c r="A2" t="s">
        <v>178</v>
      </c>
      <c r="B2">
        <v>2000</v>
      </c>
    </row>
    <row r="3" spans="1:2" x14ac:dyDescent="0.3">
      <c r="A3" t="s">
        <v>198</v>
      </c>
      <c r="B3">
        <v>2000</v>
      </c>
    </row>
    <row r="4" spans="1:2" x14ac:dyDescent="0.3">
      <c r="A4" t="s">
        <v>258</v>
      </c>
      <c r="B4">
        <v>1800</v>
      </c>
    </row>
    <row r="5" spans="1:2" x14ac:dyDescent="0.3">
      <c r="A5" t="s">
        <v>263</v>
      </c>
    </row>
    <row r="6" spans="1:2" x14ac:dyDescent="0.3">
      <c r="A6" t="s">
        <v>297</v>
      </c>
      <c r="B6">
        <v>2000</v>
      </c>
    </row>
    <row r="7" spans="1:2" x14ac:dyDescent="0.3">
      <c r="A7" t="s">
        <v>298</v>
      </c>
      <c r="B7">
        <v>2000</v>
      </c>
    </row>
    <row r="8" spans="1:2" x14ac:dyDescent="0.3">
      <c r="A8" t="s">
        <v>5338</v>
      </c>
    </row>
    <row r="9" spans="1:2" x14ac:dyDescent="0.3">
      <c r="A9" t="s">
        <v>307</v>
      </c>
    </row>
    <row r="10" spans="1:2" x14ac:dyDescent="0.3">
      <c r="A10" t="s">
        <v>309</v>
      </c>
      <c r="B10">
        <v>2000</v>
      </c>
    </row>
    <row r="11" spans="1:2" x14ac:dyDescent="0.3">
      <c r="A11" t="s">
        <v>317</v>
      </c>
      <c r="B11">
        <v>2000</v>
      </c>
    </row>
    <row r="12" spans="1:2" x14ac:dyDescent="0.3">
      <c r="A12" t="s">
        <v>321</v>
      </c>
    </row>
    <row r="13" spans="1:2" x14ac:dyDescent="0.3">
      <c r="A13" t="s">
        <v>332</v>
      </c>
    </row>
    <row r="14" spans="1:2" x14ac:dyDescent="0.3">
      <c r="A14" t="s">
        <v>335</v>
      </c>
    </row>
    <row r="15" spans="1:2" x14ac:dyDescent="0.3">
      <c r="A15" t="s">
        <v>341</v>
      </c>
    </row>
    <row r="16" spans="1:2" x14ac:dyDescent="0.3">
      <c r="A16" t="s">
        <v>343</v>
      </c>
    </row>
    <row r="17" spans="1:2" x14ac:dyDescent="0.3">
      <c r="A17" t="s">
        <v>354</v>
      </c>
      <c r="B17">
        <v>2800</v>
      </c>
    </row>
    <row r="18" spans="1:2" x14ac:dyDescent="0.3">
      <c r="A18" t="s">
        <v>357</v>
      </c>
    </row>
    <row r="19" spans="1:2" x14ac:dyDescent="0.3">
      <c r="A19" t="s">
        <v>378</v>
      </c>
      <c r="B19">
        <v>2000</v>
      </c>
    </row>
    <row r="20" spans="1:2" x14ac:dyDescent="0.3">
      <c r="A20" t="s">
        <v>382</v>
      </c>
    </row>
    <row r="21" spans="1:2" x14ac:dyDescent="0.3">
      <c r="A21" t="s">
        <v>384</v>
      </c>
      <c r="B21">
        <v>2000</v>
      </c>
    </row>
    <row r="22" spans="1:2" x14ac:dyDescent="0.3">
      <c r="A22" t="s">
        <v>389</v>
      </c>
    </row>
    <row r="23" spans="1:2" x14ac:dyDescent="0.3">
      <c r="A23" t="s">
        <v>393</v>
      </c>
      <c r="B23">
        <v>3000</v>
      </c>
    </row>
    <row r="24" spans="1:2" x14ac:dyDescent="0.3">
      <c r="A24" t="s">
        <v>399</v>
      </c>
      <c r="B24">
        <v>2800</v>
      </c>
    </row>
    <row r="25" spans="1:2" x14ac:dyDescent="0.3">
      <c r="A25" t="s">
        <v>405</v>
      </c>
      <c r="B25">
        <v>2000</v>
      </c>
    </row>
    <row r="26" spans="1:2" x14ac:dyDescent="0.3">
      <c r="A26" t="s">
        <v>416</v>
      </c>
      <c r="B26">
        <v>2800</v>
      </c>
    </row>
    <row r="27" spans="1:2" x14ac:dyDescent="0.3">
      <c r="A27" t="s">
        <v>1016</v>
      </c>
      <c r="B27">
        <v>2800</v>
      </c>
    </row>
    <row r="28" spans="1:2" x14ac:dyDescent="0.3">
      <c r="A28" t="s">
        <v>430</v>
      </c>
      <c r="B28">
        <v>3000</v>
      </c>
    </row>
    <row r="29" spans="1:2" x14ac:dyDescent="0.3">
      <c r="A29" t="s">
        <v>569</v>
      </c>
    </row>
    <row r="30" spans="1:2" x14ac:dyDescent="0.3">
      <c r="A30" t="s">
        <v>5339</v>
      </c>
    </row>
    <row r="31" spans="1:2" x14ac:dyDescent="0.3">
      <c r="A31" t="s">
        <v>5340</v>
      </c>
      <c r="B31">
        <v>2800</v>
      </c>
    </row>
    <row r="32" spans="1:2" x14ac:dyDescent="0.3">
      <c r="A32" t="s">
        <v>5334</v>
      </c>
      <c r="B32">
        <v>2800</v>
      </c>
    </row>
    <row r="33" spans="1:3" x14ac:dyDescent="0.3">
      <c r="A33" t="s">
        <v>5341</v>
      </c>
      <c r="B33">
        <v>2800</v>
      </c>
    </row>
    <row r="34" spans="1:3" x14ac:dyDescent="0.3">
      <c r="A34" t="s">
        <v>5342</v>
      </c>
    </row>
    <row r="35" spans="1:3" x14ac:dyDescent="0.3">
      <c r="A35" t="s">
        <v>496</v>
      </c>
    </row>
    <row r="36" spans="1:3" x14ac:dyDescent="0.3">
      <c r="A36" t="s">
        <v>5352</v>
      </c>
    </row>
    <row r="37" spans="1:3" x14ac:dyDescent="0.3">
      <c r="A37" t="s">
        <v>5353</v>
      </c>
      <c r="B37">
        <v>3000</v>
      </c>
      <c r="C37" t="s">
        <v>7097</v>
      </c>
    </row>
    <row r="38" spans="1:3" x14ac:dyDescent="0.3">
      <c r="A38" t="s">
        <v>5354</v>
      </c>
    </row>
    <row r="39" spans="1:3" x14ac:dyDescent="0.3">
      <c r="A39" t="s">
        <v>5355</v>
      </c>
      <c r="B39">
        <v>3000</v>
      </c>
    </row>
    <row r="40" spans="1:3" x14ac:dyDescent="0.3">
      <c r="A40" t="s">
        <v>5356</v>
      </c>
    </row>
    <row r="41" spans="1:3" x14ac:dyDescent="0.3">
      <c r="A41" t="s">
        <v>426</v>
      </c>
      <c r="B41">
        <v>2000</v>
      </c>
    </row>
    <row r="42" spans="1:3" x14ac:dyDescent="0.3">
      <c r="A42" t="s">
        <v>432</v>
      </c>
    </row>
    <row r="43" spans="1:3" x14ac:dyDescent="0.3">
      <c r="A43" t="s">
        <v>5357</v>
      </c>
    </row>
    <row r="44" spans="1:3" x14ac:dyDescent="0.3">
      <c r="A44" t="s">
        <v>5358</v>
      </c>
    </row>
    <row r="45" spans="1:3" x14ac:dyDescent="0.3">
      <c r="A45" t="s">
        <v>5359</v>
      </c>
    </row>
    <row r="46" spans="1:3" x14ac:dyDescent="0.3">
      <c r="A46" t="s">
        <v>5360</v>
      </c>
    </row>
    <row r="47" spans="1:3" x14ac:dyDescent="0.3">
      <c r="A47" t="s">
        <v>5361</v>
      </c>
    </row>
    <row r="48" spans="1:3" x14ac:dyDescent="0.3">
      <c r="A48" t="s">
        <v>738</v>
      </c>
      <c r="B48">
        <v>2800</v>
      </c>
    </row>
    <row r="49" spans="1:2" x14ac:dyDescent="0.3">
      <c r="A49" t="s">
        <v>1540</v>
      </c>
      <c r="B49">
        <v>2800</v>
      </c>
    </row>
    <row r="50" spans="1:2" x14ac:dyDescent="0.3">
      <c r="A50" t="s">
        <v>5362</v>
      </c>
    </row>
    <row r="51" spans="1:2" x14ac:dyDescent="0.3">
      <c r="A51" t="s">
        <v>460</v>
      </c>
      <c r="B51">
        <v>2000</v>
      </c>
    </row>
    <row r="52" spans="1:2" x14ac:dyDescent="0.3">
      <c r="A52" t="s">
        <v>468</v>
      </c>
    </row>
    <row r="53" spans="1:2" x14ac:dyDescent="0.3">
      <c r="A53" t="s">
        <v>5363</v>
      </c>
    </row>
    <row r="54" spans="1:2" x14ac:dyDescent="0.3">
      <c r="A54" t="s">
        <v>473</v>
      </c>
      <c r="B54">
        <v>2800</v>
      </c>
    </row>
    <row r="55" spans="1:2" x14ac:dyDescent="0.3">
      <c r="A55" t="s">
        <v>480</v>
      </c>
      <c r="B55">
        <v>2000</v>
      </c>
    </row>
    <row r="56" spans="1:2" x14ac:dyDescent="0.3">
      <c r="A56" t="s">
        <v>518</v>
      </c>
      <c r="B56">
        <v>2000</v>
      </c>
    </row>
    <row r="57" spans="1:2" x14ac:dyDescent="0.3">
      <c r="A57" t="s">
        <v>5425</v>
      </c>
    </row>
    <row r="58" spans="1:2" x14ac:dyDescent="0.3">
      <c r="A58" t="s">
        <v>5426</v>
      </c>
    </row>
    <row r="59" spans="1:2" x14ac:dyDescent="0.3">
      <c r="A59" t="s">
        <v>547</v>
      </c>
    </row>
    <row r="60" spans="1:2" x14ac:dyDescent="0.3">
      <c r="A60" t="s">
        <v>573</v>
      </c>
      <c r="B60">
        <v>2000</v>
      </c>
    </row>
    <row r="61" spans="1:2" x14ac:dyDescent="0.3">
      <c r="A61" t="s">
        <v>633</v>
      </c>
      <c r="B61">
        <v>1800</v>
      </c>
    </row>
    <row r="62" spans="1:2" x14ac:dyDescent="0.3">
      <c r="A62" t="s">
        <v>651</v>
      </c>
      <c r="B62">
        <v>1800</v>
      </c>
    </row>
    <row r="63" spans="1:2" x14ac:dyDescent="0.3">
      <c r="A63" t="s">
        <v>760</v>
      </c>
    </row>
    <row r="64" spans="1:2" x14ac:dyDescent="0.3">
      <c r="A64" t="s">
        <v>681</v>
      </c>
      <c r="B64">
        <v>1800</v>
      </c>
    </row>
    <row r="65" spans="1:2" x14ac:dyDescent="0.3">
      <c r="A65" t="s">
        <v>729</v>
      </c>
    </row>
    <row r="66" spans="1:2" x14ac:dyDescent="0.3">
      <c r="A66" t="s">
        <v>731</v>
      </c>
      <c r="B66">
        <v>2000</v>
      </c>
    </row>
    <row r="67" spans="1:2" x14ac:dyDescent="0.3">
      <c r="A67" t="s">
        <v>1024</v>
      </c>
      <c r="B67">
        <v>3000</v>
      </c>
    </row>
    <row r="68" spans="1:2" x14ac:dyDescent="0.3">
      <c r="A68" t="s">
        <v>739</v>
      </c>
      <c r="B68">
        <v>3000</v>
      </c>
    </row>
    <row r="69" spans="1:2" x14ac:dyDescent="0.3">
      <c r="A69" t="s">
        <v>741</v>
      </c>
      <c r="B69">
        <v>2800</v>
      </c>
    </row>
    <row r="70" spans="1:2" x14ac:dyDescent="0.3">
      <c r="A70" t="s">
        <v>869</v>
      </c>
      <c r="B70">
        <v>3000</v>
      </c>
    </row>
    <row r="71" spans="1:2" x14ac:dyDescent="0.3">
      <c r="A71" t="s">
        <v>1010</v>
      </c>
      <c r="B71">
        <v>2800</v>
      </c>
    </row>
    <row r="72" spans="1:2" x14ac:dyDescent="0.3">
      <c r="A72" t="s">
        <v>784</v>
      </c>
      <c r="B72">
        <v>2800</v>
      </c>
    </row>
    <row r="73" spans="1:2" x14ac:dyDescent="0.3">
      <c r="A73" t="s">
        <v>5428</v>
      </c>
      <c r="B73">
        <v>3000</v>
      </c>
    </row>
    <row r="74" spans="1:2" x14ac:dyDescent="0.3">
      <c r="A74" t="s">
        <v>3433</v>
      </c>
      <c r="B74">
        <v>1800</v>
      </c>
    </row>
    <row r="75" spans="1:2" x14ac:dyDescent="0.3">
      <c r="A75" t="s">
        <v>5429</v>
      </c>
    </row>
    <row r="76" spans="1:2" x14ac:dyDescent="0.3">
      <c r="A76" t="s">
        <v>1233</v>
      </c>
      <c r="B76">
        <v>1800</v>
      </c>
    </row>
    <row r="77" spans="1:2" x14ac:dyDescent="0.3">
      <c r="A77" t="s">
        <v>2833</v>
      </c>
    </row>
    <row r="78" spans="1:2" x14ac:dyDescent="0.3">
      <c r="A78" t="s">
        <v>779</v>
      </c>
      <c r="B78">
        <v>2800</v>
      </c>
    </row>
    <row r="79" spans="1:2" x14ac:dyDescent="0.3">
      <c r="A79" t="s">
        <v>780</v>
      </c>
    </row>
    <row r="80" spans="1:2" x14ac:dyDescent="0.3">
      <c r="A80" t="s">
        <v>783</v>
      </c>
      <c r="B80">
        <v>2800</v>
      </c>
    </row>
    <row r="81" spans="1:2" x14ac:dyDescent="0.3">
      <c r="A81" t="s">
        <v>797</v>
      </c>
    </row>
    <row r="82" spans="1:2" x14ac:dyDescent="0.3">
      <c r="A82" t="s">
        <v>814</v>
      </c>
    </row>
    <row r="83" spans="1:2" x14ac:dyDescent="0.3">
      <c r="A83" t="s">
        <v>823</v>
      </c>
    </row>
    <row r="84" spans="1:2" x14ac:dyDescent="0.3">
      <c r="A84" t="s">
        <v>824</v>
      </c>
    </row>
    <row r="85" spans="1:2" x14ac:dyDescent="0.3">
      <c r="A85" t="s">
        <v>830</v>
      </c>
      <c r="B85">
        <v>3000</v>
      </c>
    </row>
    <row r="86" spans="1:2" x14ac:dyDescent="0.3">
      <c r="A86" t="s">
        <v>834</v>
      </c>
      <c r="B86">
        <v>3000</v>
      </c>
    </row>
    <row r="87" spans="1:2" x14ac:dyDescent="0.3">
      <c r="A87" t="s">
        <v>838</v>
      </c>
      <c r="B87">
        <v>1800</v>
      </c>
    </row>
    <row r="88" spans="1:2" x14ac:dyDescent="0.3">
      <c r="A88" t="s">
        <v>840</v>
      </c>
      <c r="B88">
        <v>3000</v>
      </c>
    </row>
    <row r="89" spans="1:2" x14ac:dyDescent="0.3">
      <c r="A89" t="s">
        <v>847</v>
      </c>
    </row>
    <row r="90" spans="1:2" x14ac:dyDescent="0.3">
      <c r="A90" t="s">
        <v>850</v>
      </c>
      <c r="B90">
        <v>3000</v>
      </c>
    </row>
    <row r="91" spans="1:2" x14ac:dyDescent="0.3">
      <c r="A91" t="s">
        <v>857</v>
      </c>
      <c r="B91">
        <v>3000</v>
      </c>
    </row>
    <row r="92" spans="1:2" x14ac:dyDescent="0.3">
      <c r="A92" t="s">
        <v>870</v>
      </c>
    </row>
    <row r="93" spans="1:2" x14ac:dyDescent="0.3">
      <c r="A93" t="s">
        <v>871</v>
      </c>
    </row>
    <row r="94" spans="1:2" x14ac:dyDescent="0.3">
      <c r="A94" t="s">
        <v>872</v>
      </c>
    </row>
    <row r="95" spans="1:2" x14ac:dyDescent="0.3">
      <c r="A95" t="s">
        <v>5434</v>
      </c>
    </row>
    <row r="96" spans="1:2" x14ac:dyDescent="0.3">
      <c r="A96" t="s">
        <v>5435</v>
      </c>
    </row>
    <row r="97" spans="1:2" x14ac:dyDescent="0.3">
      <c r="A97" t="s">
        <v>5436</v>
      </c>
    </row>
    <row r="98" spans="1:2" x14ac:dyDescent="0.3">
      <c r="A98" t="s">
        <v>1942</v>
      </c>
    </row>
    <row r="99" spans="1:2" x14ac:dyDescent="0.3">
      <c r="A99" t="s">
        <v>2030</v>
      </c>
    </row>
    <row r="100" spans="1:2" x14ac:dyDescent="0.3">
      <c r="A100" t="s">
        <v>1886</v>
      </c>
      <c r="B100">
        <v>3000</v>
      </c>
    </row>
    <row r="101" spans="1:2" x14ac:dyDescent="0.3">
      <c r="A101" t="s">
        <v>4535</v>
      </c>
    </row>
    <row r="102" spans="1:2" x14ac:dyDescent="0.3">
      <c r="A102" t="s">
        <v>5445</v>
      </c>
      <c r="B102">
        <v>3000</v>
      </c>
    </row>
    <row r="103" spans="1:2" x14ac:dyDescent="0.3">
      <c r="A103" t="s">
        <v>1134</v>
      </c>
    </row>
    <row r="104" spans="1:2" x14ac:dyDescent="0.3">
      <c r="A104" t="s">
        <v>1631</v>
      </c>
    </row>
    <row r="105" spans="1:2" x14ac:dyDescent="0.3">
      <c r="A105" t="s">
        <v>954</v>
      </c>
      <c r="B105">
        <v>4200</v>
      </c>
    </row>
    <row r="106" spans="1:2" x14ac:dyDescent="0.3">
      <c r="A106" t="s">
        <v>5446</v>
      </c>
    </row>
    <row r="107" spans="1:2" x14ac:dyDescent="0.3">
      <c r="A107" t="s">
        <v>989</v>
      </c>
    </row>
    <row r="108" spans="1:2" x14ac:dyDescent="0.3">
      <c r="A108" t="s">
        <v>1007</v>
      </c>
      <c r="B108" s="3">
        <v>3000</v>
      </c>
    </row>
    <row r="109" spans="1:2" x14ac:dyDescent="0.3">
      <c r="A109" t="s">
        <v>5502</v>
      </c>
    </row>
    <row r="110" spans="1:2" x14ac:dyDescent="0.3">
      <c r="A110" t="s">
        <v>1514</v>
      </c>
    </row>
    <row r="111" spans="1:2" x14ac:dyDescent="0.3">
      <c r="A111" t="s">
        <v>1011</v>
      </c>
      <c r="B111">
        <v>2800</v>
      </c>
    </row>
    <row r="112" spans="1:2" x14ac:dyDescent="0.3">
      <c r="A112" t="s">
        <v>1783</v>
      </c>
    </row>
    <row r="113" spans="1:2" x14ac:dyDescent="0.3">
      <c r="A113" t="s">
        <v>5503</v>
      </c>
      <c r="B113">
        <v>2800</v>
      </c>
    </row>
    <row r="114" spans="1:2" x14ac:dyDescent="0.3">
      <c r="A114" t="s">
        <v>4913</v>
      </c>
      <c r="B114" s="3">
        <v>3000</v>
      </c>
    </row>
    <row r="115" spans="1:2" x14ac:dyDescent="0.3">
      <c r="A115" t="s">
        <v>5504</v>
      </c>
    </row>
    <row r="116" spans="1:2" x14ac:dyDescent="0.3">
      <c r="A116" t="s">
        <v>1786</v>
      </c>
      <c r="B116">
        <v>4000</v>
      </c>
    </row>
    <row r="117" spans="1:2" x14ac:dyDescent="0.3">
      <c r="A117" t="s">
        <v>5505</v>
      </c>
    </row>
    <row r="118" spans="1:2" x14ac:dyDescent="0.3">
      <c r="A118" t="s">
        <v>5506</v>
      </c>
    </row>
    <row r="119" spans="1:2" x14ac:dyDescent="0.3">
      <c r="A119" t="s">
        <v>5507</v>
      </c>
    </row>
    <row r="120" spans="1:2" x14ac:dyDescent="0.3">
      <c r="A120" t="s">
        <v>1822</v>
      </c>
    </row>
    <row r="121" spans="1:2" x14ac:dyDescent="0.3">
      <c r="A121" t="s">
        <v>1768</v>
      </c>
    </row>
    <row r="122" spans="1:2" x14ac:dyDescent="0.3">
      <c r="A122" t="s">
        <v>1033</v>
      </c>
      <c r="B122">
        <v>4000</v>
      </c>
    </row>
    <row r="123" spans="1:2" x14ac:dyDescent="0.3">
      <c r="A123" t="s">
        <v>1267</v>
      </c>
      <c r="B123">
        <v>4000</v>
      </c>
    </row>
    <row r="124" spans="1:2" x14ac:dyDescent="0.3">
      <c r="A124" t="s">
        <v>146</v>
      </c>
    </row>
    <row r="125" spans="1:2" x14ac:dyDescent="0.3">
      <c r="A125" t="s">
        <v>1049</v>
      </c>
    </row>
    <row r="126" spans="1:2" x14ac:dyDescent="0.3">
      <c r="A126" t="s">
        <v>1449</v>
      </c>
    </row>
    <row r="127" spans="1:2" x14ac:dyDescent="0.3">
      <c r="A127" t="s">
        <v>5608</v>
      </c>
      <c r="B127">
        <v>4200</v>
      </c>
    </row>
    <row r="128" spans="1:2" x14ac:dyDescent="0.3">
      <c r="A128" t="s">
        <v>1369</v>
      </c>
    </row>
    <row r="129" spans="1:2" x14ac:dyDescent="0.3">
      <c r="A129" t="s">
        <v>5618</v>
      </c>
      <c r="B129">
        <v>3000</v>
      </c>
    </row>
    <row r="130" spans="1:2" x14ac:dyDescent="0.3">
      <c r="A130" t="s">
        <v>1519</v>
      </c>
      <c r="B130">
        <v>2000</v>
      </c>
    </row>
    <row r="131" spans="1:2" x14ac:dyDescent="0.3">
      <c r="A131" t="s">
        <v>5619</v>
      </c>
    </row>
    <row r="132" spans="1:2" x14ac:dyDescent="0.3">
      <c r="A132" t="s">
        <v>5620</v>
      </c>
    </row>
    <row r="133" spans="1:2" x14ac:dyDescent="0.3">
      <c r="A133" t="s">
        <v>1071</v>
      </c>
      <c r="B133" s="3">
        <v>2000</v>
      </c>
    </row>
    <row r="134" spans="1:2" x14ac:dyDescent="0.3">
      <c r="A134" t="s">
        <v>5658</v>
      </c>
    </row>
    <row r="135" spans="1:2" x14ac:dyDescent="0.3">
      <c r="A135" t="s">
        <v>1079</v>
      </c>
    </row>
    <row r="136" spans="1:2" x14ac:dyDescent="0.3">
      <c r="A136" t="s">
        <v>1083</v>
      </c>
    </row>
    <row r="137" spans="1:2" x14ac:dyDescent="0.3">
      <c r="A137" t="s">
        <v>1087</v>
      </c>
      <c r="B137">
        <v>3000</v>
      </c>
    </row>
    <row r="138" spans="1:2" x14ac:dyDescent="0.3">
      <c r="A138" t="s">
        <v>4914</v>
      </c>
    </row>
    <row r="139" spans="1:2" x14ac:dyDescent="0.3">
      <c r="A139" t="s">
        <v>1224</v>
      </c>
    </row>
    <row r="140" spans="1:2" x14ac:dyDescent="0.3">
      <c r="A140" t="s">
        <v>1440</v>
      </c>
    </row>
    <row r="141" spans="1:2" x14ac:dyDescent="0.3">
      <c r="A141" t="s">
        <v>5659</v>
      </c>
    </row>
    <row r="142" spans="1:2" x14ac:dyDescent="0.3">
      <c r="A142" t="s">
        <v>2023</v>
      </c>
      <c r="B142" s="3">
        <v>3000</v>
      </c>
    </row>
    <row r="143" spans="1:2" x14ac:dyDescent="0.3">
      <c r="A143" t="s">
        <v>5660</v>
      </c>
    </row>
    <row r="144" spans="1:2" x14ac:dyDescent="0.3">
      <c r="A144" t="s">
        <v>1242</v>
      </c>
    </row>
    <row r="145" spans="1:2" x14ac:dyDescent="0.3">
      <c r="A145" t="s">
        <v>1243</v>
      </c>
    </row>
    <row r="146" spans="1:2" x14ac:dyDescent="0.3">
      <c r="A146" t="s">
        <v>1246</v>
      </c>
    </row>
    <row r="147" spans="1:2" x14ac:dyDescent="0.3">
      <c r="A147" t="s">
        <v>5661</v>
      </c>
    </row>
    <row r="148" spans="1:2" x14ac:dyDescent="0.3">
      <c r="A148" t="s">
        <v>5662</v>
      </c>
      <c r="B148" s="3">
        <v>3000</v>
      </c>
    </row>
    <row r="149" spans="1:2" x14ac:dyDescent="0.3">
      <c r="A149" t="s">
        <v>1252</v>
      </c>
    </row>
    <row r="150" spans="1:2" x14ac:dyDescent="0.3">
      <c r="A150" t="s">
        <v>1256</v>
      </c>
      <c r="B150">
        <v>3000</v>
      </c>
    </row>
    <row r="151" spans="1:2" x14ac:dyDescent="0.3">
      <c r="A151" t="s">
        <v>1260</v>
      </c>
      <c r="B151">
        <v>2800</v>
      </c>
    </row>
    <row r="152" spans="1:2" x14ac:dyDescent="0.3">
      <c r="A152" t="s">
        <v>1266</v>
      </c>
      <c r="B152" s="3">
        <v>3000</v>
      </c>
    </row>
    <row r="153" spans="1:2" x14ac:dyDescent="0.3">
      <c r="A153" t="s">
        <v>1315</v>
      </c>
    </row>
    <row r="154" spans="1:2" x14ac:dyDescent="0.3">
      <c r="A154" t="s">
        <v>1348</v>
      </c>
      <c r="B154">
        <v>3000</v>
      </c>
    </row>
    <row r="155" spans="1:2" x14ac:dyDescent="0.3">
      <c r="A155" t="s">
        <v>5664</v>
      </c>
      <c r="B155">
        <v>4200</v>
      </c>
    </row>
    <row r="156" spans="1:2" x14ac:dyDescent="0.3">
      <c r="A156" t="s">
        <v>5665</v>
      </c>
      <c r="B156" s="3">
        <v>3000</v>
      </c>
    </row>
    <row r="157" spans="1:2" x14ac:dyDescent="0.3">
      <c r="A157" t="s">
        <v>5666</v>
      </c>
    </row>
    <row r="158" spans="1:2" x14ac:dyDescent="0.3">
      <c r="A158" t="s">
        <v>5667</v>
      </c>
    </row>
    <row r="159" spans="1:2" x14ac:dyDescent="0.3">
      <c r="A159" t="s">
        <v>1963</v>
      </c>
      <c r="B159">
        <v>4500</v>
      </c>
    </row>
    <row r="160" spans="1:2" x14ac:dyDescent="0.3">
      <c r="A160" t="s">
        <v>1353</v>
      </c>
    </row>
    <row r="161" spans="1:2" x14ac:dyDescent="0.3">
      <c r="A161" t="s">
        <v>5668</v>
      </c>
    </row>
    <row r="162" spans="1:2" x14ac:dyDescent="0.3">
      <c r="A162" t="s">
        <v>1677</v>
      </c>
    </row>
    <row r="163" spans="1:2" x14ac:dyDescent="0.3">
      <c r="A163" t="s">
        <v>1370</v>
      </c>
      <c r="B163" s="3">
        <v>2000</v>
      </c>
    </row>
    <row r="164" spans="1:2" x14ac:dyDescent="0.3">
      <c r="A164" t="s">
        <v>1377</v>
      </c>
      <c r="B164" s="3">
        <v>3000</v>
      </c>
    </row>
    <row r="165" spans="1:2" x14ac:dyDescent="0.3">
      <c r="A165" t="s">
        <v>1384</v>
      </c>
      <c r="B165">
        <v>4200</v>
      </c>
    </row>
    <row r="166" spans="1:2" x14ac:dyDescent="0.3">
      <c r="A166" t="s">
        <v>1438</v>
      </c>
      <c r="B166">
        <v>4000</v>
      </c>
    </row>
    <row r="167" spans="1:2" x14ac:dyDescent="0.3">
      <c r="A167" t="s">
        <v>1451</v>
      </c>
    </row>
    <row r="168" spans="1:2" x14ac:dyDescent="0.3">
      <c r="A168" t="s">
        <v>5669</v>
      </c>
    </row>
    <row r="169" spans="1:2" x14ac:dyDescent="0.3">
      <c r="A169" t="s">
        <v>5670</v>
      </c>
      <c r="B169" s="3">
        <v>3000</v>
      </c>
    </row>
    <row r="170" spans="1:2" x14ac:dyDescent="0.3">
      <c r="A170" t="s">
        <v>1550</v>
      </c>
      <c r="B170" s="3">
        <v>2000</v>
      </c>
    </row>
    <row r="171" spans="1:2" x14ac:dyDescent="0.3">
      <c r="A171" t="s">
        <v>1551</v>
      </c>
      <c r="B171">
        <v>1800</v>
      </c>
    </row>
    <row r="172" spans="1:2" x14ac:dyDescent="0.3">
      <c r="A172" t="s">
        <v>5671</v>
      </c>
      <c r="B172">
        <v>3000</v>
      </c>
    </row>
    <row r="173" spans="1:2" x14ac:dyDescent="0.3">
      <c r="A173" t="s">
        <v>5817</v>
      </c>
    </row>
    <row r="174" spans="1:2" x14ac:dyDescent="0.3">
      <c r="A174" t="s">
        <v>5873</v>
      </c>
      <c r="B174">
        <v>3000</v>
      </c>
    </row>
    <row r="175" spans="1:2" x14ac:dyDescent="0.3">
      <c r="A175" t="s">
        <v>1782</v>
      </c>
      <c r="B175" s="3">
        <v>2000</v>
      </c>
    </row>
    <row r="176" spans="1:2" x14ac:dyDescent="0.3">
      <c r="A176" t="s">
        <v>5874</v>
      </c>
      <c r="B176">
        <v>3000</v>
      </c>
    </row>
    <row r="177" spans="1:2" x14ac:dyDescent="0.3">
      <c r="A177" t="s">
        <v>5875</v>
      </c>
    </row>
    <row r="178" spans="1:2" x14ac:dyDescent="0.3">
      <c r="A178" t="s">
        <v>1801</v>
      </c>
      <c r="B178">
        <v>4000</v>
      </c>
    </row>
    <row r="179" spans="1:2" x14ac:dyDescent="0.3">
      <c r="A179" t="s">
        <v>5336</v>
      </c>
    </row>
    <row r="180" spans="1:2" x14ac:dyDescent="0.3">
      <c r="A180" t="s">
        <v>1804</v>
      </c>
    </row>
    <row r="181" spans="1:2" x14ac:dyDescent="0.3">
      <c r="A181" t="s">
        <v>5876</v>
      </c>
    </row>
    <row r="182" spans="1:2" x14ac:dyDescent="0.3">
      <c r="A182" t="s">
        <v>5877</v>
      </c>
    </row>
    <row r="183" spans="1:2" x14ac:dyDescent="0.3">
      <c r="A183" t="s">
        <v>1952</v>
      </c>
    </row>
    <row r="184" spans="1:2" x14ac:dyDescent="0.3">
      <c r="A184" t="s">
        <v>1854</v>
      </c>
    </row>
    <row r="185" spans="1:2" x14ac:dyDescent="0.3">
      <c r="A185" t="s">
        <v>1856</v>
      </c>
    </row>
    <row r="186" spans="1:2" x14ac:dyDescent="0.3">
      <c r="A186" t="s">
        <v>1858</v>
      </c>
    </row>
    <row r="187" spans="1:2" x14ac:dyDescent="0.3">
      <c r="A187" t="s">
        <v>1955</v>
      </c>
    </row>
    <row r="188" spans="1:2" x14ac:dyDescent="0.3">
      <c r="A188" t="s">
        <v>1867</v>
      </c>
    </row>
    <row r="189" spans="1:2" x14ac:dyDescent="0.3">
      <c r="A189" t="s">
        <v>5335</v>
      </c>
    </row>
    <row r="190" spans="1:2" x14ac:dyDescent="0.3">
      <c r="A190" t="s">
        <v>1880</v>
      </c>
    </row>
    <row r="191" spans="1:2" x14ac:dyDescent="0.3">
      <c r="A191" t="s">
        <v>1139</v>
      </c>
    </row>
    <row r="192" spans="1:2" x14ac:dyDescent="0.3">
      <c r="A192" t="s">
        <v>4926</v>
      </c>
    </row>
    <row r="193" spans="1:2" x14ac:dyDescent="0.3">
      <c r="A193" t="s">
        <v>5880</v>
      </c>
    </row>
    <row r="194" spans="1:2" x14ac:dyDescent="0.3">
      <c r="A194" t="s">
        <v>1888</v>
      </c>
    </row>
    <row r="195" spans="1:2" x14ac:dyDescent="0.3">
      <c r="A195" t="s">
        <v>1889</v>
      </c>
    </row>
    <row r="196" spans="1:2" x14ac:dyDescent="0.3">
      <c r="A196" t="s">
        <v>1892</v>
      </c>
    </row>
    <row r="197" spans="1:2" x14ac:dyDescent="0.3">
      <c r="A197" t="s">
        <v>5881</v>
      </c>
    </row>
    <row r="198" spans="1:2" x14ac:dyDescent="0.3">
      <c r="A198" t="s">
        <v>5882</v>
      </c>
      <c r="B198" s="3">
        <v>3000</v>
      </c>
    </row>
    <row r="199" spans="1:2" x14ac:dyDescent="0.3">
      <c r="A199" t="s">
        <v>5883</v>
      </c>
    </row>
    <row r="200" spans="1:2" x14ac:dyDescent="0.3">
      <c r="A200" t="s">
        <v>5884</v>
      </c>
      <c r="B200">
        <v>4000</v>
      </c>
    </row>
    <row r="201" spans="1:2" x14ac:dyDescent="0.3">
      <c r="A201" t="s">
        <v>5885</v>
      </c>
    </row>
    <row r="202" spans="1:2" x14ac:dyDescent="0.3">
      <c r="A202" t="s">
        <v>1945</v>
      </c>
    </row>
    <row r="203" spans="1:2" x14ac:dyDescent="0.3">
      <c r="A203" t="s">
        <v>1941</v>
      </c>
    </row>
    <row r="204" spans="1:2" x14ac:dyDescent="0.3">
      <c r="A204" t="s">
        <v>1946</v>
      </c>
      <c r="B204">
        <v>4000</v>
      </c>
    </row>
    <row r="205" spans="1:2" x14ac:dyDescent="0.3">
      <c r="A205" t="s">
        <v>5888</v>
      </c>
      <c r="B205" s="3">
        <v>3000</v>
      </c>
    </row>
    <row r="206" spans="1:2" x14ac:dyDescent="0.3">
      <c r="A206" t="s">
        <v>5889</v>
      </c>
      <c r="B206" s="3">
        <v>3000</v>
      </c>
    </row>
    <row r="207" spans="1:2" x14ac:dyDescent="0.3">
      <c r="A207" t="s">
        <v>1964</v>
      </c>
      <c r="B207">
        <v>2500</v>
      </c>
    </row>
    <row r="208" spans="1:2" x14ac:dyDescent="0.3">
      <c r="A208" t="s">
        <v>1965</v>
      </c>
    </row>
    <row r="209" spans="1:2" x14ac:dyDescent="0.3">
      <c r="A209" t="s">
        <v>1987</v>
      </c>
      <c r="B209">
        <v>2500</v>
      </c>
    </row>
    <row r="210" spans="1:2" x14ac:dyDescent="0.3">
      <c r="A210" t="s">
        <v>5890</v>
      </c>
    </row>
    <row r="211" spans="1:2" x14ac:dyDescent="0.3">
      <c r="A211" t="s">
        <v>5891</v>
      </c>
    </row>
    <row r="212" spans="1:2" x14ac:dyDescent="0.3">
      <c r="A212" t="s">
        <v>1988</v>
      </c>
    </row>
    <row r="213" spans="1:2" x14ac:dyDescent="0.3">
      <c r="A213" t="s">
        <v>2049</v>
      </c>
    </row>
    <row r="214" spans="1:2" x14ac:dyDescent="0.3">
      <c r="A214" t="s">
        <v>5337</v>
      </c>
    </row>
    <row r="215" spans="1:2" x14ac:dyDescent="0.3">
      <c r="A215" t="s">
        <v>5892</v>
      </c>
    </row>
    <row r="216" spans="1:2" x14ac:dyDescent="0.3">
      <c r="A216" t="s">
        <v>5893</v>
      </c>
    </row>
    <row r="217" spans="1:2" x14ac:dyDescent="0.3">
      <c r="A217" t="s">
        <v>3337</v>
      </c>
    </row>
    <row r="218" spans="1:2" x14ac:dyDescent="0.3">
      <c r="A218" t="s">
        <v>5894</v>
      </c>
      <c r="B218">
        <v>4000</v>
      </c>
    </row>
    <row r="219" spans="1:2" x14ac:dyDescent="0.3">
      <c r="A219" t="s">
        <v>5895</v>
      </c>
    </row>
    <row r="220" spans="1:2" x14ac:dyDescent="0.3">
      <c r="A220" t="s">
        <v>2026</v>
      </c>
    </row>
    <row r="221" spans="1:2" x14ac:dyDescent="0.3">
      <c r="A221" t="s">
        <v>2028</v>
      </c>
      <c r="B221" s="3">
        <v>3000</v>
      </c>
    </row>
    <row r="222" spans="1:2" x14ac:dyDescent="0.3">
      <c r="A222" t="s">
        <v>4569</v>
      </c>
    </row>
    <row r="223" spans="1:2" x14ac:dyDescent="0.3">
      <c r="A223" t="s">
        <v>2041</v>
      </c>
    </row>
    <row r="224" spans="1:2" x14ac:dyDescent="0.3">
      <c r="A224" t="s">
        <v>2042</v>
      </c>
    </row>
    <row r="225" spans="1:2" x14ac:dyDescent="0.3">
      <c r="A225" t="s">
        <v>5896</v>
      </c>
    </row>
    <row r="226" spans="1:2" x14ac:dyDescent="0.3">
      <c r="A226" t="s">
        <v>5897</v>
      </c>
    </row>
    <row r="227" spans="1:2" x14ac:dyDescent="0.3">
      <c r="A227" t="s">
        <v>2862</v>
      </c>
      <c r="B227">
        <v>1800</v>
      </c>
    </row>
    <row r="228" spans="1:2" x14ac:dyDescent="0.3">
      <c r="A228" t="s">
        <v>5930</v>
      </c>
    </row>
    <row r="229" spans="1:2" x14ac:dyDescent="0.3">
      <c r="A229" t="s">
        <v>2877</v>
      </c>
    </row>
    <row r="230" spans="1:2" x14ac:dyDescent="0.3">
      <c r="A230" t="s">
        <v>5959</v>
      </c>
    </row>
    <row r="231" spans="1:2" x14ac:dyDescent="0.3">
      <c r="A231" t="s">
        <v>5964</v>
      </c>
      <c r="B231">
        <v>4000</v>
      </c>
    </row>
    <row r="232" spans="1:2" x14ac:dyDescent="0.3">
      <c r="A232" t="s">
        <v>5965</v>
      </c>
    </row>
    <row r="233" spans="1:2" x14ac:dyDescent="0.3">
      <c r="A233" t="s">
        <v>5966</v>
      </c>
    </row>
    <row r="234" spans="1:2" x14ac:dyDescent="0.3">
      <c r="A234" t="s">
        <v>3483</v>
      </c>
    </row>
    <row r="235" spans="1:2" x14ac:dyDescent="0.3">
      <c r="A235" t="s">
        <v>5967</v>
      </c>
    </row>
    <row r="236" spans="1:2" x14ac:dyDescent="0.3">
      <c r="A236" t="s">
        <v>4533</v>
      </c>
    </row>
    <row r="237" spans="1:2" x14ac:dyDescent="0.3">
      <c r="A237" t="s">
        <v>4561</v>
      </c>
    </row>
    <row r="238" spans="1:2" x14ac:dyDescent="0.3">
      <c r="A238" t="s">
        <v>6000</v>
      </c>
    </row>
    <row r="239" spans="1:2" x14ac:dyDescent="0.3">
      <c r="A239" t="s">
        <v>4568</v>
      </c>
    </row>
    <row r="240" spans="1:2" x14ac:dyDescent="0.3">
      <c r="A240" t="s">
        <v>4646</v>
      </c>
      <c r="B240">
        <v>2800</v>
      </c>
    </row>
    <row r="241" spans="1:2" x14ac:dyDescent="0.3">
      <c r="A241" t="s">
        <v>4691</v>
      </c>
    </row>
    <row r="242" spans="1:2" x14ac:dyDescent="0.3">
      <c r="A242" t="s">
        <v>4692</v>
      </c>
      <c r="B242">
        <v>3000</v>
      </c>
    </row>
    <row r="243" spans="1:2" x14ac:dyDescent="0.3">
      <c r="A243" t="s">
        <v>4694</v>
      </c>
    </row>
    <row r="244" spans="1:2" x14ac:dyDescent="0.3">
      <c r="A244" t="s">
        <v>6649</v>
      </c>
    </row>
    <row r="245" spans="1:2" x14ac:dyDescent="0.3">
      <c r="A245" t="s">
        <v>6779</v>
      </c>
    </row>
    <row r="246" spans="1:2" x14ac:dyDescent="0.3">
      <c r="A246" t="s">
        <v>4917</v>
      </c>
      <c r="B246">
        <v>3000</v>
      </c>
    </row>
    <row r="247" spans="1:2" x14ac:dyDescent="0.3">
      <c r="A247" t="s">
        <v>4915</v>
      </c>
    </row>
    <row r="248" spans="1:2" x14ac:dyDescent="0.3">
      <c r="A248" t="s">
        <v>6780</v>
      </c>
      <c r="B248" s="3">
        <v>2000</v>
      </c>
    </row>
    <row r="249" spans="1:2" x14ac:dyDescent="0.3">
      <c r="A249" t="s">
        <v>2002</v>
      </c>
    </row>
    <row r="250" spans="1:2" x14ac:dyDescent="0.3">
      <c r="A250" t="s">
        <v>4974</v>
      </c>
    </row>
    <row r="251" spans="1:2" x14ac:dyDescent="0.3">
      <c r="A251" t="s">
        <v>5328</v>
      </c>
    </row>
    <row r="252" spans="1:2" x14ac:dyDescent="0.3">
      <c r="A252" t="s">
        <v>7080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38f357-a9a0-48c4-a86b-ec7fa2592930">
      <Terms xmlns="http://schemas.microsoft.com/office/infopath/2007/PartnerControls"/>
    </lcf76f155ced4ddcb4097134ff3c332f>
    <TaxCatchAll xmlns="b9b056c2-9eda-4bf8-b365-7f9a32771e3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8A0F4284AA246B4D21665D03F6DE1" ma:contentTypeVersion="11" ma:contentTypeDescription="Een nieuw document maken." ma:contentTypeScope="" ma:versionID="b8dce97a52a0936a9a30e64a243459bc">
  <xsd:schema xmlns:xsd="http://www.w3.org/2001/XMLSchema" xmlns:xs="http://www.w3.org/2001/XMLSchema" xmlns:p="http://schemas.microsoft.com/office/2006/metadata/properties" xmlns:ns2="3038f357-a9a0-48c4-a86b-ec7fa2592930" xmlns:ns3="b9b056c2-9eda-4bf8-b365-7f9a32771e3d" targetNamespace="http://schemas.microsoft.com/office/2006/metadata/properties" ma:root="true" ma:fieldsID="1e49228577d2ab6aa6f7e0c94652c095" ns2:_="" ns3:_="">
    <xsd:import namespace="3038f357-a9a0-48c4-a86b-ec7fa2592930"/>
    <xsd:import namespace="b9b056c2-9eda-4bf8-b365-7f9a32771e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8f357-a9a0-48c4-a86b-ec7fa25929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cf77c6f-7d90-4f59-9429-7beb73260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b056c2-9eda-4bf8-b365-7f9a32771e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6f8086-8ef5-4f79-b496-d0cb86972512}" ma:internalName="TaxCatchAll" ma:showField="CatchAllData" ma:web="b9b056c2-9eda-4bf8-b365-7f9a32771e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C0BE60-1D7F-4D38-AA92-75D81FB75319}">
  <ds:schemaRefs>
    <ds:schemaRef ds:uri="http://purl.org/dc/dcmitype/"/>
    <ds:schemaRef ds:uri="http://purl.org/dc/terms/"/>
    <ds:schemaRef ds:uri="http://purl.org/dc/elements/1.1/"/>
    <ds:schemaRef ds:uri="b9b056c2-9eda-4bf8-b365-7f9a32771e3d"/>
    <ds:schemaRef ds:uri="http://schemas.microsoft.com/office/2006/documentManagement/types"/>
    <ds:schemaRef ds:uri="3038f357-a9a0-48c4-a86b-ec7fa2592930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5C5519F-2A88-456C-99D0-8E4AE604CE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9A282E-46DB-48F0-BD16-EC26B81B10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38f357-a9a0-48c4-a86b-ec7fa2592930"/>
    <ds:schemaRef ds:uri="b9b056c2-9eda-4bf8-b365-7f9a32771e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Data_quality</vt:lpstr>
      <vt:lpstr>Helper_table</vt:lpstr>
      <vt:lpstr>Main_data</vt:lpstr>
      <vt:lpstr>algoritme tabel </vt:lpstr>
      <vt:lpstr>Cat_helper_table</vt:lpstr>
      <vt:lpstr>Ellens_additions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Veeke,Desmond D.W.L.P.</cp:lastModifiedBy>
  <cp:revision/>
  <dcterms:created xsi:type="dcterms:W3CDTF">2025-04-09T08:04:07Z</dcterms:created>
  <dcterms:modified xsi:type="dcterms:W3CDTF">2025-06-19T06:48:52Z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0x0101007E28A0F4284AA246B4D21665D03F6DE1</vt:lpwstr>
  </property>
</Properties>
</file>